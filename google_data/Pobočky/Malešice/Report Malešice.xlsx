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Směny" sheetId="6" r:id="rId10"/>
    <sheet state="hidden" name="RestiaCSV" sheetId="7" r:id="rId11"/>
    <sheet state="hidden" name="HR" sheetId="8" r:id="rId12"/>
    <sheet state="hidden" name="Denik" sheetId="9" r:id="rId13"/>
  </sheets>
  <definedNames>
    <definedName hidden="1" localSheetId="6" name="_xlnm._FilterDatabase">RestiaCSV!$A$1:$M$418</definedName>
  </definedNames>
  <calcPr/>
</workbook>
</file>

<file path=xl/sharedStrings.xml><?xml version="1.0" encoding="utf-8"?>
<sst xmlns="http://schemas.openxmlformats.org/spreadsheetml/2006/main" count="8405" uniqueCount="2530">
  <si>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</si>
  <si>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</si>
  <si>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</si>
  <si>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</si>
  <si>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</si>
  <si>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</si>
  <si>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</si>
  <si>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</si>
  <si>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</si>
  <si>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</si>
  <si>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</si>
  <si>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</si>
  <si>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</si>
  <si>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</si>
  <si>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</si>
  <si>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</si>
  <si>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</si>
  <si>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</si>
  <si>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</si>
  <si>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</si>
  <si>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</si>
  <si>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</si>
  <si>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</si>
  <si>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</si>
  <si>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</si>
  <si>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</si>
  <si>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</si>
  <si>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</si>
  <si>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</si>
  <si>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</si>
  <si>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</si>
  <si>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</si>
  <si>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</si>
  <si>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</si>
  <si>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</si>
  <si>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</si>
  <si>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</si>
  <si>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</si>
  <si>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</si>
  <si>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</si>
  <si>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</si>
  <si>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</si>
  <si>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</si>
  <si>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</si>
  <si>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</si>
  <si>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</si>
  <si>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</si>
  <si>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</si>
  <si>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</si>
  <si>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</si>
  <si>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</si>
  <si>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</si>
  <si>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</si>
  <si>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</si>
  <si>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</si>
  <si>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</si>
  <si>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</si>
  <si>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</si>
  <si>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</si>
  <si>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</si>
  <si>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</si>
  <si>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</si>
  <si>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</si>
  <si>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</si>
  <si>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</si>
  <si>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</si>
  <si>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</si>
  <si>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</si>
  <si>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</si>
  <si>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</si>
  <si>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</si>
  <si>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</si>
  <si>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</si>
  <si>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</si>
  <si>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</si>
  <si>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</si>
  <si>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</si>
  <si>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</si>
  <si>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</si>
  <si>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</si>
  <si>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</si>
  <si>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</si>
  <si>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</si>
  <si>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</si>
  <si>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</si>
  <si>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</si>
  <si>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</si>
  <si>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</si>
  <si>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</si>
  <si>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ready_pickup</t>
  </si>
  <si>
    <t>Wolt Kurýr</t>
  </si>
  <si>
    <t>external-delivery</t>
  </si>
  <si>
    <t>online</t>
  </si>
  <si>
    <t>2024-08-24T02:26:06.216+02:00</t>
  </si>
  <si>
    <t>2024-08-24T02:36:57.269+02:00</t>
  </si>
  <si>
    <t>damejidlo</t>
  </si>
  <si>
    <t>cash</t>
  </si>
  <si>
    <t>2024-08-24T01:49:47.019+02:00</t>
  </si>
  <si>
    <t>2024-08-24T01:55:39.344+02:00</t>
  </si>
  <si>
    <t>2024-08-24T01:46:19.469+02:00</t>
  </si>
  <si>
    <t>2024-08-24T01:54:00.246+02:00</t>
  </si>
  <si>
    <t>2024-08-24T01:31:47.044+02:00</t>
  </si>
  <si>
    <t>2024-08-24T01:41:46.273+02:00</t>
  </si>
  <si>
    <t>bolt</t>
  </si>
  <si>
    <t>Kuldeep</t>
  </si>
  <si>
    <t>2024-08-24T01:31:17.833+02:00</t>
  </si>
  <si>
    <t>2024-08-24T01:46:54.181+02:00</t>
  </si>
  <si>
    <t>delivered</t>
  </si>
  <si>
    <t>2024-08-24T01:20:07.722+02:00</t>
  </si>
  <si>
    <t>2024-08-24T01:27:23.215+02:00</t>
  </si>
  <si>
    <t>manual</t>
  </si>
  <si>
    <t>pickup</t>
  </si>
  <si>
    <t>2024-08-24T01:13:35.417+02:00</t>
  </si>
  <si>
    <t>2024-08-24T01:14:02.397+02:00</t>
  </si>
  <si>
    <t>2024-08-24T01:11:04.401+02:00</t>
  </si>
  <si>
    <t>2024-08-24T01:26:36.285+02:00</t>
  </si>
  <si>
    <t>generic</t>
  </si>
  <si>
    <t>2024-08-24T00:59:03.033+02:00</t>
  </si>
  <si>
    <t>2024-08-24T01:11:21.995+02:00</t>
  </si>
  <si>
    <t>Shirshak</t>
  </si>
  <si>
    <t>2024-08-24T00:55:11.648+02:00</t>
  </si>
  <si>
    <t>2024-08-24T01:04:47.133+02:00</t>
  </si>
  <si>
    <t>Volodymyr</t>
  </si>
  <si>
    <t>2024-08-24T00:40:52.520+02:00</t>
  </si>
  <si>
    <t>2024-08-24T01:03:21.084+02:00</t>
  </si>
  <si>
    <t>2024-08-24T00:30:50.156+02:00</t>
  </si>
  <si>
    <t>2024-08-24T00:32:40.988+02:00</t>
  </si>
  <si>
    <t>2024-08-24T00:30:45.992+02:00</t>
  </si>
  <si>
    <t>2024-08-24T00:49:17.672+02:00</t>
  </si>
  <si>
    <t>2024-08-24T00:25:55.526+02:00</t>
  </si>
  <si>
    <t>2024-08-24T00:47:58.140+02:00</t>
  </si>
  <si>
    <t>Zilolahon</t>
  </si>
  <si>
    <t>2024-08-24T00:25:37.925+02:00</t>
  </si>
  <si>
    <t>2024-08-24T00:45:36.099+02:00</t>
  </si>
  <si>
    <t>2024-08-24T00:21:46.024+02:00</t>
  </si>
  <si>
    <t>2024-08-24T00:36:40.313+02:00</t>
  </si>
  <si>
    <t>2024-08-24T00:21:04.648+02:00</t>
  </si>
  <si>
    <t>2024-08-24T00:54:35.008+02:00</t>
  </si>
  <si>
    <t>2024-08-24T00:20:45.503+02:00</t>
  </si>
  <si>
    <t>2024-08-24T00:33:39.369+02:00</t>
  </si>
  <si>
    <t>2024-08-24T00:20:21.251+02:00</t>
  </si>
  <si>
    <t>2024-08-24T00:52:46.081+02:00</t>
  </si>
  <si>
    <t>2024-08-24T00:19:47.525+02:00</t>
  </si>
  <si>
    <t>2024-08-24T00:49:49.999+02:00</t>
  </si>
  <si>
    <t>2024-08-24T00:19:23.248+02:00</t>
  </si>
  <si>
    <t>2024-08-24T00:45:55.976+02:00</t>
  </si>
  <si>
    <t>2024-08-24T00:18:27.940+02:00</t>
  </si>
  <si>
    <t>2024-08-24T00:40:30.013+02:00</t>
  </si>
  <si>
    <t>2024-08-24T00:17:46.098+02:00</t>
  </si>
  <si>
    <t>2024-08-24T00:29:20.267+02:00</t>
  </si>
  <si>
    <t>2024-08-24T00:15:45.602+02:00</t>
  </si>
  <si>
    <t>2024-08-24T00:25:16.444+02:00</t>
  </si>
  <si>
    <t>2024-08-24T00:14:37.658+02:00</t>
  </si>
  <si>
    <t>2024-08-24T00:23:58.169+02:00</t>
  </si>
  <si>
    <t>2024-08-24T00:07:03.036+02:00</t>
  </si>
  <si>
    <t>2024-08-24T00:13:59.002+02:00</t>
  </si>
  <si>
    <t>2024-08-23T23:46:55.346+02:00</t>
  </si>
  <si>
    <t>2024-08-24T00:06:01.208+02:00</t>
  </si>
  <si>
    <t>2024-08-23T23:43:45.093+02:00</t>
  </si>
  <si>
    <t>2024-08-24T00:01:46.355+02:00</t>
  </si>
  <si>
    <t>2024-08-23T23:41:44.727+02:00</t>
  </si>
  <si>
    <t>2024-08-23T23:57:45.386+02:00</t>
  </si>
  <si>
    <t>2024-08-23T23:41:44.678+02:00</t>
  </si>
  <si>
    <t>2024-08-23T23:49:40.491+02:00</t>
  </si>
  <si>
    <t>2024-08-23T23:39:45.699+02:00</t>
  </si>
  <si>
    <t>2024-08-23T23:48:05.551+02:00</t>
  </si>
  <si>
    <t>2024-08-23T23:23:48.037+02:00</t>
  </si>
  <si>
    <t>2024-08-23T23:31:31.287+02:00</t>
  </si>
  <si>
    <t>2024-08-23T23:17:51.235+02:00</t>
  </si>
  <si>
    <t>2024-08-23T23:19:44.998+02:00</t>
  </si>
  <si>
    <t>2024-08-23T23:13:47.229+02:00</t>
  </si>
  <si>
    <t>2024-08-23T23:15:42.031+02:00</t>
  </si>
  <si>
    <t>2024-08-23T23:11:43.987+02:00</t>
  </si>
  <si>
    <t>2024-08-23T23:20:02.508+02:00</t>
  </si>
  <si>
    <t>Čech Dominik</t>
  </si>
  <si>
    <t>delivery</t>
  </si>
  <si>
    <t>2024-08-23T23:04:02.973+02:00</t>
  </si>
  <si>
    <t>2024-08-23T23:22:10.029+02:00</t>
  </si>
  <si>
    <t>2024-08-23T23:29:41.605+02:00</t>
  </si>
  <si>
    <t>2024-08-23T23:04:03.599+02:00</t>
  </si>
  <si>
    <t>2024-08-23T22:56:45.092+02:00</t>
  </si>
  <si>
    <t>2024-08-23T23:17:32.262+02:00</t>
  </si>
  <si>
    <t>2024-08-23T22:55:07.053+02:00</t>
  </si>
  <si>
    <t>2024-08-23T23:12:34.408+02:00</t>
  </si>
  <si>
    <t>2024-08-23T23:12:34.407+02:00</t>
  </si>
  <si>
    <t>2024-08-23T22:52:44.762+02:00</t>
  </si>
  <si>
    <t>2024-08-23T23:09:34.381+02:00</t>
  </si>
  <si>
    <t>Jamser</t>
  </si>
  <si>
    <t>2024-08-23T22:51:59.097+02:00</t>
  </si>
  <si>
    <t>2024-08-23T23:06:44.147+02:00</t>
  </si>
  <si>
    <t>2024-08-23T22:50:23.528+02:00</t>
  </si>
  <si>
    <t>2024-08-23T22:57:50.009+02:00</t>
  </si>
  <si>
    <t>2024-08-23T22:49:44.254+02:00</t>
  </si>
  <si>
    <t>2024-08-23T23:02:37.281+02:00</t>
  </si>
  <si>
    <t>card</t>
  </si>
  <si>
    <t>2024-08-23T22:47:02.162+02:00</t>
  </si>
  <si>
    <t>2024-08-23T23:05:31.995+02:00</t>
  </si>
  <si>
    <t>2024-08-23T22:43:32.318+02:00</t>
  </si>
  <si>
    <t>2024-08-23T22:56:45.214+02:00</t>
  </si>
  <si>
    <t>2024-08-23T22:41:34.389+02:00</t>
  </si>
  <si>
    <t>2024-08-23T22:49:18.246+02:00</t>
  </si>
  <si>
    <t>2024-08-23T22:39:02.752+02:00</t>
  </si>
  <si>
    <t>2024-08-23T22:47:39.989+02:00</t>
  </si>
  <si>
    <t>2024-08-23T22:35:32.535+02:00</t>
  </si>
  <si>
    <t>2024-08-23T22:45:07.161+02:00</t>
  </si>
  <si>
    <t>2024-08-23T22:33:01.992+02:00</t>
  </si>
  <si>
    <t>2024-08-23T22:46:47.982+02:00</t>
  </si>
  <si>
    <t>2024-08-23T22:29:03.809+02:00</t>
  </si>
  <si>
    <t>2024-08-23T22:44:29.038+02:00</t>
  </si>
  <si>
    <t>2024-08-23T23:00:11.287+02:00</t>
  </si>
  <si>
    <t>2024-08-23T22:29:04.395+02:00</t>
  </si>
  <si>
    <t>2024-08-23T22:28:50.156+02:00</t>
  </si>
  <si>
    <t>2024-08-23T22:32:30.003+02:00</t>
  </si>
  <si>
    <t>2024-08-23T22:27:03.438+02:00</t>
  </si>
  <si>
    <t>2024-08-23T22:28:48.033+02:00</t>
  </si>
  <si>
    <t>2024-08-23T22:18:21.599+02:00</t>
  </si>
  <si>
    <t>2024-08-23T22:26:33.257+02:00</t>
  </si>
  <si>
    <t>2024-08-23T22:11:44.311+02:00</t>
  </si>
  <si>
    <t>2024-08-23T22:22:23.308+02:00</t>
  </si>
  <si>
    <t>2024-08-23T22:10:24.376+02:00</t>
  </si>
  <si>
    <t>2024-08-23T22:20:59.144+02:00</t>
  </si>
  <si>
    <t>2024-08-23T21:56:02.747+02:00</t>
  </si>
  <si>
    <t>2024-08-23T22:13:54.981+02:00</t>
  </si>
  <si>
    <t>2024-08-23T21:55:43.707+02:00</t>
  </si>
  <si>
    <t>2024-08-23T22:12:16.367+02:00</t>
  </si>
  <si>
    <t>2024-08-23T21:52:02.871+02:00</t>
  </si>
  <si>
    <t>2024-08-23T22:11:53.097+02:00</t>
  </si>
  <si>
    <t>2024-08-23T22:21:09.872+02:00</t>
  </si>
  <si>
    <t>2024-08-23T21:52:03.448+02:00</t>
  </si>
  <si>
    <t>Abdurashid</t>
  </si>
  <si>
    <t>2024-08-23T21:47:14.764+02:00</t>
  </si>
  <si>
    <t>2024-08-23T21:53:03.192+02:00</t>
  </si>
  <si>
    <t>2024-08-23T21:44:03.105+02:00</t>
  </si>
  <si>
    <t>2024-08-23T21:52:01.969+02:00</t>
  </si>
  <si>
    <t>2024-08-23T21:43:13.397+02:00</t>
  </si>
  <si>
    <t>2024-08-23T21:50:42.131+02:00</t>
  </si>
  <si>
    <t>2024-08-23T21:32:40.138+02:00</t>
  </si>
  <si>
    <t>2024-08-23T21:42:54.229+02:00</t>
  </si>
  <si>
    <t>2024-08-23T21:32:01.917+02:00</t>
  </si>
  <si>
    <t>2024-08-23T21:46:11.028+02:00</t>
  </si>
  <si>
    <t>2024-08-23T21:57:00.619+02:00</t>
  </si>
  <si>
    <t>2024-08-23T21:32:02.744+02:00</t>
  </si>
  <si>
    <t>canceled</t>
  </si>
  <si>
    <t>2024-08-23T21:26:46.063+02:00</t>
  </si>
  <si>
    <t>2024-08-23T21:36:33.255+02:00</t>
  </si>
  <si>
    <t>2024-08-23T21:26:06.473+02:00</t>
  </si>
  <si>
    <t>2024-08-23T21:38:10.149+02:00</t>
  </si>
  <si>
    <t>Mykola</t>
  </si>
  <si>
    <t>2024-08-23T21:17:40.611+02:00</t>
  </si>
  <si>
    <t>2024-08-23T21:26:14.092+02:00</t>
  </si>
  <si>
    <t>Ashok</t>
  </si>
  <si>
    <t>2024-08-23T21:17:17.952+02:00</t>
  </si>
  <si>
    <t>2024-08-23T21:24:37.116+02:00</t>
  </si>
  <si>
    <t>2024-08-23T21:08:01.790+02:00</t>
  </si>
  <si>
    <t>2024-08-23T21:16:30.977+02:00</t>
  </si>
  <si>
    <t>2024-08-23T21:06:53.198+02:00</t>
  </si>
  <si>
    <t>2024-08-23T21:11:31.954+02:00</t>
  </si>
  <si>
    <t>2024-08-23T21:02:01.906+02:00</t>
  </si>
  <si>
    <t>2024-08-23T21:07:58.079+02:00</t>
  </si>
  <si>
    <t>2024-08-23T21:00:23.096+02:00</t>
  </si>
  <si>
    <t>2024-08-23T21:02:57.980+02:00</t>
  </si>
  <si>
    <t>2024-08-23T20:58:03.166+02:00</t>
  </si>
  <si>
    <t>2024-08-23T21:18:24.054+02:00</t>
  </si>
  <si>
    <t>2024-08-23T21:33:44.871+02:00</t>
  </si>
  <si>
    <t>2024-08-23T20:58:04.064+02:00</t>
  </si>
  <si>
    <t>2024-08-23T20:48:43.904+02:00</t>
  </si>
  <si>
    <t>2024-08-23T20:58:33.310+02:00</t>
  </si>
  <si>
    <t>2024-08-23T20:40:22.884+02:00</t>
  </si>
  <si>
    <t>2024-08-23T20:49:57.163+02:00</t>
  </si>
  <si>
    <t>2024-08-23T20:37:46.047+02:00</t>
  </si>
  <si>
    <t>2024-08-23T20:47:16.318+02:00</t>
  </si>
  <si>
    <t>2024-08-23T20:26:21.328+02:00</t>
  </si>
  <si>
    <t>2024-08-23T20:35:42.312+02:00</t>
  </si>
  <si>
    <t>2024-08-23T20:25:02.684+02:00</t>
  </si>
  <si>
    <t>2024-08-23T20:36:31.972+02:00</t>
  </si>
  <si>
    <t>2024-08-23T20:20:45.376+02:00</t>
  </si>
  <si>
    <t>2024-08-23T20:21:24.982+02:00</t>
  </si>
  <si>
    <t>2024-08-23T20:20:02.297+02:00</t>
  </si>
  <si>
    <t>2024-08-23T20:32:23.028+02:00</t>
  </si>
  <si>
    <t>2024-08-23T20:49:41.434+02:00</t>
  </si>
  <si>
    <t>2024-08-23T20:20:02.817+02:00</t>
  </si>
  <si>
    <t>2024-08-23T20:19:23.936+02:00</t>
  </si>
  <si>
    <t>2024-08-23T20:24:52.047+02:00</t>
  </si>
  <si>
    <t>2024-08-23T20:18:02.843+02:00</t>
  </si>
  <si>
    <t>2024-08-23T20:27:51.254+02:00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</si>
  <si>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</si>
  <si>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</si>
  <si>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</si>
  <si>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</si>
  <si>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</si>
  <si>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</si>
  <si>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</si>
  <si>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</si>
  <si>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2024-08-23T20:00:44.621+02:00</t>
  </si>
  <si>
    <t>2024-08-23T20:12:09.181+02:00</t>
  </si>
  <si>
    <t>2024-08-23T20:00:02.609+02:00</t>
  </si>
  <si>
    <t>2024-08-23T20:14:31.151+02:00</t>
  </si>
  <si>
    <t>2024-08-23T20:34:12.229+02:00</t>
  </si>
  <si>
    <t>2024-08-23T20:08:37.186+02:00</t>
  </si>
  <si>
    <t>2024-08-23T19:59:44.495+02:00</t>
  </si>
  <si>
    <t>2024-08-23T20:10:45.278+02:00</t>
  </si>
  <si>
    <t>2024-08-23T19:58:40.598+02:00</t>
  </si>
  <si>
    <t>2024-08-23T20:09:24.274+02:00</t>
  </si>
  <si>
    <t>2024-08-23T19:55:02.513+02:00</t>
  </si>
  <si>
    <t>2024-08-23T20:24:57.102+02:00</t>
  </si>
  <si>
    <t>2024-08-23T20:41:10.221+02:00</t>
  </si>
  <si>
    <t>2024-08-23T20:15:14.727+02:00</t>
  </si>
  <si>
    <t>2024-08-23T19:40:08.909+02:00</t>
  </si>
  <si>
    <t>2024-08-23T19:49:03.192+02:00</t>
  </si>
  <si>
    <t>2024-08-23T19:38:21.448+02:00</t>
  </si>
  <si>
    <t>2024-08-23T19:49:46.978+02:00</t>
  </si>
  <si>
    <t>2024-08-23T19:30:06.010+02:00</t>
  </si>
  <si>
    <t>2024-08-23T19:41:16.270+02:00</t>
  </si>
  <si>
    <t>2024-08-23T19:30:02.960+02:00</t>
  </si>
  <si>
    <t>2024-08-23T19:51:35.011+02:00</t>
  </si>
  <si>
    <t>2024-08-23T19:59:20.980+02:00</t>
  </si>
  <si>
    <t>2024-08-23T19:30:03.431+02:00</t>
  </si>
  <si>
    <t>Miroslava</t>
  </si>
  <si>
    <t>2024-08-23T19:23:07.355+02:00</t>
  </si>
  <si>
    <t>2024-08-23T19:38:57.052+02:00</t>
  </si>
  <si>
    <t>2024-08-23T19:20:14.694+02:00</t>
  </si>
  <si>
    <t>2024-08-23T19:26:08.221+02:00</t>
  </si>
  <si>
    <t>2024-08-23T19:18:43.851+02:00</t>
  </si>
  <si>
    <t>2024-08-23T19:29:00.198+02:00</t>
  </si>
  <si>
    <t>2024-08-23T19:17:30.144+02:00</t>
  </si>
  <si>
    <t>2024-08-23T19:34:59.176+02:00</t>
  </si>
  <si>
    <t>2024-08-23T19:15:47.862+02:00</t>
  </si>
  <si>
    <t>2024-08-23T19:22:34.239+02:00</t>
  </si>
  <si>
    <t>2024-08-23T19:09:52.767+02:00</t>
  </si>
  <si>
    <t>2024-08-23T19:19:28.451+02:00</t>
  </si>
  <si>
    <t>2024-08-23T19:04:02.577+02:00</t>
  </si>
  <si>
    <t>2024-08-23T19:43:30.984+02:00</t>
  </si>
  <si>
    <t>2024-08-23T20:13:50.725+02:00</t>
  </si>
  <si>
    <t>2024-08-23T19:04:03.279+02:00</t>
  </si>
  <si>
    <t>2024-08-23T19:02:43.692+02:00</t>
  </si>
  <si>
    <t>2024-08-23T19:16:16.309+02:00</t>
  </si>
  <si>
    <t>2024-08-23T19:01:58.747+02:00</t>
  </si>
  <si>
    <t>2024-08-23T19:11:23.240+02:00</t>
  </si>
  <si>
    <t>2024-08-23T18:52:27.198+02:00</t>
  </si>
  <si>
    <t>2024-08-23T19:06:48.411+02:00</t>
  </si>
  <si>
    <t>2024-08-23T18:50:02.599+02:00</t>
  </si>
  <si>
    <t>2024-08-23T19:08:47.996+02:00</t>
  </si>
  <si>
    <t>2024-08-23T19:33:18.570+02:00</t>
  </si>
  <si>
    <t>2024-08-23T19:09:51.838+02:00</t>
  </si>
  <si>
    <t>2024-08-23T18:42:42.858+02:00</t>
  </si>
  <si>
    <t>2024-08-23T18:56:44.351+02:00</t>
  </si>
  <si>
    <t>2024-08-23T18:39:21.543+02:00</t>
  </si>
  <si>
    <t>2024-08-23T19:00:45.207+02:00</t>
  </si>
  <si>
    <t>2024-08-23T18:34:17.721+02:00</t>
  </si>
  <si>
    <t>2024-08-23T18:44:23.267+02:00</t>
  </si>
  <si>
    <t>Mukhibillaev</t>
  </si>
  <si>
    <t>2024-08-23T18:31:41.274+02:00</t>
  </si>
  <si>
    <t>2024-08-23T18:49:33.165+02:00</t>
  </si>
  <si>
    <t>Ashish</t>
  </si>
  <si>
    <t>2024-08-23T18:31:37.118+02:00</t>
  </si>
  <si>
    <t>2024-08-23T18:42:15.075+02:00</t>
  </si>
  <si>
    <t>2024-08-23T18:26:02.125+02:00</t>
  </si>
  <si>
    <t>2024-08-23T18:41:09.962+02:00</t>
  </si>
  <si>
    <t>2024-08-23T18:25:39.481+02:00</t>
  </si>
  <si>
    <t>2024-08-23T18:41:30.012+02:00</t>
  </si>
  <si>
    <t>2024-08-23T19:02:58.914+02:00</t>
  </si>
  <si>
    <t>2024-08-23T18:25:40.219+02:00</t>
  </si>
  <si>
    <t>Esanov</t>
  </si>
  <si>
    <t>2024-08-23T18:21:34.000+02:00</t>
  </si>
  <si>
    <t>2024-08-23T18:35:06.074+02:00</t>
  </si>
  <si>
    <t>2024-08-23T18:18:42.836+02:00</t>
  </si>
  <si>
    <t>2024-08-23T18:26:25.367+02:00</t>
  </si>
  <si>
    <t>Pavel</t>
  </si>
  <si>
    <t>2024-08-23T18:13:19.162+02:00</t>
  </si>
  <si>
    <t>2024-08-23T18:23:40.079+02:00</t>
  </si>
  <si>
    <t>2024-08-23T18:08:22.235+02:00</t>
  </si>
  <si>
    <t>2024-08-23T18:15:26.139+02:00</t>
  </si>
  <si>
    <t>2024-08-23T17:55:03.103+02:00</t>
  </si>
  <si>
    <t>2024-08-23T18:02:28.151+02:00</t>
  </si>
  <si>
    <t>2024-08-23T17:24:02.845+02:00</t>
  </si>
  <si>
    <t>2024-08-23T18:20:35.988+02:00</t>
  </si>
  <si>
    <t>2024-08-23T17:19:02.019+02:00</t>
  </si>
  <si>
    <t>2024-08-23T17:25:49.302+02:00</t>
  </si>
  <si>
    <t>2024-08-23T17:13:02.821+02:00</t>
  </si>
  <si>
    <t>2024-08-23T17:21:16.110+02:00</t>
  </si>
  <si>
    <t>2024-08-23T17:48:56.762+02:00</t>
  </si>
  <si>
    <t>2024-08-23T17:19:54.490+02:00</t>
  </si>
  <si>
    <t>2024-08-23T17:11:47.068+02:00</t>
  </si>
  <si>
    <t>2024-08-23T17:20:19.144+02:00</t>
  </si>
  <si>
    <t>2024-08-23T17:00:11.956+02:00</t>
  </si>
  <si>
    <t>2024-08-23T17:07:27.196+02:00</t>
  </si>
  <si>
    <t>Melmer David</t>
  </si>
  <si>
    <t>2024-08-23T16:57:02.142+02:00</t>
  </si>
  <si>
    <t>2024-08-23T17:05:27.997+02:00</t>
  </si>
  <si>
    <t>2024-08-23T17:28:03.702+02:00</t>
  </si>
  <si>
    <t>2024-08-23T16:57:02.778+02:00</t>
  </si>
  <si>
    <t>2024-08-23T16:42:38.306+02:00</t>
  </si>
  <si>
    <t>2024-08-23T16:50:12.291+02:00</t>
  </si>
  <si>
    <t>2024-08-23T16:41:45.519+02:00</t>
  </si>
  <si>
    <t>2024-08-23T16:47:39.328+02:00</t>
  </si>
  <si>
    <t>2024-08-23T16:34:38.962+02:00</t>
  </si>
  <si>
    <t>2024-08-23T16:41:12.233+02:00</t>
  </si>
  <si>
    <t>2024-08-23T16:29:02.098+02:00</t>
  </si>
  <si>
    <t>2024-08-23T16:38:37.001+02:00</t>
  </si>
  <si>
    <t>2024-08-23T16:58:31.346+02:00</t>
  </si>
  <si>
    <t>2024-08-23T16:29:02.604+02:00</t>
  </si>
  <si>
    <t>2024-08-23T16:18:55.656+02:00</t>
  </si>
  <si>
    <t>2024-08-23T16:24:11.670+02:00</t>
  </si>
  <si>
    <t>2024-08-23T16:04:02.040+02:00</t>
  </si>
  <si>
    <t>2024-08-23T16:08:57.015+02:00</t>
  </si>
  <si>
    <t>2024-08-23T15:39:43.434+02:00</t>
  </si>
  <si>
    <t>2024-08-23T15:43:00.157+02:00</t>
  </si>
  <si>
    <t>2024-08-23T15:09:04.984+02:00</t>
  </si>
  <si>
    <t>2024-08-23T15:16:28.613+02:00</t>
  </si>
  <si>
    <t>2024-08-23T14:55:29.993+02:00</t>
  </si>
  <si>
    <t>2024-08-23T15:02:28.135+02:00</t>
  </si>
  <si>
    <t>2024-08-23T14:55:12.097+02:00</t>
  </si>
  <si>
    <t>2024-08-23T15:01:32.068+02:00</t>
  </si>
  <si>
    <t>2024-08-23T14:49:52.219+02:00</t>
  </si>
  <si>
    <t>2024-08-23T14:56:06.999+02:00</t>
  </si>
  <si>
    <t>2024-08-23T14:34:02.756+02:00</t>
  </si>
  <si>
    <t>2024-08-23T14:42:41.903+02:00</t>
  </si>
  <si>
    <t>2024-08-23T14:25:21.017+02:00</t>
  </si>
  <si>
    <t>2024-08-23T14:34:31.181+02:00</t>
  </si>
  <si>
    <t>2024-08-23T13:55:40.364+02:00</t>
  </si>
  <si>
    <t>2024-08-23T14:15:33.572+02:00</t>
  </si>
  <si>
    <t>2024-08-23T13:41:23.488+02:00</t>
  </si>
  <si>
    <t>2024-08-23T13:49:19.233+02:00</t>
  </si>
  <si>
    <t>2024-08-23T13:39:02.605+02:00</t>
  </si>
  <si>
    <t>2024-08-23T13:45:43.902+02:00</t>
  </si>
  <si>
    <t>2024-08-23T13:12:02.635+02:00</t>
  </si>
  <si>
    <t>2024-08-23T13:21:07.711+02:00</t>
  </si>
  <si>
    <t>2024-08-23T13:06:02.653+02:00</t>
  </si>
  <si>
    <t>2024-08-23T13:12:26.866+02:00</t>
  </si>
  <si>
    <t>2024-08-23T12:52:26.410+02:00</t>
  </si>
  <si>
    <t>2024-08-23T12:59:28.052+02:00</t>
  </si>
  <si>
    <t>2024-08-23T12:49:27.067+02:00</t>
  </si>
  <si>
    <t>2024-08-23T12:56:36.994+02:00</t>
  </si>
  <si>
    <t>2024-08-23T12:44:50.589+02:00</t>
  </si>
  <si>
    <t>2024-08-23T12:50:17.322+02:00</t>
  </si>
  <si>
    <t>2024-08-23T12:25:44.803+02:00</t>
  </si>
  <si>
    <t>2024-08-23T12:36:02.991+02:00</t>
  </si>
  <si>
    <t>2024-08-23T11:54:48.689+02:00</t>
  </si>
  <si>
    <t>2024-08-23T12:03:48.126+02:00</t>
  </si>
  <si>
    <t>2024-08-23T11:49:53.792+02:00</t>
  </si>
  <si>
    <t>2024-08-23T11:56:51.018+02:00</t>
  </si>
  <si>
    <t>2024-08-23T11:49:09.101+02:00</t>
  </si>
  <si>
    <t>2024-08-23T12:04:34.951+02:00</t>
  </si>
  <si>
    <t>2024-08-23T11:47:02.755+02:00</t>
  </si>
  <si>
    <t>2024-08-23T11:57:43.803+02:00</t>
  </si>
  <si>
    <t>2024-08-23T11:44:55.226+02:00</t>
  </si>
  <si>
    <t>2024-08-23T11:54:51.009+02:00</t>
  </si>
  <si>
    <t>2024-08-23T11:35:14.186+02:00</t>
  </si>
  <si>
    <t>2024-08-23T11:43:43.123+02:00</t>
  </si>
  <si>
    <t>2024-08-23T11:29:45.652+02:00</t>
  </si>
  <si>
    <t>2024-08-23T11:37:47.361+02:00</t>
  </si>
  <si>
    <t>2024-08-23T11:18:07.375+02:00</t>
  </si>
  <si>
    <t>2024-08-23T11:18:46.790+02:00</t>
  </si>
  <si>
    <t>Esayas</t>
  </si>
  <si>
    <t>2024-08-23T11:13:05.793+02:00</t>
  </si>
  <si>
    <t>2024-08-23T11:20:13.049+02:00</t>
  </si>
  <si>
    <t>2024-08-23T11:06:00.940+02:00</t>
  </si>
  <si>
    <t>2024-08-23T11:12:36.750+02:00</t>
  </si>
  <si>
    <t>2024-08-23T11:02:02.087+02:00</t>
  </si>
  <si>
    <t>2024-08-23T11:27:43.860+02:00</t>
  </si>
  <si>
    <t>2024-08-23T11:38:16.882+02:00</t>
  </si>
  <si>
    <t>2024-08-23T11:02:02.740+02:00</t>
  </si>
  <si>
    <t>2024-08-23T10:55:02.358+02:00</t>
  </si>
  <si>
    <t>2024-08-23T11:14:17.806+02:00</t>
  </si>
  <si>
    <t>2024-08-23T10:33:02.689+02:00</t>
  </si>
  <si>
    <t>2024-08-23T11:03:27.855+02:00</t>
  </si>
  <si>
    <t>2024-08-23T11:14:52.203+02:00</t>
  </si>
  <si>
    <t>2024-08-23T10:33:03.569+02:00</t>
  </si>
  <si>
    <t>2024-08-25T23:14:56.916+02:00</t>
  </si>
  <si>
    <t>2024-08-25T23:31:55.139+02:00</t>
  </si>
  <si>
    <t>2024-08-25T23:13:26.707+02:00</t>
  </si>
  <si>
    <t>2024-08-25T23:31:57.766+02:00</t>
  </si>
  <si>
    <t>Bunyodbek</t>
  </si>
  <si>
    <t>2024-08-25T23:01:08.412+02:00</t>
  </si>
  <si>
    <t>2024-08-25T23:07:07.703+02:00</t>
  </si>
  <si>
    <t>2024-08-25T22:54:41.626+02:00</t>
  </si>
  <si>
    <t>2024-08-25T23:01:41.927+02:00</t>
  </si>
  <si>
    <t>2024-08-25T22:47:47.183+02:00</t>
  </si>
  <si>
    <t>2024-08-25T22:53:59.746+02:00</t>
  </si>
  <si>
    <t>2024-08-25T22:46:46.392+02:00</t>
  </si>
  <si>
    <t>2024-08-25T22:53:15.833+02:00</t>
  </si>
  <si>
    <t>2024-08-25T22:42:44.727+02:00</t>
  </si>
  <si>
    <t>2024-08-25T22:48:45.841+02:00</t>
  </si>
  <si>
    <t>Samandar</t>
  </si>
  <si>
    <t>2024-08-25T22:40:23.495+02:00</t>
  </si>
  <si>
    <t>2024-08-25T22:45:45.754+02:00</t>
  </si>
  <si>
    <t>2024-08-25T22:36:24.513+02:00</t>
  </si>
  <si>
    <t>2024-08-25T22:43:52.876+02:00</t>
  </si>
  <si>
    <t>Vitaly</t>
  </si>
  <si>
    <t>2024-08-25T22:35:17.251+02:00</t>
  </si>
  <si>
    <t>2024-08-25T22:42:17.831+02:00</t>
  </si>
  <si>
    <t>Miroslav</t>
  </si>
  <si>
    <t>2024-08-25T22:27:25.456+02:00</t>
  </si>
  <si>
    <t>2024-08-25T22:34:23.886+02:00</t>
  </si>
  <si>
    <t>2024-08-25T22:24:25.153+02:00</t>
  </si>
  <si>
    <t>2024-08-25T22:31:30.966+02:00</t>
  </si>
  <si>
    <t>2024-08-25T22:18:40.562+02:00</t>
  </si>
  <si>
    <t>2024-08-25T22:26:31.879+02:00</t>
  </si>
  <si>
    <t>2024-08-25T22:12:02.469+02:00</t>
  </si>
  <si>
    <t>2024-08-25T22:18:35.736+02:00</t>
  </si>
  <si>
    <t>2024-08-25T22:08:31.453+02:00</t>
  </si>
  <si>
    <t>2024-08-25T22:16:54.067+02:00</t>
  </si>
  <si>
    <t>2024-08-25T22:01:02.729+02:00</t>
  </si>
  <si>
    <t>2024-08-25T22:07:24.584+02:00</t>
  </si>
  <si>
    <t>2024-08-25T22:14:15.924+02:00</t>
  </si>
  <si>
    <t>2024-08-25T22:01:03.336+02:00</t>
  </si>
  <si>
    <t>Nurillo</t>
  </si>
  <si>
    <t>2024-08-25T21:57:12.279+02:00</t>
  </si>
  <si>
    <t>2024-08-25T22:04:34.681+02:00</t>
  </si>
  <si>
    <t>Pankaj</t>
  </si>
  <si>
    <t>2024-08-25T21:53:47.265+02:00</t>
  </si>
  <si>
    <t>2024-08-25T21:59:49.760+02:00</t>
  </si>
  <si>
    <t>2024-08-25T21:39:52.179+02:00</t>
  </si>
  <si>
    <t>2024-08-25T21:46:31.888+02:00</t>
  </si>
  <si>
    <t>2024-08-25T21:26:18.408+02:00</t>
  </si>
  <si>
    <t>2024-08-25T21:34:04.737+02:00</t>
  </si>
  <si>
    <t>2024-08-25T21:25:15.523+02:00</t>
  </si>
  <si>
    <t>2024-08-25T21:31:05.719+02:00</t>
  </si>
  <si>
    <t>2024-08-25T21:22:15.509+02:00</t>
  </si>
  <si>
    <t>2024-08-25T21:27:29.773+02:00</t>
  </si>
  <si>
    <t>2024-08-25T21:14:02.920+02:00</t>
  </si>
  <si>
    <t>2024-08-25T21:24:45.976+02:00</t>
  </si>
  <si>
    <t>2024-08-25T21:38:48.551+02:00</t>
  </si>
  <si>
    <t>2024-08-25T21:14:03.553+02:00</t>
  </si>
  <si>
    <t>2024-08-25T21:09:02.620+02:00</t>
  </si>
  <si>
    <t>2024-08-25T21:15:29.552+02:00</t>
  </si>
  <si>
    <t>2024-08-25T21:03:21.887+02:00</t>
  </si>
  <si>
    <t>2024-08-25T21:13:30.937+02:00</t>
  </si>
  <si>
    <t>2024-08-25T21:00:47.791+02:00</t>
  </si>
  <si>
    <t>2024-08-25T21:09:34.137+02:00</t>
  </si>
  <si>
    <t>2024-08-25T20:38:01.959+02:00</t>
  </si>
  <si>
    <t>2024-08-25T20:46:00.539+02:00</t>
  </si>
  <si>
    <t>2024-08-25T21:04:07.281+02:00</t>
  </si>
  <si>
    <t>2024-08-25T20:38:02.954+02:00</t>
  </si>
  <si>
    <t>2024-08-25T20:34:14.365+02:00</t>
  </si>
  <si>
    <t>2024-08-25T20:42:56.764+02:00</t>
  </si>
  <si>
    <t>2024-08-25T20:33:08.900+02:00</t>
  </si>
  <si>
    <t>2024-08-25T20:41:01.932+02:00</t>
  </si>
  <si>
    <t>Rakhmonjon</t>
  </si>
  <si>
    <t>2024-08-25T20:33:02.685+02:00</t>
  </si>
  <si>
    <t>2024-08-25T20:42:11.696+02:00</t>
  </si>
  <si>
    <t>2024-08-25T20:28:01.911+02:00</t>
  </si>
  <si>
    <t>2024-08-25T20:35:00.603+02:00</t>
  </si>
  <si>
    <t>2024-08-25T20:47:39.451+02:00</t>
  </si>
  <si>
    <t>2024-08-25T20:28:02.590+02:00</t>
  </si>
  <si>
    <t>2024-08-25T19:53:20.773+02:00</t>
  </si>
  <si>
    <t>2024-08-25T20:03:58.796+02:00</t>
  </si>
  <si>
    <t>Ladislav</t>
  </si>
  <si>
    <t>2024-08-25T19:51:08.837+02:00</t>
  </si>
  <si>
    <t>2024-08-25T20:03:10.756+02:00</t>
  </si>
  <si>
    <t>2024-08-25T19:39:21.821+02:00</t>
  </si>
  <si>
    <t>2024-08-25T19:50:59.774+02:00</t>
  </si>
  <si>
    <t>2024-08-25T19:37:19.199+02:00</t>
  </si>
  <si>
    <t>2024-08-25T19:48:42.431+02:00</t>
  </si>
  <si>
    <t>2024-08-25T19:32:01.749+02:00</t>
  </si>
  <si>
    <t>2024-08-25T19:40:01.586+02:00</t>
  </si>
  <si>
    <t>2024-08-25T20:00:52.127+02:00</t>
  </si>
  <si>
    <t>2024-08-25T19:32:40.567+02:00</t>
  </si>
  <si>
    <t>2024-08-25T19:27:02.551+02:00</t>
  </si>
  <si>
    <t>2024-08-25T19:33:14.568+02:00</t>
  </si>
  <si>
    <t>2024-08-25T19:46:23.620+02:00</t>
  </si>
  <si>
    <t>2024-08-25T19:27:03.030+02:00</t>
  </si>
  <si>
    <t>2024-08-25T19:18:02.538+02:00</t>
  </si>
  <si>
    <t>2024-08-25T19:34:31.506+02:00</t>
  </si>
  <si>
    <t>2024-08-25T19:54:39.728+02:00</t>
  </si>
  <si>
    <t>2024-08-25T19:18:03.176+02:00</t>
  </si>
  <si>
    <t>2024-08-25T19:16:16.050+02:00</t>
  </si>
  <si>
    <t>2024-08-25T19:28:28.760+02:00</t>
  </si>
  <si>
    <t>2024-08-25T19:13:56.956+02:00</t>
  </si>
  <si>
    <t>2024-08-25T19:26:06.795+02:00</t>
  </si>
  <si>
    <t>2024-08-25T19:06:50.590+02:00</t>
  </si>
  <si>
    <t>2024-08-25T19:24:11.799+02:00</t>
  </si>
  <si>
    <t>2024-08-25T19:02:02.495+02:00</t>
  </si>
  <si>
    <t>2024-08-25T19:20:27.546+02:00</t>
  </si>
  <si>
    <t>2024-08-25T19:32:01.166+02:00</t>
  </si>
  <si>
    <t>2024-08-25T19:02:03.221+02:00</t>
  </si>
  <si>
    <t>2024-08-25T18:58:40.445+02:00</t>
  </si>
  <si>
    <t>2024-08-25T19:17:55.682+02:00</t>
  </si>
  <si>
    <t>2024-08-25T18:50:10.984+02:00</t>
  </si>
  <si>
    <t>2024-08-25T18:58:34.492+02:00</t>
  </si>
  <si>
    <t>2024-08-25T18:46:06.467+02:00</t>
  </si>
  <si>
    <t>2024-08-25T18:54:39.679+02:00</t>
  </si>
  <si>
    <t>2024-08-25T18:45:09.332+02:00</t>
  </si>
  <si>
    <t>2024-08-25T18:55:49.698+02:00</t>
  </si>
  <si>
    <t>Soibjon</t>
  </si>
  <si>
    <t>2024-08-25T18:44:04.113+02:00</t>
  </si>
  <si>
    <t>2024-08-25T18:52:52.567+02:00</t>
  </si>
  <si>
    <t>2024-08-25T18:42:07.472+02:00</t>
  </si>
  <si>
    <t>2024-08-25T18:49:58.687+02:00</t>
  </si>
  <si>
    <t>2024-08-25T18:39:40.394+02:00</t>
  </si>
  <si>
    <t>2024-08-25T18:48:53.687+02:00</t>
  </si>
  <si>
    <t>2024-08-25T18:34:03.091+02:00</t>
  </si>
  <si>
    <t>2024-08-25T18:40:09.535+02:00</t>
  </si>
  <si>
    <t>2024-08-25T18:30:03.843+02:00</t>
  </si>
  <si>
    <t>2024-08-25T18:35:34.986+02:00</t>
  </si>
  <si>
    <t>2024-08-25T18:24:04.493+02:00</t>
  </si>
  <si>
    <t>2024-08-25T18:31:27.678+02:00</t>
  </si>
  <si>
    <t>2024-08-25T18:17:16.125+02:00</t>
  </si>
  <si>
    <t>2024-08-25T18:23:35.524+02:00</t>
  </si>
  <si>
    <t>2024-08-25T18:15:46.564+02:00</t>
  </si>
  <si>
    <t>2024-08-25T18:30:31.823+02:00</t>
  </si>
  <si>
    <t>2024-08-25T17:58:54.541+02:00</t>
  </si>
  <si>
    <t>2024-08-25T18:05:53.639+02:00</t>
  </si>
  <si>
    <t>2024-08-25T17:54:02.163+02:00</t>
  </si>
  <si>
    <t>2024-08-25T18:08:10.502+02:00</t>
  </si>
  <si>
    <t>2024-08-25T18:21:36.049+02:00</t>
  </si>
  <si>
    <t>2024-08-25T17:54:02.885+02:00</t>
  </si>
  <si>
    <t>2024-08-25T17:53:28.342+02:00</t>
  </si>
  <si>
    <t>2024-08-25T17:59:38.725+02:00</t>
  </si>
  <si>
    <t>2024-08-25T17:52:39.158+02:00</t>
  </si>
  <si>
    <t>2024-08-25T18:02:28.921+02:00</t>
  </si>
  <si>
    <t>2024-08-25T17:52:02.534+02:00</t>
  </si>
  <si>
    <t>2024-08-25T18:04:43.475+02:00</t>
  </si>
  <si>
    <t>2024-08-25T17:40:48.071+02:00</t>
  </si>
  <si>
    <t>2024-08-25T17:46:55.738+02:00</t>
  </si>
  <si>
    <t>2024-08-25T17:37:18.470+02:00</t>
  </si>
  <si>
    <t>2024-08-25T17:45:40.846+02:00</t>
  </si>
  <si>
    <t>2024-08-25T17:34:02.465+02:00</t>
  </si>
  <si>
    <t>2024-08-25T17:50:14.529+02:00</t>
  </si>
  <si>
    <t>2024-08-25T18:14:19.633+02:00</t>
  </si>
  <si>
    <t>2024-08-25T17:34:03.080+02:00</t>
  </si>
  <si>
    <t>2024-08-25T17:33:48.706+02:00</t>
  </si>
  <si>
    <t>2024-08-25T17:39:55.641+02:00</t>
  </si>
  <si>
    <t>2024-08-25T17:27:47.993+02:00</t>
  </si>
  <si>
    <t>2024-08-25T17:34:28.652+02:00</t>
  </si>
  <si>
    <t>2024-08-25T17:21:02.831+02:00</t>
  </si>
  <si>
    <t>2024-08-25T17:32:57.526+02:00</t>
  </si>
  <si>
    <t>2024-08-25T17:18:46.187+02:00</t>
  </si>
  <si>
    <t>2024-08-25T17:25:50.764+02:00</t>
  </si>
  <si>
    <t>2024-08-25T17:09:02.290+02:00</t>
  </si>
  <si>
    <t>2024-08-25T17:29:30.529+02:00</t>
  </si>
  <si>
    <t>2024-08-25T17:46:35.316+02:00</t>
  </si>
  <si>
    <t>2024-08-25T17:09:03.127+02:00</t>
  </si>
  <si>
    <t>2024-08-25T17:08:03.671+02:00</t>
  </si>
  <si>
    <t>2024-08-25T17:13:45.539+02:00</t>
  </si>
  <si>
    <t>2024-08-25T17:20:15.739+02:00</t>
  </si>
  <si>
    <t>2024-08-25T17:08:04.179+02:00</t>
  </si>
  <si>
    <t>2024-08-25T16:51:47.057+02:00</t>
  </si>
  <si>
    <t>2024-08-25T16:59:58.160+02:00</t>
  </si>
  <si>
    <t>2024-08-25T16:30:02.598+02:00</t>
  </si>
  <si>
    <t>2024-08-25T16:30:09.564+02:00</t>
  </si>
  <si>
    <t>2024-08-25T16:22:36.688+02:00</t>
  </si>
  <si>
    <t>2024-08-25T16:35:58.849+02:00</t>
  </si>
  <si>
    <t>2024-08-25T16:16:51.574+02:00</t>
  </si>
  <si>
    <t>2024-08-25T16:24:34.718+02:00</t>
  </si>
  <si>
    <t>2024-08-25T16:13:52.058+02:00</t>
  </si>
  <si>
    <t>2024-08-25T16:22:35.230+02:00</t>
  </si>
  <si>
    <t>2024-08-25T15:59:02.027+02:00</t>
  </si>
  <si>
    <t>2024-08-25T16:14:44.471+02:00</t>
  </si>
  <si>
    <t>2024-08-25T15:18:03.885+02:00</t>
  </si>
  <si>
    <t>2024-08-25T15:27:04.973+02:00</t>
  </si>
  <si>
    <t>2024-08-25T15:15:02.325+02:00</t>
  </si>
  <si>
    <t>2024-08-25T15:29:39.510+02:00</t>
  </si>
  <si>
    <t>2024-08-25T16:21:11.488+02:00</t>
  </si>
  <si>
    <t>2024-08-25T15:30:48.677+02:00</t>
  </si>
  <si>
    <t>2024-08-25T15:11:03.020+02:00</t>
  </si>
  <si>
    <t>2024-08-25T15:36:51.631+02:00</t>
  </si>
  <si>
    <t>2024-08-25T15:49:05.722+02:00</t>
  </si>
  <si>
    <t>2024-08-25T15:11:03.708+02:00</t>
  </si>
  <si>
    <t>2024-08-25T14:54:07.908+02:00</t>
  </si>
  <si>
    <t>2024-08-25T15:05:55.783+02:00</t>
  </si>
  <si>
    <t>2024-08-25T14:40:50.116+02:00</t>
  </si>
  <si>
    <t>2024-08-25T14:52:57.660+02:00</t>
  </si>
  <si>
    <t>2024-08-25T14:26:54.930+02:00</t>
  </si>
  <si>
    <t>2024-08-25T14:29:52.823+02:00</t>
  </si>
  <si>
    <t>Rahmatulla</t>
  </si>
  <si>
    <t>2024-08-25T14:19:02.911+02:00</t>
  </si>
  <si>
    <t>2024-08-25T14:25:34.661+02:00</t>
  </si>
  <si>
    <t>Sajjan</t>
  </si>
  <si>
    <t>2024-08-25T14:12:50.511+02:00</t>
  </si>
  <si>
    <t>2024-08-25T14:23:58.578+02:00</t>
  </si>
  <si>
    <t>2024-08-25T14:01:46.040+02:00</t>
  </si>
  <si>
    <t>2024-08-25T14:13:26.457+02:00</t>
  </si>
  <si>
    <t>2024-08-25T13:55:02.207+02:00</t>
  </si>
  <si>
    <t>2024-08-25T14:15:42.518+02:00</t>
  </si>
  <si>
    <t>2024-08-25T14:30:40.191+02:00</t>
  </si>
  <si>
    <t>2024-08-25T13:55:02.819+02:00</t>
  </si>
  <si>
    <t>2024-08-25T13:40:29.375+02:00</t>
  </si>
  <si>
    <t>2024-08-25T13:57:52.611+02:00</t>
  </si>
  <si>
    <t>2024-08-25T13:33:02.230+02:00</t>
  </si>
  <si>
    <t>2024-08-25T13:54:10.525+02:00</t>
  </si>
  <si>
    <t>2024-08-25T14:06:47.043+02:00</t>
  </si>
  <si>
    <t>2024-08-25T13:33:02.903+02:00</t>
  </si>
  <si>
    <t>2024-08-25T13:21:26.789+02:00</t>
  </si>
  <si>
    <t>2024-08-25T13:32:37.667+02:00</t>
  </si>
  <si>
    <t>2024-08-25T13:21:01.414+02:00</t>
  </si>
  <si>
    <t>2024-08-25T13:34:21.694+02:00</t>
  </si>
  <si>
    <t>2024-08-25T13:17:02.298+02:00</t>
  </si>
  <si>
    <t>2024-08-25T13:35:27.483+02:00</t>
  </si>
  <si>
    <t>2024-08-25T13:42:22.395+02:00</t>
  </si>
  <si>
    <t>2024-08-25T13:17:02.884+02:00</t>
  </si>
  <si>
    <t>2024-08-25T13:03:46.664+02:00</t>
  </si>
  <si>
    <t>2024-08-25T13:22:28.636+02:00</t>
  </si>
  <si>
    <t>2024-08-25T13:00:46.503+02:00</t>
  </si>
  <si>
    <t>2024-08-25T13:14:55.704+02:00</t>
  </si>
  <si>
    <t>2024-08-25T12:58:48.163+02:00</t>
  </si>
  <si>
    <t>2024-08-25T13:12:14.998+02:00</t>
  </si>
  <si>
    <t>2024-08-25T12:58:00.979+02:00</t>
  </si>
  <si>
    <t>2024-08-25T13:09:35.632+02:00</t>
  </si>
  <si>
    <t>2024-08-25T12:54:48.763+02:00</t>
  </si>
  <si>
    <t>2024-08-25T13:02:17.507+02:00</t>
  </si>
  <si>
    <t>2024-08-25T12:45:02.051+02:00</t>
  </si>
  <si>
    <t>2024-08-25T12:58:44.450+02:00</t>
  </si>
  <si>
    <t>2024-08-25T13:22:07.826+02:00</t>
  </si>
  <si>
    <t>2024-08-25T12:45:02.956+02:00</t>
  </si>
  <si>
    <t>2024-08-25T12:44:33.556+02:00</t>
  </si>
  <si>
    <t>2024-08-25T12:54:15.483+02:00</t>
  </si>
  <si>
    <t>2024-08-25T12:35:03.319+02:00</t>
  </si>
  <si>
    <t>2024-08-25T12:51:36.500+02:00</t>
  </si>
  <si>
    <t>2024-08-25T13:10:52.347+02:00</t>
  </si>
  <si>
    <t>2024-08-25T12:35:03.913+02:00</t>
  </si>
  <si>
    <t>2024-08-25T12:25:42.327+02:00</t>
  </si>
  <si>
    <t>2024-08-25T12:38:49.782+02:00</t>
  </si>
  <si>
    <t>Kakhramon</t>
  </si>
  <si>
    <t>2024-08-25T12:23:04.508+02:00</t>
  </si>
  <si>
    <t>2024-08-25T12:35:01.691+02:00</t>
  </si>
  <si>
    <t>2024-08-25T12:05:02.585+02:00</t>
  </si>
  <si>
    <t>2024-08-25T12:34:08.525+02:00</t>
  </si>
  <si>
    <t>2024-08-25T12:59:23.198+02:00</t>
  </si>
  <si>
    <t>2024-08-25T12:37:48.129+02:00</t>
  </si>
  <si>
    <t>2024-08-25T12:01:04.580+02:00</t>
  </si>
  <si>
    <t>2024-08-25T12:20:38.582+02:00</t>
  </si>
  <si>
    <t>Mukhammadyusuf</t>
  </si>
  <si>
    <t>2024-08-25T11:59:26.404+02:00</t>
  </si>
  <si>
    <t>2024-08-25T12:26:37.651+02:00</t>
  </si>
  <si>
    <t>2024-08-25T11:57:02.987+02:00</t>
  </si>
  <si>
    <t>2024-08-25T12:12:50.430+02:00</t>
  </si>
  <si>
    <t>2024-08-25T12:40:32.119+02:00</t>
  </si>
  <si>
    <t>2024-08-25T11:57:03.799+02:00</t>
  </si>
  <si>
    <t>2024-08-25T11:57:02.473+02:00</t>
  </si>
  <si>
    <t>2024-08-25T12:17:08.911+02:00</t>
  </si>
  <si>
    <t>Sagar</t>
  </si>
  <si>
    <t>2024-08-25T11:55:56.255+02:00</t>
  </si>
  <si>
    <t>2024-08-25T12:22:59.641+02:00</t>
  </si>
  <si>
    <t>2024-08-25T11:54:02.233+02:00</t>
  </si>
  <si>
    <t>2024-08-25T12:06:43.538+02:00</t>
  </si>
  <si>
    <t>2024-08-25T12:17:38.560+02:00</t>
  </si>
  <si>
    <t>2024-08-25T11:58:26.179+02:00</t>
  </si>
  <si>
    <t>2024-08-25T11:51:02.811+02:00</t>
  </si>
  <si>
    <t>2024-08-25T12:00:21.412+02:00</t>
  </si>
  <si>
    <t>Rumyana</t>
  </si>
  <si>
    <t>2024-08-25T11:39:07.255+02:00</t>
  </si>
  <si>
    <t>2024-08-25T11:49:20.551+02:00</t>
  </si>
  <si>
    <t>2024-08-25T11:33:03.835+02:00</t>
  </si>
  <si>
    <t>2024-08-25T11:32:36.841+02:00</t>
  </si>
  <si>
    <t>2024-08-25T11:34:02.399+02:00</t>
  </si>
  <si>
    <t>2024-08-25T11:31:02.472+02:00</t>
  </si>
  <si>
    <t>2024-08-25T12:11:25.482+02:00</t>
  </si>
  <si>
    <t>2024-08-25T12:27:19.021+02:00</t>
  </si>
  <si>
    <t>2024-08-25T11:31:03.101+02:00</t>
  </si>
  <si>
    <t>Adriana</t>
  </si>
  <si>
    <t>2024-08-25T11:24:47.452+02:00</t>
  </si>
  <si>
    <t>2024-08-25T11:35:34.556+02:00</t>
  </si>
  <si>
    <t>2024-08-25T11:03:02.185+02:00</t>
  </si>
  <si>
    <t>2024-08-25T11:15:09.687+02:00</t>
  </si>
  <si>
    <t>2024-08-25T11:33:33.634+02:00</t>
  </si>
  <si>
    <t>2024-08-25T11:03:02.862+02:00</t>
  </si>
  <si>
    <t>2024-08-25T05:08:02.765+02:00</t>
  </si>
  <si>
    <t>2024-08-25T05:08:03.687+02:00</t>
  </si>
  <si>
    <t>2024-08-28T00:24:42.168+02:00</t>
  </si>
  <si>
    <t>2024-08-28T00:30:49.889+02:00</t>
  </si>
  <si>
    <t>2024-08-28T00:19:42.550+02:00</t>
  </si>
  <si>
    <t>2024-08-28T00:26:19.903+02:00</t>
  </si>
  <si>
    <t>Sheikh Nazmul</t>
  </si>
  <si>
    <t>2024-08-28T00:15:32.405+02:00</t>
  </si>
  <si>
    <t>2024-08-28T00:23:39.056+02:00</t>
  </si>
  <si>
    <t>2024-08-28T00:13:53.004+02:00</t>
  </si>
  <si>
    <t>2024-08-28T00:21:53.796+02:00</t>
  </si>
  <si>
    <t>2024-08-28T00:02:18.846+02:00</t>
  </si>
  <si>
    <t>2024-08-28T00:13:05.864+02:00</t>
  </si>
  <si>
    <t>2024-08-27T23:52:16.562+02:00</t>
  </si>
  <si>
    <t>2024-08-27T23:56:17.846+02:00</t>
  </si>
  <si>
    <t>2024-08-27T23:48:13.728+02:00</t>
  </si>
  <si>
    <t>2024-08-27T23:54:48.852+02:00</t>
  </si>
  <si>
    <t>Pešta Milan</t>
  </si>
  <si>
    <t>2024-08-27T23:43:02.522+02:00</t>
  </si>
  <si>
    <t>2024-08-27T23:50:50.651+02:00</t>
  </si>
  <si>
    <t>2024-08-28T00:01:50.508+02:00</t>
  </si>
  <si>
    <t>2024-08-27T23:43:03.203+02:00</t>
  </si>
  <si>
    <t>2024-08-27T23:41:39.906+02:00</t>
  </si>
  <si>
    <t>2024-08-27T23:52:05.907+02:00</t>
  </si>
  <si>
    <t>2024-08-27T23:33:02.494+02:00</t>
  </si>
  <si>
    <t>2024-08-27T23:38:03.638+02:00</t>
  </si>
  <si>
    <t>2024-08-27T23:45:57.914+02:00</t>
  </si>
  <si>
    <t>2024-08-27T23:33:03.062+02:00</t>
  </si>
  <si>
    <t>Azamjon</t>
  </si>
  <si>
    <t>2024-08-27T23:24:55.119+02:00</t>
  </si>
  <si>
    <t>2024-08-27T23:32:15.719+02:00</t>
  </si>
  <si>
    <t>2024-08-27T23:23:41.608+02:00</t>
  </si>
  <si>
    <t>2024-08-27T23:28:38.172+02:00</t>
  </si>
  <si>
    <t>2024-08-27T23:16:26.360+02:00</t>
  </si>
  <si>
    <t>2024-08-27T23:23:12.128+02:00</t>
  </si>
  <si>
    <t>2024-08-27T23:07:50.853+02:00</t>
  </si>
  <si>
    <t>2024-08-27T23:12:22.803+02:00</t>
  </si>
  <si>
    <t>2024-08-27T22:48:43.506+02:00</t>
  </si>
  <si>
    <t>2024-08-27T23:01:26.831+02:00</t>
  </si>
  <si>
    <t>2024-08-27T22:39:02.713+02:00</t>
  </si>
  <si>
    <t>2024-08-27T22:49:39.591+02:00</t>
  </si>
  <si>
    <t>2024-08-27T22:38:44.328+02:00</t>
  </si>
  <si>
    <t>2024-08-27T22:45:59.788+02:00</t>
  </si>
  <si>
    <t>2024-08-27T22:03:41.977+02:00</t>
  </si>
  <si>
    <t>2024-08-27T22:20:20.171+02:00</t>
  </si>
  <si>
    <t>2024-08-27T21:57:47.221+02:00</t>
  </si>
  <si>
    <t>2024-08-27T22:05:38.549+02:00</t>
  </si>
  <si>
    <t>2024-08-27T21:56:37.225+02:00</t>
  </si>
  <si>
    <t>2024-08-27T22:05:51.721+02:00</t>
  </si>
  <si>
    <t>2024-08-27T21:50:00.651+02:00</t>
  </si>
  <si>
    <t>2024-08-27T22:00:42.728+02:00</t>
  </si>
  <si>
    <t>Kismat</t>
  </si>
  <si>
    <t>2024-08-27T21:42:44.713+02:00</t>
  </si>
  <si>
    <t>2024-08-27T21:58:52.647+02:00</t>
  </si>
  <si>
    <t>Petro</t>
  </si>
  <si>
    <t>2024-08-27T21:39:07.764+02:00</t>
  </si>
  <si>
    <t>2024-08-27T22:00:41.717+02:00</t>
  </si>
  <si>
    <t>2024-08-27T21:37:17.798+02:00</t>
  </si>
  <si>
    <t>2024-08-27T21:49:30.730+02:00</t>
  </si>
  <si>
    <t>2024-08-27T21:34:57.412+02:00</t>
  </si>
  <si>
    <t>2024-08-27T21:47:13.643+02:00</t>
  </si>
  <si>
    <t>2024-08-27T21:15:41.383+02:00</t>
  </si>
  <si>
    <t>2024-08-27T21:26:34.798+02:00</t>
  </si>
  <si>
    <t>2024-08-27T21:13:02.824+02:00</t>
  </si>
  <si>
    <t>2024-08-27T21:22:25.523+02:00</t>
  </si>
  <si>
    <t>2024-08-27T21:37:18.544+02:00</t>
  </si>
  <si>
    <t>2024-08-27T21:13:03.443+02:00</t>
  </si>
  <si>
    <t>2024-08-27T21:06:03.940+02:00</t>
  </si>
  <si>
    <t>2024-08-27T21:15:35.530+02:00</t>
  </si>
  <si>
    <t>2024-08-27T21:02:43.243+02:00</t>
  </si>
  <si>
    <t>2024-08-27T21:13:34.742+02:00</t>
  </si>
  <si>
    <t>2024-08-27T21:01:41.714+02:00</t>
  </si>
  <si>
    <t>2024-08-27T21:11:46.950+02:00</t>
  </si>
  <si>
    <t>2024-08-27T21:01:40.497+02:00</t>
  </si>
  <si>
    <t>2024-08-27T21:09:59.032+02:00</t>
  </si>
  <si>
    <t>2024-08-27T20:29:02.390+02:00</t>
  </si>
  <si>
    <t>2024-08-27T20:35:55.546+02:00</t>
  </si>
  <si>
    <t>2024-08-27T20:56:01.493+02:00</t>
  </si>
  <si>
    <t>2024-08-27T20:29:02.937+02:00</t>
  </si>
  <si>
    <t>Azizbek</t>
  </si>
  <si>
    <t>2024-08-27T20:22:17.266+02:00</t>
  </si>
  <si>
    <t>2024-08-27T20:32:56.657+02:00</t>
  </si>
  <si>
    <t>2024-08-27T20:11:41.750+02:00</t>
  </si>
  <si>
    <t>2024-08-27T20:19:05.784+02:00</t>
  </si>
  <si>
    <t>2024-08-27T20:08:40.760+02:00</t>
  </si>
  <si>
    <t>2024-08-27T20:16:22.708+02:00</t>
  </si>
  <si>
    <t>2024-08-27T20:07:43.318+02:00</t>
  </si>
  <si>
    <t>2024-08-27T20:15:08.923+02:00</t>
  </si>
  <si>
    <t>2024-08-27T20:03:02.258+02:00</t>
  </si>
  <si>
    <t>2024-08-27T20:11:26.520+02:00</t>
  </si>
  <si>
    <t>2024-08-27T20:27:28.552+02:00</t>
  </si>
  <si>
    <t>2024-08-27T20:03:02.882+02:00</t>
  </si>
  <si>
    <t>2024-08-27T19:56:02.021+02:00</t>
  </si>
  <si>
    <t>2024-08-27T20:08:43.569+02:00</t>
  </si>
  <si>
    <t>2024-08-27T20:22:01.680+02:00</t>
  </si>
  <si>
    <t>2024-08-27T19:56:02.628+02:00</t>
  </si>
  <si>
    <t>2024-08-27T19:55:12.722+02:00</t>
  </si>
  <si>
    <t>2024-08-27T20:02:58.463+02:00</t>
  </si>
  <si>
    <t>2024-08-27T19:54:06.560+02:00</t>
  </si>
  <si>
    <t>2024-08-27T20:06:41.524+02:00</t>
  </si>
  <si>
    <t>2024-08-27T19:53:13.197+02:00</t>
  </si>
  <si>
    <t>2024-08-27T20:02:54.525+02:00</t>
  </si>
  <si>
    <t>2024-08-27T19:52:41.262+02:00</t>
  </si>
  <si>
    <t>2024-08-27T20:04:13.738+02:00</t>
  </si>
  <si>
    <t>2024-08-27T19:49:04.071+02:00</t>
  </si>
  <si>
    <t>2024-08-27T19:54:10.513+02:00</t>
  </si>
  <si>
    <t>2024-08-27T19:48:45.481+02:00</t>
  </si>
  <si>
    <t>2024-08-27T19:57:51.486+02:00</t>
  </si>
  <si>
    <t>2024-08-27T19:48:00.564+02:00</t>
  </si>
  <si>
    <t>2024-08-27T19:56:00.782+02:00</t>
  </si>
  <si>
    <t>2024-08-27T19:43:50.902+02:00</t>
  </si>
  <si>
    <t>2024-08-27T19:52:27.715+02:00</t>
  </si>
  <si>
    <t>2024-08-27T19:42:42.210+02:00</t>
  </si>
  <si>
    <t>2024-08-27T19:52:58.706+02:00</t>
  </si>
  <si>
    <t>2024-08-27T19:33:52.458+02:00</t>
  </si>
  <si>
    <t>2024-08-27T19:47:10.658+02:00</t>
  </si>
  <si>
    <t>2024-08-27T19:33:02.352+02:00</t>
  </si>
  <si>
    <t>2024-08-27T19:45:17.502+02:00</t>
  </si>
  <si>
    <t>2024-08-27T19:24:55.299+02:00</t>
  </si>
  <si>
    <t>2024-08-27T19:34:05.443+02:00</t>
  </si>
  <si>
    <t>2024-08-27T19:20:02.697+02:00</t>
  </si>
  <si>
    <t>2024-08-27T19:28:32.458+02:00</t>
  </si>
  <si>
    <t>2024-08-27T19:14:02.740+02:00</t>
  </si>
  <si>
    <t>2024-08-27T19:27:17.474+02:00</t>
  </si>
  <si>
    <t>2024-08-27T19:43:58.945+02:00</t>
  </si>
  <si>
    <t>2024-08-27T19:14:03.355+02:00</t>
  </si>
  <si>
    <t>2024-08-27T19:10:05.571+02:00</t>
  </si>
  <si>
    <t>2024-08-27T19:15:39.617+02:00</t>
  </si>
  <si>
    <t>2024-08-27T19:04:24.167+02:00</t>
  </si>
  <si>
    <t>2024-08-27T19:13:34.432+02:00</t>
  </si>
  <si>
    <t>Fakhriddin</t>
  </si>
  <si>
    <t>2024-08-27T19:02:03.606+02:00</t>
  </si>
  <si>
    <t>2024-08-27T19:15:32.660+02:00</t>
  </si>
  <si>
    <t>2024-08-27T18:59:02.855+02:00</t>
  </si>
  <si>
    <t>2024-08-27T19:11:17.471+02:00</t>
  </si>
  <si>
    <t>2024-08-27T19:18:41.631+02:00</t>
  </si>
  <si>
    <t>2024-08-27T18:59:03.446+02:00</t>
  </si>
  <si>
    <t>2024-08-27T18:58:29.926+02:00</t>
  </si>
  <si>
    <t>2024-08-27T19:05:16.582+02:00</t>
  </si>
  <si>
    <t>2024-08-27T18:44:02.516+02:00</t>
  </si>
  <si>
    <t>2024-08-27T18:53:33.699+02:00</t>
  </si>
  <si>
    <t>2024-08-27T18:08:50.316+02:00</t>
  </si>
  <si>
    <t>2024-08-27T18:17:26.389+02:00</t>
  </si>
  <si>
    <t>2024-08-27T18:00:36.611+02:00</t>
  </si>
  <si>
    <t>2024-08-27T18:16:01.671+02:00</t>
  </si>
  <si>
    <t>2024-08-27T17:57:01.943+02:00</t>
  </si>
  <si>
    <t>2024-08-27T18:05:42.367+02:00</t>
  </si>
  <si>
    <t>Furkatjon</t>
  </si>
  <si>
    <t>2024-08-27T17:47:24.520+02:00</t>
  </si>
  <si>
    <t>2024-08-27T17:53:13.496+02:00</t>
  </si>
  <si>
    <t>2024-08-27T17:44:36.377+02:00</t>
  </si>
  <si>
    <t>2024-08-27T17:51:09.592+02:00</t>
  </si>
  <si>
    <t>2024-08-27T17:40:02.500+02:00</t>
  </si>
  <si>
    <t>2024-08-27T17:49:46.387+02:00</t>
  </si>
  <si>
    <t>2024-08-27T17:30:34.573+02:00</t>
  </si>
  <si>
    <t>2024-08-27T17:43:28.432+02:00</t>
  </si>
  <si>
    <t>2024-08-27T17:21:02.775+02:00</t>
  </si>
  <si>
    <t>2024-08-27T17:27:02.344+02:00</t>
  </si>
  <si>
    <t>2024-08-27T17:05:51.800+02:00</t>
  </si>
  <si>
    <t>2024-08-27T17:12:48.619+02:00</t>
  </si>
  <si>
    <t>2024-08-27T16:21:39.287+02:00</t>
  </si>
  <si>
    <t>2024-08-27T16:28:01.850+02:00</t>
  </si>
  <si>
    <t>2024-08-27T15:48:03.277+02:00</t>
  </si>
  <si>
    <t>2024-08-27T15:54:00.407+02:00</t>
  </si>
  <si>
    <t>2024-08-27T16:08:39.748+02:00</t>
  </si>
  <si>
    <t>2024-08-27T15:48:03.828+02:00</t>
  </si>
  <si>
    <t>2024-08-27T15:36:32.638+02:00</t>
  </si>
  <si>
    <t>2024-08-27T15:47:29.436+02:00</t>
  </si>
  <si>
    <t>2024-08-27T14:47:39.324+02:00</t>
  </si>
  <si>
    <t>2024-08-27T14:54:08.765+02:00</t>
  </si>
  <si>
    <t>2024-08-27T14:34:37.303+02:00</t>
  </si>
  <si>
    <t>2024-08-27T14:41:45.549+02:00</t>
  </si>
  <si>
    <t>Roman</t>
  </si>
  <si>
    <t>2024-08-27T14:31:48.928+02:00</t>
  </si>
  <si>
    <t>2024-08-27T14:39:42.445+02:00</t>
  </si>
  <si>
    <t>2024-08-27T14:13:31.708+02:00</t>
  </si>
  <si>
    <t>2024-08-27T14:28:34.519+02:00</t>
  </si>
  <si>
    <t>2024-08-27T14:13:02.993+02:00</t>
  </si>
  <si>
    <t>2024-08-27T14:25:13.282+02:00</t>
  </si>
  <si>
    <t>2024-08-27T14:00:26.597+02:00</t>
  </si>
  <si>
    <t>2024-08-27T14:11:18.515+02:00</t>
  </si>
  <si>
    <t>2024-08-27T13:52:03.040+02:00</t>
  </si>
  <si>
    <t>2024-08-27T13:59:53.252+02:00</t>
  </si>
  <si>
    <t>2024-08-27T13:47:52.938+02:00</t>
  </si>
  <si>
    <t>2024-08-27T13:53:20.277+02:00</t>
  </si>
  <si>
    <t>Hosen</t>
  </si>
  <si>
    <t>2024-08-27T13:42:28.102+02:00</t>
  </si>
  <si>
    <t>2024-08-27T13:55:58.440+02:00</t>
  </si>
  <si>
    <t>2024-08-27T13:40:31.640+02:00</t>
  </si>
  <si>
    <t>2024-08-27T13:50:37.533+02:00</t>
  </si>
  <si>
    <t>2024-08-27T13:38:30.425+02:00</t>
  </si>
  <si>
    <t>2024-08-27T13:46:25.943+02:00</t>
  </si>
  <si>
    <t>2024-08-27T12:51:02.320+02:00</t>
  </si>
  <si>
    <t>2024-08-27T13:03:56.306+02:00</t>
  </si>
  <si>
    <t>2024-08-27T13:19:09.535+02:00</t>
  </si>
  <si>
    <t>2024-08-27T13:01:13.559+02:00</t>
  </si>
  <si>
    <t>2024-08-27T12:28:02.037+02:00</t>
  </si>
  <si>
    <t>2024-08-27T12:35:23.258+02:00</t>
  </si>
  <si>
    <t>2024-08-27T12:13:02.401+02:00</t>
  </si>
  <si>
    <t>2024-08-27T12:25:03.356+02:00</t>
  </si>
  <si>
    <t>2024-08-27T12:39:16.925+02:00</t>
  </si>
  <si>
    <t>2024-08-27T12:20:16.546+02:00</t>
  </si>
  <si>
    <t>2024-08-27T12:10:02.648+02:00</t>
  </si>
  <si>
    <t>2024-08-27T12:21:07.248+02:00</t>
  </si>
  <si>
    <t>2024-08-27T12:08:03.114+02:00</t>
  </si>
  <si>
    <t>2024-08-27T12:16:36.278+02:00</t>
  </si>
  <si>
    <t>2024-08-27T12:34:55.858+02:00</t>
  </si>
  <si>
    <t>2024-08-27T12:17:53.854+02:00</t>
  </si>
  <si>
    <t>2024-08-27T12:04:32.294+02:00</t>
  </si>
  <si>
    <t>2024-08-27T12:12:29.750+02:00</t>
  </si>
  <si>
    <t>2024-08-27T11:51:02.934+02:00</t>
  </si>
  <si>
    <t>2024-08-27T12:04:35.238+02:00</t>
  </si>
  <si>
    <t>2024-08-27T11:49:33.246+02:00</t>
  </si>
  <si>
    <t>2024-08-27T11:58:39.608+02:00</t>
  </si>
  <si>
    <t>2024-08-27T11:25:02.136+02:00</t>
  </si>
  <si>
    <t>2024-08-27T11:41:22.200+02:00</t>
  </si>
  <si>
    <t>2024-08-27T11:18:05.635+02:00</t>
  </si>
  <si>
    <t>2024-08-27T11:37:30.273+02:00</t>
  </si>
  <si>
    <t>2024-08-27T11:50:09.582+02:00</t>
  </si>
  <si>
    <t>2024-08-27T11:18:06.238+02:00</t>
  </si>
  <si>
    <t>2024-08-27T11:16:37.137+02:00</t>
  </si>
  <si>
    <t>2024-08-27T11:34:15.477+02:00</t>
  </si>
  <si>
    <t>2024-08-27T11:15:34.663+02:00</t>
  </si>
  <si>
    <t>2024-08-27T11:28:29.506+02:00</t>
  </si>
  <si>
    <t>2024-08-27T11:15:10.767+02:00</t>
  </si>
  <si>
    <t>2024-08-27T11:23:34.250+02:00</t>
  </si>
  <si>
    <t>2024-08-27T11:10:02.758+02:00</t>
  </si>
  <si>
    <t>2024-08-27T11:37:38.248+02:00</t>
  </si>
  <si>
    <t>2024-08-27T11:58:19.704+02:00</t>
  </si>
  <si>
    <t>2024-08-27T11:10:03.861+02:00</t>
  </si>
  <si>
    <t>2024-08-29T00:35:23.373+02:00</t>
  </si>
  <si>
    <t>2024-08-29T00:36:44.081+02:00</t>
  </si>
  <si>
    <t>2024-08-29T00:24:02.772+02:00</t>
  </si>
  <si>
    <t>2024-08-29T00:32:04.484+02:00</t>
  </si>
  <si>
    <t>2024-08-29T00:18:03.583+02:00</t>
  </si>
  <si>
    <t>2024-08-29T00:25:39.934+02:00</t>
  </si>
  <si>
    <t>2024-08-29T00:51:34.435+02:00</t>
  </si>
  <si>
    <t>2024-08-29T00:19:20.843+02:00</t>
  </si>
  <si>
    <t>2024-08-29T00:16:03.076+02:00</t>
  </si>
  <si>
    <t>2024-08-29T00:23:37.036+02:00</t>
  </si>
  <si>
    <t>2024-08-29T00:14:46.179+02:00</t>
  </si>
  <si>
    <t>2024-08-29T00:27:16.024+02:00</t>
  </si>
  <si>
    <t>2024-08-29T00:00:51.872+02:00</t>
  </si>
  <si>
    <t>2024-08-29T00:08:23.141+02:00</t>
  </si>
  <si>
    <t>2024-08-28T23:32:51.541+02:00</t>
  </si>
  <si>
    <t>2024-08-28T23:41:50.302+02:00</t>
  </si>
  <si>
    <t>2024-08-28T23:31:02.812+02:00</t>
  </si>
  <si>
    <t>2024-08-28T23:38:05.348+02:00</t>
  </si>
  <si>
    <t>2024-08-28T23:24:47.045+02:00</t>
  </si>
  <si>
    <t>2024-08-28T23:32:31.264+02:00</t>
  </si>
  <si>
    <t>2024-08-28T23:24:02.698+02:00</t>
  </si>
  <si>
    <t>2024-08-28T23:30:06.398+02:00</t>
  </si>
  <si>
    <t>Petr</t>
  </si>
  <si>
    <t>2024-08-28T23:18:44.520+02:00</t>
  </si>
  <si>
    <t>2024-08-28T23:28:58.157+02:00</t>
  </si>
  <si>
    <t>2024-08-28T23:18:05.843+02:00</t>
  </si>
  <si>
    <t>2024-08-28T23:26:28.577+02:00</t>
  </si>
  <si>
    <t>2024-08-28T23:10:10.203+02:00</t>
  </si>
  <si>
    <t>2024-08-28T23:19:08.338+02:00</t>
  </si>
  <si>
    <t>2024-08-28T23:07:27.008+02:00</t>
  </si>
  <si>
    <t>2024-08-28T23:12:55.014+02:00</t>
  </si>
  <si>
    <t>2024-08-28T23:07:08.655+02:00</t>
  </si>
  <si>
    <t>2024-08-28T23:16:24.350+02:00</t>
  </si>
  <si>
    <t>2024-08-28T23:07:02.719+02:00</t>
  </si>
  <si>
    <t>2024-08-28T23:15:11.114+02:00</t>
  </si>
  <si>
    <t>Mohit</t>
  </si>
  <si>
    <t>2024-08-28T22:58:10.824+02:00</t>
  </si>
  <si>
    <t>2024-08-28T23:03:18.452+02:00</t>
  </si>
  <si>
    <t>2024-08-28T22:49:41.425+02:00</t>
  </si>
  <si>
    <t>2024-08-28T22:54:15.958+02:00</t>
  </si>
  <si>
    <t>2024-08-28T22:19:48.693+02:00</t>
  </si>
  <si>
    <t>2024-08-28T22:33:57.787+02:00</t>
  </si>
  <si>
    <t>2024-08-28T22:16:18.486+02:00</t>
  </si>
  <si>
    <t>2024-08-28T22:33:55.392+02:00</t>
  </si>
  <si>
    <t>2024-08-28T22:16:01.673+02:00</t>
  </si>
  <si>
    <t>2024-08-28T22:28:09.619+02:00</t>
  </si>
  <si>
    <t>2024-08-28T22:14:01.990+02:00</t>
  </si>
  <si>
    <t>2024-08-28T22:30:42.562+02:00</t>
  </si>
  <si>
    <t>2024-08-28T22:10:45.755+02:00</t>
  </si>
  <si>
    <t>2024-08-28T22:21:18.496+02:00</t>
  </si>
  <si>
    <t>2024-08-28T22:04:48.835+02:00</t>
  </si>
  <si>
    <t>2024-08-28T22:08:27.326+02:00</t>
  </si>
  <si>
    <t>2024-08-28T21:58:02.717+02:00</t>
  </si>
  <si>
    <t>2024-08-28T22:14:41.497+02:00</t>
  </si>
  <si>
    <t>2024-08-28T21:58:00.616+02:00</t>
  </si>
  <si>
    <t>2024-08-28T22:07:02.570+02:00</t>
  </si>
  <si>
    <t>2024-08-28T21:58:00.526+02:00</t>
  </si>
  <si>
    <t>2024-08-28T22:08:04.454+02:00</t>
  </si>
  <si>
    <t>2024-08-28T21:52:03.112+02:00</t>
  </si>
  <si>
    <t>2024-08-28T21:58:57.641+02:00</t>
  </si>
  <si>
    <t>2024-08-28T22:21:54.162+02:00</t>
  </si>
  <si>
    <t>2024-08-28T21:52:03.765+02:00</t>
  </si>
  <si>
    <t>Emmanuel</t>
  </si>
  <si>
    <t>2024-08-28T21:50:28.833+02:00</t>
  </si>
  <si>
    <t>2024-08-28T22:00:30.501+02:00</t>
  </si>
  <si>
    <t>2024-08-28T21:48:01.828+02:00</t>
  </si>
  <si>
    <t>2024-08-28T21:56:08.319+02:00</t>
  </si>
  <si>
    <t>2024-08-28T22:12:53.337+02:00</t>
  </si>
  <si>
    <t>2024-08-28T21:48:02.465+02:00</t>
  </si>
  <si>
    <t>2024-08-28T21:22:02.063+02:00</t>
  </si>
  <si>
    <t>2024-08-28T21:30:27.341+02:00</t>
  </si>
  <si>
    <t>2024-08-28T21:37:14.061+02:00</t>
  </si>
  <si>
    <t>2024-08-28T21:22:02.702+02:00</t>
  </si>
  <si>
    <t>2024-08-28T20:50:03.819+02:00</t>
  </si>
  <si>
    <t>2024-08-28T20:56:19.626+02:00</t>
  </si>
  <si>
    <t>2024-08-28T20:39:45.380+02:00</t>
  </si>
  <si>
    <t>2024-08-28T20:50:45.444+02:00</t>
  </si>
  <si>
    <t>2024-08-28T20:39:45.037+02:00</t>
  </si>
  <si>
    <t>2024-08-28T20:48:24.299+02:00</t>
  </si>
  <si>
    <t>2024-08-28T20:28:10.872+02:00</t>
  </si>
  <si>
    <t>2024-08-28T20:35:53.312+02:00</t>
  </si>
  <si>
    <t>2024-08-28T20:25:43.725+02:00</t>
  </si>
  <si>
    <t>2024-08-28T20:32:53.318+02:00</t>
  </si>
  <si>
    <t>2024-08-28T20:19:40.707+02:00</t>
  </si>
  <si>
    <t>2024-08-28T20:26:17.441+02:00</t>
  </si>
  <si>
    <t>2024-08-28T20:04:37.956+02:00</t>
  </si>
  <si>
    <t>2024-08-28T20:11:54.325+02:00</t>
  </si>
  <si>
    <t>2024-08-28T19:58:06.654+02:00</t>
  </si>
  <si>
    <t>2024-08-28T20:06:52.312+02:00</t>
  </si>
  <si>
    <t>2024-08-28T19:58:03.139+02:00</t>
  </si>
  <si>
    <t>2024-08-28T20:05:54.425+02:00</t>
  </si>
  <si>
    <t>2024-08-28T19:53:02.612+02:00</t>
  </si>
  <si>
    <t>2024-08-28T19:59:51.118+02:00</t>
  </si>
  <si>
    <t>2024-08-28T20:06:42.203+02:00</t>
  </si>
  <si>
    <t>2024-08-28T19:53:03.599+02:00</t>
  </si>
  <si>
    <t>2024-08-28T19:31:01.762+02:00</t>
  </si>
  <si>
    <t>2024-08-28T19:43:40.094+02:00</t>
  </si>
  <si>
    <t>2024-08-28T19:30:03.014+02:00</t>
  </si>
  <si>
    <t>2024-08-28T19:37:26.142+02:00</t>
  </si>
  <si>
    <t>2024-08-28T19:43:17.271+02:00</t>
  </si>
  <si>
    <t>2024-08-28T19:30:03.835+02:00</t>
  </si>
  <si>
    <t>Yogiraj</t>
  </si>
  <si>
    <t>2024-08-28T19:25:28.317+02:00</t>
  </si>
  <si>
    <t>2024-08-28T19:34:08.227+02:00</t>
  </si>
  <si>
    <t>2024-08-28T19:18:05.950+02:00</t>
  </si>
  <si>
    <t>2024-08-28T19:23:11.385+02:00</t>
  </si>
  <si>
    <t>2024-08-28T19:18:02.033+02:00</t>
  </si>
  <si>
    <t>2024-08-28T19:26:07.106+02:00</t>
  </si>
  <si>
    <t>2024-08-28T19:12:09.433+02:00</t>
  </si>
  <si>
    <t>2024-08-28T19:20:15.899+02:00</t>
  </si>
  <si>
    <t>2024-08-28T18:59:34.168+02:00</t>
  </si>
  <si>
    <t>2024-08-28T19:05:48.060+02:00</t>
  </si>
  <si>
    <t>2024-08-28T18:57:42.960+02:00</t>
  </si>
  <si>
    <t>2024-08-28T19:06:10.265+02:00</t>
  </si>
  <si>
    <t>2024-08-28T18:55:04.503+02:00</t>
  </si>
  <si>
    <t>2024-08-28T19:03:50.475+02:00</t>
  </si>
  <si>
    <t>2024-08-28T18:53:02.966+02:00</t>
  </si>
  <si>
    <t>2024-08-28T19:01:11.473+02:00</t>
  </si>
  <si>
    <t>2024-08-28T18:44:02.890+02:00</t>
  </si>
  <si>
    <t>2024-08-28T18:51:48.360+02:00</t>
  </si>
  <si>
    <t>2024-08-28T18:39:07.024+02:00</t>
  </si>
  <si>
    <t>2024-08-28T18:45:23.248+02:00</t>
  </si>
  <si>
    <t>2024-08-28T18:29:04.869+02:00</t>
  </si>
  <si>
    <t>2024-08-28T18:38:16.255+02:00</t>
  </si>
  <si>
    <t>2024-08-28T18:28:01.187+02:00</t>
  </si>
  <si>
    <t>2024-08-28T18:35:11.006+02:00</t>
  </si>
  <si>
    <t>2024-08-28T18:27:39.285+02:00</t>
  </si>
  <si>
    <t>2024-08-28T18:35:08.121+02:00</t>
  </si>
  <si>
    <t>Nika</t>
  </si>
  <si>
    <t>2024-08-28T18:21:53.907+02:00</t>
  </si>
  <si>
    <t>2024-08-28T18:28:49.183+02:00</t>
  </si>
  <si>
    <t>2024-08-28T18:19:02.954+02:00</t>
  </si>
  <si>
    <t>2024-08-28T18:25:38.112+02:00</t>
  </si>
  <si>
    <t>2024-08-28T18:39:06.804+02:00</t>
  </si>
  <si>
    <t>2024-08-28T18:19:03.489+02:00</t>
  </si>
  <si>
    <t>2024-08-28T18:09:33.882+02:00</t>
  </si>
  <si>
    <t>2024-08-28T18:15:51.266+02:00</t>
  </si>
  <si>
    <t>2024-08-28T18:00:25.674+02:00</t>
  </si>
  <si>
    <t>2024-08-28T18:06:24.276+02:00</t>
  </si>
  <si>
    <t>2024-08-28T17:49:59.585+02:00</t>
  </si>
  <si>
    <t>2024-08-28T17:59:51.955+02:00</t>
  </si>
  <si>
    <t>2024-08-28T17:49:03.150+02:00</t>
  </si>
  <si>
    <t>2024-08-28T17:55:40.934+02:00</t>
  </si>
  <si>
    <t>2024-08-28T17:39:56.234+02:00</t>
  </si>
  <si>
    <t>2024-08-28T17:50:54.662+02:00</t>
  </si>
  <si>
    <t>2024-08-28T17:32:18.903+02:00</t>
  </si>
  <si>
    <t>2024-08-28T17:41:35.162+02:00</t>
  </si>
  <si>
    <t>2024-08-28T17:27:59.711+02:00</t>
  </si>
  <si>
    <t>2024-08-28T17:39:08.594+02:00</t>
  </si>
  <si>
    <t>2024-08-28T17:26:56.916+02:00</t>
  </si>
  <si>
    <t>2024-08-28T17:34:05.123+02:00</t>
  </si>
  <si>
    <t>2024-08-28T17:24:51.897+02:00</t>
  </si>
  <si>
    <t>2024-08-28T17:25:25.845+02:00</t>
  </si>
  <si>
    <t>2024-08-28T17:09:02.798+02:00</t>
  </si>
  <si>
    <t>2024-08-28T17:46:07.955+02:00</t>
  </si>
  <si>
    <t>2024-08-28T16:56:02.736+02:00</t>
  </si>
  <si>
    <t>2024-08-28T17:02:12.937+02:00</t>
  </si>
  <si>
    <t>2024-08-28T16:51:34.068+02:00</t>
  </si>
  <si>
    <t>2024-08-28T16:55:23.868+02:00</t>
  </si>
  <si>
    <t>2024-08-28T16:36:02.311+02:00</t>
  </si>
  <si>
    <t>2024-08-28T16:43:01.921+02:00</t>
  </si>
  <si>
    <t>2024-08-28T16:55:10.309+02:00</t>
  </si>
  <si>
    <t>2024-08-28T16:36:02.849+02:00</t>
  </si>
  <si>
    <t>2024-08-28T16:33:24.773+02:00</t>
  </si>
  <si>
    <t>2024-08-28T16:39:52.024+02:00</t>
  </si>
  <si>
    <t>2024-08-28T16:27:24.463+02:00</t>
  </si>
  <si>
    <t>2024-08-28T16:35:26.457+02:00</t>
  </si>
  <si>
    <t>2024-08-28T15:46:38.439+02:00</t>
  </si>
  <si>
    <t>2024-08-28T15:55:32.101+02:00</t>
  </si>
  <si>
    <t>2024-08-28T15:46:03.689+02:00</t>
  </si>
  <si>
    <t>2024-08-28T15:58:25.079+02:00</t>
  </si>
  <si>
    <t>2024-08-28T15:34:22.113+02:00</t>
  </si>
  <si>
    <t>2024-08-28T15:39:46.820+02:00</t>
  </si>
  <si>
    <t>2024-08-28T15:33:42.355+02:00</t>
  </si>
  <si>
    <t>2024-08-28T15:39:35.793+02:00</t>
  </si>
  <si>
    <t>2024-08-28T15:29:27.038+02:00</t>
  </si>
  <si>
    <t>2024-08-28T15:38:46.160+02:00</t>
  </si>
  <si>
    <t>2024-08-28T14:33:02.009+02:00</t>
  </si>
  <si>
    <t>2024-08-28T14:40:40.222+02:00</t>
  </si>
  <si>
    <t>2024-08-28T14:24:01.865+02:00</t>
  </si>
  <si>
    <t>2024-08-28T14:32:33.491+02:00</t>
  </si>
  <si>
    <t>2024-08-28T13:58:02.935+02:00</t>
  </si>
  <si>
    <t>2024-08-28T14:05:08.826+02:00</t>
  </si>
  <si>
    <t>2024-08-28T14:13:56.208+02:00</t>
  </si>
  <si>
    <t>2024-08-28T13:58:03.689+02:00</t>
  </si>
  <si>
    <t>2024-08-28T13:49:41.679+02:00</t>
  </si>
  <si>
    <t>2024-08-28T13:57:24.195+02:00</t>
  </si>
  <si>
    <t>2024-08-28T13:34:03.835+02:00</t>
  </si>
  <si>
    <t>2024-08-28T13:55:24.074+02:00</t>
  </si>
  <si>
    <t>2024-08-28T13:29:02.536+02:00</t>
  </si>
  <si>
    <t>2024-08-28T13:41:29.826+02:00</t>
  </si>
  <si>
    <t>2024-08-28T13:49:24.489+02:00</t>
  </si>
  <si>
    <t>2024-08-28T13:29:03.082+02:00</t>
  </si>
  <si>
    <t>2024-08-28T13:27:28.367+02:00</t>
  </si>
  <si>
    <t>2024-08-28T13:37:24.809+02:00</t>
  </si>
  <si>
    <t>2024-08-28T13:20:39.206+02:00</t>
  </si>
  <si>
    <t>2024-08-28T13:28:54.891+02:00</t>
  </si>
  <si>
    <t>2024-08-28T13:12:21.773+02:00</t>
  </si>
  <si>
    <t>2024-08-28T13:26:11.179+02:00</t>
  </si>
  <si>
    <t>2024-08-28T13:06:20.070+02:00</t>
  </si>
  <si>
    <t>2024-08-28T13:18:24.970+02:00</t>
  </si>
  <si>
    <t>2024-08-28T13:06:20.047+02:00</t>
  </si>
  <si>
    <t>2024-08-28T13:17:11.024+02:00</t>
  </si>
  <si>
    <t>2024-08-28T12:58:03.523+02:00</t>
  </si>
  <si>
    <t>2024-08-28T13:04:39.832+02:00</t>
  </si>
  <si>
    <t>2024-08-28T13:18:32.352+02:00</t>
  </si>
  <si>
    <t>2024-08-28T12:58:04.201+02:00</t>
  </si>
  <si>
    <t>2024-08-28T12:57:51.440+02:00</t>
  </si>
  <si>
    <t>2024-08-28T13:10:30.043+02:00</t>
  </si>
  <si>
    <t>2024-08-28T12:54:02.602+02:00</t>
  </si>
  <si>
    <t>2024-08-28T13:02:30.850+02:00</t>
  </si>
  <si>
    <t>2024-08-28T13:11:07.221+02:00</t>
  </si>
  <si>
    <t>2024-08-28T12:54:03.127+02:00</t>
  </si>
  <si>
    <t>2024-08-28T12:37:10.446+02:00</t>
  </si>
  <si>
    <t>2024-08-28T12:50:46.154+02:00</t>
  </si>
  <si>
    <t>2024-08-28T12:37:02.380+02:00</t>
  </si>
  <si>
    <t>2024-08-28T12:53:34.786+02:00</t>
  </si>
  <si>
    <t>2024-08-28T12:19:12.895+02:00</t>
  </si>
  <si>
    <t>2024-08-28T12:28:00.311+02:00</t>
  </si>
  <si>
    <t>2024-08-28T12:06:07.758+02:00</t>
  </si>
  <si>
    <t>2024-08-28T12:11:19.804+02:00</t>
  </si>
  <si>
    <t>2024-08-28T11:53:01.824+02:00</t>
  </si>
  <si>
    <t>2024-08-28T12:02:05.829+02:00</t>
  </si>
  <si>
    <t>2024-08-28T11:41:09.442+02:00</t>
  </si>
  <si>
    <t>2024-08-28T11:53:23.004+02:00</t>
  </si>
  <si>
    <t>2024-08-28T11:38:02.084+02:00</t>
  </si>
  <si>
    <t>2024-08-28T11:55:10.536+02:00</t>
  </si>
  <si>
    <t>2024-08-28T12:05:17.108+02:00</t>
  </si>
  <si>
    <t>2024-08-28T11:38:02.786+02:00</t>
  </si>
  <si>
    <t>2024-08-28T11:30:26.922+02:00</t>
  </si>
  <si>
    <t>2024-08-28T11:51:07.922+02:00</t>
  </si>
  <si>
    <t>2024-08-28T11:30:08.861+02:00</t>
  </si>
  <si>
    <t>2024-08-28T11:40:52.082+02:00</t>
  </si>
  <si>
    <t>2024-08-28T11:24:54.349+02:00</t>
  </si>
  <si>
    <t>2024-08-28T11:47:46.246+02:00</t>
  </si>
  <si>
    <t>2024-08-28T11:21:37.268+02:00</t>
  </si>
  <si>
    <t>2024-08-28T11:34:01.043+02:00</t>
  </si>
  <si>
    <t>Murodkhon</t>
  </si>
  <si>
    <t>2024-08-28T11:18:34.614+02:00</t>
  </si>
  <si>
    <t>2024-08-28T11:32:16.911+02:00</t>
  </si>
  <si>
    <t>2024-08-28T11:17:07.538+02:00</t>
  </si>
  <si>
    <t>2024-08-28T11:25:43.317+02:00</t>
  </si>
  <si>
    <t>2024-08-28T11:14:54.747+02:00</t>
  </si>
  <si>
    <t>2024-08-28T11:24:28.932+02:00</t>
  </si>
  <si>
    <t>2024-08-28T10:06:11.668+02:00</t>
  </si>
  <si>
    <t>2024-08-28T11:57:54.911+02:00</t>
  </si>
  <si>
    <t>Murat</t>
  </si>
  <si>
    <t>2024-08-31T01:53:13.548+02:00</t>
  </si>
  <si>
    <t>2024-08-31T02:00:57.613+02:00</t>
  </si>
  <si>
    <t>2024-08-31T01:50:59.107+02:00</t>
  </si>
  <si>
    <t>2024-08-31T01:51:08.528+02:00</t>
  </si>
  <si>
    <t>Nazar</t>
  </si>
  <si>
    <t>2024-08-31T01:25:31.577+02:00</t>
  </si>
  <si>
    <t>2024-08-31T01:32:44.574+02:00</t>
  </si>
  <si>
    <t>2024-08-31T01:21:02.970+02:00</t>
  </si>
  <si>
    <t>2024-08-31T01:27:05.734+02:00</t>
  </si>
  <si>
    <t>2024-08-31T01:14:41.010+02:00</t>
  </si>
  <si>
    <t>2024-08-31T01:24:19.600+02:00</t>
  </si>
  <si>
    <t>2024-08-31T01:13:02.153+02:00</t>
  </si>
  <si>
    <t>2024-08-31T01:21:27.821+02:00</t>
  </si>
  <si>
    <t>2024-08-31T01:10:56.867+02:00</t>
  </si>
  <si>
    <t>2024-08-31T01:17:08.430+02:00</t>
  </si>
  <si>
    <t>2024-08-31T01:06:03.311+02:00</t>
  </si>
  <si>
    <t>2024-08-31T01:18:14.445+02:00</t>
  </si>
  <si>
    <t>2024-08-31T01:30:34.857+02:00</t>
  </si>
  <si>
    <t>2024-08-31T01:06:03.837+02:00</t>
  </si>
  <si>
    <t>2024-08-31T00:50:01.497+02:00</t>
  </si>
  <si>
    <t>2024-08-31T00:56:51.718+02:00</t>
  </si>
  <si>
    <t>2024-08-31T00:46:53.616+02:00</t>
  </si>
  <si>
    <t>2024-08-31T00:55:21.597+02:00</t>
  </si>
  <si>
    <t>2024-08-31T00:44:03.429+02:00</t>
  </si>
  <si>
    <t>2024-08-31T00:51:41.456+02:00</t>
  </si>
  <si>
    <t>2024-08-31T01:00:59.607+02:00</t>
  </si>
  <si>
    <t>2024-08-31T00:44:04.118+02:00</t>
  </si>
  <si>
    <t>2024-08-31T00:44:03.418+02:00</t>
  </si>
  <si>
    <t>2024-08-31T00:54:13.403+02:00</t>
  </si>
  <si>
    <t>Saikhanbayar</t>
  </si>
  <si>
    <t>2024-08-31T00:39:41.363+02:00</t>
  </si>
  <si>
    <t>2024-08-31T00:50:29.529+02:00</t>
  </si>
  <si>
    <t>2024-08-31T00:38:03.375+02:00</t>
  </si>
  <si>
    <t>2024-08-31T00:47:01.451+02:00</t>
  </si>
  <si>
    <t>2024-08-31T01:08:31.588+02:00</t>
  </si>
  <si>
    <t>2024-08-31T00:38:03.958+02:00</t>
  </si>
  <si>
    <t>2024-08-31T00:33:01.806+02:00</t>
  </si>
  <si>
    <t>2024-08-31T00:40:07.702+02:00</t>
  </si>
  <si>
    <t>2024-08-31T00:32:16.780+02:00</t>
  </si>
  <si>
    <t>2024-08-31T00:42:09.618+02:00</t>
  </si>
  <si>
    <t>2024-08-31T00:32:16.374+02:00</t>
  </si>
  <si>
    <t>2024-08-31T00:38:56.668+02:00</t>
  </si>
  <si>
    <t>2024-08-31T00:26:00.884+02:00</t>
  </si>
  <si>
    <t>2024-08-31T00:33:29.063+02:00</t>
  </si>
  <si>
    <t>2024-08-31T00:13:34.981+02:00</t>
  </si>
  <si>
    <t>2024-08-31T00:21:22.598+02:00</t>
  </si>
  <si>
    <t>2024-08-31T00:04:00.472+02:00</t>
  </si>
  <si>
    <t>2024-08-31T00:13:38.706+02:00</t>
  </si>
  <si>
    <t>2024-08-30T23:44:13.995+02:00</t>
  </si>
  <si>
    <t>2024-08-30T23:52:19.648+02:00</t>
  </si>
  <si>
    <t>2024-08-30T23:22:01.037+02:00</t>
  </si>
  <si>
    <t>2024-08-30T23:27:28.948+02:00</t>
  </si>
  <si>
    <t>2024-08-30T23:13:14.295+02:00</t>
  </si>
  <si>
    <t>2024-08-30T23:18:41.413+02:00</t>
  </si>
  <si>
    <t>2024-08-30T23:12:03.164+02:00</t>
  </si>
  <si>
    <t>2024-08-30T23:21:55.469+02:00</t>
  </si>
  <si>
    <t>2024-08-30T23:43:51.635+02:00</t>
  </si>
  <si>
    <t>2024-08-30T23:12:04.053+02:00</t>
  </si>
  <si>
    <t>2024-08-30T23:06:17.055+02:00</t>
  </si>
  <si>
    <t>2024-08-30T23:15:53.629+02:00</t>
  </si>
  <si>
    <t>2024-08-30T22:52:48.900+02:00</t>
  </si>
  <si>
    <t>2024-08-30T22:58:56.763+02:00</t>
  </si>
  <si>
    <t>2024-08-30T22:46:44.816+02:00</t>
  </si>
  <si>
    <t>2024-08-30T22:56:04.678+02:00</t>
  </si>
  <si>
    <t>2024-08-30T22:46:16.432+02:00</t>
  </si>
  <si>
    <t>2024-08-30T22:53:33.405+02:00</t>
  </si>
  <si>
    <t>2024-08-30T22:44:29.235+02:00</t>
  </si>
  <si>
    <t>2024-08-30T22:50:49.428+02:00</t>
  </si>
  <si>
    <t>2024-08-30T22:32:02.667+02:00</t>
  </si>
  <si>
    <t>2024-08-30T22:43:21.452+02:00</t>
  </si>
  <si>
    <t>2024-08-30T22:52:00.101+02:00</t>
  </si>
  <si>
    <t>2024-08-30T22:32:03.575+02:00</t>
  </si>
  <si>
    <t>2024-08-30T22:31:08.877+02:00</t>
  </si>
  <si>
    <t>2024-08-30T22:39:19.863+02:00</t>
  </si>
  <si>
    <t>2024-08-30T22:30:01.987+02:00</t>
  </si>
  <si>
    <t>2024-08-30T22:36:59.397+02:00</t>
  </si>
  <si>
    <t>2024-08-30T23:07:22.614+02:00</t>
  </si>
  <si>
    <t>2024-08-30T22:30:02.802+02:00</t>
  </si>
  <si>
    <t>Coufal Jakub</t>
  </si>
  <si>
    <t>2024-08-30T22:27:40.984+02:00</t>
  </si>
  <si>
    <t>2024-08-30T22:33:51.519+02:00</t>
  </si>
  <si>
    <t>2024-08-30T22:21:35.963+02:00</t>
  </si>
  <si>
    <t>2024-08-30T22:32:30.620+02:00</t>
  </si>
  <si>
    <t>2024-08-30T21:57:31.367+02:00</t>
  </si>
  <si>
    <t>2024-08-30T22:04:22.732+02:00</t>
  </si>
  <si>
    <t>2024-08-30T21:52:03.176+02:00</t>
  </si>
  <si>
    <t>2024-08-30T22:03:02.434+02:00</t>
  </si>
  <si>
    <t>2024-08-30T21:46:03.625+02:00</t>
  </si>
  <si>
    <t>2024-08-30T21:55:49.373+02:00</t>
  </si>
  <si>
    <t>2024-08-30T21:40:52.454+02:00</t>
  </si>
  <si>
    <t>2024-08-30T21:47:49.698+02:00</t>
  </si>
  <si>
    <t>Richard</t>
  </si>
  <si>
    <t>2024-08-30T21:36:02.799+02:00</t>
  </si>
  <si>
    <t>2024-08-30T21:41:37.542+02:00</t>
  </si>
  <si>
    <t>2024-08-30T21:31:59.947+02:00</t>
  </si>
  <si>
    <t>2024-08-30T21:39:52.727+02:00</t>
  </si>
  <si>
    <t>2024-08-30T21:24:03.167+02:00</t>
  </si>
  <si>
    <t>2024-08-30T21:50:17.369+02:00</t>
  </si>
  <si>
    <t>2024-08-30T21:23:03.199+02:00</t>
  </si>
  <si>
    <t>2024-08-30T21:28:23.390+02:00</t>
  </si>
  <si>
    <t>2024-08-30T21:38:51.602+02:00</t>
  </si>
  <si>
    <t>2024-08-30T21:23:03.713+02:00</t>
  </si>
  <si>
    <t>2024-08-30T21:22:03.833+02:00</t>
  </si>
  <si>
    <t>2024-08-30T21:29:36.383+02:00</t>
  </si>
  <si>
    <t>2024-08-30T21:16:00.796+02:00</t>
  </si>
  <si>
    <t>2024-08-30T21:25:17.624+02:00</t>
  </si>
  <si>
    <t>2024-08-30T21:06:48.653+02:00</t>
  </si>
  <si>
    <t>2024-08-30T21:18:35.559+02:00</t>
  </si>
  <si>
    <t>Nikolche</t>
  </si>
  <si>
    <t>2024-08-30T21:00:32.609+02:00</t>
  </si>
  <si>
    <t>2024-08-30T21:05:25.761+02:00</t>
  </si>
  <si>
    <t>2024-08-30T20:53:01.968+02:00</t>
  </si>
  <si>
    <t>2024-08-30T20:59:10.659+02:00</t>
  </si>
  <si>
    <t>Adebayo</t>
  </si>
  <si>
    <t>2024-08-30T20:52:02.575+02:00</t>
  </si>
  <si>
    <t>2024-08-30T20:59:18.447+02:00</t>
  </si>
  <si>
    <t>2024-08-30T20:49:08.872+02:00</t>
  </si>
  <si>
    <t>2024-08-30T20:57:16.547+02:00</t>
  </si>
  <si>
    <t>2024-08-30T20:38:06.199+02:00</t>
  </si>
  <si>
    <t>2024-08-30T20:46:44.608+02:00</t>
  </si>
  <si>
    <t>2024-08-30T20:38:05.954+02:00</t>
  </si>
  <si>
    <t>2024-08-30T20:52:18.718+02:00</t>
  </si>
  <si>
    <t>2024-08-30T20:28:01.194+02:00</t>
  </si>
  <si>
    <t>2024-08-30T20:36:12.702+02:00</t>
  </si>
  <si>
    <t>2024-08-30T20:27:02.345+02:00</t>
  </si>
  <si>
    <t>2024-08-30T20:46:24.339+02:00</t>
  </si>
  <si>
    <t>2024-08-30T20:25:08.332+02:00</t>
  </si>
  <si>
    <t>2024-08-30T20:43:44.431+02:00</t>
  </si>
  <si>
    <t>2024-08-30T20:25:02.457+02:00</t>
  </si>
  <si>
    <t>2024-08-30T20:40:57.351+02:00</t>
  </si>
  <si>
    <t>2024-08-30T20:24:01.687+02:00</t>
  </si>
  <si>
    <t>2024-08-30T20:37:49.608+02:00</t>
  </si>
  <si>
    <t>2024-08-30T20:23:02.979+02:00</t>
  </si>
  <si>
    <t>2024-08-30T20:31:45.339+02:00</t>
  </si>
  <si>
    <t>2024-08-30T20:22:02.172+02:00</t>
  </si>
  <si>
    <t>2024-08-30T20:31:22.354+02:00</t>
  </si>
  <si>
    <t>2024-08-30T20:49:03.113+02:00</t>
  </si>
  <si>
    <t>2024-08-30T20:22:02.687+02:00</t>
  </si>
  <si>
    <t>2024-08-30T20:20:02.268+02:00</t>
  </si>
  <si>
    <t>2024-08-30T20:26:08.426+02:00</t>
  </si>
  <si>
    <t>2024-08-30T20:59:05.173+02:00</t>
  </si>
  <si>
    <t>2024-08-30T20:20:02.781+02:00</t>
  </si>
  <si>
    <t>2024-08-30T20:10:00.415+02:00</t>
  </si>
  <si>
    <t>2024-08-30T20:20:27.586+02:00</t>
  </si>
  <si>
    <t>2024-08-30T20:08:00.082+02:00</t>
  </si>
  <si>
    <t>2024-08-30T20:20:53.630+02:00</t>
  </si>
  <si>
    <t>2024-08-30T20:07:59.955+02:00</t>
  </si>
  <si>
    <t>2024-08-30T20:17:28.684+02:00</t>
  </si>
  <si>
    <t>2024-08-30T20:07:59.800+02:00</t>
  </si>
  <si>
    <t>2024-08-30T20:17:10.699+02:00</t>
  </si>
  <si>
    <t>2024-08-30T20:07:39.778+02:00</t>
  </si>
  <si>
    <t>2024-08-30T20:16:07.608+02:00</t>
  </si>
  <si>
    <t>2024-08-30T20:07:20.133+02:00</t>
  </si>
  <si>
    <t>2024-08-30T20:14:06.507+02:00</t>
  </si>
  <si>
    <t>2024-08-30T20:02:03.578+02:00</t>
  </si>
  <si>
    <t>2024-08-30T20:11:33.346+02:00</t>
  </si>
  <si>
    <t>2024-08-30T20:30:48.140+02:00</t>
  </si>
  <si>
    <t>2024-08-30T20:02:04.708+02:00</t>
  </si>
  <si>
    <t>2024-08-30T19:59:19.744+02:00</t>
  </si>
  <si>
    <t>2024-08-30T20:06:43.539+02:00</t>
  </si>
  <si>
    <t>2024-08-30T19:54:50.089+02:00</t>
  </si>
  <si>
    <t>2024-08-30T20:02:25.552+02:00</t>
  </si>
  <si>
    <t>2024-08-30T19:52:01.026+02:00</t>
  </si>
  <si>
    <t>2024-08-30T20:03:20.615+02:00</t>
  </si>
  <si>
    <t>2024-08-30T19:37:02.485+02:00</t>
  </si>
  <si>
    <t>2024-08-30T19:43:06.374+02:00</t>
  </si>
  <si>
    <t>2024-08-30T20:00:37.190+02:00</t>
  </si>
  <si>
    <t>2024-08-30T19:37:03.077+02:00</t>
  </si>
  <si>
    <t>2024-08-30T19:32:22.880+02:00</t>
  </si>
  <si>
    <t>2024-08-30T19:40:03.614+02:00</t>
  </si>
  <si>
    <t>2024-08-30T19:32:00.098+02:00</t>
  </si>
  <si>
    <t>2024-08-30T19:38:36.597+02:00</t>
  </si>
  <si>
    <t>2024-08-30T19:31:00.274+02:00</t>
  </si>
  <si>
    <t>2024-08-30T19:38:22.626+02:00</t>
  </si>
  <si>
    <t>2024-08-30T19:20:02.587+02:00</t>
  </si>
  <si>
    <t>2024-08-30T19:32:17.368+02:00</t>
  </si>
  <si>
    <t>2024-08-30T19:40:42.032+02:00</t>
  </si>
  <si>
    <t>2024-08-30T19:20:03.191+02:00</t>
  </si>
  <si>
    <t>2024-08-30T19:19:02.442+02:00</t>
  </si>
  <si>
    <t>2024-08-30T19:28:42.642+02:00</t>
  </si>
  <si>
    <t>2024-08-30T19:19:02.234+02:00</t>
  </si>
  <si>
    <t>2024-08-30T19:27:00.578+02:00</t>
  </si>
  <si>
    <t>2024-08-30T19:18:00.198+02:00</t>
  </si>
  <si>
    <t>2024-08-30T19:26:34.623+02:00</t>
  </si>
  <si>
    <t>Emil</t>
  </si>
  <si>
    <t>2024-08-30T19:15:54.007+02:00</t>
  </si>
  <si>
    <t>2024-08-30T19:30:30.462+02:00</t>
  </si>
  <si>
    <t>2024-08-30T19:03:06.034+02:00</t>
  </si>
  <si>
    <t>2024-08-30T19:08:26.481+02:00</t>
  </si>
  <si>
    <t>2024-08-30T19:00:02.257+02:00</t>
  </si>
  <si>
    <t>2024-08-30T19:07:08.438+02:00</t>
  </si>
  <si>
    <t>2024-08-30T19:24:03.945+02:00</t>
  </si>
  <si>
    <t>2024-08-30T19:00:02.863+02:00</t>
  </si>
  <si>
    <t>2024-08-30T18:59:03.217+02:00</t>
  </si>
  <si>
    <t>2024-08-30T19:03:53.305+02:00</t>
  </si>
  <si>
    <t>2024-08-30T18:54:39.329+02:00</t>
  </si>
  <si>
    <t>2024-08-30T19:01:24.791+02:00</t>
  </si>
  <si>
    <t>2024-08-30T18:50:02.052+02:00</t>
  </si>
  <si>
    <t>2024-08-30T18:57:36.476+02:00</t>
  </si>
  <si>
    <t>2024-08-30T19:20:59.166+02:00</t>
  </si>
  <si>
    <t>2024-08-30T18:54:28.929+02:00</t>
  </si>
  <si>
    <t>2024-08-30T18:48:02.799+02:00</t>
  </si>
  <si>
    <t>2024-08-30T18:56:38.303+02:00</t>
  </si>
  <si>
    <t>2024-08-30T18:45:02.445+02:00</t>
  </si>
  <si>
    <t>2024-08-30T18:52:04.588+02:00</t>
  </si>
  <si>
    <t>2024-08-30T18:41:02.586+02:00</t>
  </si>
  <si>
    <t>2024-08-30T18:50:26.317+02:00</t>
  </si>
  <si>
    <t>2024-08-30T19:16:50.511+02:00</t>
  </si>
  <si>
    <t>2024-08-30T18:41:03.151+02:00</t>
  </si>
  <si>
    <t>Marian</t>
  </si>
  <si>
    <t>2024-08-30T18:32:33.914+02:00</t>
  </si>
  <si>
    <t>2024-08-30T18:40:05.414+02:00</t>
  </si>
  <si>
    <t>2024-08-30T18:28:02.962+02:00</t>
  </si>
  <si>
    <t>2024-08-30T18:37:34.339+02:00</t>
  </si>
  <si>
    <t>2024-08-30T18:47:40.544+02:00</t>
  </si>
  <si>
    <t>2024-08-30T18:28:03.644+02:00</t>
  </si>
  <si>
    <t>2024-08-30T18:25:59.212+02:00</t>
  </si>
  <si>
    <t>2024-08-30T18:33:02.501+02:00</t>
  </si>
  <si>
    <t>2024-08-30T18:22:54.603+02:00</t>
  </si>
  <si>
    <t>2024-08-30T18:29:30.567+02:00</t>
  </si>
  <si>
    <t>2024-08-30T18:21:19.439+02:00</t>
  </si>
  <si>
    <t>2024-08-30T18:28:36.012+02:00</t>
  </si>
  <si>
    <t>2024-08-30T18:06:02.120+02:00</t>
  </si>
  <si>
    <t>2024-08-30T18:15:54.300+02:00</t>
  </si>
  <si>
    <t>2024-08-30T18:05:57.079+02:00</t>
  </si>
  <si>
    <t>2024-08-30T18:12:55.657+02:00</t>
  </si>
  <si>
    <t>2024-08-30T18:01:02.237+02:00</t>
  </si>
  <si>
    <t>2024-08-30T18:09:39.291+02:00</t>
  </si>
  <si>
    <t>2024-08-30T18:00:05.157+02:00</t>
  </si>
  <si>
    <t>2024-08-30T18:07:41.286+02:00</t>
  </si>
  <si>
    <t>2024-08-30T17:56:51.713+02:00</t>
  </si>
  <si>
    <t>2024-08-30T18:07:05.451+02:00</t>
  </si>
  <si>
    <t>2024-08-30T17:54:56.997+02:00</t>
  </si>
  <si>
    <t>2024-08-30T18:05:47.600+02:00</t>
  </si>
  <si>
    <t>2024-08-30T17:37:58.809+02:00</t>
  </si>
  <si>
    <t>2024-08-30T17:44:10.533+02:00</t>
  </si>
  <si>
    <t>Marek</t>
  </si>
  <si>
    <t>2024-08-30T17:36:30.099+02:00</t>
  </si>
  <si>
    <t>2024-08-30T17:43:31.436+02:00</t>
  </si>
  <si>
    <t>2024-08-30T17:26:57.930+02:00</t>
  </si>
  <si>
    <t>2024-08-30T17:33:46.599+02:00</t>
  </si>
  <si>
    <t>2024-08-30T17:25:36.060+02:00</t>
  </si>
  <si>
    <t>2024-08-30T17:32:47.540+02:00</t>
  </si>
  <si>
    <t>2024-08-30T17:25:02.567+02:00</t>
  </si>
  <si>
    <t>2024-08-30T17:36:01.326+02:00</t>
  </si>
  <si>
    <t>2024-08-30T17:57:24.540+02:00</t>
  </si>
  <si>
    <t>2024-08-30T17:25:03.155+02:00</t>
  </si>
  <si>
    <t>2024-08-30T17:08:02.548+02:00</t>
  </si>
  <si>
    <t>2024-08-30T17:14:36.406+02:00</t>
  </si>
  <si>
    <t>2024-08-30T17:28:09.440+02:00</t>
  </si>
  <si>
    <t>2024-08-30T17:10:09.329+02:00</t>
  </si>
  <si>
    <t>2024-08-30T17:05:54.727+02:00</t>
  </si>
  <si>
    <t>2024-08-30T17:13:45.571+02:00</t>
  </si>
  <si>
    <t>2024-08-30T16:50:02.687+02:00</t>
  </si>
  <si>
    <t>2024-08-30T16:57:37.308+02:00</t>
  </si>
  <si>
    <t>2024-08-30T17:17:40.646+02:00</t>
  </si>
  <si>
    <t>2024-08-30T16:50:03.562+02:00</t>
  </si>
  <si>
    <t>2024-08-30T16:46:01.893+02:00</t>
  </si>
  <si>
    <t>2024-08-30T16:55:13.273+02:00</t>
  </si>
  <si>
    <t>2024-08-30T15:18:02.707+02:00</t>
  </si>
  <si>
    <t>2024-08-30T15:22:55.215+02:00</t>
  </si>
  <si>
    <t>2024-08-30T14:17:36.883+02:00</t>
  </si>
  <si>
    <t>2024-08-30T14:27:36.416+02:00</t>
  </si>
  <si>
    <t>2024-08-30T14:05:03.458+02:00</t>
  </si>
  <si>
    <t>2024-08-30T14:14:30.337+02:00</t>
  </si>
  <si>
    <t>2024-08-30T13:48:02.424+02:00</t>
  </si>
  <si>
    <t>2024-08-30T13:56:11.243+02:00</t>
  </si>
  <si>
    <t>2024-08-30T13:42:57.584+02:00</t>
  </si>
  <si>
    <t>2024-08-30T13:49:29.601+02:00</t>
  </si>
  <si>
    <t>2024-08-30T13:41:02.908+02:00</t>
  </si>
  <si>
    <t>2024-08-30T13:48:43.241+02:00</t>
  </si>
  <si>
    <t>2024-08-30T13:55:06.639+02:00</t>
  </si>
  <si>
    <t>2024-08-30T13:41:03.518+02:00</t>
  </si>
  <si>
    <t>2024-08-30T13:27:56.855+02:00</t>
  </si>
  <si>
    <t>2024-08-30T13:38:33.517+02:00</t>
  </si>
  <si>
    <t>2024-08-30T13:24:02.475+02:00</t>
  </si>
  <si>
    <t>2024-08-30T13:32:02.528+02:00</t>
  </si>
  <si>
    <t>2024-08-30T13:12:02.857+02:00</t>
  </si>
  <si>
    <t>2024-08-30T13:21:20.239+02:00</t>
  </si>
  <si>
    <t>2024-08-30T13:10:59.928+02:00</t>
  </si>
  <si>
    <t>2024-08-30T13:11:34.221+02:00</t>
  </si>
  <si>
    <t>2024-08-30T13:03:46.354+02:00</t>
  </si>
  <si>
    <t>2024-08-30T13:09:50.456+02:00</t>
  </si>
  <si>
    <t>2024-08-30T12:48:42.775+02:00</t>
  </si>
  <si>
    <t>2024-08-30T12:55:11.496+02:00</t>
  </si>
  <si>
    <t>2024-08-30T12:27:02.027+02:00</t>
  </si>
  <si>
    <t>2024-08-30T12:37:31.296+02:00</t>
  </si>
  <si>
    <t>2024-08-30T12:54:22.734+02:00</t>
  </si>
  <si>
    <t>2024-08-30T12:27:02.842+02:00</t>
  </si>
  <si>
    <t>2024-08-30T12:06:54.390+02:00</t>
  </si>
  <si>
    <t>2024-08-30T12:14:07.517+02:00</t>
  </si>
  <si>
    <t>2024-08-30T11:59:03.407+02:00</t>
  </si>
  <si>
    <t>2024-08-30T12:06:42.067+02:00</t>
  </si>
  <si>
    <t>Valeriy</t>
  </si>
  <si>
    <t>2024-08-30T11:46:13.851+02:00</t>
  </si>
  <si>
    <t>2024-08-30T11:51:39.363+02:00</t>
  </si>
  <si>
    <t>2024-08-30T11:34:07.713+02:00</t>
  </si>
  <si>
    <t>2024-08-30T11:44:31.550+02:00</t>
  </si>
  <si>
    <t>2024-08-30T11:30:23.395+02:00</t>
  </si>
  <si>
    <t>2024-08-30T11:43:07.391+02:00</t>
  </si>
  <si>
    <t>2024-08-30T11:27:51.536+02:00</t>
  </si>
  <si>
    <t>2024-08-30T11:41:39.479+02:00</t>
  </si>
  <si>
    <t>2024-08-30T11:19:02.116+02:00</t>
  </si>
  <si>
    <t>2024-08-30T11:39:02.220+02:00</t>
  </si>
  <si>
    <t>2024-08-30T11:53:31.643+02:00</t>
  </si>
  <si>
    <t>2024-08-30T11:19:02.900+02:00</t>
  </si>
  <si>
    <t>2024-08-30T11:12:52.896+02:00</t>
  </si>
  <si>
    <t>2024-08-30T11:20:40.480+02:00</t>
  </si>
  <si>
    <t>2024-08-30T11:05:02.714+02:00</t>
  </si>
  <si>
    <t>2024-08-30T11:16:20.234+02:00</t>
  </si>
  <si>
    <t>2024-08-30T11:25:57.995+02:00</t>
  </si>
  <si>
    <t>2024-08-30T11:05:03.372+02:00</t>
  </si>
  <si>
    <t>2024-08-30T11:04:14.421+02:00</t>
  </si>
  <si>
    <t>2024-08-30T11:19:15.502+02:00</t>
  </si>
  <si>
    <t>2024-08-30T11:02:41.877+02:00</t>
  </si>
  <si>
    <t>2024-08-30T11:14:58.807+02:00</t>
  </si>
  <si>
    <t>2024-09-01T02:07:09.511+02:00</t>
  </si>
  <si>
    <t>2024-09-01T02:14:55.242+02:00</t>
  </si>
  <si>
    <t>2024-09-01T02:02:03.217+02:00</t>
  </si>
  <si>
    <t>2024-09-01T02:12:20.024+02:00</t>
  </si>
  <si>
    <t>2024-09-01T02:01:07.880+02:00</t>
  </si>
  <si>
    <t>2024-09-01T02:09:29.264+02:00</t>
  </si>
  <si>
    <t>Myakhailo</t>
  </si>
  <si>
    <t>2024-09-01T01:53:36.726+02:00</t>
  </si>
  <si>
    <t>2024-09-01T02:00:39.194+02:00</t>
  </si>
  <si>
    <t>2024-09-01T01:52:03.282+02:00</t>
  </si>
  <si>
    <t>2024-09-01T01:58:28.037+02:00</t>
  </si>
  <si>
    <t>2024-09-01T01:43:23.040+02:00</t>
  </si>
  <si>
    <t>2024-09-01T01:51:31.331+02:00</t>
  </si>
  <si>
    <t>2024-09-01T01:42:59.959+02:00</t>
  </si>
  <si>
    <t>2024-09-01T01:55:15.271+02:00</t>
  </si>
  <si>
    <t>2024-09-01T01:42:22.736+02:00</t>
  </si>
  <si>
    <t>2024-09-01T01:49:22.289+02:00</t>
  </si>
  <si>
    <t>Abdumajid</t>
  </si>
  <si>
    <t>2024-09-01T01:39:59.380+02:00</t>
  </si>
  <si>
    <t>2024-09-01T01:49:07.211+02:00</t>
  </si>
  <si>
    <t>2024-09-01T01:20:22.167+02:00</t>
  </si>
  <si>
    <t>2024-09-01T01:28:49.772+02:00</t>
  </si>
  <si>
    <t>2024-09-01T01:20:20.922+02:00</t>
  </si>
  <si>
    <t>2024-09-01T01:29:45.382+02:00</t>
  </si>
  <si>
    <t>2024-09-01T01:18:03.396+02:00</t>
  </si>
  <si>
    <t>2024-09-01T01:34:53.051+02:00</t>
  </si>
  <si>
    <t>2024-09-01T01:17:21.596+02:00</t>
  </si>
  <si>
    <t>2024-09-01T01:27:17.723+02:00</t>
  </si>
  <si>
    <t>2024-09-01T01:16:15.053+02:00</t>
  </si>
  <si>
    <t>2024-09-01T01:22:49.298+02:00</t>
  </si>
  <si>
    <t>2024-09-01T01:12:15.592+02:00</t>
  </si>
  <si>
    <t>2024-09-01T01:16:18.349+02:00</t>
  </si>
  <si>
    <t>2024-09-01T00:57:58.549+02:00</t>
  </si>
  <si>
    <t>2024-09-01T01:03:34.120+02:00</t>
  </si>
  <si>
    <t>2024-09-01T00:46:54.785+02:00</t>
  </si>
  <si>
    <t>2024-09-01T00:53:03.144+02:00</t>
  </si>
  <si>
    <t>2024-09-01T00:40:21.718+02:00</t>
  </si>
  <si>
    <t>2024-09-01T00:48:16.348+02:00</t>
  </si>
  <si>
    <t>2024-09-01T00:40:04.648+02:00</t>
  </si>
  <si>
    <t>2024-09-01T00:44:43.328+02:00</t>
  </si>
  <si>
    <t>2024-09-01T00:27:56.745+02:00</t>
  </si>
  <si>
    <t>2024-09-01T00:34:10.254+02:00</t>
  </si>
  <si>
    <t>2024-09-01T00:27:02.230+02:00</t>
  </si>
  <si>
    <t>2024-09-01T00:32:11.056+02:00</t>
  </si>
  <si>
    <t>2024-09-01T00:24:12.571+02:00</t>
  </si>
  <si>
    <t>2024-09-01T00:24:15.805+02:00</t>
  </si>
  <si>
    <t>2024-09-01T00:18:38.616+02:00</t>
  </si>
  <si>
    <t>2024-09-01T00:24:27.137+02:00</t>
  </si>
  <si>
    <t>2024-08-31T23:52:03.541+02:00</t>
  </si>
  <si>
    <t>2024-08-31T23:58:33.045+02:00</t>
  </si>
  <si>
    <t>2024-08-31T23:32:09.779+02:00</t>
  </si>
  <si>
    <t>2024-08-31T23:38:09.313+02:00</t>
  </si>
  <si>
    <t>2024-08-31T23:25:03.191+02:00</t>
  </si>
  <si>
    <t>2024-08-31T23:30:55.156+02:00</t>
  </si>
  <si>
    <t>2024-08-31T23:43:24.882+02:00</t>
  </si>
  <si>
    <t>2024-08-31T23:27:58.620+02:00</t>
  </si>
  <si>
    <t>2024-08-31T23:22:14.487+02:00</t>
  </si>
  <si>
    <t>2024-08-31T23:25:37.033+02:00</t>
  </si>
  <si>
    <t>2024-08-31T23:18:02.661+02:00</t>
  </si>
  <si>
    <t>2024-08-31T23:25:36.143+02:00</t>
  </si>
  <si>
    <t>2024-08-31T23:46:07.462+02:00</t>
  </si>
  <si>
    <t>2024-08-31T23:25:03.399+02:00</t>
  </si>
  <si>
    <t>2024-08-31T23:16:32.889+02:00</t>
  </si>
  <si>
    <t>2024-08-31T23:23:41.185+02:00</t>
  </si>
  <si>
    <t>2024-08-31T23:14:06.824+02:00</t>
  </si>
  <si>
    <t>2024-08-31T23:22:47.325+02:00</t>
  </si>
  <si>
    <t>2024-08-31T23:08:57.967+02:00</t>
  </si>
  <si>
    <t>2024-08-31T23:18:00.198+02:00</t>
  </si>
  <si>
    <t>2024-08-31T23:08:27.681+02:00</t>
  </si>
  <si>
    <t>2024-08-31T23:16:17.643+02:00</t>
  </si>
  <si>
    <t>2024-08-31T23:03:29.713+02:00</t>
  </si>
  <si>
    <t>2024-08-31T23:17:45.277+02:00</t>
  </si>
  <si>
    <t>2024-08-31T22:59:37.640+02:00</t>
  </si>
  <si>
    <t>2024-08-31T23:04:48.131+02:00</t>
  </si>
  <si>
    <t>2024-08-31T23:34:54.770+02:00</t>
  </si>
  <si>
    <t>2024-08-31T22:59:38.280+02:00</t>
  </si>
  <si>
    <t>2024-08-31T22:58:18.118+02:00</t>
  </si>
  <si>
    <t>2024-08-31T23:04:02.294+02:00</t>
  </si>
  <si>
    <t>Daniil</t>
  </si>
  <si>
    <t>2024-08-31T22:56:16.209+02:00</t>
  </si>
  <si>
    <t>2024-08-31T23:02:47.191+02:00</t>
  </si>
  <si>
    <t>2024-08-31T22:54:03.809+02:00</t>
  </si>
  <si>
    <t>2024-08-31T23:00:48.058+02:00</t>
  </si>
  <si>
    <t>2024-08-31T23:11:18.115+02:00</t>
  </si>
  <si>
    <t>2024-08-31T22:54:04.340+02:00</t>
  </si>
  <si>
    <t>2024-08-31T22:50:23.212+02:00</t>
  </si>
  <si>
    <t>2024-08-31T22:58:16.250+02:00</t>
  </si>
  <si>
    <t>2024-08-31T22:48:22.959+02:00</t>
  </si>
  <si>
    <t>2024-08-31T22:54:59.215+02:00</t>
  </si>
  <si>
    <t>2024-08-31T22:46:20.006+02:00</t>
  </si>
  <si>
    <t>2024-08-31T22:51:16.013+02:00</t>
  </si>
  <si>
    <t>2024-08-31T22:41:02.867+02:00</t>
  </si>
  <si>
    <t>2024-08-31T22:47:21.065+02:00</t>
  </si>
  <si>
    <t>2024-08-31T22:33:10.120+02:00</t>
  </si>
  <si>
    <t>2024-08-31T22:40:29.304+02:00</t>
  </si>
  <si>
    <t>2024-08-31T22:24:58.114+02:00</t>
  </si>
  <si>
    <t>2024-08-31T22:32:48.141+02:00</t>
  </si>
  <si>
    <t>2024-08-31T22:23:02.242+02:00</t>
  </si>
  <si>
    <t>2024-08-31T22:30:44.055+02:00</t>
  </si>
  <si>
    <t>2024-08-31T22:37:18.484+02:00</t>
  </si>
  <si>
    <t>2024-08-31T22:23:02.789+02:00</t>
  </si>
  <si>
    <t>Dionisie</t>
  </si>
  <si>
    <t>2024-08-31T22:16:22.142+02:00</t>
  </si>
  <si>
    <t>2024-08-31T22:24:25.223+02:00</t>
  </si>
  <si>
    <t>2024-08-31T22:16:00.275+02:00</t>
  </si>
  <si>
    <t>2024-08-31T22:25:05.295+02:00</t>
  </si>
  <si>
    <t>2024-08-31T22:15:27.549+02:00</t>
  </si>
  <si>
    <t>2024-08-31T22:23:08.365+02:00</t>
  </si>
  <si>
    <t>Maksim</t>
  </si>
  <si>
    <t>2024-08-31T22:01:22.056+02:00</t>
  </si>
  <si>
    <t>2024-08-31T22:07:00.400+02:00</t>
  </si>
  <si>
    <t>2024-08-31T21:53:28.623+02:00</t>
  </si>
  <si>
    <t>2024-08-31T21:59:25.621+02:00</t>
  </si>
  <si>
    <t>2024-08-31T21:47:04.472+02:00</t>
  </si>
  <si>
    <t>2024-08-31T21:53:12.183+02:00</t>
  </si>
  <si>
    <t>Rana</t>
  </si>
  <si>
    <t>2024-08-31T21:42:34.043+02:00</t>
  </si>
  <si>
    <t>2024-08-31T21:52:18.128+02:00</t>
  </si>
  <si>
    <t>2024-08-31T21:39:30.418+02:00</t>
  </si>
  <si>
    <t>2024-08-31T21:49:18.303+02:00</t>
  </si>
  <si>
    <t>2024-08-31T21:38:11.985+02:00</t>
  </si>
  <si>
    <t>2024-08-31T21:46:39.172+02:00</t>
  </si>
  <si>
    <t>2024-08-31T21:35:36.021+02:00</t>
  </si>
  <si>
    <t>2024-08-31T21:41:39.174+02:00</t>
  </si>
  <si>
    <t>2024-08-31T21:35:02.002+02:00</t>
  </si>
  <si>
    <t>2024-08-31T21:42:27.075+02:00</t>
  </si>
  <si>
    <t>2024-08-31T22:02:10.811+02:00</t>
  </si>
  <si>
    <t>2024-08-31T21:35:02.602+02:00</t>
  </si>
  <si>
    <t>2024-08-31T21:29:38.203+02:00</t>
  </si>
  <si>
    <t>2024-08-31T21:33:52.008+02:00</t>
  </si>
  <si>
    <t>2024-08-31T21:29:31.377+02:00</t>
  </si>
  <si>
    <t>2024-08-31T21:38:15.385+02:00</t>
  </si>
  <si>
    <t>2024-08-31T21:23:26.339+02:00</t>
  </si>
  <si>
    <t>2024-08-31T21:27:57.037+02:00</t>
  </si>
  <si>
    <t>2024-08-31T21:42:14.700+02:00</t>
  </si>
  <si>
    <t>2024-08-31T21:23:27.087+02:00</t>
  </si>
  <si>
    <t>2024-08-31T21:16:54.171+02:00</t>
  </si>
  <si>
    <t>2024-08-31T21:24:15.325+02:00</t>
  </si>
  <si>
    <t>2024-08-31T21:14:32.837+02:00</t>
  </si>
  <si>
    <t>2024-08-31T21:22:17.130+02:00</t>
  </si>
  <si>
    <t>2024-08-31T20:56:31.818+02:00</t>
  </si>
  <si>
    <t>2024-08-31T21:04:45.158+02:00</t>
  </si>
  <si>
    <t>2024-08-31T20:56:03.082+02:00</t>
  </si>
  <si>
    <t>2024-08-31T21:02:37.281+02:00</t>
  </si>
  <si>
    <t>2024-08-31T20:34:02.106+02:00</t>
  </si>
  <si>
    <t>2024-08-31T20:40:11.024+02:00</t>
  </si>
  <si>
    <t>2024-08-31T20:33:02.940+02:00</t>
  </si>
  <si>
    <t>2024-08-31T20:39:02.051+02:00</t>
  </si>
  <si>
    <t>2024-08-31T20:27:38.129+02:00</t>
  </si>
  <si>
    <t>2024-08-31T20:33:50.386+02:00</t>
  </si>
  <si>
    <t>2024-08-31T20:20:38.682+02:00</t>
  </si>
  <si>
    <t>2024-08-31T20:26:27.627+02:00</t>
  </si>
  <si>
    <t>2024-08-31T20:17:36.042+02:00</t>
  </si>
  <si>
    <t>2024-08-31T20:25:43.267+02:00</t>
  </si>
  <si>
    <t>2024-08-31T20:13:03.126+02:00</t>
  </si>
  <si>
    <t>2024-08-31T20:17:48.982+02:00</t>
  </si>
  <si>
    <t>Karapetyan</t>
  </si>
  <si>
    <t>2024-08-31T19:53:25.606+02:00</t>
  </si>
  <si>
    <t>2024-08-31T20:08:36.133+02:00</t>
  </si>
  <si>
    <t>2024-08-31T19:53:23.229+02:00</t>
  </si>
  <si>
    <t>2024-08-31T20:05:42.295+02:00</t>
  </si>
  <si>
    <t>2024-08-31T19:53:23.175+02:00</t>
  </si>
  <si>
    <t>2024-08-31T20:02:35.705+02:00</t>
  </si>
  <si>
    <t>2024-08-31T19:49:03.735+02:00</t>
  </si>
  <si>
    <t>2024-08-31T19:59:44.973+02:00</t>
  </si>
  <si>
    <t>2024-08-31T19:47:55.177+02:00</t>
  </si>
  <si>
    <t>2024-08-31T19:57:52.228+02:00</t>
  </si>
  <si>
    <t>2024-08-31T19:42:25.351+02:00</t>
  </si>
  <si>
    <t>2024-08-31T19:48:27.701+02:00</t>
  </si>
  <si>
    <t>2024-08-31T19:40:26.884+02:00</t>
  </si>
  <si>
    <t>2024-08-31T19:46:21.320+02:00</t>
  </si>
  <si>
    <t>2024-08-31T19:37:01.688+02:00</t>
  </si>
  <si>
    <t>2024-08-31T19:44:49.137+02:00</t>
  </si>
  <si>
    <t>2024-08-31T19:55:45.536+02:00</t>
  </si>
  <si>
    <t>2024-08-31T19:37:02.407+02:00</t>
  </si>
  <si>
    <t>2024-08-31T19:30:03.073+02:00</t>
  </si>
  <si>
    <t>2024-08-31T19:35:42.964+02:00</t>
  </si>
  <si>
    <t>2024-08-31T18:52:07.452+02:00</t>
  </si>
  <si>
    <t>2024-08-31T19:01:18.289+02:00</t>
  </si>
  <si>
    <t>2024-08-31T18:43:00.727+02:00</t>
  </si>
  <si>
    <t>2024-08-31T18:50:55.954+02:00</t>
  </si>
  <si>
    <t>2024-08-31T18:41:02.258+02:00</t>
  </si>
  <si>
    <t>2024-08-31T18:48:35.793+02:00</t>
  </si>
  <si>
    <t>2024-08-31T19:14:45.059+02:00</t>
  </si>
  <si>
    <t>2024-08-31T18:41:02.749+02:00</t>
  </si>
  <si>
    <t>2024-08-31T18:32:02.096+02:00</t>
  </si>
  <si>
    <t>2024-08-31T18:46:07.751+02:00</t>
  </si>
  <si>
    <t>2024-08-31T18:30:26.340+02:00</t>
  </si>
  <si>
    <t>2024-08-31T18:36:14.182+02:00</t>
  </si>
  <si>
    <t>2024-08-31T18:24:02.600+02:00</t>
  </si>
  <si>
    <t>2024-08-31T18:32:11.769+02:00</t>
  </si>
  <si>
    <t>2024-08-31T18:14:25.951+02:00</t>
  </si>
  <si>
    <t>2024-08-31T18:28:29.259+02:00</t>
  </si>
  <si>
    <t>2024-08-31T18:14:25.862+02:00</t>
  </si>
  <si>
    <t>2024-08-31T18:26:22.373+02:00</t>
  </si>
  <si>
    <t>2024-08-31T18:10:51.975+02:00</t>
  </si>
  <si>
    <t>2024-08-31T18:44:09.757+02:00</t>
  </si>
  <si>
    <t>2024-08-31T18:10:02.346+02:00</t>
  </si>
  <si>
    <t>2024-08-31T18:29:07.753+02:00</t>
  </si>
  <si>
    <t>2024-08-31T18:08:22.993+02:00</t>
  </si>
  <si>
    <t>2024-08-31T18:13:47.892+02:00</t>
  </si>
  <si>
    <t>2024-08-31T18:04:39.121+02:00</t>
  </si>
  <si>
    <t>2024-08-31T18:12:04.890+02:00</t>
  </si>
  <si>
    <t>2024-08-31T18:03:02.135+02:00</t>
  </si>
  <si>
    <t>2024-08-31T18:17:39.800+02:00</t>
  </si>
  <si>
    <t>2024-08-31T18:00:02.500+02:00</t>
  </si>
  <si>
    <t>2024-08-31T18:10:53.747+02:00</t>
  </si>
  <si>
    <t>2024-08-31T17:53:48.523+02:00</t>
  </si>
  <si>
    <t>2024-08-31T18:02:46.027+02:00</t>
  </si>
  <si>
    <t>2024-08-31T17:53:47.987+02:00</t>
  </si>
  <si>
    <t>2024-08-31T18:07:03.999+02:00</t>
  </si>
  <si>
    <t>2024-08-31T17:53:27.080+02:00</t>
  </si>
  <si>
    <t>2024-08-31T18:01:31.980+02:00</t>
  </si>
  <si>
    <t>2024-08-31T17:53:02.931+02:00</t>
  </si>
  <si>
    <t>2024-08-31T18:24:16.803+02:00</t>
  </si>
  <si>
    <t>2024-08-31T18:42:12.835+02:00</t>
  </si>
  <si>
    <t>2024-08-31T17:53:04.031+02:00</t>
  </si>
  <si>
    <t>2024-08-31T17:52:25.276+02:00</t>
  </si>
  <si>
    <t>2024-08-31T18:01:09.050+02:00</t>
  </si>
  <si>
    <t>2024-08-31T17:42:35.163+02:00</t>
  </si>
  <si>
    <t>2024-08-31T17:46:43.765+02:00</t>
  </si>
  <si>
    <t>2024-08-31T17:41:14.876+02:00</t>
  </si>
  <si>
    <t>2024-08-31T17:47:28.881+02:00</t>
  </si>
  <si>
    <t>2024-08-31T17:38:02.302+02:00</t>
  </si>
  <si>
    <t>2024-08-31T17:44:58.798+02:00</t>
  </si>
  <si>
    <t>2024-08-31T17:55:39.934+02:00</t>
  </si>
  <si>
    <t>2024-08-31T17:38:02.800+02:00</t>
  </si>
  <si>
    <t>2024-08-31T17:30:02.584+02:00</t>
  </si>
  <si>
    <t>2024-08-31T17:37:37.730+02:00</t>
  </si>
  <si>
    <t>2024-08-31T17:27:02.416+02:00</t>
  </si>
  <si>
    <t>2024-08-31T17:33:38.800+02:00</t>
  </si>
  <si>
    <t>2024-08-31T17:14:02.468+02:00</t>
  </si>
  <si>
    <t>2024-08-31T17:20:13.891+02:00</t>
  </si>
  <si>
    <t>2024-08-31T17:43:55.267+02:00</t>
  </si>
  <si>
    <t>2024-08-31T17:16:24.826+02:00</t>
  </si>
  <si>
    <t>2024-08-31T17:03:56.497+02:00</t>
  </si>
  <si>
    <t>2024-08-31T17:10:41.003+02:00</t>
  </si>
  <si>
    <t>2024-08-31T17:03:49.847+02:00</t>
  </si>
  <si>
    <t>2024-08-31T17:04:42.800+02:00</t>
  </si>
  <si>
    <t>2024-08-31T17:02:01.988+02:00</t>
  </si>
  <si>
    <t>2024-08-31T17:17:19.783+02:00</t>
  </si>
  <si>
    <t>2024-08-31T17:41:36.509+02:00</t>
  </si>
  <si>
    <t>2024-08-31T17:02:02.449+02:00</t>
  </si>
  <si>
    <t>2024-08-31T17:01:04.982+02:00</t>
  </si>
  <si>
    <t>2024-08-31T17:02:58.765+02:00</t>
  </si>
  <si>
    <t>2024-08-31T16:53:02.446+02:00</t>
  </si>
  <si>
    <t>2024-08-31T16:59:34.748+02:00</t>
  </si>
  <si>
    <t>2024-08-31T16:49:02.022+02:00</t>
  </si>
  <si>
    <t>2024-08-31T17:02:16.761+02:00</t>
  </si>
  <si>
    <t>2024-08-31T17:17:46.626+02:00</t>
  </si>
  <si>
    <t>2024-08-31T16:49:02.847+02:00</t>
  </si>
  <si>
    <t>2024-08-31T16:45:23.259+02:00</t>
  </si>
  <si>
    <t>2024-08-31T16:57:19.988+02:00</t>
  </si>
  <si>
    <t>2024-08-31T16:22:03.783+02:00</t>
  </si>
  <si>
    <t>2024-08-31T16:30:39.852+02:00</t>
  </si>
  <si>
    <t>2024-08-31T16:37:47.538+02:00</t>
  </si>
  <si>
    <t>2024-08-31T16:22:04.313+02:00</t>
  </si>
  <si>
    <t>2024-08-31T16:10:34.851+02:00</t>
  </si>
  <si>
    <t>2024-08-31T16:19:14.118+02:00</t>
  </si>
  <si>
    <t>2024-08-31T15:38:22.279+02:00</t>
  </si>
  <si>
    <t>2024-08-31T15:46:54.099+02:00</t>
  </si>
  <si>
    <t>2024-08-31T15:35:21.655+02:00</t>
  </si>
  <si>
    <t>2024-08-31T15:45:03.957+02:00</t>
  </si>
  <si>
    <t>2024-08-31T15:35:21.643+02:00</t>
  </si>
  <si>
    <t>2024-08-31T15:43:32.344+02:00</t>
  </si>
  <si>
    <t>2024-08-31T15:20:23.918+02:00</t>
  </si>
  <si>
    <t>2024-08-31T15:25:15.787+02:00</t>
  </si>
  <si>
    <t>2024-08-31T15:05:45.415+02:00</t>
  </si>
  <si>
    <t>2024-08-31T15:16:20.964+02:00</t>
  </si>
  <si>
    <t>2024-08-31T14:52:02.073+02:00</t>
  </si>
  <si>
    <t>2024-08-31T14:58:17.807+02:00</t>
  </si>
  <si>
    <t>2024-08-31T15:11:32.253+02:00</t>
  </si>
  <si>
    <t>2024-08-31T14:52:02.525+02:00</t>
  </si>
  <si>
    <t>2024-08-31T14:35:02.305+02:00</t>
  </si>
  <si>
    <t>2024-08-31T14:40:01.790+02:00</t>
  </si>
  <si>
    <t>2024-08-31T14:54:19.637+02:00</t>
  </si>
  <si>
    <t>2024-08-31T14:35:03.246+02:00</t>
  </si>
  <si>
    <t>2024-08-31T14:28:57.908+02:00</t>
  </si>
  <si>
    <t>2024-08-31T14:37:50.060+02:00</t>
  </si>
  <si>
    <t>2024-08-31T14:19:21.596+02:00</t>
  </si>
  <si>
    <t>2024-08-31T14:29:53.066+02:00</t>
  </si>
  <si>
    <t>2024-08-31T13:49:18.696+02:00</t>
  </si>
  <si>
    <t>2024-08-31T13:55:59.991+02:00</t>
  </si>
  <si>
    <t>2024-08-31T13:48:02.540+02:00</t>
  </si>
  <si>
    <t>2024-08-31T13:56:02.763+02:00</t>
  </si>
  <si>
    <t>2024-08-31T14:06:42.059+02:00</t>
  </si>
  <si>
    <t>2024-08-31T13:48:03.055+02:00</t>
  </si>
  <si>
    <t>2024-08-31T13:43:49.183+02:00</t>
  </si>
  <si>
    <t>2024-08-31T13:53:16.047+02:00</t>
  </si>
  <si>
    <t>2024-08-31T13:25:47.144+02:00</t>
  </si>
  <si>
    <t>2024-08-31T13:31:18.313+02:00</t>
  </si>
  <si>
    <t>2024-08-31T13:20:01.925+02:00</t>
  </si>
  <si>
    <t>2024-08-31T13:28:29.136+02:00</t>
  </si>
  <si>
    <t>2024-08-31T13:38:10.419+02:00</t>
  </si>
  <si>
    <t>2024-08-31T13:20:02.464+02:00</t>
  </si>
  <si>
    <t>2024-08-31T12:59:02.724+02:00</t>
  </si>
  <si>
    <t>2024-08-31T13:07:09.702+02:00</t>
  </si>
  <si>
    <t>2024-08-31T12:55:24.669+02:00</t>
  </si>
  <si>
    <t>2024-08-31T13:03:32.067+02:00</t>
  </si>
  <si>
    <t>2024-08-31T12:47:34.378+02:00</t>
  </si>
  <si>
    <t>2024-08-31T12:56:06.909+02:00</t>
  </si>
  <si>
    <t>2024-08-31T12:42:26.385+02:00</t>
  </si>
  <si>
    <t>2024-08-31T12:49:43.991+02:00</t>
  </si>
  <si>
    <t>2024-08-31T12:31:35.852+02:00</t>
  </si>
  <si>
    <t>2024-08-31T12:39:49.767+02:00</t>
  </si>
  <si>
    <t>2024-08-31T12:13:21.694+02:00</t>
  </si>
  <si>
    <t>2024-08-31T12:29:49.082+02:00</t>
  </si>
  <si>
    <t>2024-08-31T11:42:02.443+02:00</t>
  </si>
  <si>
    <t>2024-08-31T11:49:50.683+02:00</t>
  </si>
  <si>
    <t>2024-08-31T11:29:43.938+02:00</t>
  </si>
  <si>
    <t>2024-08-31T11:40:06.645+02:00</t>
  </si>
  <si>
    <t>2024-08-31T11:28:25.687+02:00</t>
  </si>
  <si>
    <t>2024-08-31T11:46:36.823+02:00</t>
  </si>
  <si>
    <t>2024-08-31T11:27:36.208+02:00</t>
  </si>
  <si>
    <t>2024-08-31T11:37:37.014+02:00</t>
  </si>
  <si>
    <t>2024-08-31T11:10:02.296+02:00</t>
  </si>
  <si>
    <t>2024-08-31T11:23:46.710+02:00</t>
  </si>
  <si>
    <t>2024-08-31T11:38:57.542+02:00</t>
  </si>
  <si>
    <t>2024-08-31T11:10:02.889+02:00</t>
  </si>
  <si>
    <t>2024-08-31T11:07:02.607+02:00</t>
  </si>
  <si>
    <t>2024-08-31T11:18:52.699+02:00</t>
  </si>
  <si>
    <t>2024-08-31T11:31:33.231+02:00</t>
  </si>
  <si>
    <t>2024-08-31T11:07:03.156+02:00</t>
  </si>
  <si>
    <t>2024-08-31T11:04:12.594+02:00</t>
  </si>
  <si>
    <t>2024-08-31T11:17:37.982+02:00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</si>
  <si>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</si>
  <si>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</si>
  <si>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</si>
  <si>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</si>
  <si>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</si>
  <si>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</si>
  <si>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</si>
  <si>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</si>
  <si>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</si>
  <si>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</si>
  <si>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Kinkorová Petra</t>
  </si>
  <si>
    <t>Kořínek Dominik</t>
  </si>
  <si>
    <t>01:00</t>
  </si>
  <si>
    <t>Jáklová Dominika</t>
  </si>
  <si>
    <t>01:30</t>
  </si>
  <si>
    <t>08:30</t>
  </si>
  <si>
    <t>16:00</t>
  </si>
  <si>
    <t>05:00</t>
  </si>
  <si>
    <t>11 min 17 s</t>
  </si>
  <si>
    <t>03:00</t>
  </si>
  <si>
    <t>18:30</t>
  </si>
  <si>
    <t>Mirga Simon</t>
  </si>
  <si>
    <t>16:30</t>
  </si>
  <si>
    <t>05:30</t>
  </si>
  <si>
    <t>10:30</t>
  </si>
  <si>
    <t>10 min 45 s</t>
  </si>
  <si>
    <t>Sobota</t>
  </si>
  <si>
    <t>03:30</t>
  </si>
  <si>
    <t>Roth Stanislav</t>
  </si>
  <si>
    <t>21:00</t>
  </si>
  <si>
    <t>11 min 32 s</t>
  </si>
  <si>
    <t>10 min 57 s</t>
  </si>
  <si>
    <t>15:30</t>
  </si>
  <si>
    <t>07:30</t>
  </si>
  <si>
    <t>11 min 38 s</t>
  </si>
  <si>
    <t>19:00</t>
  </si>
  <si>
    <t>06:30</t>
  </si>
  <si>
    <t>8 min 57 s</t>
  </si>
  <si>
    <t>9 min 48 s</t>
  </si>
  <si>
    <t>11 min 34 s</t>
  </si>
  <si>
    <t>04:00</t>
  </si>
  <si>
    <t>09:00</t>
  </si>
  <si>
    <t>17:30</t>
  </si>
  <si>
    <t>11 min 56 s</t>
  </si>
  <si>
    <t>10 min 12 s</t>
  </si>
  <si>
    <t>15 min 30 s</t>
  </si>
  <si>
    <t>15:00</t>
  </si>
  <si>
    <t>Lisý Robert</t>
  </si>
  <si>
    <t>Pešová Hana</t>
  </si>
  <si>
    <t>Ahurieva Viktoriia</t>
  </si>
  <si>
    <t>19:30</t>
  </si>
  <si>
    <t>11 min 01 s</t>
  </si>
  <si>
    <t>8 min 56 s</t>
  </si>
  <si>
    <t>11:30</t>
  </si>
  <si>
    <t>9 min 46 s</t>
  </si>
  <si>
    <t>10 min 53 s</t>
  </si>
  <si>
    <t>10 min 55 s</t>
  </si>
  <si>
    <t>12 min 32 s</t>
  </si>
  <si>
    <t>10 min 42 s</t>
  </si>
  <si>
    <t>3:00</t>
  </si>
  <si>
    <t>11 min 60 s</t>
  </si>
  <si>
    <t>11 min 16 s</t>
  </si>
  <si>
    <t>9 min 56 s</t>
  </si>
  <si>
    <t>10 min 21 s</t>
  </si>
  <si>
    <t>Malešice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</si>
  <si>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</si>
  <si>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</si>
  <si>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</si>
  <si>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</si>
  <si>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</si>
  <si>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</si>
  <si>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</si>
  <si>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</si>
  <si>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</si>
  <si>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</si>
  <si>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</si>
  <si>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</si>
  <si>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</si>
  <si>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</si>
  <si>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</si>
  <si>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</si>
  <si>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Yarushynskyi Vladyslav</t>
  </si>
  <si>
    <t>Počet zpožděných našich rozvozů +5 min</t>
  </si>
  <si>
    <t>Počet rozvozů</t>
  </si>
  <si>
    <t xml:space="preserve">Vlastní vůz </t>
  </si>
  <si>
    <t>počet výdajových dokadů</t>
  </si>
  <si>
    <t>Hanibal Filip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</si>
  <si>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</si>
  <si>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</si>
  <si>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</si>
  <si>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</si>
  <si>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</si>
  <si>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29:00</t>
  </si>
  <si>
    <t>Hendrych Rostislav</t>
  </si>
  <si>
    <t>Kopic Jakub</t>
  </si>
  <si>
    <t>7:30</t>
  </si>
  <si>
    <t>Kalina Filip</t>
  </si>
  <si>
    <t>5:00</t>
  </si>
  <si>
    <t>1:30</t>
  </si>
  <si>
    <t>7:00</t>
  </si>
  <si>
    <t>10 min 18 s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</si>
  <si>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</si>
  <si>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</si>
  <si>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</si>
  <si>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10:00 - 1:00 (Instor)</t>
  </si>
  <si>
    <t>17:00 - 1:00 (Instor)</t>
  </si>
  <si>
    <t>18:00 - 1:00 (Instor)</t>
  </si>
  <si>
    <t>17:00 - 3:00 (Instor)</t>
  </si>
  <si>
    <t>17:00 - 0:00 (Instor)</t>
  </si>
  <si>
    <t>Reischl Jan</t>
  </si>
  <si>
    <t>11:00 - 17:00 (Kurýr)</t>
  </si>
  <si>
    <t>17:00 - 1:00 (Kurýr)</t>
  </si>
  <si>
    <t>11:00 - 1:00 (Kurýr)</t>
  </si>
  <si>
    <t>13:00 - 17:00 (Kurýr)</t>
  </si>
  <si>
    <t>19:00 - 0:00 (Instor)</t>
  </si>
  <si>
    <t>11:00 - 17:00 (Instor)</t>
  </si>
  <si>
    <t>11:00 - 23:00 (Kurýr)</t>
  </si>
  <si>
    <t>17:00 - 3:00 (Kurýr)</t>
  </si>
  <si>
    <t>11:00 - 3:00 (Kurýr)</t>
  </si>
  <si>
    <t>Dušek Sam</t>
  </si>
  <si>
    <t>17:00 - 22:00 (Kurýr)</t>
  </si>
  <si>
    <t>17:00 - 0:00 (Kurýr)</t>
  </si>
  <si>
    <t>Lažek Jaroslav</t>
  </si>
  <si>
    <t>Název profilu</t>
  </si>
  <si>
    <t>Položky</t>
  </si>
  <si>
    <t>2026-06-06T02:42:20.450+02:00</t>
  </si>
  <si>
    <t>2026-06-06T02:42:22.395+02:00</t>
  </si>
  <si>
    <t>Ručně zadané obj.</t>
  </si>
  <si>
    <t>[{"id":"733d4331-03cf-4028-a762-13e1a6a2514e","count":1,"label":"Pilsner Urquell 12","posId":"N20","price":6500,"isExtra":false,"creatorId":"hhe89EktQewkgEnWJcrb1","isPackging":0,"actualLabel":"Pilsner Urquell 12"}]</t>
  </si>
  <si>
    <t>2026-06-06T02:17:16.479+02:00</t>
  </si>
  <si>
    <t>2026-06-06T02:26:56.937+02:00</t>
  </si>
  <si>
    <t>Pizza Comeback Malešice</t>
  </si>
  <si>
    <t>[{"id":"59592162","note":"","size":"Quattro Formaggi 32cm","count":1,"label":"Quattro Formaggi 32cm","posId":"123","price":24900,"isExtra":false},{"id":"54684842","note":"","count":1,"label":"Balné","posId":"K0000","price":1500,"isExtra":true}]</t>
  </si>
  <si>
    <t>2026-06-06T01:58:52.470+02:00</t>
  </si>
  <si>
    <t>2026-06-06T02:10:09.213+02:00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</si>
  <si>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🌶️","posId":"109","price":30900,"isExtra":false},{"id":"54684837","note":"","count":1,"label":"Balné","posId":"K0000","price":2000,"isExtra":true},{"id":"54684825","note":"","count":1,"label":"bez plněných okrajů","posId":"X1000","price":0,"isExtra":true}]</t>
  </si>
  <si>
    <t>2026-06-06T01:42:13.473+02:00</t>
  </si>
  <si>
    <t>2026-06-06T01:56:48.976+02:00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</si>
  <si>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</si>
  <si>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2026-06-06T01:29:31.189+02:00</t>
  </si>
  <si>
    <t>2026-06-06T01:37:37.735+02:00</t>
  </si>
  <si>
    <t>Pizza Comeback Malešice New</t>
  </si>
  <si>
    <t>[{"id":"e7c1c602dc965c0159e9efb8","count":1,"label":"Pepperoni 40cm 🌶️🌶️","posId":"108","price":30900,"isExtra":false},{"id":"9c3e5446ef3ded7b358f7c2a","count":1,"label":"Balné","posId":"K0000","price":2000,"isExtra":true},{"id":"e8119c68146fe00509d91cff","count":1,"label":"Pepsi zero sugar 1l","posId":"N125","price":5900,"isExtra":false}]</t>
  </si>
  <si>
    <t>2026-06-06T01:20:03.072+02:00</t>
  </si>
  <si>
    <t>2026-06-06T01:26:55.388+02:00</t>
  </si>
  <si>
    <t>Adaptee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</si>
  <si>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</si>
  <si>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2026-06-06T01:16:25.591+02:00</t>
  </si>
  <si>
    <t>2026-06-06T01:22:05.582+02:00</t>
  </si>
  <si>
    <t>[{"id":"2cecfe7be41d3b1e996ce180","count":1,"label":"Pilsner Urquell 12","posId":"N20","price":6500,"isExtra":false},{"id":"6dd95d267276b256b3cb02db","count":1,"label":"Baby Špenát &amp; kuře 32cm","posId":"116","price":24900,"isExtra":false},{"id":"2f43df7dedb312c2f3c829b9","count":1,"label":"Balné","posId":"K0000","price":1500,"isExtra":true}]</t>
  </si>
  <si>
    <t>2026-06-06T01:13:08.382+02:00</t>
  </si>
  <si>
    <t>2026-06-06T01:20:58.651+02:00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</si>
  <si>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🌶️","posId":"121","price":24900,"isExtra":false},{"id":"54684842","note":"","count":1,"label":"Balné","posId":"K0000","price":1500,"isExtra":true}]</t>
  </si>
  <si>
    <t>2026-06-06T01:08:53.320+02:00</t>
  </si>
  <si>
    <t>2026-06-06T01:12:35.679+02:00</t>
  </si>
  <si>
    <t>[{"id":"12800ce808ad8ec470947c77","count":1,"label":"Comeback 32cm 🌶️","posId":"121","price":24900,"isExtra":false},{"id":"2f43df7dedb312c2f3c829b9","count":1,"label":"Balné","posId":"K0000","price":1500,"isExtra":true}]</t>
  </si>
  <si>
    <t>2026-06-06T00:53:17.186+02:00</t>
  </si>
  <si>
    <t>2026-06-06T01:00:07.969+02:00</t>
  </si>
  <si>
    <t>[{"id":"c92f997635d112b6136a4b9c","count":1,"label":"Jalapeňos dip","posId":"P107","price":2000,"isExtra":false},{"id":"2f43df7dedb312c2f3c829b9","count":1,"label":"Balné","posId":"K0000","price":1500,"isExtra":true},{"id":"ebb4601118d8b96c66148cd8","count":1,"label":"Hot &amp; Spicy 32cm 🌶️🌶️","posId":"122","price":24900,"isExtra":false},{"id":"2f43df7dedb312c2f3c829b9","count":1,"label":"Balné","posId":"K0000","price":1500,"isExtra":true}]</t>
  </si>
  <si>
    <t>2026-06-06T00:46:47.893+02:00</t>
  </si>
  <si>
    <t>2026-06-06T00:57:45.764+02:00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</si>
  <si>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Texas","posId":"Y119","price":0,"isExtra":true},{"id":"54684827","note":"","count":1,"label":"Balné","posId":"K0000","price":3000,"isExtra":true},{"id":"54684830","note":"","count":1,"label":"spicy wings 🌶️","posId":"P101","price":0,"isExtra":true},{"id":"57405779","note":"","count":1,"label":"Pepsi zero sugar 1l","posId":"N125","price":0,"isExtra":true}]</t>
  </si>
  <si>
    <t>2026-06-06T00:43:11.616+02:00</t>
  </si>
  <si>
    <t>2026-06-06T00:51:02.643+02:00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</si>
  <si>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🌶️🌶️","posId":"110","price":30900,"isExtra":false},{"id":"9c3e5446ef3ded7b358f7c2a","count":1,"label":"Balné","posId":"K0000","price":2000,"isExtra":true},{"id":"9cc36dfe66d698e484715a8f","count":1,"label":"Jalapenos Rolls","posId":"jpr200","price":8900,"isExtra":false},{"id":"2f43df7dedb312c2f3c829b9","count":1,"label":"Balné","posId":"K0000","price":1500,"isExtra":true}]</t>
  </si>
  <si>
    <t>Vladislav</t>
  </si>
  <si>
    <t>2026-06-06T00:38:27.312+02:00</t>
  </si>
  <si>
    <t>2026-06-06T00:56:02.913+02:00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</si>
  <si>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omáčka","posId":"A120","price":6500,"isExtra":true},{"id":"C102","note":"","count":1,"label":"Jalapeňos","posId":"C102","price":3500,"KDSTags":["greenhighlight"],"isExtra":true},{"id":"jpr200","note":"","count":1,"label":"Jalapenos Rolls","posId":"jpr200","price":8900,"isExtra":false},{"id":"K0000","note":"","count":1,"label":"Balné","posId":"K0000","price":1500,"isExtra":true},{"id":"P101","note":"","count":1,"label":"Spicy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</si>
  <si>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2026-06-06T00:27:21.222+02:00</t>
  </si>
  <si>
    <t>2026-06-06T00:34:11.769+02:00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</si>
  <si>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</si>
  <si>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2026-06-06T00:15:10.910+02:00</t>
  </si>
  <si>
    <t>2026-06-06T00:21:39.257+02:00</t>
  </si>
  <si>
    <t>[{"id":"5b4032d3-8346-45a9-86d5-b86731599dcf","count":1,"label":"Pizza BBQ Texas 32","posId":"119","price":24900,"isExtra":false,"creatorId":"bz_RJPXoZ5N-6clDebv0o","isPackging":0,"actualLabel":"Pizza BBQ Texas 32"},{"id":"f8126e0c-2411-47be-a5a4-a84bd21d11a6","count":1,"label":"Aquilla černý čaj a broskev","posId":"N120","price":4900,"isExtra":false,"creatorId":"e5FvSY6J_jJMeZupUFc4k","isPackging":0,"actualLabel":"Aquilla černý čaj a broskev"}]</t>
  </si>
  <si>
    <t>2026-06-06T00:12:02.694+02:00</t>
  </si>
  <si>
    <t>2026-06-06T00:19:54.165+02:00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</si>
  <si>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cm","posId":"134","price":11900,"isExtra":false},{"id":"9da77a77-b741-4be5-8ca1-8de18601259c","note":"","count":1,"label":"Spicy Wings, 7 ks","posId":"P101","price":11900,"isExtra":false},{"id":"eaf5673a-2acd-457a-bff6-8e65ba4050c9","note":"","count":1,"label":"dip jalapenos","posId":"P107","price":2000,"isExtra":false}]</t>
  </si>
  <si>
    <t>2026-06-06T00:07:24.964+02:00</t>
  </si>
  <si>
    <t>2026-06-06T00:12:58.686+02:00</t>
  </si>
  <si>
    <t>[{"id":"c5a9c941c1f31eb9931eba5d","count":1,"label":"Zeleninová 32cm","posId":"115","price":24900,"isExtra":false},{"id":"2f43df7dedb312c2f3c829b9","count":1,"label":"Balné","posId":"K0000","price":1500,"isExtra":true},{"id":"2179c22089126fe6683fee77","count":1,"label":"Smetanový základ","posId":"ZRS32","price":0,"isExtra":true},{"id":"fd205686c7f07cf81da841b3","count":1,"label":"Bez kukuřice","posId":"X115","price":0,"KDSTags":["redhighlight"],"isExtra":true},{"id":"146d14caf6bb97c1dad365be","count":1,"label":"Mozzarella","posId":"B113","price":3000,"KDSTags":["greenhighlight"],"isExtra":true},{"id":"d711b427043511cf4e6606a9","count":1,"label":"Kuře","posId":"B114","price":3000,"KDSTags":["greenhighlight"],"isExtra":true}]</t>
  </si>
  <si>
    <t>2026-06-06T00:03:21.718+02:00</t>
  </si>
  <si>
    <t>2026-06-06T00:19:19.945+02:00</t>
  </si>
  <si>
    <t>[{"id":"3ce00c7888c3f6c64a108aae","count":1,"label":"Quattro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</si>
  <si>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2026-06-05T23:55:19.586+02:00</t>
  </si>
  <si>
    <t>2026-06-06T00:13:02.645+02:00</t>
  </si>
  <si>
    <t>[{"id":"23eb49539dc66b9258a5f1c9","count":1,"label":"Hawai 40cm","posId":"102","price":30900,"isExtra":false},{"id":"9c3e5446ef3ded7b358f7c2a","count":1,"label":"Balné","posId":"K0000","price":2000,"isExtra":true},{"id":"ebbdea4a82f71bcf760d8142","count":1,"label":"Capricciosa 32cm","posId":"113","price":24900,"isExtra":false},{"id":"2f43df7dedb312c2f3c829b9","count":1,"label":"Balné","posId":"K0000","price":1500,"isExtra":true}]</t>
  </si>
  <si>
    <t>2026-06-05T23:54:03.128+02:00</t>
  </si>
  <si>
    <t>2026-06-06T00:21:35.587+02:00</t>
  </si>
  <si>
    <t>2026-06-06T00:43:32.745+02:00</t>
  </si>
  <si>
    <t>2026-06-05T23:54:03.774+02:00</t>
  </si>
  <si>
    <t>[{"id":"424aec40-766b-4a2f-bcc0-a9d6737ba762","note":"","count":1,"label":"Hawai 32 cm","posId":"114","price":24900,"isExtra":false}]</t>
  </si>
  <si>
    <t>2026-06-05T23:46:12.271+02:00</t>
  </si>
  <si>
    <t>2026-06-05T23:57:34.964+02:00</t>
  </si>
  <si>
    <t>[{"id":"7b38057d-d868-4703-9219-79f60d8a09f4","count":1,"label":"Pizza Capricciosa 18","posId":"125","price":11900,"isExtra":false,"creatorId":"FsP4AhkhIEgmDIaN_ghuf","isPackging":0,"actualLabel":"Pizza Capricciosa 18"}]</t>
  </si>
  <si>
    <t>2026-06-05T23:45:46.740+02:00</t>
  </si>
  <si>
    <t>2026-06-05T23:57:30.134+02:00</t>
  </si>
  <si>
    <t>[{"id":"7ab930e6-0c0e-4177-b8ba-83503741e8b0","count":1,"label":"Pizza Pepperoni 32","posId":"120","price":24900,"isExtra":false,"creatorId":"yCvbKB-5qcqwxOI3D6aNg","isPackging":0,"actualLabel":"Pizza Pepperoni 32"}]</t>
  </si>
  <si>
    <t>2026-06-05T23:45:24.041+02:00</t>
  </si>
  <si>
    <t>2026-06-05T23:56:33.237+02:00</t>
  </si>
  <si>
    <t>[{"id":"db512a49-05d7-4924-a817-5d5d5968a844","count":1,"label":"Pizza Capricciosa 32","posId":"113","price":24900,"isExtra":false,"creatorId":"bmuDEezkcWm8CENJ7lSaS","isPackging":0,"actualLabel":"Pizza Capricciosa 32"}]</t>
  </si>
  <si>
    <t>2026-06-05T23:41:16.329+02:00</t>
  </si>
  <si>
    <t>2026-06-05T23:53:54.504+02:00</t>
  </si>
  <si>
    <t>[{"id":"89205ac5-7245-4fc0-b2a2-13cceeda3ae7","count":1,"label":"Pizza BBQ Meteor 32","posId":"118","price":24900,"isExtra":false,"creatorId":"o6hVWuEo1dgwwr3rYRJfC","isPackging":0,"actualLabel":"Pizza BBQ Meteor 32"}]</t>
  </si>
  <si>
    <t>2026-06-05T23:39:17.377+02:00</t>
  </si>
  <si>
    <t>2026-06-05T23:50:17.966+02:00</t>
  </si>
  <si>
    <t>[{"id":"9ec049f6b45dc203fd9e8d89","count":1,"label":"Masové kuličky","posId":"P102","price":9900,"isExtra":false},{"id":"2f43df7dedb312c2f3c829b9","count":1,"label":"Balné","posId":"K0000","price":1500,"isExtra":true},{"id":"b6ffa1a1cad6e0911847a661","count":1,"label":"Margherita 32cm","posId":"112","price":20900,"isExtra":false},{"id":"2f43df7dedb312c2f3c829b9","count":1,"label":"Balné","posId":"K0000","price":1500,"isExtra":true},{"id":"146d14caf6bb97c1dad365be","count":1,"label":"Mozzarella","posId":"B113","price":3000,"KDSTags":["greenhighlight"],"isExtra":true}]</t>
  </si>
  <si>
    <t>2026-06-05T23:39:03.651+02:00</t>
  </si>
  <si>
    <t>2026-06-05T23:54:04.353+02:00</t>
  </si>
  <si>
    <t>[{"id":"fe90afa4-a02c-4a85-8b9e-5f997e31adfb","note":"","count":3,"label":"Česnekový chléb","posId":"P104","price":7900,"isExtra":false},{"id":"0c454cc7-3f38-4dea-9e0e-7220d9ba6ce0","note":"","count":1,"label":"Dip česnekový","posId":"P106","price":2000,"isExtra":false}]</t>
  </si>
  <si>
    <t>Vitalii</t>
  </si>
  <si>
    <t>2026-06-05T23:32:43.141+02:00</t>
  </si>
  <si>
    <t>2026-06-05T23:37:29.607+02:00</t>
  </si>
  <si>
    <t>[{"id":"N124","note":"","count":1,"label":"Pepsi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32cm","posId":"114","price":24900,"isExtra":false},{"id":"K0000","note":"","count":1,"label":"Balné","posId":"K0000","price":1500,"isExtra":true}]</t>
  </si>
  <si>
    <t>2026-06-05T23:26:59.445+02:00</t>
  </si>
  <si>
    <t>2026-06-05T23:51:50.692+02:00</t>
  </si>
  <si>
    <t>[{"id":"59592169","note":"","size":"Hawai 32cm","count":1,"label":"Hawai 32cm","posId":"114","price":24900,"isExtra":false},{"id":"54684842","note":"","count":1,"label":"Balné","posId":"K0000","price":1500,"isExtra":true},{"id":"57179851","note":"","count":1,"label":"Smetanový základ","posId":"ZRS32","price":0,"isExtra":true},{"id":"54684934","note":"","count":1,"label":"Špenát s česnekem","posId":"B107","price":2500,"KDSTags":["greenhighlight"],"isExtra":true},{"id":"59592167","note":"","size":"BBQ Meteor 32cm","count":2,"label":"BBQ Meteor 32cm","posId":"118","price":24900,"isExtra":false},{"id":"54684842","note":"","count":2,"label":"Balné","posId":"K0000","price":1500,"isExtra":true},{"id":"57179859","note":"","count":2,"label":"Rajčatový základ","posId":"ZBR32","price":0,"isExtra":true}]</t>
  </si>
  <si>
    <t>2026-06-05T23:16:11.726+02:00</t>
  </si>
  <si>
    <t>2026-06-05T23:31:15.535+02:00</t>
  </si>
  <si>
    <t>2026-06-06T00:01:57.544+02:00</t>
  </si>
  <si>
    <t>2026-06-05T23:16:12.440+02:00</t>
  </si>
  <si>
    <t>[{"id":"c1b4edb9-fd41-419d-89d3-7116976a3323","count":1,"label":"Pizza Pepperoni 40","posId":"108","price":30900,"isExtra":false,"creatorId":"wxYbp3qXcp7r5z3WSEsQY","isPackging":0,"actualLabel":"Pizza Pepperoni 40"},{"id":"extra_20230331101812_99","count":1,"label":"Šunka","posId":"C106","price":4000,"KDSTags":["greenhighlight"],"isExtra":true,"mainItemId":"c1b4edb9-fd41-419d-89d3-7116976a3323"},{"id":"a0148f4d-e608-4061-b0cf-421635d1867d","count":1,"label":"Spicy Wings","posId":"P101","price":11900,"isExtra":false,"creatorId":"U1fQpVolznOYvIE9TM6D0","isPackging":1500,"actualLabel":"Spicy Wings"},{"id":"a0148f4d-e608-4061-b0cf-421635d1867d","count":1,"label":"Spicy Wings","posId":"P101","price":11900,"isExtra":false,"creatorId":"UExx_9tkli5wZjeYnxX7u","isPackging":1500,"actualLabel":"Spicy Wings"}]</t>
  </si>
  <si>
    <t>2026-06-05T23:16:03.353+02:00</t>
  </si>
  <si>
    <t>2026-06-05T23:34:39.355+02:00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</si>
  <si>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česnekový","posId":"P106","price":2000,"isExtra":false},{"id":"49e8d1c4-1e97-4089-9514-2970c15092b6","note":"","count":1,"label":"BBQ Meteor 40 cm","posId":"106","price":30900,"isExtra":false},{"id":"d2940aff-8a5c-41f7-b075-b1eaa7b358e7","note":"","count":1,"label":"Dip BBQ","posId":"P105","price":2000,"isExtra":false}]</t>
  </si>
  <si>
    <t>2026-06-05T23:14:03.324+02:00</t>
  </si>
  <si>
    <t>2026-06-05T23:24:46.918+02:00</t>
  </si>
  <si>
    <t>2026-06-05T23:14:05.755+02:00</t>
  </si>
  <si>
    <t>[{"id":"63675afb-9d1b-42b2-9d42-9e80500fdd28","note":"","count":1,"label":"Comeback 40 cm","posId":"109","price":30900,"isExtra":false},{"id":"2d3d5617-9c58-43de-9934-040859ce552d","note":"","count":1,"label":"BBQ Meteor 32 cm","posId":"118","price":24900,"isExtra":false},{"id":"1a902d9c-c6c4-4e15-b30a-3906f056006f","note":"","count":1,"label":"Pepsi zero sugar 1l","posId":"N125","price":5900,"isExtra":false}]</t>
  </si>
  <si>
    <t>2026-06-05T23:08:43.186+02:00</t>
  </si>
  <si>
    <t>2026-06-05T23:08:51.457+02:00</t>
  </si>
  <si>
    <t>[{"id":"664bd2b5-40f0-4839-a4f1-3cec89afae33","count":1,"label":"Pizza Quattro Formaggi 32","posId":"123","price":24900,"isExtra":false,"creatorId":"-g4QkB1xPmOskJvmcLHCC","isPackging":0,"actualLabel":"Pizza Quattro Formaggi 32"}]</t>
  </si>
  <si>
    <t>2026-06-05T23:08:19.748+02:00</t>
  </si>
  <si>
    <t>2026-06-05T23:08:22.856+02:00</t>
  </si>
  <si>
    <t>[{"id":"664bd2b5-40f0-4839-a4f1-3cec89afae33","count":1,"label":"Pizza Quattro Formaggi 32","posId":"123","price":24900,"isExtra":false,"creatorId":"KHtvipnGgXoE6n63CUUkx","isPackging":0,"actualLabel":"Pizza Quattro Formaggi 32"}]</t>
  </si>
  <si>
    <t>2026-06-05T23:01:47.955+02:00</t>
  </si>
  <si>
    <t>2026-06-05T23:13:08.148+02:00</t>
  </si>
  <si>
    <t>[{"id":"64289bbb395820dee3a352f4","count":1,"label":"Pepperoni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okrajů","posId":"X1000","price":0,"isExtra":true},{"id":"5329159316727e06e4d822ec","count":1,"label":"Kukuřice","posId":"B115","price":2500,"KDSTags":["greenhighlight"],"isExtra":true},{"id":"e8119c68146fe00509d91cff","count":1,"label":"Pepsi zero sugar 1l","posId":"N125","price":5900,"isExtra":false}]</t>
  </si>
  <si>
    <t>Ehor</t>
  </si>
  <si>
    <t>2026-06-05T23:00:37.047+02:00</t>
  </si>
  <si>
    <t>2026-06-05T23:14:52.163+02:00</t>
  </si>
  <si>
    <t>[{"id":"P106","note":"","count":3,"label":"Česnekový dip","posId":"P106","price":2000,"isExtra":false},{"id":"K0000","note":"","count":3,"label":"Balné","posId":"K0000","price":1500,"isExtra":true},{"id":"112","note":"","count":2,"label":"Margherita 32cm","posId":"112","price":20900,"isExtra":false},{"id":"K0000","note":"","count":2,"label":"Balné","posId":"K0000","price":1500,"isExtra":true},{"id":"A121","note":"","count":2,"label":"okraj mozzarella, bylinky","posId":"A121","price":5700,"isExtra":true}]</t>
  </si>
  <si>
    <t>2026-06-05T22:49:03.543+02:00</t>
  </si>
  <si>
    <t>2026-06-05T22:58:06.881+02:00</t>
  </si>
  <si>
    <t>[{"id":"bf1ca81d-de2b-4d6c-b720-bc21d05d5afe","note":"","count":1,"label":"Pepperoni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ks","posId":"jpr200","price":8900,"isExtra":false}]</t>
  </si>
  <si>
    <t>2026-06-05T22:38:08.479+02:00</t>
  </si>
  <si>
    <t>2026-06-05T22:46:40.185+02:00</t>
  </si>
  <si>
    <t>[{"id":"894fa153536a1a5af70ad0bf","count":1,"label":"Quattro Formaggi 40cm","posId":"111","price":30900,"isExtra":false},{"id":"9c3e5446ef3ded7b358f7c2a","count":1,"label":"Balné","posId":"K0000","price":2000,"isExtra":true},{"id":"15899b4356cb45f4fad5074f","count":1,"label":"Pepsi 1l","posId":"N124","price":5900,"isExtra":false}]</t>
  </si>
  <si>
    <t>2026-06-05T22:36:08.374+02:00</t>
  </si>
  <si>
    <t>2026-06-05T22:44:00.166+02:00</t>
  </si>
  <si>
    <t>[{"id":"64289bbb395820dee3a352f4","count":1,"label":"Pepperoni 32cm 🌶️🌶️","posId":"120","price":24900,"isExtra":false},{"id":"2f43df7dedb312c2f3c829b9","count":1,"label":"Balné","posId":"K0000","price":1500,"isExtra":true}]</t>
  </si>
  <si>
    <t>2026-06-05T22:34:03.386+02:00</t>
  </si>
  <si>
    <t>2026-06-05T22:46:01.604+02:00</t>
  </si>
  <si>
    <t>[{"id":"424aec40-766b-4a2f-bcc0-a9d6737ba762","note":"","count":1,"label":"Hawai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</si>
  <si>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2026-06-05T22:30:06.439+02:00</t>
  </si>
  <si>
    <t>2026-06-05T22:43:01.571+02:00</t>
  </si>
  <si>
    <t>[{"id":"64289bbb395820dee3a352f4","count":1,"label":"Pepperoni 32cm 🌶️🌶️","posId":"120","price":24900,"isExtra":false},{"id":"2f43df7dedb312c2f3c829b9","count":1,"label":"Balné","posId":"K0000","price":1500,"isExtra":true},{"id":"2179c22089126fe6683fee77","count":1,"label":"Smetanový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]</t>
  </si>
  <si>
    <t>2026-06-05T22:25:31.806+02:00</t>
  </si>
  <si>
    <t>2026-06-05T22:42:33.728+02:00</t>
  </si>
  <si>
    <t>[{"id":"b97e51ee5d6f66be991dd77d","count":1,"label":"Hawai 32cm","posId":"114","price":24900,"isExtra":false},{"id":"2f43df7dedb312c2f3c829b9","count":1,"label":"Balné","posId":"K0000","price":1500,"isExtra":true}]</t>
  </si>
  <si>
    <t>2026-06-05T22:24:56.227+02:00</t>
  </si>
  <si>
    <t>2026-06-05T22:42:14.241+02:00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</si>
  <si>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32cm","posId":"123","price":24900,"isExtra":false},{"id":"54684842","note":"","count":1,"label":"Balné","posId":"K0000","price":1500,"isExtra":true},{"id":"59592168","note":"","size":"Zeleninová 32cm","count":1,"label":"Zeleninová 32cm","posId":"115","price":24900,"isExtra":false},{"id":"54684842","note":"","count":1,"label":"Balné","posId":"K0000","price":1500,"isExtra":true},{"id":"59592174","note":"","count":1,"label":"USA těsto","posId":"17","price":1000,"isExtra":true},{"id":"54684916","note":"","count":1,"label":"Bez oliv","posId":"X112","price":0,"KDSTags":["redhighlight"],"isExtra":true}]</t>
  </si>
  <si>
    <t>2026-06-05T22:23:01.053+02:00</t>
  </si>
  <si>
    <t>2026-06-05T22:24:48.659+02:00</t>
  </si>
  <si>
    <t>[{"id":"ae6122bb-8203-47ef-8fd2-31bb30c35ba9","count":1,"label":"Pizza Comeback 40 0,5","posId":"H109","price":15450,"isExtra":false,"creatorId":"KgLSH3lSyC144ehBYLzky","isPackging":0,"actualLabel":"Pizza Comeback 40 0,5"},{"id":"2lwz8DLnxAE2XXPjpySDo","count":1,"label":"Bez plněných okrajů","posId":"X1000","price":0,"isExtra":true,"mainItemId":"ae6122bb-8203-47ef-8fd2-31bb30c35ba9"},{"id":"42135a32-92d8-414c-b32e-e8efda92dc52","count":1,"label":"Pizza Zeleninová 40 cm 0,5","posId":"H103","price":15450,"isExtra":false,"creatorId":"buwoMSD9KXrkfERpajdeG","isPackging":0,"actualLabel":"Pizza Zeleninová 40 cm 0,5"},{"id":"2lwz8DLnxAE2XXPjpySDo","count":1,"label":"Bez plněných okrajů","posId":"X1000","price":0,"isExtra":true,"mainItemId":"42135a32-92d8-414c-b32e-e8efda92dc52"},{"id":"QCqt_5oV3ObVHF0PI6CzR","count":1,"label":"Jalapenos 0,5","posId":"HC102","price":1800,"KDSTags":["greenhighlight"],"isExtra":true,"mainItemId":"42135a32-92d8-414c-b32e-e8efda92dc52"}]</t>
  </si>
  <si>
    <t>2026-06-05T22:19:35.192+02:00</t>
  </si>
  <si>
    <t>2026-06-05T22:38:40.142+02:00</t>
  </si>
  <si>
    <t>[{"id":"54684760","note":"","size":"Capricciosa 40cm","count":1,"label":"Capricciosa 40cm","posId":"101","price":30900,"isExtra":false},{"id":"54684837","note":"","count":1,"label":"Balné","posId":"K0000","price":2000,"isExtra":true},{"id":"54684751","note":"","size":"Quattro Formaggi 40cm","count":1,"label":"Quattro Formaggi 40cm","posId":"111","price":30900,"isExtra":false},{"id":"54684837","note":"","count":1,"label":"Balné","posId":"K0000","price":2000,"isExtra":true}]</t>
  </si>
  <si>
    <t>2026-06-05T22:12:54.063+02:00</t>
  </si>
  <si>
    <t>2026-06-05T22:19:59.028+02:00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</si>
  <si>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</si>
  <si>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2026-06-05T22:04:03.856+02:00</t>
  </si>
  <si>
    <t>2026-06-05T22:20:39.060+02:00</t>
  </si>
  <si>
    <t>2026-06-05T22:32:27.709+02:00</t>
  </si>
  <si>
    <t>2026-06-05T22:04:05.164+02:00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</si>
  <si>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</si>
  <si>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2026-06-05T22:00:02.899+02:00</t>
  </si>
  <si>
    <t>2026-06-05T22:20:15.759+02:00</t>
  </si>
  <si>
    <t>2026-06-05T22:37:17.085+02:00</t>
  </si>
  <si>
    <t>2026-06-05T22:00:04.376+02:00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</si>
  <si>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</si>
  <si>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Rodion</t>
  </si>
  <si>
    <t>2026-06-05T21:54:26.414+02:00</t>
  </si>
  <si>
    <t>2026-06-05T22:13:02.009+02:00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</si>
  <si>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dip","posId":"P106","price":2000,"isExtra":false},{"id":"K0000","note":"","count":1,"label":"Balné","posId":"K0000","price":1500,"isExtra":true},{"id":"N131","note":"","count":2,"label":"BIRGO grapefruit 0,5l","posId":"N131","price":4900,"isExtra":false}]</t>
  </si>
  <si>
    <t>Pervyz</t>
  </si>
  <si>
    <t>2026-06-05T21:49:22.459+02:00</t>
  </si>
  <si>
    <t>2026-06-05T22:10:52.650+02:00</t>
  </si>
  <si>
    <t>[{"id":"123","note":"","count":1,"label":"Quattro Formaggi 32cm","posId":"123","price":24900,"isExtra":false},{"id":"K0000","note":"","count":1,"label":"Balné","posId":"K0000","price":1500,"isExtra":true},{"id":"M100","note":"","count":1,"label":"Spicy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1l","posId":"N124","price":0,"isExtra":true},{"id":"118","note":"","count":1,"label":"BBQ Meteor 32cm","posId":"118","price":24900,"isExtra":false},{"id":"K0000","note":"","count":1,"label":"Balné","posId":"K0000","price":1500,"isExtra":true}]</t>
  </si>
  <si>
    <t>2026-06-05T21:49:03.145+02:00</t>
  </si>
  <si>
    <t>2026-06-05T22:15:59.967+02:00</t>
  </si>
  <si>
    <t>2026-06-05T22:31:50.876+02:00</t>
  </si>
  <si>
    <t>2026-06-05T21:51:36.639+02:00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</si>
  <si>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wings","posId":"P101","price":0,"isExtra":true},{"id":"076327f0-673e-43ef-8458-779f0a81a2ab","note":"","count":1,"label":"Pepsi 1l","posId":"N124","price":0,"isExtra":true},{"id":"1a902d9c-c6c4-4e15-b30a-3906f056006f","note":"","count":1,"label":"Pepsi zero sugar 1l","posId":"N125","price":5900,"isExtra":false},{"id":"0c454cc7-3f38-4dea-9e0e-7220d9ba6ce0","note":"","count":1,"label":"Dip česnekový","posId":"P106","price":2000,"isExtra":false}]</t>
  </si>
  <si>
    <t>2026-06-05T21:43:41.781+02:00</t>
  </si>
  <si>
    <t>2026-06-05T22:08:50.036+02:00</t>
  </si>
  <si>
    <t>[{"id":"aa588a4ec21766ddfa6fd918","count":2,"label":"Comeback 40cm 🌶️","posId":"109","price":30900,"isExtra":false},{"id":"9c3e5446ef3ded7b358f7c2a","count":2,"label":"Balné","posId":"K0000","price":2000,"isExtra":true}]</t>
  </si>
  <si>
    <t>2026-06-05T21:43:31.513+02:00</t>
  </si>
  <si>
    <t>2026-06-05T22:04:09.394+02:00</t>
  </si>
  <si>
    <t>[{"id":"54684795","note":"","size":"Pepperoni Rolls 🌶️","count":1,"label":"Pepperoni Rolls 🌶️","posId":"P100","price":8900,"isExtra":false},{"id":"54684842","note":"","count":1,"label":"Balné","posId":"K0000","price":1500,"isExtra":true},{"id":"54684755","note":"","size":"BBQ Texas 40cm","count":1,"label":"BBQ Texas 40cm","posId":"107","price":30900,"isExtra":false},{"id":"54684837","note":"","count":1,"label":"Balné","posId":"K0000","price":2000,"isExtra":true},{"id":"59555761","note":"","count":1,"label":"Smetanový základ","posId":"ZBS40","price":0,"isExtra":true},{"id":"54684868","note":"","count":1,"label":"okraj mozzarella, bbq omáčka","posId":"A124","price":6500,"isExtra":true}]</t>
  </si>
  <si>
    <t>Bubník Martin</t>
  </si>
  <si>
    <t>2026-06-05T21:39:22.381+02:00</t>
  </si>
  <si>
    <t>2026-06-05T21:58:48.140+02:00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</si>
  <si>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</si>
  <si>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2026-06-05T21:37:37.692+02:00</t>
  </si>
  <si>
    <t>2026-06-05T22:01:29.191+02:00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</si>
  <si>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bylinky","posId":"A121","price":5700,"isExtra":true},{"id":"01e72685876a6622f5378cba","count":1,"label":"Žampiony","posId":"B105","price":2500,"KDSTags":["greenhighlight"],"isExtra":true},{"id":"251f33e3ed796eca31390987","count":1,"label":"BBQ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základ","posId":"ZBR32","price":0,"isExtra":true},{"id":"9aa65ac5bd9db28d8469481e","count":1,"label":"okraj hotdog, hořčice","posId":"A117","price":5700,"isExtra":true},{"id":"5329159316727e06e4d822ec","count":1,"label":"Kukuřice","posId":"B115","price":2500,"KDSTags":["greenhighlight"],"isExtra":true},{"id":"623094757bf405e05218647f","count":1,"label":"Jablečno-skořicové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</si>
  <si>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2026-06-05T21:36:38.114+02:00</t>
  </si>
  <si>
    <t>2026-06-05T21:52:00.931+02:00</t>
  </si>
  <si>
    <t>[{"id":"e7c1c602dc965c0159e9efb8","count":1,"label":"Pepperoni 40cm 🌶️🌶️","posId":"108","price":30900,"isExtra":false},{"id":"9c3e5446ef3ded7b358f7c2a","count":1,"label":"Balné","posId":"K0000","price":2000,"isExtra":true}]</t>
  </si>
  <si>
    <t>2026-06-05T21:35:38.137+02:00</t>
  </si>
  <si>
    <t>2026-06-05T21:51:03.281+02:00</t>
  </si>
  <si>
    <t>[{"id":"aa588a4ec21766ddfa6fd918","count":1,"label":"Comeback 40cm 🌶️","posId":"109","price":30900,"isExtra":false},{"id":"9c3e5446ef3ded7b358f7c2a","count":1,"label":"Balné","posId":"K0000","price":2000,"isExtra":true},{"id":"15899b4356cb45f4fad5074f","count":1,"label":"Pepsi 1l","posId":"N124","price":5900,"isExtra":false}]</t>
  </si>
  <si>
    <t>2026-06-05T21:32:02.212+02:00</t>
  </si>
  <si>
    <t>2026-06-05T21:52:39.926+02:00</t>
  </si>
  <si>
    <t>[{"id":"63d3d8e2-08ad-42e7-bee2-0e2c8e2248bf","note":"","count":1,"label":"BBQ Texas 40 cm","posId":"107","price":30900,"isExtra":false}]</t>
  </si>
  <si>
    <t>2026-06-05T21:26:50.948+02:00</t>
  </si>
  <si>
    <t>2026-06-05T21:49:27.937+02:00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</si>
  <si>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40cm","posId":"111","price":30900,"isExtra":false},{"id":"54684837","note":"","count":1,"label":"Balné","posId":"K0000","price":2000,"isExtra":true},{"id":"54684757","note":"","size":"Baby špenát &amp; kuře 40cm","count":1,"label":"Baby špenát &amp; kuře 40cm","posId":"104","price":30900,"isExtra":false},{"id":"54684837","note":"","count":1,"label":"Balné","posId":"K0000","price":2000,"isExtra":true}]</t>
  </si>
  <si>
    <t>2026-06-05T21:25:53.280+02:00</t>
  </si>
  <si>
    <t>2026-06-05T21:46:42.984+02:00</t>
  </si>
  <si>
    <t>[{"id":"54684760","note":"Prosim rajčatový základ","size":"Capricciosa 40cm","count":1,"label":"Capricciosa 40cm","posId":"101","price":30900,"isExtra":false},{"id":"54684837","note":"","count":1,"label":"Balné","posId":"K0000","price":2000,"isExtra":true},{"id":"54684921","note":"","count":1,"label":"okraj hotdog, bez omáčky","posId":"A126","price":6500,"isExtra":true},{"id":"54684889","note":"","count":1,"label":"Bez oliv","posId":"X112","price":0,"KDSTags":["redhighlight"],"isExtra":true},{"id":"54684756","note":"","size":"BBQ Meteor 40cm","count":1,"label":"BBQ Meteor 40cm","posId":"106","price":30900,"isExtra":false},{"id":"54684837","note":"","count":1,"label":"Balné","posId":"K0000","price":2000,"isExtra":true},{"id":"59555758","note":"","count":1,"label":"Rajčatový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bylinky","posId":"A122","price":6500,"isExtra":true},{"id":"54684795","note":"","size":"Pepperoni Rolls 🌶️","count":2,"label":"Pepperoni Rolls 🌶️","posId":"P100","price":8900,"isExtra":false},{"id":"54684842","note":"","count":2,"label":"Balné","posId":"K0000","price":1500,"isExtra":true},{"id":"54684799","note":"","size":"Choco Rolls","count":2,"label":"Choco Rolls","posId":"chr100","price":8900,"isExtra":false},{"id":"54684842","note":"","count":2,"label":"Balné","posId":"K0000","price":1500,"isExtra":true}]</t>
  </si>
  <si>
    <t>2026-06-05T21:25:31.597+02:00</t>
  </si>
  <si>
    <t>2026-06-05T21:41:25.404+02:00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</si>
  <si>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základ","posId":"ZSR40","price":0,"isExtra":true},{"id":"9b134e33f1db18460c30380b","count":1,"label":"okraj mozzarella, bylinky","posId":"A122","price":6500,"isExtra":true},{"id":"da61ec74e0d8131c40023b22","count":1,"label":"Pepperoni salám","posId":"C109","price":4000,"KDSTags":["greenhighlight"],"isExtra":true}]</t>
  </si>
  <si>
    <t>2026-06-05T21:25:03.299+02:00</t>
  </si>
  <si>
    <t>2026-06-05T21:36:17.223+02:00</t>
  </si>
  <si>
    <t>[{"id":"ebbdea4a82f71bcf760d8142","count":1,"label":"Capricciosa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</si>
  <si>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2026-06-05T21:24:02.282+02:00</t>
  </si>
  <si>
    <t>2026-06-05T21:37:56.604+02:00</t>
  </si>
  <si>
    <t>2026-06-05T21:52:44.712+02:00</t>
  </si>
  <si>
    <t>2026-06-05T21:24:03.347+02:00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</si>
  <si>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bylinky","posId":"A121","price":5700,"isExtra":true}]</t>
  </si>
  <si>
    <t>2026-06-05T21:09:23.469+02:00</t>
  </si>
  <si>
    <t>2026-06-05T21:15:16.104+02:00</t>
  </si>
  <si>
    <t>[{"id":"64289bbb395820dee3a352f4","count":1,"label":"Pepperoni 32cm 🌶️🌶️","posId":"120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2a7722ec4a3c30c4c960a43b","count":1,"label":"Guarana kiwi a jablko","posId":"N144","price":5500,"isExtra":false}]</t>
  </si>
  <si>
    <t>2026-06-05T20:51:28.128+02:00</t>
  </si>
  <si>
    <t>2026-06-05T21:02:28.134+02:00</t>
  </si>
  <si>
    <t>[{"id":"59592170","note":"","size":"Capricciosa 32cm","count":1,"label":"Capricciosa 32cm","posId":"113","price":24900,"isExtra":false},{"id":"54684842","note":"","count":1,"label":"Balné","posId":"K0000","price":1500,"isExtra":true},{"id":"57179862","note":"","count":1,"label":"BBQ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🌶️","posId":"121","price":24900,"isExtra":false},{"id":"54684842","note":"","count":1,"label":"Balné","posId":"K0000","price":1500,"isExtra":true}]</t>
  </si>
  <si>
    <t>2026-06-05T20:45:03.499+02:00</t>
  </si>
  <si>
    <t>2026-06-05T21:08:59.633+02:00</t>
  </si>
  <si>
    <t>2026-06-05T21:15:05.251+02:00</t>
  </si>
  <si>
    <t>2026-06-05T20:45:05.459+02:00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</si>
  <si>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</si>
  <si>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2026-06-05T20:26:03.416+02:00</t>
  </si>
  <si>
    <t>2026-06-05T20:38:14.457+02:00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</si>
  <si>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bylinky","posId":"A122","price":6500,"isExtra":true}]</t>
  </si>
  <si>
    <t>2026-06-05T20:21:52.365+02:00</t>
  </si>
  <si>
    <t>2026-06-05T20:34:19.969+02:00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</si>
  <si>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32cm","posId":"112","price":20900,"isExtra":false},{"id":"54684842","note":"","count":1,"label":"Balné","posId":"K0000","price":1500,"isExtra":true},{"id":"54684945","note":"","count":1,"label":"Šunka","posId":"B106","price":3000,"KDSTags":["greenhighlight"],"isExtra":true}]</t>
  </si>
  <si>
    <t>2026-06-05T20:08:02.685+02:00</t>
  </si>
  <si>
    <t>2026-06-05T20:27:28.075+02:00</t>
  </si>
  <si>
    <t>2026-06-05T20:37:49.142+02:00</t>
  </si>
  <si>
    <t>2026-06-05T20:09:37.171+02:00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</si>
  <si>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</si>
  <si>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2026-06-05T20:08:02.654+02:00</t>
  </si>
  <si>
    <t>2026-06-05T20:24:24.669+02:00</t>
  </si>
  <si>
    <t>2026-06-05T20:57:40.907+02:00</t>
  </si>
  <si>
    <t>2026-06-05T20:08:04.389+02:00</t>
  </si>
  <si>
    <t>[{"id":"3171e692-1adb-4333-8054-b1a7b136b69f","note":"","count":1,"label":"Pepperoni 32 cm","posId":"144","price":24900,"isExtra":false},{"id":"4aed5471-c8ca-405d-bfd1-1a7601f72348","note":"","count":1,"label":"Quattro Formaggi 32 cm","posId":"147","price":24900,"isExtra":false},{"id":"eeb9b1ff-cedd-4112-8a46-47533eec93b4","note":"","count":1,"label":"Margherita 32 cm","posId":"136","price":20900,"isExtra":false},{"id":"0c454cc7-3f38-4dea-9e0e-7220d9ba6ce0","note":"","count":3,"label":"Dip česnekový","posId":"P106","price":2000,"isExtra":false}]</t>
  </si>
  <si>
    <t>2026-06-05T20:07:02.687+02:00</t>
  </si>
  <si>
    <t>2026-06-05T20:26:54.331+02:00</t>
  </si>
  <si>
    <t>2026-06-05T21:30:39.073+02:00</t>
  </si>
  <si>
    <t>2026-06-05T20:55:04.471+02:00</t>
  </si>
  <si>
    <t>[{"id":"da87890c-3168-4c6e-82ff-b4549f8e0031","note":"","count":1,"label":"Veggieballs 32 cm","posId":"117","price":24900,"isExtra":false},{"id":"0c454cc7-3f38-4dea-9e0e-7220d9ba6ce0","note":"","count":1,"label":"Dip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</si>
  <si>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2026-06-05T20:06:00.248+02:00</t>
  </si>
  <si>
    <t>2026-06-05T20:18:31.519+02:00</t>
  </si>
  <si>
    <t>[{"id":"b6ffa1a1cad6e0911847a661","count":1,"label":"Margherita 32cm","posId":"112","price":20900,"isExtra":false},{"id":"2f43df7dedb312c2f3c829b9","count":1,"label":"Balné","posId":"K0000","price":1500,"isExtra":true},{"id":"ce6f9717e21b4a79f0b40c10","count":1,"label":"okraj mozzarella, bbq omáčka","posId":"A123","price":5700,"isExtra":true},{"id":"9ff3290dd0856efee7971f0d","count":1,"label":"Baby špenát &amp; kuře 40cm","posId":"104","price":30900,"isExtra":false},{"id":"9c3e5446ef3ded7b358f7c2a","count":1,"label":"Balné","posId":"K0000","price":2000,"isExtra":true},{"id":"a643f2457d9ae387f1a87824","count":1,"label":"okraj mozzarella, bbq omáčka","posId":"A124","price":6500,"isExtra":true},{"id":"96a8a5cf958cf092de1d3f19","count":1,"label":"Margherita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,{"id":"af4a444b755ede3e534307ff","count":1,"label":"Šunka","posId":"C106","price":4000,"KDSTags":["greenhighlight"],"isExtra":true},{"id":"7ed3d726760a75b810f49cfc","count":1,"label":"Slanina","posId":"C108","price":4000,"KDSTags":["greenhighlight"],"isExtra":true},{"id":"9d5abf3ba9f3480daaf4102b","count":1,"label":"Pepperoni Rolls 🌶️","posId":"P100","price":8900,"isExtra":false},{"id":"2f43df7dedb312c2f3c829b9","count":1,"label":"Balné","posId":"K0000","price":1500,"isExtra":true},{"id":"534340cf97d1876b8244e845","count":1,"label":"Česnekový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</si>
  <si>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2026-06-05T19:52:53.102+02:00</t>
  </si>
  <si>
    <t>2026-06-05T20:10:56.820+02:00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</si>
  <si>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🌶️🌶️","posId":"122","price":24900,"isExtra":false},{"id":"2f43df7dedb312c2f3c829b9","count":1,"label":"Balné","posId":"K0000","price":1500,"isExtra":true},{"id":"13bc34972a864e03558263de","count":1,"label":"bez plněných okrajů","posId":"X1000","price":0,"isExtra":true},{"id":"b6ffa1a1cad6e0911847a661","count":1,"label":"Margherita 32cm","posId":"112","price":20900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b6ffa1a1cad6e0911847a661","count":1,"label":"Margherita 32cm","posId":"112","price":20900,"isExtra":false},{"id":"2f43df7dedb312c2f3c829b9","count":1,"label":"Balné","posId":"K0000","price":1500,"isExtra":true}]</t>
  </si>
  <si>
    <t>2026-06-05T19:49:03.270+02:00</t>
  </si>
  <si>
    <t>2026-06-05T20:20:58.626+02:00</t>
  </si>
  <si>
    <t>2026-06-05T20:45:03.609+02:00</t>
  </si>
  <si>
    <t>2026-06-05T19:49:04.564+02:00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</si>
  <si>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</si>
  <si>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2026-06-05T19:48:53.114+02:00</t>
  </si>
  <si>
    <t>2026-06-05T20:06:54.034+02:00</t>
  </si>
  <si>
    <t>[{"id":"12800ce808ad8ec470947c77","count":2,"label":"Comeback 32cm 🌶️","posId":"121","price":24900,"isExtra":false},{"id":"2f43df7dedb312c2f3c829b9","count":2,"label":"Balné","posId":"K0000","price":1500,"isExtra":true}]</t>
  </si>
  <si>
    <t>2026-06-05T19:46:03.031+02:00</t>
  </si>
  <si>
    <t>2026-06-05T20:00:47.392+02:00</t>
  </si>
  <si>
    <t>2026-06-05T20:19:13.495+02:00</t>
  </si>
  <si>
    <t>2026-06-05T19:46:06.731+02:00</t>
  </si>
  <si>
    <t>[{"id":"9e57b04a-60a4-42b3-b546-f61fd741762c","note":"","count":1,"label":"Quattro Formaggi 18 cm","posId":"135","price":11900,"isExtra":false},{"id":"6fac1de4-9c86-46df-a533-30c3e57f53c0","note":"","count":1,"label":"BBQ Texas 32 cm","posId":"143","price":24900,"isExtra":false},{"id":"2725a3d1-b696-46fb-83aa-c7691209afce","note":"","count":1,"label":"Zeleninová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základ","posId":"A129","price":0,"isExtra":true}]</t>
  </si>
  <si>
    <t>2026-06-05T19:45:51.872+02:00</t>
  </si>
  <si>
    <t>2026-06-05T20:04:55.387+02:00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</si>
  <si>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bylinky","posId":"A121","price":5700,"isExtra":true},{"id":"54684895","note":"","count":1,"label":"Olivy","posId":"B112","price":2500,"KDSTags":["greenhighlight"],"isExtra":true},{"id":"59592161","note":"","size":"Margherita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salám","posId":"B109","price":3000,"KDSTags":["greenhighlight"],"isExtra":true},{"id":"59592170","note":"","size":"Capricciosa 32cm","count":1,"label":"Capricciosa 32cm","posId":"113","price":24900,"isExtra":false},{"id":"54684842","note":"","count":1,"label":"Balné","posId":"K0000","price":1500,"isExtra":true},{"id":"57179862","note":"","count":1,"label":"BBQ základ","posId":"ZRB32","price":0,"isExtra":true}]</t>
  </si>
  <si>
    <t>2026-06-05T19:43:02.671+02:00</t>
  </si>
  <si>
    <t>2026-06-05T19:58:34.294+02:00</t>
  </si>
  <si>
    <t>2026-06-05T20:09:52.635+02:00</t>
  </si>
  <si>
    <t>2026-06-05T19:43:03.809+02:00</t>
  </si>
  <si>
    <t>[{"id":"3171e692-1adb-4333-8054-b1a7b136b69f","note":"","count":1,"label":"Pepperoni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</si>
  <si>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2026-06-05T19:42:36.652+02:00</t>
  </si>
  <si>
    <t>2026-06-05T19:55:14.606+02:00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</si>
  <si>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32cm","posId":"112","price":20900,"isExtra":false},{"id":"54684842","note":"","count":1,"label":"Balné","posId":"K0000","price":1500,"isExtra":true},{"id":"59592170","note":"","size":"Capricciosa 32cm","count":1,"label":"Capricciosa 32cm","posId":"113","price":24900,"isExtra":false},{"id":"54684842","note":"","count":1,"label":"Balné","posId":"K0000","price":1500,"isExtra":true},{"id":"54684866","note":"","count":1,"label":"okraj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bylinky","posId":"A121","price":5700,"isExtra":true},{"id":"54684895","note":"","count":1,"label":"Olivy","posId":"B112","price":2500,"KDSTags":["greenhighlight"],"isExtra":true}]</t>
  </si>
  <si>
    <t>2026-06-05T19:41:02.771+02:00</t>
  </si>
  <si>
    <t>2026-06-05T19:53:56.504+02:00</t>
  </si>
  <si>
    <t>[{"id":"cb1b8132-0c9b-419f-9b1c-568c16576a0c","note":"","count":1,"label":"Pepperoni 40 cm","posId":"108","price":30900,"isExtra":false}]</t>
  </si>
  <si>
    <t>2026-06-05T19:24:02.710+02:00</t>
  </si>
  <si>
    <t>2026-06-05T19:34:57.465+02:00</t>
  </si>
  <si>
    <t>[{"id":"49e8d1c4-1e97-4089-9514-2970c15092b6","note":"","count":1,"label":"BBQ Meteor 40 cm","posId":"106","price":30900,"isExtra":false}]</t>
  </si>
  <si>
    <t>2026-06-05T19:17:00.839+02:00</t>
  </si>
  <si>
    <t>2026-06-05T19:29:40.547+02:00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</si>
  <si>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54684948","note":"","count":1,"label":"Slanina","posId":"B108","price":3000,"KDSTags":["greenhighlight"],"isExtra":true},{"id":"57405766","note":"","size":"Pepsi 1l","count":1,"label":"Pepsi 1l","posId":"N124","price":5900,"isExtra":false}]</t>
  </si>
  <si>
    <t>2026-06-05T19:17:00.447+02:00</t>
  </si>
  <si>
    <t>2026-06-05T19:29:45.573+02:00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</si>
  <si>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</si>
  <si>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Javid</t>
  </si>
  <si>
    <t>2026-06-05T19:15:47.993+02:00</t>
  </si>
  <si>
    <t>2026-06-05T19:26:10.396+02:00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</si>
  <si>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</si>
  <si>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2026-06-05T19:13:09.184+02:00</t>
  </si>
  <si>
    <t>2026-06-05T19:24:24.346+02:00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</si>
  <si>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</si>
  <si>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2026-06-05T19:13:02.561+02:00</t>
  </si>
  <si>
    <t>2026-06-05T19:30:08.290+02:00</t>
  </si>
  <si>
    <t>2026-06-05T19:43:10.970+02:00</t>
  </si>
  <si>
    <t>2026-06-05T19:13:03.888+02:00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</si>
  <si>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ks","posId":"jpr200","price":8900,"isExtra":false}]</t>
  </si>
  <si>
    <t>2026-06-05T19:08:46.863+02:00</t>
  </si>
  <si>
    <t>2026-06-05T19:15:54.175+02:00</t>
  </si>
  <si>
    <t>[{"id":"59592169","note":"","size":"Hawai 32cm","count":1,"label":"Hawai 32cm","posId":"114","price":24900,"isExtra":false},{"id":"54684842","note":"","count":1,"label":"Balné","posId":"K0000","price":1500,"isExtra":true}]</t>
  </si>
  <si>
    <t>2026-06-05T19:07:03.564+02:00</t>
  </si>
  <si>
    <t>2026-06-05T19:21:42.560+02:00</t>
  </si>
  <si>
    <t>[{"id":"cb1b8132-0c9b-419f-9b1c-568c16576a0c","note":"","count":1,"label":"Pepperoni 40 cm","posId":"108","price":30900,"isExtra":false},{"id":"cd609a07-df60-45aa-80ee-74409e6c9fa9","note":"","count":1,"label":"Ananas","posId":"C100","price":3500,"KDSTags":["greenhighlight"],"isExtra":true}]</t>
  </si>
  <si>
    <t>2026-06-05T19:04:20.232+02:00</t>
  </si>
  <si>
    <t>2026-06-05T19:19:41.692+02:00</t>
  </si>
  <si>
    <t>[{"id":"54684750","note":"","size":"Margherita 40cm","count":1,"label":"Margherita 40cm","posId":"100","price":26900,"isExtra":false},{"id":"54684837","note":"","count":1,"label":"Balné","posId":"K0000","price":2000,"isExtra":true},{"id":"54684751","note":"","size":"Quattro Formaggi 40cm","count":1,"label":"Quattro Formaggi 40cm","posId":"111","price":30900,"isExtra":false},{"id":"54684837","note":"","count":1,"label":"Balné","posId":"K0000","price":2000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salám","posId":"C109","price":4000,"KDSTags":["greenhighlight"],"isExtra":true},{"id":"54684795","note":"","size":"Pepperoni Rolls 🌶️","count":1,"label":"Pepperoni Rolls 🌶️","posId":"P100","price":8900,"isExtra":false},{"id":"54684842","note":"","count":1,"label":"Balné","posId":"K0000","price":1500,"isExtra":true},{"id":"57423462","note":"","size":"Jalapeňos dip","count":2,"label":"Jalapeňos dip","posId":"P107","price":2000,"isExtra":false},{"id":"54684842","note":"","count":2,"label":"Balné","posId":"K0000","price":1500,"isExtra":true}]</t>
  </si>
  <si>
    <t>Andrii</t>
  </si>
  <si>
    <t>2026-06-05T18:58:57.831+02:00</t>
  </si>
  <si>
    <t>2026-06-05T19:13:15.022+02:00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</si>
  <si>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🌶️","posId":"P100","price":8900,"isExtra":false},{"id":"K0000","note":"","count":1,"label":"Balné","posId":"K0000","price":1500,"isExtra":true},{"id":"P107","note":"","count":1,"label":"Jalapeňos dip","posId":"P107","price":2000,"isExtra":false},{"id":"K0000","note":"","count":1,"label":"Balné","posId":"K0000","price":1500,"isExtra":true},{"id":"P106","note":"","count":1,"label":"Česnekový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</si>
  <si>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2026-06-05T18:50:03.019+02:00</t>
  </si>
  <si>
    <t>2026-06-05T18:59:57.114+02:00</t>
  </si>
  <si>
    <t>2026-06-05T19:05:24.833+02:00</t>
  </si>
  <si>
    <t>2026-06-05T18:51:18.929+02:00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</si>
  <si>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-olivy","posId":"X112","price":0,"KDSTags":["redhighlight"],"isExtra":true},{"id":"63675afb-9d1b-42b2-9d42-9e80500fdd28","note":"","count":1,"label":"Comeback 40 cm","posId":"109","price":30900,"isExtra":false}]</t>
  </si>
  <si>
    <t>2026-06-05T18:45:38.239+02:00</t>
  </si>
  <si>
    <t>2026-06-05T18:53:26.133+02:00</t>
  </si>
  <si>
    <t>[{"id":"96a8a5cf958cf092de1d3f19","count":1,"label":"Margherita 40cm","posId":"100","price":26900,"isExtra":false},{"id":"9c3e5446ef3ded7b358f7c2a","count":1,"label":"Balné","posId":"K0000","price":2000,"isExtra":true}]</t>
  </si>
  <si>
    <t>2026-06-05T18:45:02.789+02:00</t>
  </si>
  <si>
    <t>2026-06-05T18:56:35.459+02:00</t>
  </si>
  <si>
    <t>2026-06-05T19:10:55.239+02:00</t>
  </si>
  <si>
    <t>2026-06-05T18:45:30.417+02:00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</si>
  <si>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</si>
  <si>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2026-06-05T18:44:43.609+02:00</t>
  </si>
  <si>
    <t>2026-06-05T18:48:39.396+02:00</t>
  </si>
  <si>
    <t>[{"id":"4a20dc15-9932-4890-a338-4b8782bfca29","count":1,"label":"Pizza Comeback 40","posId":"109","price":30900,"isExtra":false,"creatorId":"tFyDrcYgq-lv-qW0BF_6Z","isPackging":0,"actualLabel":"Pizza Comeback 40"}]</t>
  </si>
  <si>
    <t>2026-06-05T18:39:05.375+02:00</t>
  </si>
  <si>
    <t>2026-06-05T18:50:08.989+02:00</t>
  </si>
  <si>
    <t>[{"id":"534340cf97d1876b8244e845","count":1,"label":"Česnekový dip","posId":"P106","price":2000,"isExtra":false},{"id":"2f43df7dedb312c2f3c829b9","count":1,"label":"Balné","posId":"K0000","price":1500,"isExtra":true},{"id":"9d5abf3ba9f3480daaf4102b","count":1,"label":"Pepperoni Rolls 🌶️","posId":"P100","price":8900,"isExtra":false},{"id":"2f43df7dedb312c2f3c829b9","count":1,"label":"Balné","posId":"K0000","price":1500,"isExtra":true},{"id":"e7c1c602dc965c0159e9efb8","count":1,"label":"Pepperoni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bylinky","posId":"A122","price":6500,"isExtra":true}]</t>
  </si>
  <si>
    <t>2026-06-05T18:38:02.698+02:00</t>
  </si>
  <si>
    <t>2026-06-05T18:46:38.469+02:00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</si>
  <si>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</si>
  <si>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2026-06-05T18:34:27.108+02:00</t>
  </si>
  <si>
    <t>2026-06-05T18:44:09.543+02:00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</si>
  <si>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</si>
  <si>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2026-06-05T18:33:32.708+02:00</t>
  </si>
  <si>
    <t>2026-06-05T18:40:33.983+02:00</t>
  </si>
  <si>
    <t>2026-06-05T18:30:37.130+02:00</t>
  </si>
  <si>
    <t>2026-06-05T18:41:22.593+02:00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</si>
  <si>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</si>
  <si>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2026-06-05T18:30:02.213+02:00</t>
  </si>
  <si>
    <t>2026-06-05T18:37:05.231+02:00</t>
  </si>
  <si>
    <t>2026-06-05T19:04:57.432+02:00</t>
  </si>
  <si>
    <t>2026-06-05T18:30:05.307+02:00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</si>
  <si>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</si>
  <si>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2026-06-05T18:21:03.329+02:00</t>
  </si>
  <si>
    <t>2026-06-05T18:28:10.740+02:00</t>
  </si>
  <si>
    <t>2026-06-05T18:55:19.345+02:00</t>
  </si>
  <si>
    <t>2026-06-05T18:21:05.469+02:00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</si>
  <si>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</si>
  <si>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2026-06-05T18:18:02.984+02:00</t>
  </si>
  <si>
    <t>2026-06-05T18:29:32.488+02:00</t>
  </si>
  <si>
    <t>2026-06-05T18:46:17.423+02:00</t>
  </si>
  <si>
    <t>2026-06-05T18:18:03.809+02:00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</si>
  <si>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</si>
  <si>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2026-06-05T18:15:41.826+02:00</t>
  </si>
  <si>
    <t>2026-06-05T18:25:12.390+02:00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</si>
  <si>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🌶️🌶️","posId":"120","price":24900,"isExtra":false},{"id":"54684842","note":"","count":1,"label":"Balné","posId":"K0000","price":1500,"isExtra":true},{"id":"59592170","note":"Dobrý den, mohl bych poprosit dát olivy na salámovou pizzu místo capricciosu? Předem díky.","size":"Capricciosa 32cm","count":1,"label":"Capricciosa 32cm","posId":"113","price":24900,"isExtra":false},{"id":"54684842","note":"","count":1,"label":"Balné","posId":"K0000","price":1500,"isExtra":true},{"id":"57179851","note":"","count":1,"label":"Smetanový základ","posId":"ZRS32","price":0,"isExtra":true},{"id":"54684889","note":"","count":1,"label":"Bez oliv","posId":"X112","price":0,"KDSTags":["redhighlight"],"isExtra":true}]</t>
  </si>
  <si>
    <t>2026-06-05T18:05:40.728+02:00</t>
  </si>
  <si>
    <t>2026-06-05T18:13:12.082+02:00</t>
  </si>
  <si>
    <t>[{"id":"64289bbb395820dee3a352f4","count":1,"label":"Pepperoni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</si>
  <si>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2026-06-05T18:02:36.860+02:00</t>
  </si>
  <si>
    <t>2026-06-05T18:12:19.574+02:00</t>
  </si>
  <si>
    <t>[{"id":"3ce00c7888c3f6c64a108aae","count":1,"label":"Quattro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bylinky","posId":"A121","price":5700,"isExtra":true},{"id":"6dd95d267276b256b3cb02db","count":1,"label":"Baby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</si>
  <si>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2026-06-05T17:48:27.260+02:00</t>
  </si>
  <si>
    <t>2026-06-05T17:58:13.499+02:00</t>
  </si>
  <si>
    <t>[{"id":"9d5abf3ba9f3480daaf4102b","count":2,"label":"Pepperoni Rolls 🌶️","posId":"P100","price":8900,"isExtra":false},{"id":"2f43df7dedb312c2f3c829b9","count":2,"label":"Balné","posId":"K0000","price":1500,"isExtra":true},{"id":"18dccfd0f1d700e21a73bb3f","count":1,"label":"BBQ Texas 40cm","posId":"107","price":30900,"isExtra":false},{"id":"9c3e5446ef3ded7b358f7c2a","count":1,"label":"Balné","posId":"K0000","price":2000,"isExtra":true},{"id":"c2f0d4a2510fbdafed8c4f00","count":1,"label":"bez plněných okrajů","posId":"X1000","price":0,"isExtra":true},{"id":"040eb5140b0d6a4c5f7c0185","count":1,"label":"Bez cibule","posId":"X103","price":0,"KDSTags":["redhighlight"],"isExtra":true},{"id":"da61ec74e0d8131c40023b22","count":1,"label":"Pepperoni salám","posId":"C109","price":4000,"KDSTags":["greenhighlight"],"isExtra":true},{"id":"e7c1c602dc965c0159e9efb8","count":1,"label":"Pepperoni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okrajů","posId":"X1000","price":0,"isExtra":true},{"id":"eb325fbf5298e265e16552eb","count":1,"label":"Grana padano, pecorino, parmazán","posId":"C130","price":4000,"KDSTags":["greenhighlight"],"isExtra":true},{"id":"c92f997635d112b6136a4b9c","count":1,"label":"Jalapeňos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</si>
  <si>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2026-06-05T17:48:02.743+02:00</t>
  </si>
  <si>
    <t>2026-06-05T18:02:07.212+02:00</t>
  </si>
  <si>
    <t>2026-06-05T18:29:34.224+02:00</t>
  </si>
  <si>
    <t>2026-06-05T17:49:56.408+02:00</t>
  </si>
  <si>
    <t>[{"id":"5e57993d-26f3-465c-aa35-1e3806b0b477","note":"","count":2,"label":"Hot &amp; Spicy 32 cm","posId":"122","price":24900,"isExtra":false},{"id":"1aa4b142-e6d7-4d61-ba94-40298841a888","note":"","count":1,"label":"Quattro Formaggi 32 cm","posId":"123","price":24900,"isExtra":false}]</t>
  </si>
  <si>
    <t>2026-06-05T17:30:47.098+02:00</t>
  </si>
  <si>
    <t>2026-06-05T17:39:12.503+02:00</t>
  </si>
  <si>
    <t>[{"id":"e7c1c602dc965c0159e9efb8","count":1,"label":"Pepperoni 40cm 🌶️🌶️","posId":"108","price":30900,"isExtra":false},{"id":"9c3e5446ef3ded7b358f7c2a","count":1,"label":"Balné","posId":"K0000","price":2000,"isExtra":true},{"id":"c92f997635d112b6136a4b9c","count":1,"label":"Jalapeňos dip","posId":"P107","price":2000,"isExtra":false},{"id":"2f43df7dedb312c2f3c829b9","count":1,"label":"Balné","posId":"K0000","price":1500,"isExtra":true}]</t>
  </si>
  <si>
    <t>2026-06-05T17:27:02.412+02:00</t>
  </si>
  <si>
    <t>2026-06-05T17:47:45.313+02:00</t>
  </si>
  <si>
    <t>2026-06-05T17:58:40.972+02:00</t>
  </si>
  <si>
    <t>2026-06-05T17:27:03.055+02:00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</si>
  <si>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cm","posId":"123","price":24900,"isExtra":false},{"id":"5e57993d-26f3-465c-aa35-1e3806b0b477","note":"","count":1,"label":"Hot &amp; Spicy 32 cm","posId":"122","price":24900,"isExtra":false}]</t>
  </si>
  <si>
    <t>2026-06-05T17:27:00.656+02:00</t>
  </si>
  <si>
    <t>2026-06-05T17:42:36.340+02:00</t>
  </si>
  <si>
    <t>[{"id":"54684751","note":"","size":"Quattro Formaggi 40cm","count":2,"label":"Quattro Formaggi 40cm","posId":"111","price":30900,"isExtra":false},{"id":"54684837","note":"","count":2,"label":"Balné","posId":"K0000","price":2000,"isExtra":true},{"id":"54684825","note":"","count":2,"label":"bez plněných okrajů","posId":"X1000","price":0,"isExtra":true},{"id":"54684878","note":"","count":2,"label":"Žampiony","posId":"C105","price":3500,"KDSTags":["greenhighlight"],"isExtra":true},{"id":"54684942","note":"","count":2,"label":"Šunka","posId":"C106","price":4000,"KDSTags":["greenhighlight"],"isExtra":true}]</t>
  </si>
  <si>
    <t>2026-06-05T17:12:07.025+02:00</t>
  </si>
  <si>
    <t>2026-06-05T17:22:41.508+02:00</t>
  </si>
  <si>
    <t>[{"id":"b97e51ee5d6f66be991dd77d","count":1,"label":"Hawai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bylinky","posId":"A121","price":5700,"isExtra":true},{"id":"d8fab1ab80f9a391b5317464","count":1,"label":"Cibule","posId":"B103","price":2500,"KDSTags":["greenhighlight"],"isExtra":true},{"id":"5b935bb0df055ad3af0dfab7","count":1,"label":"Špenát s česnekem","posId":"B107","price":2500,"KDSTags":["greenhighlight"],"isExtra":true},{"id":"b7477ef8b16abc6ca0a47c1e","count":1,"label":"Pepperoni salám","posId":"B109","price":3000,"KDSTags":["greenhighlight"],"isExtra":true}]</t>
  </si>
  <si>
    <t>2026-06-05T17:11:02.938+02:00</t>
  </si>
  <si>
    <t>2026-06-05T17:18:20.097+02:00</t>
  </si>
  <si>
    <t>2026-06-05T17:42:03.473+02:00</t>
  </si>
  <si>
    <t>2026-06-05T17:11:03.910+02:00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</si>
  <si>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</si>
  <si>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2026-06-05T17:05:02.109+02:00</t>
  </si>
  <si>
    <t>2026-06-05T17:15:27.346+02:00</t>
  </si>
  <si>
    <t>[{"id":"2725a3d1-b696-46fb-83aa-c7691209afce","note":"","count":1,"label":"Zeleninová 32 cm","posId":"115","price":24900,"isExtra":false},{"id":"424aec40-766b-4a2f-bcc0-a9d6737ba762","note":"","count":1,"label":"Hawai 32 cm","posId":"114","price":24900,"isExtra":false}]</t>
  </si>
  <si>
    <t>2026-06-05T16:55:02.516+02:00</t>
  </si>
  <si>
    <t>2026-06-05T17:08:57.931+02:00</t>
  </si>
  <si>
    <t>[{"id":"63675afb-9d1b-42b2-9d42-9e80500fdd28","note":"","count":1,"label":"Comeback 40 cm","posId":"109","price":30900,"isExtra":false},{"id":"df65c440-9414-439e-8f8e-b4f30f154296","note":"","count":1,"label":"Hawai 40 cm","posId":"102","price":30900,"isExtra":false}]</t>
  </si>
  <si>
    <t>2026-06-05T16:51:29.514+02:00</t>
  </si>
  <si>
    <t>2026-06-05T17:00:05.432+02:00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</si>
  <si>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okrajů","posId":"X1000","price":0,"isExtra":true}]</t>
  </si>
  <si>
    <t>2026-06-05T16:49:08.380+02:00</t>
  </si>
  <si>
    <t>2026-06-05T16:58:47.824+02:00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</si>
  <si>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okrajů","posId":"X1000","price":0,"isExtra":true},{"id":"54684945","note":"","count":1,"label":"Šunka","posId":"B106","price":3000,"KDSTags":["greenhighlight"],"isExtra":true},{"id":"59592163","note":"","size":"Hot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🌶️🌶️","posId":"122","price":24900,"isExtra":false},{"id":"54684842","note":"","count":1,"label":"Balné","posId":"K0000","price":1500,"isExtra":true},{"id":"54684831","note":"","count":1,"label":"bez plněných okrajů","posId":"X1000","price":0,"isExtra":true}]</t>
  </si>
  <si>
    <t>Bilets</t>
  </si>
  <si>
    <t>2026-06-05T16:23:47.389+02:00</t>
  </si>
  <si>
    <t>2026-06-05T16:35:23.071+02:00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</si>
  <si>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základ","posId":"ZRB32","price":0,"isExtra":true}]</t>
  </si>
  <si>
    <t>2026-06-05T16:15:34.626+02:00</t>
  </si>
  <si>
    <t>2026-06-05T16:28:06.057+02:00</t>
  </si>
  <si>
    <t>[{"id":"96a8a5cf958cf092de1d3f19","count":1,"label":"Margherita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7ed3d726760a75b810f49cfc","count":1,"label":"Slanina","posId":"C108","price":4000,"KDSTags":["greenhighlight"],"isExtra":true},{"id":"eb325fbf5298e265e16552eb","count":1,"label":"Grana padano, pecorino, parmazán","posId":"C130","price":4000,"KDSTags":["greenhighlight"],"isExtra":true},{"id":"e7c1c602dc965c0159e9efb8","count":1,"label":"Pepperoni 40cm 🌶️🌶️","posId":"108","price":30900,"isExtra":false},{"id":"9c3e5446ef3ded7b358f7c2a","count":1,"label":"Balné","posId":"K0000","price":2000,"isExtra":true},{"id":"eb325fbf5298e265e16552eb","count":1,"label":"Grana padano, pecorino, parmazán","posId":"C130","price":4000,"KDSTags":["greenhighlight"],"isExtra":true}]</t>
  </si>
  <si>
    <t>2026-06-05T15:47:52.703+02:00</t>
  </si>
  <si>
    <t>2026-06-05T15:59:44.294+02:00</t>
  </si>
  <si>
    <t>[{"id":"83c35a9d16ba91a93bc6d994","count":1,"label":"Hot &amp; Spicy 40cm 🌶️🌶️","posId":"110","price":30900,"isExtra":false},{"id":"9c3e5446ef3ded7b358f7c2a","count":1,"label":"Balné","posId":"K0000","price":2000,"isExtra":true}]</t>
  </si>
  <si>
    <t>2026-06-05T15:27:10.532+02:00</t>
  </si>
  <si>
    <t>2026-06-05T15:34:26.122+02:00</t>
  </si>
  <si>
    <t>2026-06-05T15:24:49.641+02:00</t>
  </si>
  <si>
    <t>2026-06-05T15:33:20.123+02:00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</si>
  <si>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okrajů","posId":"X1000","price":0,"isExtra":true}]</t>
  </si>
  <si>
    <t>2026-06-05T15:05:26.356+02:00</t>
  </si>
  <si>
    <t>2026-06-05T15:14:04.099+02:00</t>
  </si>
  <si>
    <t>[{"id":"59592170","note":"","size":"Capricciosa 32cm","count":1,"label":"Capricciosa 32cm","posId":"113","price":24900,"isExtra":false},{"id":"54684842","note":"","count":1,"label":"Balné","posId":"K0000","price":1500,"isExtra":true}]</t>
  </si>
  <si>
    <t>2026-06-05T15:05:26.113+02:00</t>
  </si>
  <si>
    <t>2026-06-05T15:14:09.896+02:00</t>
  </si>
  <si>
    <t>2026-06-05T14:24:02.366+02:00</t>
  </si>
  <si>
    <t>2026-06-05T14:39:21.115+02:00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</si>
  <si>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</si>
  <si>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2026-06-05T14:16:03.673+02:00</t>
  </si>
  <si>
    <t>2026-06-05T14:36:23.456+02:00</t>
  </si>
  <si>
    <t>2026-06-05T14:56:04.015+02:00</t>
  </si>
  <si>
    <t>2026-06-05T14:16:04.728+02:00</t>
  </si>
  <si>
    <t>[{"id":"8929f51d-818c-4c09-96c6-0164428500a2","note":"","count":1,"label":"Baby špenát &amp; kuře 32 cm","posId":"140","price":24900,"isExtra":false},{"id":"720272d2-1717-4af6-8eea-e928bb95234b","note":"","count":1,"label":"kukuřice","posId":"B115","price":2500,"KDSTags":["green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</si>
  <si>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Rustam</t>
  </si>
  <si>
    <t>2026-06-05T14:11:48.771+02:00</t>
  </si>
  <si>
    <t>2026-06-05T14:23:32.885+02:00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</si>
  <si>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</si>
  <si>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2026-06-05T14:02:15.848+02:00</t>
  </si>
  <si>
    <t>2026-06-05T14:08:26.667+02:00</t>
  </si>
  <si>
    <t>[{"id":"02abba76-3343-43c8-bd2c-4bc09ad21f58","count":1,"label":"Pizza Hot &amp; Spicy 18","posId":"134","price":11900,"isExtra":false,"creatorId":"jNPbnfYqz8t4F4o570x6Y","isPackging":0,"actualLabel":"Pizza Hot &amp; Spicy 18"}]</t>
  </si>
  <si>
    <t>2026-06-05T14:02:12.769+02:00</t>
  </si>
  <si>
    <t>2026-06-05T14:15:02.391+02:00</t>
  </si>
  <si>
    <t>[{"id":"15899b4356cb45f4fad5074f","count":1,"label":"Pepsi 1l","posId":"N124","price":5900,"isExtra":false},{"id":"251f33e3ed796eca31390987","count":1,"label":"BBQ Texas 32cm","posId":"119","price":24900,"isExtra":false},{"id":"2f43df7dedb312c2f3c829b9","count":1,"label":"Balné","posId":"K0000","price":1500,"isExtra":true}]</t>
  </si>
  <si>
    <t>2026-06-05T13:31:03.035+02:00</t>
  </si>
  <si>
    <t>2026-06-05T13:42:01.625+02:00</t>
  </si>
  <si>
    <t>2026-06-05T13:53:59.900+02:00</t>
  </si>
  <si>
    <t>2026-06-05T13:31:04.640+02:00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</si>
  <si>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</si>
  <si>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2026-06-05T13:16:00.203+02:00</t>
  </si>
  <si>
    <t>2026-06-05T13:28:28.667+02:00</t>
  </si>
  <si>
    <t>[{"id":"59592164","note":"","size":"Comeback 32cm 🌶️","count":1,"label":"Comeback 32cm 🌶️","posId":"121","price":24900,"isExtra":false},{"id":"54684842","note":"","count":1,"label":"Balné","posId":"K0000","price":1500,"isExtra":true}]</t>
  </si>
  <si>
    <t>2026-06-05T13:07:00.900+02:00</t>
  </si>
  <si>
    <t>2026-06-05T13:24:52.635+02:00</t>
  </si>
  <si>
    <t>[{"id":"b97e51ee5d6f66be991dd77d","count":1,"label":"Hawai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bylinky","posId":"A121","price":5700,"isExtra":true},{"id":"12800ce808ad8ec470947c77","count":1,"label":"Comeback 32cm 🌶️","posId":"121","price":24900,"isExtra":false},{"id":"2f43df7dedb312c2f3c829b9","count":1,"label":"Balné","posId":"K0000","price":1500,"isExtra":true},{"id":"9aa65ac5bd9db28d8469481e","count":1,"label":"okraj hotdog, hořčice","posId":"A117","price":5700,"isExtra":true},{"id":"534340cf97d1876b8244e845","count":1,"label":"Česnekový dip","posId":"P106","price":2000,"isExtra":false},{"id":"2f43df7dedb312c2f3c829b9","count":1,"label":"Balné","posId":"K0000","price":1500,"isExtra":true}]</t>
  </si>
  <si>
    <t>2026-06-05T12:31:50.924+02:00</t>
  </si>
  <si>
    <t>2026-06-05T12:39:33.400+02:00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</si>
  <si>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</si>
  <si>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2026-06-05T12:23:03.492+02:00</t>
  </si>
  <si>
    <t>2026-06-05T12:48:31.425+02:00</t>
  </si>
  <si>
    <t>2026-06-05T13:10:36.196+02:00</t>
  </si>
  <si>
    <t>2026-06-05T12:23:05.694+02:00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</si>
  <si>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</si>
  <si>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2026-06-05T12:20:02.447+02:00</t>
  </si>
  <si>
    <t>2026-06-05T12:33:34.300+02:00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</si>
  <si>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základ","posId":"A128","price":0,"isExtra":true}]</t>
  </si>
  <si>
    <t>2026-06-05T12:12:42.190+02:00</t>
  </si>
  <si>
    <t>2026-06-05T12:28:52.031+02:00</t>
  </si>
  <si>
    <t>[{"id":"12800ce808ad8ec470947c77","count":1,"label":"Comeback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</si>
  <si>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2026-06-05T12:10:48.410+02:00</t>
  </si>
  <si>
    <t>2026-06-05T12:23:06.268+02:00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</si>
  <si>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okrajů","posId":"X1000","price":0,"isExtra":true}]</t>
  </si>
  <si>
    <t>2026-06-05T12:10:47.600+02:00</t>
  </si>
  <si>
    <t>2026-06-05T12:21:00.582+02:00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</si>
  <si>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</si>
  <si>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2026-06-05T12:05:02.968+02:00</t>
  </si>
  <si>
    <t>2026-06-05T12:18:14.246+02:00</t>
  </si>
  <si>
    <t>2026-06-05T12:36:15.448+02:00</t>
  </si>
  <si>
    <t>2026-06-05T12:05:49.027+02:00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</si>
  <si>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</si>
  <si>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2026-06-05T12:02:53.035+02:00</t>
  </si>
  <si>
    <t>2026-06-05T12:08:48.225+02:00</t>
  </si>
  <si>
    <t>[{"id":"54684796","note":"","size":"Česnekový dip","count":1,"label":"Česnekový dip","posId":"P106","price":2000,"isExtra":false},{"id":"54684842","note":"","count":1,"label":"Balné","posId":"K0000","price":1500,"isExtra":true},{"id":"59592165","note":"","size":"Pepperoni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</si>
  <si>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2026-06-05T11:50:27.355+02:00</t>
  </si>
  <si>
    <t>2026-06-05T12:04:55.930+02:00</t>
  </si>
  <si>
    <t>[{"id":"3ce00c7888c3f6c64a108aae","count":1,"label":"Quattro Formaggi 32cm","posId":"123","price":24900,"isExtra":false},{"id":"2f43df7dedb312c2f3c829b9","count":1,"label":"Balné","posId":"K0000","price":1500,"isExtra":true},{"id":"534340cf97d1876b8244e845","count":1,"label":"Česnekový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</si>
  <si>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2026-06-05T11:48:56.435+02:00</t>
  </si>
  <si>
    <t>2026-06-05T12:04:52.361+02:00</t>
  </si>
  <si>
    <t>[{"id":"12800ce808ad8ec470947c77","count":1,"label":"Comeback 32cm 🌶️","posId":"121","price":24900,"isExtra":false},{"id":"2f43df7dedb312c2f3c829b9","count":1,"label":"Balné","posId":"K0000","price":1500,"isExtra":true},{"id":"9aa65ac5bd9db28d8469481e","count":1,"label":"okraj hotdog, hořčice","posId":"A117","price":5700,"isExtra":true},{"id":"348a7fd696b72b2ee84a2e9c","count":1,"label":"Bez cibule","posId":"X103","price":0,"KDSTags":["redhighlight"],"isExtra":true}]</t>
  </si>
  <si>
    <t>2026-06-05T11:47:24.492+02:00</t>
  </si>
  <si>
    <t>2026-06-05T12:02:08.312+02:00</t>
  </si>
  <si>
    <t>Artem</t>
  </si>
  <si>
    <t>2026-06-05T11:46:52.347+02:00</t>
  </si>
  <si>
    <t>2026-06-05T12:00:43.457+02:00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</si>
  <si>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</si>
  <si>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2026-06-05T11:40:43.663+02:00</t>
  </si>
  <si>
    <t>2026-06-05T11:56:56.419+02:00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</si>
  <si>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🌶️🌶️","posId":"108","price":30900,"isExtra":false},{"id":"54684837","note":"","count":1,"label":"Balné","posId":"K0000","price":2000,"isExtra":true},{"id":"59592162","note":"","size":"Quattro Formaggi 32cm","count":1,"label":"Quattro Formaggi 32cm","posId":"123","price":24900,"isExtra":false},{"id":"54684842","note":"","count":1,"label":"Balné","posId":"K0000","price":1500,"isExtra":true},{"id":"59592165","note":"","size":"Pepperoni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🌶️🌶️","posId":"120","price":24900,"isExtra":false},{"id":"54684842","note":"","count":1,"label":"Balné","posId":"K0000","price":1500,"isExtra":true},{"id":"59592170","note":"","size":"Capricciosa 32cm","count":1,"label":"Capricciosa 32cm","posId":"113","price":24900,"isExtra":false},{"id":"54684842","note":"","count":1,"label":"Balné","posId":"K0000","price":1500,"isExtra":true}]</t>
  </si>
  <si>
    <t>2026-06-05T11:34:47.200+02:00</t>
  </si>
  <si>
    <t>2026-06-05T11:47:52.158+02:00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</si>
  <si>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🌶️🌶️","posId":"110","price":30900,"isExtra":false},{"id":"54684837","note":"","count":1,"label":"Balné","posId":"K0000","price":2000,"isExtra":true}]</t>
  </si>
  <si>
    <t>2026-06-05T11:33:03.057+02:00</t>
  </si>
  <si>
    <t>2026-06-05T11:50:14.295+02:00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</si>
  <si>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cm","posId":"113","price":24900,"isExtra":false},{"id":"18bc733c-71df-4b31-ae11-2ee5b242a454","note":"","count":1,"label":"kuře","posId":"B114","price":3000,"KDSTags":["greenhighlight"],"isExtra":true}]</t>
  </si>
  <si>
    <t>2026-06-05T11:30:06.706+02:00</t>
  </si>
  <si>
    <t>2026-06-05T11:44:13.499+02:00</t>
  </si>
  <si>
    <t>[{"id":"623094757bf405e05218647f","count":1,"label":"Jablečno-skořicové rolls","posId":"18","price":8900,"isExtra":false},{"id":"2f43df7dedb312c2f3c829b9","count":1,"label":"Balné","posId":"K0000","price":1500,"isExtra":true},{"id":"b6ffa1a1cad6e0911847a661","count":1,"label":"Margherita 32cm","posId":"112","price":20900,"isExtra":false},{"id":"2f43df7dedb312c2f3c829b9","count":1,"label":"Balné","posId":"K0000","price":1500,"isExtra":true},{"id":"c5a9c941c1f31eb9931eba5d","count":1,"label":"Zeleninová 32cm","posId":"115","price":24900,"isExtra":false},{"id":"2f43df7dedb312c2f3c829b9","count":1,"label":"Balné","posId":"K0000","price":1500,"isExtra":true},{"id":"ebbdea4a82f71bcf760d8142","count":1,"label":"Capricciosa 32cm","posId":"113","price":24900,"isExtra":false},{"id":"2f43df7dedb312c2f3c829b9","count":1,"label":"Balné","posId":"K0000","price":1500,"isExtra":true}]</t>
  </si>
  <si>
    <t>2026-06-05T11:23:59.005+02:00</t>
  </si>
  <si>
    <t>2026-06-05T11:35:02.450+02:00</t>
  </si>
  <si>
    <t>[{"id":"ebbdea4a82f71bcf760d8142","count":2,"label":"Capricciosa 32cm","posId":"113","price":24900,"isExtra":false},{"id":"2f43df7dedb312c2f3c829b9","count":2,"label":"Balné","posId":"K0000","price":1500,"isExtra":true}]</t>
  </si>
  <si>
    <t>2026-06-05T11:18:02.866+02:00</t>
  </si>
  <si>
    <t>2026-06-05T12:07:52.775+02:00</t>
  </si>
  <si>
    <t>2026-06-05T12:22:25.373+02:00</t>
  </si>
  <si>
    <t>2026-06-05T11:18:03.405+02:00</t>
  </si>
  <si>
    <t>[{"id":"63675afb-9d1b-42b2-9d42-9e80500fdd28","note":"","count":1,"label":"Comeback 40 cm","posId":"109","price":30900,"isExtra":false}]</t>
  </si>
  <si>
    <t>Sergiy</t>
  </si>
  <si>
    <t>2026-06-05T11:08:59.990+02:00</t>
  </si>
  <si>
    <t>2026-06-05T11:23:21.195+02:00</t>
  </si>
  <si>
    <t>[{"id":"119","note":"","count":1,"label":"BBQ Texas 32cm","posId":"119","price":24900,"isExtra":false},{"id":"K0000","note":"","count":1,"label":"Balné","posId":"K0000","price":1500,"isExtra":true}]</t>
  </si>
  <si>
    <t>2026-06-05T11:02:02.495+02:00</t>
  </si>
  <si>
    <t>2026-06-05T11:21:01.125+02:00</t>
  </si>
  <si>
    <t>2026-06-05T11:45:23.336+02:00</t>
  </si>
  <si>
    <t>2026-06-05T11:02:03.382+02:00</t>
  </si>
  <si>
    <t>[{"id":"f932f643-9a56-4a16-90b3-20349063a042","note":"","count":1,"label":"Capricciosa 32 cm","posId":"113","price":24900,"isExtra":false}]</t>
  </si>
  <si>
    <t>2026-06-05T10:53:02.091+02:00</t>
  </si>
  <si>
    <t>2026-06-05T11:19:36.881+02:00</t>
  </si>
  <si>
    <t>2026-06-05T11:37:10.030+02:00</t>
  </si>
  <si>
    <t>2026-06-05T10:53:02.630+02:00</t>
  </si>
  <si>
    <t>2026-06-05T10:03:02.537+02:00</t>
  </si>
  <si>
    <t>2026-06-05T11:17:48.017+02:00</t>
  </si>
  <si>
    <t>2026-06-05T11:24:46.463+02:00</t>
  </si>
  <si>
    <t>2026-06-05T10:03:03.482+02:00</t>
  </si>
  <si>
    <t>[{"id":"be5c7908-f592-4704-987f-cd7d7281f32e","note":"","count":1,"label":"Comeback 32 cm","posId":"121","price":24900,"isExtra":false},{"id":"6d3c9c59-6320-4a7e-8d79-75ab75e77cd3","note":"","count":1,"label":"BBQ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základ","posId":"A129","price":0,"isExtra":true}]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</si>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</sst>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rgb="FF000000"/>
      <name val="Arial"/>
    </font>
    <font>
      <b/>
      <sz val="14.0"/>
      <color theme="1"/>
      <name val="Arial"/>
      <scheme val="minor"/>
    </font>
    <font>
      <b/>
      <sz val="13.0"/>
      <color theme="1"/>
      <name val="Google Sans Mono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13" fillId="9" fontId="1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0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1" fillId="9" fontId="2" numFmtId="49" xfId="0" applyAlignment="1" applyBorder="1" applyFont="1" applyNumberFormat="1">
      <alignment horizontal="center" readingOrder="0" vertical="center"/>
    </xf>
    <xf borderId="22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1" fillId="9" fontId="2" numFmtId="20" xfId="0" applyAlignment="1" applyBorder="1" applyFont="1" applyNumberFormat="1">
      <alignment horizontal="center" vertical="center"/>
    </xf>
    <xf borderId="20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2" fillId="9" fontId="2" numFmtId="46" xfId="0" applyAlignment="1" applyBorder="1" applyFont="1" applyNumberFormat="1">
      <alignment horizontal="center" readingOrder="0" vertical="center"/>
    </xf>
    <xf borderId="23" fillId="9" fontId="2" numFmtId="0" xfId="0" applyAlignment="1" applyBorder="1" applyFont="1">
      <alignment horizontal="center" readingOrder="0" vertical="center"/>
    </xf>
    <xf borderId="22" fillId="9" fontId="2" numFmtId="49" xfId="0" applyAlignment="1" applyBorder="1" applyFont="1" applyNumberFormat="1">
      <alignment horizontal="center" readingOrder="0" vertical="center"/>
    </xf>
    <xf borderId="20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4" fillId="12" fontId="18" numFmtId="0" xfId="0" applyAlignment="1" applyBorder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2" fillId="10" fontId="19" numFmtId="0" xfId="0" applyAlignment="1" applyBorder="1" applyFont="1">
      <alignment horizontal="center" shrinkToFit="0" wrapText="1"/>
    </xf>
    <xf borderId="22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2" fillId="13" fontId="19" numFmtId="0" xfId="0" applyAlignment="1" applyBorder="1" applyFill="1" applyFont="1">
      <alignment horizontal="center" shrinkToFit="0" wrapText="1"/>
    </xf>
    <xf borderId="22" fillId="13" fontId="19" numFmtId="166" xfId="0" applyAlignment="1" applyBorder="1" applyFont="1" applyNumberFormat="1">
      <alignment horizontal="center" shrinkToFit="0" wrapText="1"/>
    </xf>
    <xf borderId="22" fillId="13" fontId="2" numFmtId="0" xfId="0" applyAlignment="1" applyBorder="1" applyFont="1">
      <alignment horizontal="center"/>
    </xf>
    <xf borderId="25" fillId="0" fontId="14" numFmtId="0" xfId="0" applyAlignment="1" applyBorder="1" applyFont="1">
      <alignment horizontal="center" readingOrder="0" vertical="center"/>
    </xf>
    <xf borderId="26" fillId="0" fontId="14" numFmtId="20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8" fillId="10" fontId="19" numFmtId="0" xfId="0" applyAlignment="1" applyBorder="1" applyFont="1">
      <alignment horizontal="center" shrinkToFit="0" wrapText="1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1" fillId="12" fontId="14" numFmtId="0" xfId="0" applyAlignment="1" applyBorder="1" applyFont="1">
      <alignment horizontal="center"/>
    </xf>
    <xf borderId="29" fillId="0" fontId="6" numFmtId="0" xfId="0" applyBorder="1" applyFont="1"/>
    <xf borderId="22" fillId="9" fontId="2" numFmtId="0" xfId="0" applyAlignment="1" applyBorder="1" applyFont="1">
      <alignment horizontal="center" readingOrder="0" vertical="center"/>
    </xf>
    <xf borderId="22" fillId="15" fontId="19" numFmtId="0" xfId="0" applyAlignment="1" applyBorder="1" applyFill="1" applyFont="1">
      <alignment horizontal="center" shrinkToFit="0" wrapText="1"/>
    </xf>
    <xf borderId="22" fillId="16" fontId="2" numFmtId="0" xfId="0" applyAlignment="1" applyBorder="1" applyFill="1" applyFont="1">
      <alignment horizontal="center"/>
    </xf>
    <xf borderId="22" fillId="9" fontId="2" numFmtId="20" xfId="0" applyAlignment="1" applyBorder="1" applyFont="1" applyNumberForma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1" fillId="0" fontId="6" numFmtId="0" xfId="0" applyBorder="1" applyFont="1"/>
    <xf borderId="32" fillId="0" fontId="6" numFmtId="0" xfId="0" applyBorder="1" applyFont="1"/>
    <xf borderId="12" fillId="0" fontId="6" numFmtId="0" xfId="0" applyBorder="1" applyFont="1"/>
    <xf borderId="22" fillId="9" fontId="2" numFmtId="20" xfId="0" applyAlignment="1" applyBorder="1" applyFont="1" applyNumberFormat="1">
      <alignment horizontal="center" readingOrder="0" vertical="center"/>
    </xf>
    <xf borderId="33" fillId="16" fontId="2" numFmtId="0" xfId="0" applyAlignment="1" applyBorder="1" applyFont="1">
      <alignment horizontal="center"/>
    </xf>
    <xf borderId="34" fillId="0" fontId="6" numFmtId="0" xfId="0" applyBorder="1" applyFont="1"/>
    <xf borderId="22" fillId="13" fontId="2" numFmtId="10" xfId="0" applyAlignment="1" applyBorder="1" applyFont="1" applyNumberFormat="1">
      <alignment horizontal="center"/>
    </xf>
    <xf borderId="22" fillId="9" fontId="2" numFmtId="20" xfId="0" applyAlignment="1" applyBorder="1" applyFont="1" applyNumberFormat="1">
      <alignment horizontal="center" readingOrder="0" vertic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23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0" fillId="0" fontId="6" numFmtId="0" xfId="0" applyBorder="1" applyFont="1"/>
    <xf borderId="20" fillId="6" fontId="14" numFmtId="0" xfId="0" applyAlignment="1" applyBorder="1" applyFont="1">
      <alignment horizontal="center" readingOrder="0" vertical="center"/>
    </xf>
    <xf borderId="20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1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0" fillId="5" fontId="22" numFmtId="168" xfId="0" applyAlignment="1" applyFont="1" applyNumberFormat="1">
      <alignment horizontal="center" readingOrder="0" vertical="center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5" fillId="5" fontId="10" numFmtId="0" xfId="0" applyAlignment="1" applyBorder="1" applyFont="1">
      <alignment horizontal="center" vertical="center"/>
    </xf>
    <xf borderId="35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Font="1"/>
    <xf borderId="36" fillId="5" fontId="10" numFmtId="0" xfId="0" applyAlignment="1" applyBorder="1" applyFont="1">
      <alignment horizontal="center" vertical="center"/>
    </xf>
    <xf borderId="3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/>
    </xf>
    <xf quotePrefix="1" borderId="21" fillId="14" fontId="2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2" fillId="0" fontId="1" numFmtId="49" xfId="0" applyAlignment="1" applyBorder="1" applyFont="1" applyNumberFormat="1">
      <alignment horizontal="center" readingOrder="0"/>
    </xf>
    <xf borderId="20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1" fillId="14" fontId="2" numFmtId="49" xfId="0" applyAlignment="1" applyBorder="1" applyFont="1" applyNumberFormat="1">
      <alignment horizontal="center" readingOrder="0" vertical="center"/>
    </xf>
    <xf borderId="20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39" fillId="10" fontId="19" numFmtId="0" xfId="0" applyAlignment="1" applyBorder="1" applyFont="1">
      <alignment horizontal="center" shrinkToFit="0" wrapText="1"/>
    </xf>
    <xf borderId="40" fillId="10" fontId="19" numFmtId="0" xfId="0" applyAlignment="1" applyBorder="1" applyFont="1">
      <alignment horizontal="center" shrinkToFit="0" wrapText="1"/>
    </xf>
    <xf borderId="40" fillId="10" fontId="14" numFmtId="0" xfId="0" applyAlignment="1" applyBorder="1" applyFont="1">
      <alignment horizontal="center" shrinkToFit="0" wrapText="1"/>
    </xf>
    <xf borderId="41" fillId="10" fontId="14" numFmtId="0" xfId="0" applyAlignment="1" applyBorder="1" applyFont="1">
      <alignment horizontal="center" shrinkToFit="0" wrapText="1"/>
    </xf>
    <xf borderId="22" fillId="0" fontId="1" numFmtId="49" xfId="0" applyBorder="1" applyFont="1" applyNumberFormat="1"/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wrapText="1"/>
    </xf>
    <xf borderId="22" fillId="13" fontId="19" numFmtId="166" xfId="0" applyAlignment="1" applyBorder="1" applyFont="1" applyNumberFormat="1">
      <alignment horizontal="center" readingOrder="0" shrinkToFit="0" wrapText="1"/>
    </xf>
    <xf borderId="22" fillId="13" fontId="2" numFmtId="0" xfId="0" applyAlignment="1" applyBorder="1" applyFont="1">
      <alignment horizontal="center" readingOrder="0"/>
    </xf>
    <xf borderId="44" fillId="13" fontId="19" numFmtId="0" xfId="0" applyAlignment="1" applyBorder="1" applyFont="1">
      <alignment horizontal="center" readingOrder="0" shrinkToFit="0" wrapText="1"/>
    </xf>
    <xf borderId="45" fillId="10" fontId="14" numFmtId="0" xfId="0" applyAlignment="1" applyBorder="1" applyFont="1">
      <alignment horizontal="center" shrinkToFit="0" wrapText="1"/>
    </xf>
    <xf borderId="46" fillId="10" fontId="19" numFmtId="0" xfId="0" applyAlignment="1" applyBorder="1" applyFont="1">
      <alignment horizontal="center" shrinkToFit="0" wrapText="1"/>
    </xf>
    <xf borderId="43" fillId="15" fontId="19" numFmtId="0" xfId="0" applyAlignment="1" applyBorder="1" applyFont="1">
      <alignment horizontal="center" readingOrder="0" shrinkToFit="0" wrapText="1"/>
    </xf>
    <xf borderId="44" fillId="20" fontId="2" numFmtId="0" xfId="0" applyAlignment="1" applyBorder="1" applyFill="1" applyFont="1">
      <alignment horizontal="center" readingOrder="0"/>
    </xf>
    <xf borderId="47" fillId="10" fontId="14" numFmtId="0" xfId="0" applyAlignment="1" applyBorder="1" applyFont="1">
      <alignment horizontal="center" shrinkToFit="0" wrapText="1"/>
    </xf>
    <xf borderId="28" fillId="10" fontId="14" numFmtId="169" xfId="0" applyAlignment="1" applyBorder="1" applyFont="1" applyNumberFormat="1">
      <alignment horizontal="center" shrinkToFit="0" wrapText="1"/>
    </xf>
    <xf borderId="46" fillId="10" fontId="19" numFmtId="169" xfId="0" applyAlignment="1" applyBorder="1" applyFont="1" applyNumberFormat="1">
      <alignment horizontal="center" shrinkToFit="0" wrapText="1"/>
    </xf>
    <xf borderId="48" fillId="0" fontId="6" numFmtId="0" xfId="0" applyBorder="1" applyFont="1"/>
    <xf borderId="49" fillId="20" fontId="2" numFmtId="0" xfId="0" applyAlignment="1" applyBorder="1" applyFont="1">
      <alignment horizontal="center" readingOrder="0"/>
    </xf>
    <xf borderId="22" fillId="13" fontId="2" numFmtId="10" xfId="0" applyAlignment="1" applyBorder="1" applyFont="1" applyNumberFormat="1">
      <alignment horizontal="center" readingOrder="0"/>
    </xf>
    <xf borderId="44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28" fillId="10" fontId="19" numFmtId="169" xfId="0" applyAlignment="1" applyBorder="1" applyFont="1" applyNumberFormat="1">
      <alignment horizontal="center" shrinkToFit="0" wrapText="1"/>
    </xf>
    <xf borderId="24" fillId="13" fontId="2" numFmtId="10" xfId="0" applyAlignment="1" applyBorder="1" applyFont="1" applyNumberFormat="1">
      <alignment horizontal="center" readingOrder="0"/>
    </xf>
    <xf borderId="37" fillId="13" fontId="2" numFmtId="10" xfId="0" applyAlignment="1" applyBorder="1" applyFont="1" applyNumberFormat="1">
      <alignment horizontal="center" readingOrder="0"/>
    </xf>
    <xf borderId="19" fillId="21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2" fontId="2" numFmtId="0" xfId="0" applyAlignment="1" applyFill="1" applyFont="1">
      <alignment vertical="bottom"/>
    </xf>
    <xf borderId="0" fillId="22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>
      <c r="A2" s="5">
        <v>45527.0</v>
      </c>
      <c r="B2" s="1" t="s">
        <v>88</v>
      </c>
      <c r="C2" s="1" t="s">
        <v>89</v>
      </c>
      <c r="D2" s="4">
        <v>377.0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-4.0</v>
      </c>
      <c r="O2" s="4">
        <v>10.850883333333334</v>
      </c>
    </row>
    <row r="3">
      <c r="A3" s="5">
        <v>45527.0</v>
      </c>
      <c r="B3" s="1" t="s">
        <v>95</v>
      </c>
      <c r="C3" s="1" t="s">
        <v>89</v>
      </c>
      <c r="D3" s="4">
        <v>271.0</v>
      </c>
      <c r="E3" s="4">
        <v>50.0</v>
      </c>
      <c r="G3" s="1" t="s">
        <v>91</v>
      </c>
      <c r="H3" s="1" t="s">
        <v>96</v>
      </c>
      <c r="I3" s="1" t="s">
        <v>97</v>
      </c>
      <c r="J3" s="1" t="s">
        <v>98</v>
      </c>
      <c r="K3" s="1" t="s">
        <v>98</v>
      </c>
      <c r="M3" s="4">
        <v>-2.0</v>
      </c>
      <c r="O3" s="4">
        <v>5.872083333333333</v>
      </c>
    </row>
    <row r="4">
      <c r="A4" s="5">
        <v>45527.0</v>
      </c>
      <c r="B4" s="1" t="s">
        <v>95</v>
      </c>
      <c r="C4" s="1" t="s">
        <v>89</v>
      </c>
      <c r="D4" s="4">
        <v>273.0</v>
      </c>
      <c r="E4" s="4">
        <v>0.0</v>
      </c>
      <c r="G4" s="1" t="s">
        <v>91</v>
      </c>
      <c r="H4" s="1" t="s">
        <v>96</v>
      </c>
      <c r="I4" s="1" t="s">
        <v>99</v>
      </c>
      <c r="J4" s="1" t="s">
        <v>100</v>
      </c>
      <c r="K4" s="1" t="s">
        <v>100</v>
      </c>
      <c r="M4" s="4">
        <v>0.0</v>
      </c>
      <c r="O4" s="4">
        <v>7.679616666666667</v>
      </c>
    </row>
    <row r="5">
      <c r="A5" s="5">
        <v>45527.0</v>
      </c>
      <c r="B5" s="1" t="s">
        <v>95</v>
      </c>
      <c r="C5" s="1" t="s">
        <v>89</v>
      </c>
      <c r="D5" s="4">
        <v>498.0</v>
      </c>
      <c r="E5" s="4">
        <v>0.0</v>
      </c>
      <c r="G5" s="1" t="s">
        <v>91</v>
      </c>
      <c r="H5" s="1" t="s">
        <v>92</v>
      </c>
      <c r="I5" s="1" t="s">
        <v>101</v>
      </c>
      <c r="J5" s="1" t="s">
        <v>102</v>
      </c>
      <c r="K5" s="1" t="s">
        <v>102</v>
      </c>
      <c r="M5" s="4">
        <v>1.0</v>
      </c>
      <c r="O5" s="4">
        <v>9.98715</v>
      </c>
    </row>
    <row r="6">
      <c r="A6" s="5">
        <v>45527.0</v>
      </c>
      <c r="B6" s="1" t="s">
        <v>103</v>
      </c>
      <c r="C6" s="1" t="s">
        <v>89</v>
      </c>
      <c r="D6" s="4">
        <v>329.0</v>
      </c>
      <c r="E6" s="4">
        <v>0.0</v>
      </c>
      <c r="F6" s="1" t="s">
        <v>104</v>
      </c>
      <c r="G6" s="1" t="s">
        <v>91</v>
      </c>
      <c r="H6" s="1" t="s">
        <v>92</v>
      </c>
      <c r="I6" s="1" t="s">
        <v>105</v>
      </c>
      <c r="J6" s="1" t="s">
        <v>106</v>
      </c>
      <c r="K6" s="1" t="s">
        <v>106</v>
      </c>
      <c r="M6" s="4">
        <v>0.0</v>
      </c>
      <c r="O6" s="4">
        <v>15.6058</v>
      </c>
    </row>
    <row r="7">
      <c r="A7" s="5">
        <v>45527.0</v>
      </c>
      <c r="B7" s="1" t="s">
        <v>88</v>
      </c>
      <c r="C7" s="1" t="s">
        <v>107</v>
      </c>
      <c r="D7" s="4">
        <v>289.0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108</v>
      </c>
      <c r="J7" s="1" t="s">
        <v>109</v>
      </c>
      <c r="K7" s="1" t="s">
        <v>109</v>
      </c>
      <c r="M7" s="4">
        <v>-7.0</v>
      </c>
      <c r="O7" s="4">
        <v>7.258216666666667</v>
      </c>
    </row>
    <row r="8">
      <c r="A8" s="5">
        <v>45527.0</v>
      </c>
      <c r="B8" s="1" t="s">
        <v>110</v>
      </c>
      <c r="C8" s="1" t="s">
        <v>107</v>
      </c>
      <c r="D8" s="4">
        <v>80.0</v>
      </c>
      <c r="E8" s="4">
        <v>0.0</v>
      </c>
      <c r="G8" s="1" t="s">
        <v>111</v>
      </c>
      <c r="H8" s="1" t="s">
        <v>96</v>
      </c>
      <c r="I8" s="1" t="s">
        <v>112</v>
      </c>
      <c r="J8" s="1" t="s">
        <v>113</v>
      </c>
      <c r="K8" s="1" t="s">
        <v>113</v>
      </c>
      <c r="M8" s="4">
        <v>-4.0</v>
      </c>
      <c r="O8" s="4">
        <v>0.44966666666666666</v>
      </c>
    </row>
    <row r="9">
      <c r="A9" s="5">
        <v>45527.0</v>
      </c>
      <c r="B9" s="1" t="s">
        <v>88</v>
      </c>
      <c r="C9" s="1" t="s">
        <v>107</v>
      </c>
      <c r="D9" s="4">
        <v>399.0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114</v>
      </c>
      <c r="J9" s="1" t="s">
        <v>115</v>
      </c>
      <c r="K9" s="1" t="s">
        <v>115</v>
      </c>
      <c r="M9" s="4">
        <v>0.0</v>
      </c>
      <c r="O9" s="4">
        <v>15.5314</v>
      </c>
    </row>
    <row r="10">
      <c r="A10" s="5">
        <v>45527.0</v>
      </c>
      <c r="B10" s="1" t="s">
        <v>116</v>
      </c>
      <c r="C10" s="1" t="s">
        <v>107</v>
      </c>
      <c r="D10" s="4">
        <v>245.0</v>
      </c>
      <c r="E10" s="4">
        <v>61.0</v>
      </c>
      <c r="G10" s="1" t="s">
        <v>111</v>
      </c>
      <c r="H10" s="1" t="s">
        <v>96</v>
      </c>
      <c r="I10" s="1" t="s">
        <v>117</v>
      </c>
      <c r="J10" s="1" t="s">
        <v>118</v>
      </c>
      <c r="K10" s="1" t="s">
        <v>118</v>
      </c>
      <c r="M10" s="4">
        <v>-6.0</v>
      </c>
      <c r="O10" s="4">
        <v>12.316033333333333</v>
      </c>
    </row>
    <row r="11">
      <c r="A11" s="5">
        <v>45527.0</v>
      </c>
      <c r="B11" s="1" t="s">
        <v>103</v>
      </c>
      <c r="C11" s="1" t="s">
        <v>89</v>
      </c>
      <c r="D11" s="4">
        <v>321.0</v>
      </c>
      <c r="E11" s="4">
        <v>0.0</v>
      </c>
      <c r="F11" s="1" t="s">
        <v>119</v>
      </c>
      <c r="G11" s="1" t="s">
        <v>91</v>
      </c>
      <c r="H11" s="1" t="s">
        <v>92</v>
      </c>
      <c r="I11" s="1" t="s">
        <v>120</v>
      </c>
      <c r="J11" s="1" t="s">
        <v>121</v>
      </c>
      <c r="K11" s="1" t="s">
        <v>121</v>
      </c>
      <c r="M11" s="4">
        <v>-5.0</v>
      </c>
      <c r="O11" s="4">
        <v>9.591416666666667</v>
      </c>
    </row>
    <row r="12">
      <c r="A12" s="5">
        <v>45527.0</v>
      </c>
      <c r="B12" s="1" t="s">
        <v>103</v>
      </c>
      <c r="C12" s="1" t="s">
        <v>89</v>
      </c>
      <c r="D12" s="4">
        <v>723.0</v>
      </c>
      <c r="E12" s="4">
        <v>0.0</v>
      </c>
      <c r="F12" s="1" t="s">
        <v>122</v>
      </c>
      <c r="G12" s="1" t="s">
        <v>91</v>
      </c>
      <c r="H12" s="1" t="s">
        <v>92</v>
      </c>
      <c r="I12" s="1" t="s">
        <v>123</v>
      </c>
      <c r="J12" s="1" t="s">
        <v>124</v>
      </c>
      <c r="K12" s="1" t="s">
        <v>124</v>
      </c>
      <c r="M12" s="4">
        <v>2.0</v>
      </c>
      <c r="O12" s="4">
        <v>22.476066666666668</v>
      </c>
    </row>
    <row r="13">
      <c r="A13" s="5">
        <v>45527.0</v>
      </c>
      <c r="B13" s="1" t="s">
        <v>110</v>
      </c>
      <c r="C13" s="1" t="s">
        <v>89</v>
      </c>
      <c r="D13" s="4">
        <v>49.0</v>
      </c>
      <c r="E13" s="4">
        <v>0.0</v>
      </c>
      <c r="G13" s="1" t="s">
        <v>111</v>
      </c>
      <c r="H13" s="1" t="s">
        <v>96</v>
      </c>
      <c r="I13" s="1" t="s">
        <v>125</v>
      </c>
      <c r="J13" s="1" t="s">
        <v>126</v>
      </c>
      <c r="K13" s="1" t="s">
        <v>126</v>
      </c>
      <c r="M13" s="4">
        <v>-3.0</v>
      </c>
      <c r="O13" s="4">
        <v>1.8472</v>
      </c>
    </row>
    <row r="14">
      <c r="A14" s="5">
        <v>45527.0</v>
      </c>
      <c r="B14" s="1" t="s">
        <v>95</v>
      </c>
      <c r="C14" s="1" t="s">
        <v>89</v>
      </c>
      <c r="D14" s="4">
        <v>264.0</v>
      </c>
      <c r="E14" s="4">
        <v>100.0</v>
      </c>
      <c r="G14" s="1" t="s">
        <v>91</v>
      </c>
      <c r="H14" s="1" t="s">
        <v>92</v>
      </c>
      <c r="I14" s="1" t="s">
        <v>127</v>
      </c>
      <c r="J14" s="1" t="s">
        <v>128</v>
      </c>
      <c r="K14" s="1" t="s">
        <v>128</v>
      </c>
      <c r="M14" s="4">
        <v>9.0</v>
      </c>
      <c r="O14" s="4">
        <v>18.528</v>
      </c>
    </row>
    <row r="15">
      <c r="A15" s="5">
        <v>45527.0</v>
      </c>
      <c r="B15" s="1" t="s">
        <v>103</v>
      </c>
      <c r="C15" s="1" t="s">
        <v>89</v>
      </c>
      <c r="D15" s="4">
        <v>394.0</v>
      </c>
      <c r="E15" s="4">
        <v>0.0</v>
      </c>
      <c r="F15" s="1" t="s">
        <v>119</v>
      </c>
      <c r="G15" s="1" t="s">
        <v>91</v>
      </c>
      <c r="H15" s="1" t="s">
        <v>92</v>
      </c>
      <c r="I15" s="1" t="s">
        <v>129</v>
      </c>
      <c r="J15" s="1" t="s">
        <v>130</v>
      </c>
      <c r="K15" s="1" t="s">
        <v>130</v>
      </c>
      <c r="M15" s="4">
        <v>7.0</v>
      </c>
      <c r="O15" s="4">
        <v>22.043566666666667</v>
      </c>
    </row>
    <row r="16">
      <c r="A16" s="5">
        <v>45527.0</v>
      </c>
      <c r="B16" s="1" t="s">
        <v>103</v>
      </c>
      <c r="C16" s="1" t="s">
        <v>89</v>
      </c>
      <c r="D16" s="4">
        <v>289.0</v>
      </c>
      <c r="E16" s="4">
        <v>0.0</v>
      </c>
      <c r="F16" s="1" t="s">
        <v>131</v>
      </c>
      <c r="G16" s="1" t="s">
        <v>91</v>
      </c>
      <c r="H16" s="1" t="s">
        <v>92</v>
      </c>
      <c r="I16" s="1" t="s">
        <v>132</v>
      </c>
      <c r="J16" s="1" t="s">
        <v>133</v>
      </c>
      <c r="K16" s="1" t="s">
        <v>133</v>
      </c>
      <c r="M16" s="4">
        <v>4.0</v>
      </c>
      <c r="O16" s="4">
        <v>19.969566666666665</v>
      </c>
    </row>
    <row r="17">
      <c r="A17" s="5">
        <v>45527.0</v>
      </c>
      <c r="B17" s="1" t="s">
        <v>95</v>
      </c>
      <c r="C17" s="1" t="s">
        <v>89</v>
      </c>
      <c r="D17" s="4">
        <v>373.0</v>
      </c>
      <c r="E17" s="4">
        <v>150.0</v>
      </c>
      <c r="G17" s="1" t="s">
        <v>91</v>
      </c>
      <c r="H17" s="1" t="s">
        <v>92</v>
      </c>
      <c r="I17" s="1" t="s">
        <v>134</v>
      </c>
      <c r="J17" s="1" t="s">
        <v>135</v>
      </c>
      <c r="K17" s="1" t="s">
        <v>135</v>
      </c>
      <c r="M17" s="4">
        <v>5.0</v>
      </c>
      <c r="O17" s="4">
        <v>14.904816666666667</v>
      </c>
    </row>
    <row r="18">
      <c r="A18" s="5">
        <v>45527.0</v>
      </c>
      <c r="B18" s="1" t="s">
        <v>110</v>
      </c>
      <c r="C18" s="1" t="s">
        <v>89</v>
      </c>
      <c r="D18" s="4">
        <v>309.0</v>
      </c>
      <c r="E18" s="4">
        <v>0.0</v>
      </c>
      <c r="G18" s="1" t="s">
        <v>111</v>
      </c>
      <c r="H18" s="1" t="s">
        <v>96</v>
      </c>
      <c r="I18" s="1" t="s">
        <v>136</v>
      </c>
      <c r="J18" s="1" t="s">
        <v>137</v>
      </c>
      <c r="K18" s="1" t="s">
        <v>137</v>
      </c>
      <c r="M18" s="4">
        <v>28.0</v>
      </c>
      <c r="O18" s="4">
        <v>33.506</v>
      </c>
    </row>
    <row r="19">
      <c r="A19" s="5">
        <v>45527.0</v>
      </c>
      <c r="B19" s="1" t="s">
        <v>95</v>
      </c>
      <c r="C19" s="1" t="s">
        <v>89</v>
      </c>
      <c r="D19" s="4">
        <v>508.0</v>
      </c>
      <c r="E19" s="4">
        <v>150.0</v>
      </c>
      <c r="G19" s="1" t="s">
        <v>91</v>
      </c>
      <c r="H19" s="1" t="s">
        <v>92</v>
      </c>
      <c r="I19" s="1" t="s">
        <v>138</v>
      </c>
      <c r="J19" s="1" t="s">
        <v>139</v>
      </c>
      <c r="K19" s="1" t="s">
        <v>139</v>
      </c>
      <c r="M19" s="4">
        <v>1.0</v>
      </c>
      <c r="O19" s="4">
        <v>12.897766666666667</v>
      </c>
    </row>
    <row r="20">
      <c r="A20" s="5">
        <v>45527.0</v>
      </c>
      <c r="B20" s="1" t="s">
        <v>110</v>
      </c>
      <c r="C20" s="1" t="s">
        <v>89</v>
      </c>
      <c r="D20" s="4">
        <v>249.0</v>
      </c>
      <c r="E20" s="4">
        <v>0.0</v>
      </c>
      <c r="G20" s="1" t="s">
        <v>111</v>
      </c>
      <c r="H20" s="1" t="s">
        <v>96</v>
      </c>
      <c r="I20" s="1" t="s">
        <v>140</v>
      </c>
      <c r="J20" s="1" t="s">
        <v>141</v>
      </c>
      <c r="K20" s="1" t="s">
        <v>141</v>
      </c>
      <c r="M20" s="4">
        <v>27.0</v>
      </c>
      <c r="O20" s="4">
        <v>32.413833333333336</v>
      </c>
    </row>
    <row r="21">
      <c r="A21" s="5">
        <v>45527.0</v>
      </c>
      <c r="B21" s="1" t="s">
        <v>110</v>
      </c>
      <c r="C21" s="1" t="s">
        <v>89</v>
      </c>
      <c r="D21" s="4">
        <v>249.0</v>
      </c>
      <c r="E21" s="4">
        <v>0.0</v>
      </c>
      <c r="G21" s="1" t="s">
        <v>111</v>
      </c>
      <c r="H21" s="1" t="s">
        <v>96</v>
      </c>
      <c r="I21" s="1" t="s">
        <v>142</v>
      </c>
      <c r="J21" s="1" t="s">
        <v>143</v>
      </c>
      <c r="K21" s="1" t="s">
        <v>143</v>
      </c>
      <c r="M21" s="4">
        <v>25.0</v>
      </c>
      <c r="O21" s="4">
        <v>30.041233333333334</v>
      </c>
    </row>
    <row r="22">
      <c r="A22" s="5">
        <v>45527.0</v>
      </c>
      <c r="B22" s="1" t="s">
        <v>110</v>
      </c>
      <c r="C22" s="1" t="s">
        <v>89</v>
      </c>
      <c r="D22" s="4">
        <v>249.0</v>
      </c>
      <c r="E22" s="4">
        <v>0.0</v>
      </c>
      <c r="G22" s="1" t="s">
        <v>111</v>
      </c>
      <c r="H22" s="1" t="s">
        <v>96</v>
      </c>
      <c r="I22" s="1" t="s">
        <v>144</v>
      </c>
      <c r="J22" s="1" t="s">
        <v>145</v>
      </c>
      <c r="K22" s="1" t="s">
        <v>145</v>
      </c>
      <c r="M22" s="4">
        <v>21.0</v>
      </c>
      <c r="O22" s="4">
        <v>26.545466666666666</v>
      </c>
    </row>
    <row r="23">
      <c r="A23" s="5">
        <v>45527.0</v>
      </c>
      <c r="B23" s="1" t="s">
        <v>110</v>
      </c>
      <c r="C23" s="1" t="s">
        <v>89</v>
      </c>
      <c r="D23" s="4">
        <v>498.0</v>
      </c>
      <c r="E23" s="4">
        <v>0.0</v>
      </c>
      <c r="G23" s="1" t="s">
        <v>111</v>
      </c>
      <c r="H23" s="1" t="s">
        <v>96</v>
      </c>
      <c r="I23" s="1" t="s">
        <v>146</v>
      </c>
      <c r="J23" s="1" t="s">
        <v>147</v>
      </c>
      <c r="K23" s="1" t="s">
        <v>147</v>
      </c>
      <c r="M23" s="4">
        <v>17.0</v>
      </c>
      <c r="O23" s="4">
        <v>22.03455</v>
      </c>
    </row>
    <row r="24">
      <c r="A24" s="5">
        <v>45527.0</v>
      </c>
      <c r="B24" s="1" t="s">
        <v>95</v>
      </c>
      <c r="C24" s="1" t="s">
        <v>89</v>
      </c>
      <c r="D24" s="4">
        <v>758.0</v>
      </c>
      <c r="E24" s="4">
        <v>0.0</v>
      </c>
      <c r="G24" s="1" t="s">
        <v>91</v>
      </c>
      <c r="H24" s="1" t="s">
        <v>96</v>
      </c>
      <c r="I24" s="1" t="s">
        <v>148</v>
      </c>
      <c r="J24" s="1" t="s">
        <v>149</v>
      </c>
      <c r="K24" s="1" t="s">
        <v>149</v>
      </c>
      <c r="M24" s="4">
        <v>0.0</v>
      </c>
      <c r="O24" s="4">
        <v>11.569483333333332</v>
      </c>
    </row>
    <row r="25">
      <c r="A25" s="5">
        <v>45527.0</v>
      </c>
      <c r="B25" s="1" t="s">
        <v>95</v>
      </c>
      <c r="C25" s="1" t="s">
        <v>89</v>
      </c>
      <c r="D25" s="4">
        <v>313.0</v>
      </c>
      <c r="E25" s="4">
        <v>100.0</v>
      </c>
      <c r="G25" s="1" t="s">
        <v>91</v>
      </c>
      <c r="H25" s="1" t="s">
        <v>96</v>
      </c>
      <c r="I25" s="1" t="s">
        <v>150</v>
      </c>
      <c r="J25" s="1" t="s">
        <v>151</v>
      </c>
      <c r="K25" s="1" t="s">
        <v>151</v>
      </c>
      <c r="M25" s="4">
        <v>1.0</v>
      </c>
      <c r="O25" s="4">
        <v>9.514033333333334</v>
      </c>
    </row>
    <row r="26">
      <c r="A26" s="5">
        <v>45527.0</v>
      </c>
      <c r="B26" s="1" t="s">
        <v>88</v>
      </c>
      <c r="C26" s="1" t="s">
        <v>107</v>
      </c>
      <c r="D26" s="4">
        <v>378.0</v>
      </c>
      <c r="E26" s="4">
        <v>0.0</v>
      </c>
      <c r="F26" s="1" t="s">
        <v>90</v>
      </c>
      <c r="G26" s="1" t="s">
        <v>91</v>
      </c>
      <c r="H26" s="1" t="s">
        <v>92</v>
      </c>
      <c r="I26" s="1" t="s">
        <v>152</v>
      </c>
      <c r="J26" s="1" t="s">
        <v>153</v>
      </c>
      <c r="K26" s="1" t="s">
        <v>153</v>
      </c>
      <c r="M26" s="4">
        <v>-5.0</v>
      </c>
      <c r="O26" s="4">
        <v>9.34185</v>
      </c>
    </row>
    <row r="27">
      <c r="A27" s="5">
        <v>45527.0</v>
      </c>
      <c r="B27" s="1" t="s">
        <v>110</v>
      </c>
      <c r="C27" s="1" t="s">
        <v>89</v>
      </c>
      <c r="D27" s="4">
        <v>239.0</v>
      </c>
      <c r="E27" s="4">
        <v>239.0</v>
      </c>
      <c r="G27" s="1" t="s">
        <v>111</v>
      </c>
      <c r="H27" s="1" t="s">
        <v>96</v>
      </c>
      <c r="I27" s="1" t="s">
        <v>154</v>
      </c>
      <c r="J27" s="1" t="s">
        <v>155</v>
      </c>
      <c r="K27" s="1" t="s">
        <v>155</v>
      </c>
      <c r="M27" s="4">
        <v>1.0</v>
      </c>
      <c r="O27" s="4">
        <v>6.932766666666667</v>
      </c>
    </row>
    <row r="28">
      <c r="A28" s="5">
        <v>45527.0</v>
      </c>
      <c r="B28" s="1" t="s">
        <v>88</v>
      </c>
      <c r="C28" s="1" t="s">
        <v>107</v>
      </c>
      <c r="D28" s="4">
        <v>618.0</v>
      </c>
      <c r="E28" s="4">
        <v>0.0</v>
      </c>
      <c r="F28" s="1" t="s">
        <v>90</v>
      </c>
      <c r="G28" s="1" t="s">
        <v>91</v>
      </c>
      <c r="H28" s="1" t="s">
        <v>92</v>
      </c>
      <c r="I28" s="1" t="s">
        <v>156</v>
      </c>
      <c r="J28" s="1" t="s">
        <v>157</v>
      </c>
      <c r="K28" s="1" t="s">
        <v>157</v>
      </c>
      <c r="M28" s="4">
        <v>0.0</v>
      </c>
      <c r="O28" s="4">
        <v>19.0977</v>
      </c>
    </row>
    <row r="29">
      <c r="A29" s="5">
        <v>45527.0</v>
      </c>
      <c r="B29" s="1" t="s">
        <v>95</v>
      </c>
      <c r="C29" s="1" t="s">
        <v>107</v>
      </c>
      <c r="D29" s="4">
        <v>313.0</v>
      </c>
      <c r="E29" s="4">
        <v>0.0</v>
      </c>
      <c r="G29" s="1" t="s">
        <v>91</v>
      </c>
      <c r="H29" s="1" t="s">
        <v>96</v>
      </c>
      <c r="I29" s="1" t="s">
        <v>158</v>
      </c>
      <c r="J29" s="1" t="s">
        <v>159</v>
      </c>
      <c r="K29" s="1" t="s">
        <v>159</v>
      </c>
      <c r="M29" s="4">
        <v>9.0</v>
      </c>
      <c r="O29" s="4">
        <v>18.02103333333333</v>
      </c>
    </row>
    <row r="30">
      <c r="A30" s="5">
        <v>45527.0</v>
      </c>
      <c r="B30" s="1" t="s">
        <v>95</v>
      </c>
      <c r="C30" s="1" t="s">
        <v>107</v>
      </c>
      <c r="D30" s="4">
        <v>658.0</v>
      </c>
      <c r="E30" s="4">
        <v>0.0</v>
      </c>
      <c r="G30" s="1" t="s">
        <v>91</v>
      </c>
      <c r="H30" s="1" t="s">
        <v>92</v>
      </c>
      <c r="I30" s="1" t="s">
        <v>160</v>
      </c>
      <c r="J30" s="1" t="s">
        <v>161</v>
      </c>
      <c r="K30" s="1" t="s">
        <v>161</v>
      </c>
      <c r="M30" s="4">
        <v>6.0</v>
      </c>
      <c r="O30" s="4">
        <v>16.010983333333332</v>
      </c>
    </row>
    <row r="31">
      <c r="A31" s="5">
        <v>45527.0</v>
      </c>
      <c r="B31" s="1" t="s">
        <v>95</v>
      </c>
      <c r="C31" s="1" t="s">
        <v>107</v>
      </c>
      <c r="D31" s="4">
        <v>434.0</v>
      </c>
      <c r="E31" s="4">
        <v>0.0</v>
      </c>
      <c r="G31" s="1" t="s">
        <v>91</v>
      </c>
      <c r="H31" s="1" t="s">
        <v>96</v>
      </c>
      <c r="I31" s="1" t="s">
        <v>162</v>
      </c>
      <c r="J31" s="1" t="s">
        <v>163</v>
      </c>
      <c r="K31" s="1" t="s">
        <v>163</v>
      </c>
      <c r="M31" s="4">
        <v>-1.0</v>
      </c>
      <c r="O31" s="4">
        <v>7.9302166666666665</v>
      </c>
    </row>
    <row r="32">
      <c r="A32" s="5">
        <v>45527.0</v>
      </c>
      <c r="B32" s="1" t="s">
        <v>95</v>
      </c>
      <c r="C32" s="1" t="s">
        <v>107</v>
      </c>
      <c r="D32" s="4">
        <v>433.0</v>
      </c>
      <c r="E32" s="4">
        <v>0.0</v>
      </c>
      <c r="G32" s="1" t="s">
        <v>91</v>
      </c>
      <c r="H32" s="1" t="s">
        <v>92</v>
      </c>
      <c r="I32" s="1" t="s">
        <v>164</v>
      </c>
      <c r="J32" s="1" t="s">
        <v>165</v>
      </c>
      <c r="K32" s="1" t="s">
        <v>165</v>
      </c>
      <c r="M32" s="4">
        <v>0.0</v>
      </c>
      <c r="O32" s="4">
        <v>8.330866666666667</v>
      </c>
    </row>
    <row r="33">
      <c r="A33" s="5">
        <v>45527.0</v>
      </c>
      <c r="B33" s="1" t="s">
        <v>88</v>
      </c>
      <c r="C33" s="1" t="s">
        <v>107</v>
      </c>
      <c r="D33" s="4">
        <v>264.0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166</v>
      </c>
      <c r="J33" s="1" t="s">
        <v>167</v>
      </c>
      <c r="K33" s="1" t="s">
        <v>167</v>
      </c>
      <c r="M33" s="4">
        <v>-7.0</v>
      </c>
      <c r="O33" s="4">
        <v>7.720833333333333</v>
      </c>
    </row>
    <row r="34">
      <c r="A34" s="5">
        <v>45527.0</v>
      </c>
      <c r="B34" s="1" t="s">
        <v>110</v>
      </c>
      <c r="C34" s="1" t="s">
        <v>107</v>
      </c>
      <c r="D34" s="4">
        <v>39.0</v>
      </c>
      <c r="E34" s="4">
        <v>0.0</v>
      </c>
      <c r="G34" s="1" t="s">
        <v>111</v>
      </c>
      <c r="H34" s="1" t="s">
        <v>96</v>
      </c>
      <c r="I34" s="1" t="s">
        <v>168</v>
      </c>
      <c r="J34" s="1" t="s">
        <v>169</v>
      </c>
      <c r="K34" s="1" t="s">
        <v>169</v>
      </c>
      <c r="M34" s="4">
        <v>-3.0</v>
      </c>
      <c r="O34" s="4">
        <v>1.89605</v>
      </c>
    </row>
    <row r="35">
      <c r="A35" s="5">
        <v>45527.0</v>
      </c>
      <c r="B35" s="1" t="s">
        <v>110</v>
      </c>
      <c r="C35" s="1" t="s">
        <v>107</v>
      </c>
      <c r="D35" s="4">
        <v>39.0</v>
      </c>
      <c r="E35" s="4">
        <v>0.0</v>
      </c>
      <c r="G35" s="1" t="s">
        <v>111</v>
      </c>
      <c r="H35" s="1" t="s">
        <v>96</v>
      </c>
      <c r="I35" s="1" t="s">
        <v>170</v>
      </c>
      <c r="J35" s="1" t="s">
        <v>171</v>
      </c>
      <c r="K35" s="1" t="s">
        <v>171</v>
      </c>
      <c r="M35" s="4">
        <v>-3.0</v>
      </c>
      <c r="O35" s="4">
        <v>1.9133666666666667</v>
      </c>
    </row>
    <row r="36">
      <c r="A36" s="5">
        <v>45527.0</v>
      </c>
      <c r="B36" s="1" t="s">
        <v>95</v>
      </c>
      <c r="C36" s="1" t="s">
        <v>89</v>
      </c>
      <c r="D36" s="4">
        <v>585.0</v>
      </c>
      <c r="E36" s="4">
        <v>0.0</v>
      </c>
      <c r="G36" s="1" t="s">
        <v>91</v>
      </c>
      <c r="H36" s="1" t="s">
        <v>92</v>
      </c>
      <c r="I36" s="1" t="s">
        <v>172</v>
      </c>
      <c r="J36" s="1" t="s">
        <v>173</v>
      </c>
      <c r="K36" s="1" t="s">
        <v>173</v>
      </c>
      <c r="M36" s="4">
        <v>-2.0</v>
      </c>
      <c r="O36" s="4">
        <v>8.308683333333333</v>
      </c>
    </row>
    <row r="37">
      <c r="A37" s="5">
        <v>45527.0</v>
      </c>
      <c r="B37" s="1" t="s">
        <v>116</v>
      </c>
      <c r="C37" s="1" t="s">
        <v>107</v>
      </c>
      <c r="D37" s="4">
        <v>250.0</v>
      </c>
      <c r="E37" s="4">
        <v>0.0</v>
      </c>
      <c r="F37" s="1" t="s">
        <v>174</v>
      </c>
      <c r="G37" s="1" t="s">
        <v>175</v>
      </c>
      <c r="H37" s="1" t="s">
        <v>92</v>
      </c>
      <c r="I37" s="1" t="s">
        <v>176</v>
      </c>
      <c r="J37" s="1" t="s">
        <v>177</v>
      </c>
      <c r="K37" s="1" t="s">
        <v>178</v>
      </c>
      <c r="L37" s="1" t="s">
        <v>179</v>
      </c>
      <c r="M37" s="4">
        <v>-1.0</v>
      </c>
      <c r="N37" s="4">
        <v>0.010433333333333333</v>
      </c>
      <c r="O37" s="4">
        <v>18.1176</v>
      </c>
    </row>
    <row r="38">
      <c r="A38" s="5">
        <v>45527.0</v>
      </c>
      <c r="B38" s="1" t="s">
        <v>95</v>
      </c>
      <c r="C38" s="1" t="s">
        <v>89</v>
      </c>
      <c r="D38" s="4">
        <v>474.0</v>
      </c>
      <c r="E38" s="4">
        <v>0.0</v>
      </c>
      <c r="G38" s="1" t="s">
        <v>91</v>
      </c>
      <c r="H38" s="1" t="s">
        <v>96</v>
      </c>
      <c r="I38" s="1" t="s">
        <v>180</v>
      </c>
      <c r="J38" s="1" t="s">
        <v>181</v>
      </c>
      <c r="K38" s="1" t="s">
        <v>181</v>
      </c>
      <c r="M38" s="4">
        <v>11.0</v>
      </c>
      <c r="O38" s="4">
        <v>20.786166666666666</v>
      </c>
    </row>
    <row r="39">
      <c r="A39" s="5">
        <v>45527.0</v>
      </c>
      <c r="B39" s="1" t="s">
        <v>95</v>
      </c>
      <c r="C39" s="1" t="s">
        <v>89</v>
      </c>
      <c r="D39" s="4">
        <v>394.0</v>
      </c>
      <c r="E39" s="4">
        <v>0.0</v>
      </c>
      <c r="G39" s="1" t="s">
        <v>91</v>
      </c>
      <c r="H39" s="1" t="s">
        <v>92</v>
      </c>
      <c r="I39" s="1" t="s">
        <v>182</v>
      </c>
      <c r="J39" s="1" t="s">
        <v>183</v>
      </c>
      <c r="K39" s="1" t="s">
        <v>184</v>
      </c>
      <c r="M39" s="4">
        <v>9.0</v>
      </c>
      <c r="O39" s="4">
        <v>17.455916666666667</v>
      </c>
    </row>
    <row r="40">
      <c r="A40" s="5">
        <v>45527.0</v>
      </c>
      <c r="B40" s="1" t="s">
        <v>95</v>
      </c>
      <c r="C40" s="1" t="s">
        <v>89</v>
      </c>
      <c r="D40" s="4">
        <v>364.0</v>
      </c>
      <c r="E40" s="4">
        <v>0.0</v>
      </c>
      <c r="G40" s="1" t="s">
        <v>91</v>
      </c>
      <c r="H40" s="1" t="s">
        <v>92</v>
      </c>
      <c r="I40" s="1" t="s">
        <v>185</v>
      </c>
      <c r="J40" s="1" t="s">
        <v>186</v>
      </c>
      <c r="K40" s="1" t="s">
        <v>186</v>
      </c>
      <c r="M40" s="4">
        <v>8.0</v>
      </c>
      <c r="O40" s="4">
        <v>16.826983333333335</v>
      </c>
    </row>
    <row r="41">
      <c r="A41" s="5">
        <v>45527.0</v>
      </c>
      <c r="B41" s="1" t="s">
        <v>103</v>
      </c>
      <c r="C41" s="1" t="s">
        <v>89</v>
      </c>
      <c r="D41" s="4">
        <v>273.0</v>
      </c>
      <c r="E41" s="4">
        <v>0.0</v>
      </c>
      <c r="F41" s="1" t="s">
        <v>187</v>
      </c>
      <c r="G41" s="1" t="s">
        <v>91</v>
      </c>
      <c r="H41" s="1" t="s">
        <v>92</v>
      </c>
      <c r="I41" s="1" t="s">
        <v>188</v>
      </c>
      <c r="J41" s="1" t="s">
        <v>189</v>
      </c>
      <c r="K41" s="1" t="s">
        <v>189</v>
      </c>
      <c r="M41" s="4">
        <v>0.0</v>
      </c>
      <c r="O41" s="4">
        <v>14.750833333333333</v>
      </c>
    </row>
    <row r="42">
      <c r="A42" s="5">
        <v>45527.0</v>
      </c>
      <c r="B42" s="1" t="s">
        <v>110</v>
      </c>
      <c r="C42" s="1" t="s">
        <v>107</v>
      </c>
      <c r="D42" s="4">
        <v>209.0</v>
      </c>
      <c r="E42" s="4">
        <v>0.0</v>
      </c>
      <c r="G42" s="1" t="s">
        <v>111</v>
      </c>
      <c r="H42" s="1" t="s">
        <v>96</v>
      </c>
      <c r="I42" s="1" t="s">
        <v>190</v>
      </c>
      <c r="J42" s="1" t="s">
        <v>191</v>
      </c>
      <c r="K42" s="1" t="s">
        <v>191</v>
      </c>
      <c r="M42" s="4">
        <v>2.0</v>
      </c>
      <c r="O42" s="4">
        <v>7.44135</v>
      </c>
    </row>
    <row r="43">
      <c r="A43" s="5">
        <v>45527.0</v>
      </c>
      <c r="B43" s="1" t="s">
        <v>95</v>
      </c>
      <c r="C43" s="1" t="s">
        <v>89</v>
      </c>
      <c r="D43" s="4">
        <v>693.0</v>
      </c>
      <c r="E43" s="4">
        <v>0.0</v>
      </c>
      <c r="G43" s="1" t="s">
        <v>91</v>
      </c>
      <c r="H43" s="1" t="s">
        <v>92</v>
      </c>
      <c r="I43" s="1" t="s">
        <v>192</v>
      </c>
      <c r="J43" s="1" t="s">
        <v>193</v>
      </c>
      <c r="K43" s="1" t="s">
        <v>193</v>
      </c>
      <c r="M43" s="4">
        <v>2.0</v>
      </c>
      <c r="O43" s="4">
        <v>12.883783333333334</v>
      </c>
    </row>
    <row r="44">
      <c r="A44" s="5">
        <v>45527.0</v>
      </c>
      <c r="B44" s="1" t="s">
        <v>116</v>
      </c>
      <c r="C44" s="1" t="s">
        <v>107</v>
      </c>
      <c r="D44" s="4">
        <v>279.0</v>
      </c>
      <c r="E44" s="4">
        <v>70.0</v>
      </c>
      <c r="G44" s="1" t="s">
        <v>111</v>
      </c>
      <c r="H44" s="1" t="s">
        <v>194</v>
      </c>
      <c r="I44" s="1" t="s">
        <v>195</v>
      </c>
      <c r="J44" s="1" t="s">
        <v>196</v>
      </c>
      <c r="K44" s="1" t="s">
        <v>196</v>
      </c>
      <c r="M44" s="4">
        <v>0.0</v>
      </c>
      <c r="O44" s="4">
        <v>18.497216666666667</v>
      </c>
    </row>
    <row r="45">
      <c r="A45" s="5">
        <v>45527.0</v>
      </c>
      <c r="B45" s="1" t="s">
        <v>88</v>
      </c>
      <c r="C45" s="1" t="s">
        <v>107</v>
      </c>
      <c r="D45" s="4">
        <v>765.0</v>
      </c>
      <c r="E45" s="4">
        <v>0.0</v>
      </c>
      <c r="F45" s="1" t="s">
        <v>90</v>
      </c>
      <c r="G45" s="1" t="s">
        <v>91</v>
      </c>
      <c r="H45" s="1" t="s">
        <v>92</v>
      </c>
      <c r="I45" s="1" t="s">
        <v>197</v>
      </c>
      <c r="J45" s="1" t="s">
        <v>198</v>
      </c>
      <c r="K45" s="1" t="s">
        <v>198</v>
      </c>
      <c r="M45" s="4">
        <v>-6.0</v>
      </c>
      <c r="O45" s="4">
        <v>13.214933333333333</v>
      </c>
    </row>
    <row r="46">
      <c r="A46" s="5">
        <v>45527.0</v>
      </c>
      <c r="B46" s="1" t="s">
        <v>88</v>
      </c>
      <c r="C46" s="1" t="s">
        <v>107</v>
      </c>
      <c r="D46" s="4">
        <v>313.0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199</v>
      </c>
      <c r="J46" s="1" t="s">
        <v>200</v>
      </c>
      <c r="K46" s="1" t="s">
        <v>200</v>
      </c>
      <c r="M46" s="4">
        <v>-7.0</v>
      </c>
      <c r="O46" s="4">
        <v>7.73095</v>
      </c>
    </row>
    <row r="47">
      <c r="A47" s="5">
        <v>45527.0</v>
      </c>
      <c r="B47" s="1" t="s">
        <v>116</v>
      </c>
      <c r="C47" s="1" t="s">
        <v>107</v>
      </c>
      <c r="D47" s="4">
        <v>199.0</v>
      </c>
      <c r="E47" s="4">
        <v>50.0</v>
      </c>
      <c r="G47" s="1" t="s">
        <v>111</v>
      </c>
      <c r="H47" s="1" t="s">
        <v>194</v>
      </c>
      <c r="I47" s="1" t="s">
        <v>201</v>
      </c>
      <c r="J47" s="1" t="s">
        <v>202</v>
      </c>
      <c r="K47" s="1" t="s">
        <v>202</v>
      </c>
      <c r="M47" s="4">
        <v>-10.0</v>
      </c>
      <c r="O47" s="4">
        <v>8.620616666666667</v>
      </c>
    </row>
    <row r="48">
      <c r="A48" s="5">
        <v>45527.0</v>
      </c>
      <c r="B48" s="1" t="s">
        <v>88</v>
      </c>
      <c r="C48" s="1" t="s">
        <v>107</v>
      </c>
      <c r="D48" s="4">
        <v>329.0</v>
      </c>
      <c r="E48" s="4">
        <v>0.0</v>
      </c>
      <c r="F48" s="1" t="s">
        <v>90</v>
      </c>
      <c r="G48" s="1" t="s">
        <v>91</v>
      </c>
      <c r="H48" s="1" t="s">
        <v>92</v>
      </c>
      <c r="I48" s="1" t="s">
        <v>203</v>
      </c>
      <c r="J48" s="1" t="s">
        <v>204</v>
      </c>
      <c r="K48" s="1" t="s">
        <v>204</v>
      </c>
      <c r="M48" s="4">
        <v>-5.0</v>
      </c>
      <c r="O48" s="4">
        <v>9.5771</v>
      </c>
    </row>
    <row r="49">
      <c r="A49" s="5">
        <v>45527.0</v>
      </c>
      <c r="B49" s="1" t="s">
        <v>116</v>
      </c>
      <c r="C49" s="1" t="s">
        <v>107</v>
      </c>
      <c r="D49" s="4">
        <v>245.0</v>
      </c>
      <c r="E49" s="4">
        <v>61.0</v>
      </c>
      <c r="G49" s="1" t="s">
        <v>111</v>
      </c>
      <c r="H49" s="1" t="s">
        <v>92</v>
      </c>
      <c r="I49" s="1" t="s">
        <v>205</v>
      </c>
      <c r="J49" s="1" t="s">
        <v>206</v>
      </c>
      <c r="K49" s="1" t="s">
        <v>206</v>
      </c>
      <c r="M49" s="4">
        <v>-5.0</v>
      </c>
      <c r="O49" s="4">
        <v>13.7665</v>
      </c>
    </row>
    <row r="50">
      <c r="A50" s="5">
        <v>45527.0</v>
      </c>
      <c r="B50" s="1" t="s">
        <v>116</v>
      </c>
      <c r="C50" s="1" t="s">
        <v>107</v>
      </c>
      <c r="D50" s="4">
        <v>299.0</v>
      </c>
      <c r="E50" s="4">
        <v>0.0</v>
      </c>
      <c r="F50" s="1" t="s">
        <v>174</v>
      </c>
      <c r="G50" s="1" t="s">
        <v>175</v>
      </c>
      <c r="H50" s="1" t="s">
        <v>92</v>
      </c>
      <c r="I50" s="1" t="s">
        <v>207</v>
      </c>
      <c r="J50" s="1" t="s">
        <v>208</v>
      </c>
      <c r="K50" s="1" t="s">
        <v>209</v>
      </c>
      <c r="L50" s="1" t="s">
        <v>210</v>
      </c>
      <c r="M50" s="4">
        <v>-17.0</v>
      </c>
      <c r="N50" s="4">
        <v>0.009766666666666667</v>
      </c>
      <c r="O50" s="4">
        <v>15.420483333333333</v>
      </c>
    </row>
    <row r="51">
      <c r="A51" s="5">
        <v>45527.0</v>
      </c>
      <c r="B51" s="1" t="s">
        <v>110</v>
      </c>
      <c r="C51" s="1" t="s">
        <v>107</v>
      </c>
      <c r="D51" s="4">
        <v>39.0</v>
      </c>
      <c r="E51" s="4">
        <v>0.0</v>
      </c>
      <c r="G51" s="1" t="s">
        <v>111</v>
      </c>
      <c r="H51" s="1" t="s">
        <v>96</v>
      </c>
      <c r="I51" s="1" t="s">
        <v>211</v>
      </c>
      <c r="J51" s="1" t="s">
        <v>212</v>
      </c>
      <c r="K51" s="1" t="s">
        <v>212</v>
      </c>
      <c r="M51" s="4">
        <v>-1.0</v>
      </c>
      <c r="O51" s="4">
        <v>3.6641166666666667</v>
      </c>
    </row>
    <row r="52">
      <c r="A52" s="5">
        <v>45527.0</v>
      </c>
      <c r="B52" s="1" t="s">
        <v>110</v>
      </c>
      <c r="C52" s="1" t="s">
        <v>107</v>
      </c>
      <c r="D52" s="4">
        <v>119.0</v>
      </c>
      <c r="E52" s="4">
        <v>0.0</v>
      </c>
      <c r="G52" s="1" t="s">
        <v>111</v>
      </c>
      <c r="H52" s="1" t="s">
        <v>96</v>
      </c>
      <c r="I52" s="1" t="s">
        <v>213</v>
      </c>
      <c r="J52" s="1" t="s">
        <v>214</v>
      </c>
      <c r="K52" s="1" t="s">
        <v>214</v>
      </c>
      <c r="M52" s="4">
        <v>-3.0</v>
      </c>
      <c r="O52" s="4">
        <v>1.74325</v>
      </c>
    </row>
    <row r="53">
      <c r="A53" s="5">
        <v>45527.0</v>
      </c>
      <c r="B53" s="1" t="s">
        <v>95</v>
      </c>
      <c r="C53" s="1" t="s">
        <v>89</v>
      </c>
      <c r="D53" s="4">
        <v>329.0</v>
      </c>
      <c r="E53" s="4">
        <v>0.0</v>
      </c>
      <c r="G53" s="1" t="s">
        <v>91</v>
      </c>
      <c r="H53" s="1" t="s">
        <v>92</v>
      </c>
      <c r="I53" s="1" t="s">
        <v>215</v>
      </c>
      <c r="J53" s="1" t="s">
        <v>216</v>
      </c>
      <c r="K53" s="1" t="s">
        <v>216</v>
      </c>
      <c r="M53" s="4">
        <v>0.0</v>
      </c>
      <c r="O53" s="4">
        <v>8.1943</v>
      </c>
    </row>
    <row r="54">
      <c r="A54" s="5">
        <v>45527.0</v>
      </c>
      <c r="B54" s="1" t="s">
        <v>95</v>
      </c>
      <c r="C54" s="1" t="s">
        <v>89</v>
      </c>
      <c r="D54" s="4">
        <v>264.0</v>
      </c>
      <c r="E54" s="4">
        <v>0.0</v>
      </c>
      <c r="G54" s="1" t="s">
        <v>91</v>
      </c>
      <c r="H54" s="1" t="s">
        <v>92</v>
      </c>
      <c r="I54" s="1" t="s">
        <v>217</v>
      </c>
      <c r="J54" s="1" t="s">
        <v>218</v>
      </c>
      <c r="K54" s="1" t="s">
        <v>218</v>
      </c>
      <c r="M54" s="4">
        <v>2.0</v>
      </c>
      <c r="O54" s="4">
        <v>10.64995</v>
      </c>
    </row>
    <row r="55">
      <c r="A55" s="5">
        <v>45527.0</v>
      </c>
      <c r="B55" s="1" t="s">
        <v>88</v>
      </c>
      <c r="C55" s="1" t="s">
        <v>107</v>
      </c>
      <c r="D55" s="4">
        <v>329.0</v>
      </c>
      <c r="E55" s="4">
        <v>0.0</v>
      </c>
      <c r="F55" s="1" t="s">
        <v>90</v>
      </c>
      <c r="G55" s="1" t="s">
        <v>91</v>
      </c>
      <c r="H55" s="1" t="s">
        <v>92</v>
      </c>
      <c r="I55" s="1" t="s">
        <v>219</v>
      </c>
      <c r="J55" s="1" t="s">
        <v>220</v>
      </c>
      <c r="K55" s="1" t="s">
        <v>220</v>
      </c>
      <c r="M55" s="4">
        <v>-4.0</v>
      </c>
      <c r="O55" s="4">
        <v>10.579466666666667</v>
      </c>
    </row>
    <row r="56">
      <c r="A56" s="5">
        <v>45527.0</v>
      </c>
      <c r="B56" s="1" t="s">
        <v>116</v>
      </c>
      <c r="C56" s="1" t="s">
        <v>107</v>
      </c>
      <c r="D56" s="4">
        <v>368.0</v>
      </c>
      <c r="E56" s="4">
        <v>70.0</v>
      </c>
      <c r="G56" s="1" t="s">
        <v>111</v>
      </c>
      <c r="H56" s="1" t="s">
        <v>92</v>
      </c>
      <c r="I56" s="1" t="s">
        <v>221</v>
      </c>
      <c r="J56" s="1" t="s">
        <v>222</v>
      </c>
      <c r="K56" s="1" t="s">
        <v>222</v>
      </c>
      <c r="M56" s="4">
        <v>0.0</v>
      </c>
      <c r="O56" s="4">
        <v>17.870566666666665</v>
      </c>
    </row>
    <row r="57">
      <c r="A57" s="5">
        <v>45527.0</v>
      </c>
      <c r="B57" s="1" t="s">
        <v>95</v>
      </c>
      <c r="C57" s="1" t="s">
        <v>89</v>
      </c>
      <c r="D57" s="4">
        <v>1309.0</v>
      </c>
      <c r="E57" s="4">
        <v>0.0</v>
      </c>
      <c r="G57" s="1" t="s">
        <v>91</v>
      </c>
      <c r="H57" s="1" t="s">
        <v>92</v>
      </c>
      <c r="I57" s="1" t="s">
        <v>223</v>
      </c>
      <c r="J57" s="1" t="s">
        <v>224</v>
      </c>
      <c r="K57" s="1" t="s">
        <v>224</v>
      </c>
      <c r="M57" s="4">
        <v>2.0</v>
      </c>
      <c r="O57" s="4">
        <v>16.544333333333334</v>
      </c>
    </row>
    <row r="58">
      <c r="A58" s="5">
        <v>45527.0</v>
      </c>
      <c r="B58" s="1" t="s">
        <v>116</v>
      </c>
      <c r="C58" s="1" t="s">
        <v>107</v>
      </c>
      <c r="D58" s="4">
        <v>359.0</v>
      </c>
      <c r="E58" s="4">
        <v>0.0</v>
      </c>
      <c r="F58" s="1" t="s">
        <v>174</v>
      </c>
      <c r="G58" s="1" t="s">
        <v>175</v>
      </c>
      <c r="H58" s="1" t="s">
        <v>92</v>
      </c>
      <c r="I58" s="1" t="s">
        <v>225</v>
      </c>
      <c r="J58" s="1" t="s">
        <v>226</v>
      </c>
      <c r="K58" s="1" t="s">
        <v>227</v>
      </c>
      <c r="L58" s="1" t="s">
        <v>228</v>
      </c>
      <c r="M58" s="4">
        <v>1.0</v>
      </c>
      <c r="N58" s="4">
        <v>0.009616666666666667</v>
      </c>
      <c r="O58" s="4">
        <v>19.8371</v>
      </c>
    </row>
    <row r="59">
      <c r="A59" s="5">
        <v>45527.0</v>
      </c>
      <c r="B59" s="1" t="s">
        <v>103</v>
      </c>
      <c r="C59" s="1" t="s">
        <v>89</v>
      </c>
      <c r="D59" s="4">
        <v>264.0</v>
      </c>
      <c r="E59" s="4">
        <v>0.0</v>
      </c>
      <c r="F59" s="1" t="s">
        <v>229</v>
      </c>
      <c r="G59" s="1" t="s">
        <v>91</v>
      </c>
      <c r="H59" s="1" t="s">
        <v>92</v>
      </c>
      <c r="I59" s="1" t="s">
        <v>230</v>
      </c>
      <c r="J59" s="1" t="s">
        <v>231</v>
      </c>
      <c r="K59" s="1" t="s">
        <v>231</v>
      </c>
      <c r="M59" s="4">
        <v>-9.0</v>
      </c>
      <c r="O59" s="4">
        <v>5.807133333333334</v>
      </c>
    </row>
    <row r="60">
      <c r="A60" s="5">
        <v>45527.0</v>
      </c>
      <c r="B60" s="1" t="s">
        <v>116</v>
      </c>
      <c r="C60" s="1" t="s">
        <v>107</v>
      </c>
      <c r="D60" s="4">
        <v>199.0</v>
      </c>
      <c r="E60" s="4">
        <v>50.0</v>
      </c>
      <c r="G60" s="1" t="s">
        <v>111</v>
      </c>
      <c r="H60" s="1" t="s">
        <v>92</v>
      </c>
      <c r="I60" s="1" t="s">
        <v>232</v>
      </c>
      <c r="J60" s="1" t="s">
        <v>233</v>
      </c>
      <c r="K60" s="1" t="s">
        <v>233</v>
      </c>
      <c r="M60" s="4">
        <v>-11.0</v>
      </c>
      <c r="O60" s="4">
        <v>7.981066666666667</v>
      </c>
    </row>
    <row r="61">
      <c r="A61" s="5">
        <v>45527.0</v>
      </c>
      <c r="B61" s="1" t="s">
        <v>88</v>
      </c>
      <c r="C61" s="1" t="s">
        <v>107</v>
      </c>
      <c r="D61" s="4">
        <v>364.0</v>
      </c>
      <c r="E61" s="4">
        <v>0.0</v>
      </c>
      <c r="F61" s="1" t="s">
        <v>90</v>
      </c>
      <c r="G61" s="1" t="s">
        <v>91</v>
      </c>
      <c r="H61" s="1" t="s">
        <v>92</v>
      </c>
      <c r="I61" s="1" t="s">
        <v>234</v>
      </c>
      <c r="J61" s="1" t="s">
        <v>235</v>
      </c>
      <c r="K61" s="1" t="s">
        <v>235</v>
      </c>
      <c r="M61" s="4">
        <v>-7.0</v>
      </c>
      <c r="O61" s="4">
        <v>7.4789</v>
      </c>
    </row>
    <row r="62">
      <c r="A62" s="5">
        <v>45527.0</v>
      </c>
      <c r="B62" s="1" t="s">
        <v>88</v>
      </c>
      <c r="C62" s="1" t="s">
        <v>107</v>
      </c>
      <c r="D62" s="4">
        <v>608.0</v>
      </c>
      <c r="E62" s="4">
        <v>0.0</v>
      </c>
      <c r="F62" s="1" t="s">
        <v>90</v>
      </c>
      <c r="G62" s="1" t="s">
        <v>91</v>
      </c>
      <c r="H62" s="1" t="s">
        <v>92</v>
      </c>
      <c r="I62" s="1" t="s">
        <v>236</v>
      </c>
      <c r="J62" s="1" t="s">
        <v>237</v>
      </c>
      <c r="K62" s="1" t="s">
        <v>237</v>
      </c>
      <c r="M62" s="4">
        <v>-9.0</v>
      </c>
      <c r="O62" s="4">
        <v>10.23485</v>
      </c>
    </row>
    <row r="63">
      <c r="A63" s="5">
        <v>45527.0</v>
      </c>
      <c r="B63" s="1" t="s">
        <v>116</v>
      </c>
      <c r="C63" s="1" t="s">
        <v>107</v>
      </c>
      <c r="D63" s="4">
        <v>407.0</v>
      </c>
      <c r="E63" s="4">
        <v>0.0</v>
      </c>
      <c r="F63" s="1" t="s">
        <v>174</v>
      </c>
      <c r="G63" s="1" t="s">
        <v>175</v>
      </c>
      <c r="H63" s="1" t="s">
        <v>92</v>
      </c>
      <c r="I63" s="1" t="s">
        <v>238</v>
      </c>
      <c r="J63" s="1" t="s">
        <v>239</v>
      </c>
      <c r="K63" s="1" t="s">
        <v>240</v>
      </c>
      <c r="L63" s="1" t="s">
        <v>241</v>
      </c>
      <c r="M63" s="4">
        <v>-2.0</v>
      </c>
      <c r="N63" s="4">
        <v>0.013783333333333333</v>
      </c>
      <c r="O63" s="4">
        <v>14.15185</v>
      </c>
    </row>
    <row r="64">
      <c r="A64" s="5">
        <v>45527.0</v>
      </c>
      <c r="B64" s="1" t="s">
        <v>95</v>
      </c>
      <c r="C64" s="1" t="s">
        <v>242</v>
      </c>
      <c r="D64" s="4">
        <v>394.0</v>
      </c>
      <c r="E64" s="4">
        <v>0.0</v>
      </c>
      <c r="G64" s="1" t="s">
        <v>91</v>
      </c>
      <c r="H64" s="1" t="s">
        <v>92</v>
      </c>
      <c r="I64" s="1" t="s">
        <v>243</v>
      </c>
      <c r="J64" s="1" t="s">
        <v>244</v>
      </c>
      <c r="K64" s="1" t="s">
        <v>244</v>
      </c>
      <c r="M64" s="4">
        <v>1.0</v>
      </c>
      <c r="O64" s="4">
        <v>9.786533333333333</v>
      </c>
    </row>
    <row r="65">
      <c r="A65" s="5">
        <v>45527.0</v>
      </c>
      <c r="B65" s="1" t="s">
        <v>88</v>
      </c>
      <c r="C65" s="1" t="s">
        <v>107</v>
      </c>
      <c r="D65" s="4">
        <v>528.0</v>
      </c>
      <c r="E65" s="4">
        <v>0.0</v>
      </c>
      <c r="F65" s="1" t="s">
        <v>90</v>
      </c>
      <c r="G65" s="1" t="s">
        <v>91</v>
      </c>
      <c r="H65" s="1" t="s">
        <v>92</v>
      </c>
      <c r="I65" s="1" t="s">
        <v>245</v>
      </c>
      <c r="J65" s="1" t="s">
        <v>246</v>
      </c>
      <c r="K65" s="1" t="s">
        <v>246</v>
      </c>
      <c r="M65" s="4">
        <v>-7.0</v>
      </c>
      <c r="O65" s="4">
        <v>12.061266666666667</v>
      </c>
    </row>
    <row r="66">
      <c r="A66" s="5">
        <v>45527.0</v>
      </c>
      <c r="B66" s="1" t="s">
        <v>103</v>
      </c>
      <c r="C66" s="1" t="s">
        <v>89</v>
      </c>
      <c r="D66" s="4">
        <v>338.0</v>
      </c>
      <c r="E66" s="4">
        <v>0.0</v>
      </c>
      <c r="F66" s="1" t="s">
        <v>247</v>
      </c>
      <c r="G66" s="1" t="s">
        <v>91</v>
      </c>
      <c r="H66" s="1" t="s">
        <v>92</v>
      </c>
      <c r="I66" s="1" t="s">
        <v>248</v>
      </c>
      <c r="J66" s="1" t="s">
        <v>249</v>
      </c>
      <c r="K66" s="1" t="s">
        <v>249</v>
      </c>
      <c r="M66" s="4">
        <v>-6.0</v>
      </c>
      <c r="O66" s="4">
        <v>8.558016666666667</v>
      </c>
    </row>
    <row r="67">
      <c r="A67" s="5">
        <v>45527.0</v>
      </c>
      <c r="B67" s="1" t="s">
        <v>103</v>
      </c>
      <c r="C67" s="1" t="s">
        <v>89</v>
      </c>
      <c r="D67" s="4">
        <v>448.0</v>
      </c>
      <c r="E67" s="4">
        <v>0.0</v>
      </c>
      <c r="F67" s="1" t="s">
        <v>250</v>
      </c>
      <c r="G67" s="1" t="s">
        <v>91</v>
      </c>
      <c r="H67" s="1" t="s">
        <v>92</v>
      </c>
      <c r="I67" s="1" t="s">
        <v>251</v>
      </c>
      <c r="J67" s="1" t="s">
        <v>252</v>
      </c>
      <c r="K67" s="1" t="s">
        <v>252</v>
      </c>
      <c r="M67" s="4">
        <v>-7.0</v>
      </c>
      <c r="O67" s="4">
        <v>7.3194</v>
      </c>
    </row>
    <row r="68">
      <c r="A68" s="5">
        <v>45527.0</v>
      </c>
      <c r="B68" s="1" t="s">
        <v>116</v>
      </c>
      <c r="C68" s="1" t="s">
        <v>107</v>
      </c>
      <c r="D68" s="4">
        <v>188.0</v>
      </c>
      <c r="E68" s="4">
        <v>61.0</v>
      </c>
      <c r="G68" s="1" t="s">
        <v>111</v>
      </c>
      <c r="H68" s="1" t="s">
        <v>194</v>
      </c>
      <c r="I68" s="1" t="s">
        <v>253</v>
      </c>
      <c r="J68" s="1" t="s">
        <v>254</v>
      </c>
      <c r="K68" s="1" t="s">
        <v>254</v>
      </c>
      <c r="M68" s="4">
        <v>-11.0</v>
      </c>
      <c r="O68" s="4">
        <v>8.48645</v>
      </c>
    </row>
    <row r="69">
      <c r="A69" s="5">
        <v>45527.0</v>
      </c>
      <c r="B69" s="1" t="s">
        <v>110</v>
      </c>
      <c r="C69" s="1" t="s">
        <v>107</v>
      </c>
      <c r="D69" s="4">
        <v>498.0</v>
      </c>
      <c r="E69" s="4">
        <v>0.0</v>
      </c>
      <c r="G69" s="1" t="s">
        <v>111</v>
      </c>
      <c r="H69" s="1" t="s">
        <v>96</v>
      </c>
      <c r="I69" s="1" t="s">
        <v>255</v>
      </c>
      <c r="J69" s="1" t="s">
        <v>256</v>
      </c>
      <c r="K69" s="1" t="s">
        <v>256</v>
      </c>
      <c r="M69" s="4">
        <v>0.0</v>
      </c>
      <c r="O69" s="4">
        <v>4.645933333333334</v>
      </c>
    </row>
    <row r="70">
      <c r="A70" s="5">
        <v>45527.0</v>
      </c>
      <c r="B70" s="1" t="s">
        <v>116</v>
      </c>
      <c r="C70" s="1" t="s">
        <v>107</v>
      </c>
      <c r="D70" s="4">
        <v>247.0</v>
      </c>
      <c r="E70" s="4">
        <v>62.0</v>
      </c>
      <c r="G70" s="1" t="s">
        <v>111</v>
      </c>
      <c r="H70" s="1" t="s">
        <v>92</v>
      </c>
      <c r="I70" s="1" t="s">
        <v>257</v>
      </c>
      <c r="J70" s="1" t="s">
        <v>258</v>
      </c>
      <c r="K70" s="1" t="s">
        <v>258</v>
      </c>
      <c r="M70" s="4">
        <v>-12.0</v>
      </c>
      <c r="O70" s="4">
        <v>5.936216666666667</v>
      </c>
    </row>
    <row r="71">
      <c r="A71" s="5">
        <v>45527.0</v>
      </c>
      <c r="B71" s="1" t="s">
        <v>110</v>
      </c>
      <c r="C71" s="1" t="s">
        <v>107</v>
      </c>
      <c r="D71" s="4">
        <v>249.0</v>
      </c>
      <c r="E71" s="4">
        <v>0.0</v>
      </c>
      <c r="G71" s="1" t="s">
        <v>111</v>
      </c>
      <c r="H71" s="1" t="s">
        <v>96</v>
      </c>
      <c r="I71" s="1" t="s">
        <v>259</v>
      </c>
      <c r="J71" s="1" t="s">
        <v>260</v>
      </c>
      <c r="K71" s="1" t="s">
        <v>260</v>
      </c>
      <c r="M71" s="4">
        <v>-2.0</v>
      </c>
      <c r="O71" s="4">
        <v>2.5814</v>
      </c>
    </row>
    <row r="72">
      <c r="A72" s="5">
        <v>45527.0</v>
      </c>
      <c r="B72" s="1" t="s">
        <v>116</v>
      </c>
      <c r="C72" s="1" t="s">
        <v>107</v>
      </c>
      <c r="D72" s="4">
        <v>393.0</v>
      </c>
      <c r="E72" s="4">
        <v>0.0</v>
      </c>
      <c r="F72" s="1" t="s">
        <v>174</v>
      </c>
      <c r="G72" s="1" t="s">
        <v>175</v>
      </c>
      <c r="H72" s="1" t="s">
        <v>96</v>
      </c>
      <c r="I72" s="1" t="s">
        <v>261</v>
      </c>
      <c r="J72" s="1" t="s">
        <v>262</v>
      </c>
      <c r="K72" s="1" t="s">
        <v>263</v>
      </c>
      <c r="L72" s="1" t="s">
        <v>264</v>
      </c>
      <c r="M72" s="4">
        <v>-13.0</v>
      </c>
      <c r="N72" s="4">
        <v>0.014966666666666666</v>
      </c>
      <c r="O72" s="4">
        <v>20.348133333333333</v>
      </c>
    </row>
    <row r="73">
      <c r="A73" s="5">
        <v>45527.0</v>
      </c>
      <c r="B73" s="1" t="s">
        <v>95</v>
      </c>
      <c r="C73" s="1" t="s">
        <v>89</v>
      </c>
      <c r="D73" s="4">
        <v>758.0</v>
      </c>
      <c r="E73" s="4">
        <v>0.0</v>
      </c>
      <c r="G73" s="1" t="s">
        <v>91</v>
      </c>
      <c r="H73" s="1" t="s">
        <v>92</v>
      </c>
      <c r="I73" s="1" t="s">
        <v>265</v>
      </c>
      <c r="J73" s="1" t="s">
        <v>266</v>
      </c>
      <c r="K73" s="1" t="s">
        <v>266</v>
      </c>
      <c r="M73" s="4">
        <v>-1.0</v>
      </c>
      <c r="O73" s="4">
        <v>9.823433333333334</v>
      </c>
    </row>
    <row r="74">
      <c r="A74" s="5">
        <v>45527.0</v>
      </c>
      <c r="B74" s="1" t="s">
        <v>88</v>
      </c>
      <c r="C74" s="1" t="s">
        <v>107</v>
      </c>
      <c r="D74" s="4">
        <v>289.0</v>
      </c>
      <c r="E74" s="4">
        <v>0.0</v>
      </c>
      <c r="F74" s="1" t="s">
        <v>90</v>
      </c>
      <c r="G74" s="1" t="s">
        <v>91</v>
      </c>
      <c r="H74" s="1" t="s">
        <v>92</v>
      </c>
      <c r="I74" s="1" t="s">
        <v>267</v>
      </c>
      <c r="J74" s="1" t="s">
        <v>268</v>
      </c>
      <c r="K74" s="1" t="s">
        <v>268</v>
      </c>
      <c r="M74" s="4">
        <v>-5.0</v>
      </c>
      <c r="O74" s="4">
        <v>9.571316666666666</v>
      </c>
    </row>
    <row r="75">
      <c r="A75" s="5">
        <v>45527.0</v>
      </c>
      <c r="B75" s="1" t="s">
        <v>95</v>
      </c>
      <c r="C75" s="1" t="s">
        <v>89</v>
      </c>
      <c r="D75" s="4">
        <v>329.0</v>
      </c>
      <c r="E75" s="4">
        <v>0.0</v>
      </c>
      <c r="G75" s="1" t="s">
        <v>91</v>
      </c>
      <c r="H75" s="1" t="s">
        <v>92</v>
      </c>
      <c r="I75" s="1" t="s">
        <v>269</v>
      </c>
      <c r="J75" s="1" t="s">
        <v>270</v>
      </c>
      <c r="K75" s="1" t="s">
        <v>270</v>
      </c>
      <c r="M75" s="4">
        <v>1.0</v>
      </c>
      <c r="O75" s="4">
        <v>9.504516666666667</v>
      </c>
    </row>
    <row r="76">
      <c r="A76" s="5">
        <v>45527.0</v>
      </c>
      <c r="B76" s="1" t="s">
        <v>95</v>
      </c>
      <c r="C76" s="1" t="s">
        <v>89</v>
      </c>
      <c r="D76" s="4">
        <v>299.0</v>
      </c>
      <c r="E76" s="4">
        <v>0.0</v>
      </c>
      <c r="G76" s="1" t="s">
        <v>91</v>
      </c>
      <c r="H76" s="1" t="s">
        <v>92</v>
      </c>
      <c r="I76" s="1" t="s">
        <v>271</v>
      </c>
      <c r="J76" s="1" t="s">
        <v>272</v>
      </c>
      <c r="K76" s="1" t="s">
        <v>272</v>
      </c>
      <c r="M76" s="4">
        <v>2.0</v>
      </c>
      <c r="O76" s="4">
        <v>9.349733333333333</v>
      </c>
    </row>
    <row r="77">
      <c r="A77" s="5">
        <v>45527.0</v>
      </c>
      <c r="B77" s="1" t="s">
        <v>116</v>
      </c>
      <c r="C77" s="1" t="s">
        <v>107</v>
      </c>
      <c r="D77" s="4">
        <v>199.0</v>
      </c>
      <c r="E77" s="4">
        <v>50.0</v>
      </c>
      <c r="G77" s="1" t="s">
        <v>111</v>
      </c>
      <c r="H77" s="1" t="s">
        <v>194</v>
      </c>
      <c r="I77" s="1" t="s">
        <v>273</v>
      </c>
      <c r="J77" s="1" t="s">
        <v>274</v>
      </c>
      <c r="K77" s="1" t="s">
        <v>274</v>
      </c>
      <c r="M77" s="4">
        <v>-7.0</v>
      </c>
      <c r="O77" s="4">
        <v>11.488133333333334</v>
      </c>
    </row>
    <row r="78">
      <c r="A78" s="5">
        <v>45527.0</v>
      </c>
      <c r="B78" s="1" t="s">
        <v>110</v>
      </c>
      <c r="C78" s="1" t="s">
        <v>107</v>
      </c>
      <c r="D78" s="4">
        <v>49.0</v>
      </c>
      <c r="E78" s="4">
        <v>0.0</v>
      </c>
      <c r="G78" s="1" t="s">
        <v>111</v>
      </c>
      <c r="H78" s="1" t="s">
        <v>96</v>
      </c>
      <c r="I78" s="1" t="s">
        <v>275</v>
      </c>
      <c r="J78" s="1" t="s">
        <v>276</v>
      </c>
      <c r="K78" s="1" t="s">
        <v>276</v>
      </c>
      <c r="M78" s="4">
        <v>-4.0</v>
      </c>
      <c r="O78" s="4">
        <v>0.6601</v>
      </c>
    </row>
    <row r="79">
      <c r="A79" s="5">
        <v>45527.0</v>
      </c>
      <c r="B79" s="1" t="s">
        <v>116</v>
      </c>
      <c r="C79" s="1" t="s">
        <v>107</v>
      </c>
      <c r="D79" s="4">
        <v>266.0</v>
      </c>
      <c r="E79" s="4">
        <v>0.0</v>
      </c>
      <c r="F79" s="1" t="s">
        <v>174</v>
      </c>
      <c r="G79" s="1" t="s">
        <v>175</v>
      </c>
      <c r="H79" s="1" t="s">
        <v>92</v>
      </c>
      <c r="I79" s="1" t="s">
        <v>277</v>
      </c>
      <c r="J79" s="1" t="s">
        <v>278</v>
      </c>
      <c r="K79" s="1" t="s">
        <v>279</v>
      </c>
      <c r="L79" s="1" t="s">
        <v>280</v>
      </c>
      <c r="M79" s="4">
        <v>0.0</v>
      </c>
      <c r="N79" s="4">
        <v>0.008666666666666666</v>
      </c>
      <c r="O79" s="4">
        <v>12.345516666666667</v>
      </c>
    </row>
    <row r="80">
      <c r="A80" s="5">
        <v>45527.0</v>
      </c>
      <c r="B80" s="1" t="s">
        <v>110</v>
      </c>
      <c r="C80" s="1" t="s">
        <v>107</v>
      </c>
      <c r="D80" s="4">
        <v>249.0</v>
      </c>
      <c r="E80" s="4">
        <v>0.0</v>
      </c>
      <c r="G80" s="1" t="s">
        <v>111</v>
      </c>
      <c r="H80" s="1" t="s">
        <v>96</v>
      </c>
      <c r="I80" s="1" t="s">
        <v>281</v>
      </c>
      <c r="J80" s="1" t="s">
        <v>282</v>
      </c>
      <c r="K80" s="1" t="s">
        <v>282</v>
      </c>
      <c r="M80" s="4">
        <v>0.0</v>
      </c>
      <c r="O80" s="4">
        <v>5.468516666666667</v>
      </c>
    </row>
    <row r="81">
      <c r="A81" s="5">
        <v>45527.0</v>
      </c>
      <c r="B81" s="1" t="s">
        <v>116</v>
      </c>
      <c r="C81" s="1" t="s">
        <v>107</v>
      </c>
      <c r="D81" s="4">
        <v>199.0</v>
      </c>
      <c r="E81" s="4">
        <v>50.0</v>
      </c>
      <c r="G81" s="1" t="s">
        <v>111</v>
      </c>
      <c r="H81" s="1" t="s">
        <v>96</v>
      </c>
      <c r="I81" s="1" t="s">
        <v>283</v>
      </c>
      <c r="J81" s="1" t="s">
        <v>284</v>
      </c>
      <c r="K81" s="1" t="s">
        <v>284</v>
      </c>
      <c r="M81" s="4">
        <v>-17.0</v>
      </c>
      <c r="O81" s="4">
        <v>9.80685</v>
      </c>
    </row>
    <row r="82">
      <c r="A82" s="5">
        <v>45527.0</v>
      </c>
      <c r="B82" s="1" t="s">
        <v>116</v>
      </c>
      <c r="C82" s="1" t="s">
        <v>107</v>
      </c>
      <c r="D82" s="4">
        <v>396.0</v>
      </c>
      <c r="E82" s="4">
        <v>0.0</v>
      </c>
      <c r="F82" s="1" t="s">
        <v>174</v>
      </c>
      <c r="G82" s="1" t="s">
        <v>175</v>
      </c>
      <c r="H82" s="1" t="s">
        <v>96</v>
      </c>
      <c r="I82" s="1" t="s">
        <v>285</v>
      </c>
      <c r="J82" s="1" t="s">
        <v>286</v>
      </c>
      <c r="K82" s="1" t="s">
        <v>287</v>
      </c>
      <c r="L82" s="1" t="s">
        <v>288</v>
      </c>
      <c r="M82" s="4">
        <v>11.0</v>
      </c>
      <c r="N82" s="4">
        <v>0.011066666666666667</v>
      </c>
      <c r="O82" s="4">
        <v>17.385016666666665</v>
      </c>
    </row>
    <row r="83">
      <c r="A83" s="5">
        <v>45527.0</v>
      </c>
      <c r="B83" s="1" t="s">
        <v>116</v>
      </c>
      <c r="C83" s="1" t="s">
        <v>107</v>
      </c>
      <c r="D83" s="4">
        <v>651.0</v>
      </c>
      <c r="E83" s="4">
        <v>30.0</v>
      </c>
      <c r="F83" s="1" t="s">
        <v>174</v>
      </c>
      <c r="G83" s="1" t="s">
        <v>175</v>
      </c>
      <c r="H83" s="1" t="s">
        <v>92</v>
      </c>
      <c r="I83" s="1" t="s">
        <v>289</v>
      </c>
      <c r="J83" s="1" t="s">
        <v>290</v>
      </c>
      <c r="K83" s="1" t="s">
        <v>291</v>
      </c>
      <c r="L83" s="1" t="s">
        <v>292</v>
      </c>
      <c r="M83" s="4">
        <v>0.0</v>
      </c>
      <c r="N83" s="4">
        <v>0.01355</v>
      </c>
      <c r="O83" s="4">
        <v>11.090183333333334</v>
      </c>
    </row>
    <row r="84">
      <c r="A84" s="5">
        <v>45527.0</v>
      </c>
      <c r="B84" s="1" t="s">
        <v>88</v>
      </c>
      <c r="C84" s="1" t="s">
        <v>107</v>
      </c>
      <c r="D84" s="4">
        <v>338.0</v>
      </c>
      <c r="E84" s="4">
        <v>0.0</v>
      </c>
      <c r="F84" s="1" t="s">
        <v>90</v>
      </c>
      <c r="G84" s="1" t="s">
        <v>91</v>
      </c>
      <c r="H84" s="1" t="s">
        <v>92</v>
      </c>
      <c r="I84" s="1" t="s">
        <v>293</v>
      </c>
      <c r="J84" s="1" t="s">
        <v>294</v>
      </c>
      <c r="K84" s="1" t="s">
        <v>294</v>
      </c>
      <c r="M84" s="4">
        <v>-3.0</v>
      </c>
      <c r="O84" s="4">
        <v>11.409333333333333</v>
      </c>
    </row>
    <row r="85">
      <c r="A85" s="5">
        <v>45527.0</v>
      </c>
      <c r="B85" s="1" t="s">
        <v>116</v>
      </c>
      <c r="C85" s="1" t="s">
        <v>107</v>
      </c>
      <c r="D85" s="4">
        <v>288.0</v>
      </c>
      <c r="E85" s="4">
        <v>0.0</v>
      </c>
      <c r="F85" s="1" t="s">
        <v>90</v>
      </c>
      <c r="G85" s="1" t="s">
        <v>175</v>
      </c>
      <c r="H85" s="1" t="s">
        <v>92</v>
      </c>
      <c r="I85" s="1" t="s">
        <v>295</v>
      </c>
      <c r="J85" s="1" t="s">
        <v>296</v>
      </c>
      <c r="K85" s="1" t="s">
        <v>297</v>
      </c>
      <c r="L85" s="1" t="s">
        <v>298</v>
      </c>
      <c r="M85" s="4">
        <v>5.0</v>
      </c>
      <c r="N85" s="4">
        <v>8.576283333333333</v>
      </c>
      <c r="O85" s="4">
        <v>14.4757</v>
      </c>
    </row>
    <row r="86">
      <c r="A86" s="5">
        <v>45527.0</v>
      </c>
      <c r="B86" s="1" t="s">
        <v>95</v>
      </c>
      <c r="C86" s="1" t="s">
        <v>89</v>
      </c>
      <c r="D86" s="4">
        <v>329.0</v>
      </c>
      <c r="E86" s="4">
        <v>0.0</v>
      </c>
      <c r="G86" s="1" t="s">
        <v>91</v>
      </c>
      <c r="H86" s="1" t="s">
        <v>92</v>
      </c>
      <c r="I86" s="1" t="s">
        <v>299</v>
      </c>
      <c r="J86" s="1" t="s">
        <v>300</v>
      </c>
      <c r="K86" s="1" t="s">
        <v>300</v>
      </c>
      <c r="M86" s="4">
        <v>3.0</v>
      </c>
      <c r="O86" s="4">
        <v>11.01305</v>
      </c>
    </row>
    <row r="87">
      <c r="A87" s="5">
        <v>45527.0</v>
      </c>
      <c r="B87" s="1" t="s">
        <v>95</v>
      </c>
      <c r="C87" s="1" t="s">
        <v>89</v>
      </c>
      <c r="D87" s="4">
        <v>1327.0</v>
      </c>
      <c r="E87" s="4">
        <v>0.0</v>
      </c>
      <c r="G87" s="1" t="s">
        <v>91</v>
      </c>
      <c r="H87" s="1" t="s">
        <v>92</v>
      </c>
      <c r="I87" s="1" t="s">
        <v>301</v>
      </c>
      <c r="J87" s="1" t="s">
        <v>302</v>
      </c>
      <c r="K87" s="1" t="s">
        <v>302</v>
      </c>
      <c r="M87" s="4">
        <v>-3.0</v>
      </c>
      <c r="O87" s="4">
        <v>10.727933333333333</v>
      </c>
    </row>
    <row r="88">
      <c r="A88" s="5">
        <v>45527.0</v>
      </c>
      <c r="B88" s="1" t="s">
        <v>116</v>
      </c>
      <c r="C88" s="1" t="s">
        <v>107</v>
      </c>
      <c r="D88" s="4">
        <v>652.0</v>
      </c>
      <c r="E88" s="4">
        <v>0.0</v>
      </c>
      <c r="F88" s="1" t="s">
        <v>90</v>
      </c>
      <c r="G88" s="1" t="s">
        <v>175</v>
      </c>
      <c r="H88" s="1" t="s">
        <v>92</v>
      </c>
      <c r="I88" s="1" t="s">
        <v>303</v>
      </c>
      <c r="J88" s="1" t="s">
        <v>304</v>
      </c>
      <c r="K88" s="1" t="s">
        <v>305</v>
      </c>
      <c r="L88" s="1" t="s">
        <v>306</v>
      </c>
      <c r="M88" s="4">
        <v>-7.0</v>
      </c>
      <c r="N88" s="4">
        <v>20.203566666666667</v>
      </c>
      <c r="O88" s="4">
        <v>29.909816666666668</v>
      </c>
    </row>
    <row r="89">
      <c r="A89" s="5">
        <v>45527.0</v>
      </c>
      <c r="B89" s="1" t="s">
        <v>88</v>
      </c>
      <c r="C89" s="1" t="s">
        <v>107</v>
      </c>
      <c r="D89" s="4">
        <v>407.0</v>
      </c>
      <c r="E89" s="4">
        <v>0.0</v>
      </c>
      <c r="F89" s="1" t="s">
        <v>90</v>
      </c>
      <c r="G89" s="1" t="s">
        <v>91</v>
      </c>
      <c r="H89" s="1" t="s">
        <v>92</v>
      </c>
      <c r="I89" s="1" t="s">
        <v>307</v>
      </c>
      <c r="J89" s="1" t="s">
        <v>308</v>
      </c>
      <c r="K89" s="1" t="s">
        <v>308</v>
      </c>
      <c r="M89" s="4">
        <v>-6.0</v>
      </c>
      <c r="O89" s="4">
        <v>8.904716666666667</v>
      </c>
    </row>
    <row r="90">
      <c r="A90" s="5">
        <v>45527.0</v>
      </c>
      <c r="B90" s="1" t="s">
        <v>110</v>
      </c>
      <c r="C90" s="1" t="s">
        <v>107</v>
      </c>
      <c r="D90" s="4">
        <v>344.0</v>
      </c>
      <c r="E90" s="4">
        <v>0.0</v>
      </c>
      <c r="G90" s="1" t="s">
        <v>111</v>
      </c>
      <c r="H90" s="1" t="s">
        <v>96</v>
      </c>
      <c r="I90" s="1" t="s">
        <v>309</v>
      </c>
      <c r="J90" s="1" t="s">
        <v>310</v>
      </c>
      <c r="K90" s="1" t="s">
        <v>310</v>
      </c>
      <c r="M90" s="4">
        <v>6.0</v>
      </c>
      <c r="O90" s="4">
        <v>11.4255</v>
      </c>
    </row>
    <row r="91">
      <c r="A91" s="5">
        <v>45527.0</v>
      </c>
      <c r="B91" s="1" t="s">
        <v>88</v>
      </c>
      <c r="C91" s="1" t="s">
        <v>107</v>
      </c>
      <c r="D91" s="4">
        <v>327.0</v>
      </c>
      <c r="E91" s="4">
        <v>0.0</v>
      </c>
      <c r="F91" s="1" t="s">
        <v>90</v>
      </c>
      <c r="G91" s="1" t="s">
        <v>91</v>
      </c>
      <c r="H91" s="1" t="s">
        <v>92</v>
      </c>
      <c r="I91" s="1" t="s">
        <v>311</v>
      </c>
      <c r="J91" s="1" t="s">
        <v>312</v>
      </c>
      <c r="K91" s="1" t="s">
        <v>312</v>
      </c>
      <c r="M91" s="4">
        <v>-3.0</v>
      </c>
      <c r="O91" s="4">
        <v>11.171</v>
      </c>
    </row>
    <row r="92">
      <c r="A92" s="5">
        <v>45527.0</v>
      </c>
      <c r="B92" s="1" t="s">
        <v>116</v>
      </c>
      <c r="C92" s="1" t="s">
        <v>107</v>
      </c>
      <c r="D92" s="4">
        <v>344.0</v>
      </c>
      <c r="E92" s="4">
        <v>0.0</v>
      </c>
      <c r="F92" s="1" t="s">
        <v>174</v>
      </c>
      <c r="G92" s="1" t="s">
        <v>175</v>
      </c>
      <c r="H92" s="1" t="s">
        <v>96</v>
      </c>
      <c r="I92" s="1" t="s">
        <v>313</v>
      </c>
      <c r="J92" s="1" t="s">
        <v>314</v>
      </c>
      <c r="K92" s="1" t="s">
        <v>315</v>
      </c>
      <c r="L92" s="1" t="s">
        <v>316</v>
      </c>
      <c r="M92" s="4">
        <v>0.0</v>
      </c>
      <c r="N92" s="4">
        <v>0.00785</v>
      </c>
      <c r="O92" s="4">
        <v>21.534183333333335</v>
      </c>
    </row>
    <row r="93">
      <c r="A93" s="5">
        <v>45527.0</v>
      </c>
      <c r="B93" s="1" t="s">
        <v>103</v>
      </c>
      <c r="C93" s="1" t="s">
        <v>89</v>
      </c>
      <c r="D93" s="4">
        <v>394.0</v>
      </c>
      <c r="E93" s="4">
        <v>0.0</v>
      </c>
      <c r="F93" s="1" t="s">
        <v>317</v>
      </c>
      <c r="G93" s="1" t="s">
        <v>91</v>
      </c>
      <c r="H93" s="1" t="s">
        <v>92</v>
      </c>
      <c r="I93" s="1" t="s">
        <v>318</v>
      </c>
      <c r="J93" s="1" t="s">
        <v>319</v>
      </c>
      <c r="K93" s="1" t="s">
        <v>319</v>
      </c>
      <c r="M93" s="4">
        <v>0.0</v>
      </c>
      <c r="O93" s="4">
        <v>15.828283333333333</v>
      </c>
    </row>
    <row r="94">
      <c r="A94" s="5">
        <v>45527.0</v>
      </c>
      <c r="B94" s="1" t="s">
        <v>110</v>
      </c>
      <c r="C94" s="1" t="s">
        <v>107</v>
      </c>
      <c r="D94" s="4">
        <v>269.0</v>
      </c>
      <c r="E94" s="4">
        <v>0.0</v>
      </c>
      <c r="G94" s="1" t="s">
        <v>111</v>
      </c>
      <c r="H94" s="1" t="s">
        <v>96</v>
      </c>
      <c r="I94" s="1" t="s">
        <v>320</v>
      </c>
      <c r="J94" s="1" t="s">
        <v>321</v>
      </c>
      <c r="K94" s="1" t="s">
        <v>321</v>
      </c>
      <c r="M94" s="4">
        <v>0.0</v>
      </c>
      <c r="O94" s="4">
        <v>5.8921166666666664</v>
      </c>
    </row>
    <row r="95">
      <c r="A95" s="5">
        <v>45527.0</v>
      </c>
      <c r="B95" s="1" t="s">
        <v>95</v>
      </c>
      <c r="C95" s="1" t="s">
        <v>89</v>
      </c>
      <c r="D95" s="4">
        <v>693.0</v>
      </c>
      <c r="E95" s="4">
        <v>0.0</v>
      </c>
      <c r="G95" s="1" t="s">
        <v>91</v>
      </c>
      <c r="H95" s="1" t="s">
        <v>92</v>
      </c>
      <c r="I95" s="1" t="s">
        <v>322</v>
      </c>
      <c r="J95" s="1" t="s">
        <v>323</v>
      </c>
      <c r="K95" s="1" t="s">
        <v>323</v>
      </c>
      <c r="M95" s="4">
        <v>0.0</v>
      </c>
      <c r="O95" s="4">
        <v>10.27245</v>
      </c>
    </row>
    <row r="96">
      <c r="A96" s="5">
        <v>45527.0</v>
      </c>
      <c r="B96" s="1" t="s">
        <v>88</v>
      </c>
      <c r="C96" s="1" t="s">
        <v>107</v>
      </c>
      <c r="D96" s="4">
        <v>642.0</v>
      </c>
      <c r="E96" s="4">
        <v>0.0</v>
      </c>
      <c r="F96" s="1" t="s">
        <v>90</v>
      </c>
      <c r="G96" s="1" t="s">
        <v>91</v>
      </c>
      <c r="H96" s="1" t="s">
        <v>92</v>
      </c>
      <c r="I96" s="1" t="s">
        <v>324</v>
      </c>
      <c r="J96" s="1" t="s">
        <v>325</v>
      </c>
      <c r="K96" s="1" t="s">
        <v>325</v>
      </c>
      <c r="M96" s="4">
        <v>-2.0</v>
      </c>
      <c r="O96" s="4">
        <v>17.483866666666668</v>
      </c>
    </row>
    <row r="97">
      <c r="A97" s="5">
        <v>45527.0</v>
      </c>
      <c r="B97" s="1" t="s">
        <v>95</v>
      </c>
      <c r="C97" s="1" t="s">
        <v>89</v>
      </c>
      <c r="D97" s="4">
        <v>418.0</v>
      </c>
      <c r="E97" s="4">
        <v>0.0</v>
      </c>
      <c r="G97" s="1" t="s">
        <v>91</v>
      </c>
      <c r="H97" s="1" t="s">
        <v>92</v>
      </c>
      <c r="I97" s="1" t="s">
        <v>326</v>
      </c>
      <c r="J97" s="1" t="s">
        <v>327</v>
      </c>
      <c r="K97" s="1" t="s">
        <v>327</v>
      </c>
      <c r="M97" s="4">
        <v>-2.0</v>
      </c>
      <c r="O97" s="4">
        <v>6.77295</v>
      </c>
    </row>
    <row r="98">
      <c r="A98" s="5">
        <v>45527.0</v>
      </c>
      <c r="B98" s="1" t="s">
        <v>95</v>
      </c>
      <c r="C98" s="1" t="s">
        <v>89</v>
      </c>
      <c r="D98" s="4">
        <v>528.0</v>
      </c>
      <c r="E98" s="4">
        <v>0.0</v>
      </c>
      <c r="G98" s="1" t="s">
        <v>91</v>
      </c>
      <c r="H98" s="1" t="s">
        <v>92</v>
      </c>
      <c r="I98" s="1" t="s">
        <v>328</v>
      </c>
      <c r="J98" s="1" t="s">
        <v>329</v>
      </c>
      <c r="K98" s="1" t="s">
        <v>329</v>
      </c>
      <c r="M98" s="4">
        <v>0.0</v>
      </c>
      <c r="O98" s="4">
        <v>9.594733333333334</v>
      </c>
    </row>
    <row r="99">
      <c r="A99" s="5">
        <v>45527.0</v>
      </c>
      <c r="B99" s="1" t="s">
        <v>116</v>
      </c>
      <c r="C99" s="1" t="s">
        <v>107</v>
      </c>
      <c r="D99" s="4">
        <v>553.0</v>
      </c>
      <c r="E99" s="4">
        <v>0.0</v>
      </c>
      <c r="F99" s="1" t="s">
        <v>174</v>
      </c>
      <c r="G99" s="1" t="s">
        <v>175</v>
      </c>
      <c r="H99" s="1" t="s">
        <v>96</v>
      </c>
      <c r="I99" s="1" t="s">
        <v>330</v>
      </c>
      <c r="J99" s="1" t="s">
        <v>331</v>
      </c>
      <c r="K99" s="1" t="s">
        <v>332</v>
      </c>
      <c r="L99" s="1" t="s">
        <v>333</v>
      </c>
      <c r="M99" s="4">
        <v>15.0</v>
      </c>
      <c r="N99" s="4">
        <v>0.0117</v>
      </c>
      <c r="O99" s="4">
        <v>39.47345</v>
      </c>
    </row>
    <row r="100">
      <c r="A100" s="5">
        <v>45527.0</v>
      </c>
      <c r="B100" s="1" t="s">
        <v>95</v>
      </c>
      <c r="C100" s="1" t="s">
        <v>89</v>
      </c>
      <c r="D100" s="4">
        <v>733.0</v>
      </c>
      <c r="E100" s="4">
        <v>0.0</v>
      </c>
      <c r="G100" s="1" t="s">
        <v>91</v>
      </c>
      <c r="H100" s="1" t="s">
        <v>92</v>
      </c>
      <c r="I100" s="1" t="s">
        <v>334</v>
      </c>
      <c r="J100" s="1" t="s">
        <v>335</v>
      </c>
      <c r="K100" s="1" t="s">
        <v>335</v>
      </c>
      <c r="M100" s="4">
        <v>2.0</v>
      </c>
      <c r="O100" s="4">
        <v>13.543616666666667</v>
      </c>
    </row>
    <row r="101">
      <c r="A101" s="5">
        <v>45527.0</v>
      </c>
      <c r="B101" s="1" t="s">
        <v>88</v>
      </c>
      <c r="C101" s="1" t="s">
        <v>107</v>
      </c>
      <c r="D101" s="4">
        <v>394.0</v>
      </c>
      <c r="E101" s="4">
        <v>0.0</v>
      </c>
      <c r="F101" s="1" t="s">
        <v>90</v>
      </c>
      <c r="G101" s="1" t="s">
        <v>91</v>
      </c>
      <c r="H101" s="1" t="s">
        <v>92</v>
      </c>
      <c r="I101" s="1" t="s">
        <v>336</v>
      </c>
      <c r="J101" s="1" t="s">
        <v>337</v>
      </c>
      <c r="K101" s="1" t="s">
        <v>337</v>
      </c>
      <c r="M101" s="4">
        <v>-5.0</v>
      </c>
      <c r="O101" s="4">
        <v>9.408216666666666</v>
      </c>
    </row>
    <row r="102">
      <c r="A102" s="5">
        <v>45527.0</v>
      </c>
      <c r="B102" s="1" t="s">
        <v>88</v>
      </c>
      <c r="C102" s="1" t="s">
        <v>107</v>
      </c>
      <c r="D102" s="4">
        <v>394.0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338</v>
      </c>
      <c r="J102" s="1" t="s">
        <v>339</v>
      </c>
      <c r="K102" s="1" t="s">
        <v>339</v>
      </c>
      <c r="M102" s="4">
        <v>0.0</v>
      </c>
      <c r="O102" s="4">
        <v>14.35355</v>
      </c>
    </row>
    <row r="103">
      <c r="A103" s="5">
        <v>45527.0</v>
      </c>
      <c r="B103" s="1" t="s">
        <v>116</v>
      </c>
      <c r="C103" s="1" t="s">
        <v>107</v>
      </c>
      <c r="D103" s="4">
        <v>683.0</v>
      </c>
      <c r="E103" s="4">
        <v>0.0</v>
      </c>
      <c r="F103" s="1" t="s">
        <v>90</v>
      </c>
      <c r="G103" s="1" t="s">
        <v>175</v>
      </c>
      <c r="H103" s="1" t="s">
        <v>92</v>
      </c>
      <c r="I103" s="1" t="s">
        <v>340</v>
      </c>
      <c r="J103" s="1" t="s">
        <v>341</v>
      </c>
      <c r="K103" s="1" t="s">
        <v>342</v>
      </c>
      <c r="L103" s="1" t="s">
        <v>343</v>
      </c>
      <c r="M103" s="4">
        <v>9.0</v>
      </c>
      <c r="N103" s="4">
        <v>19.82065</v>
      </c>
      <c r="O103" s="4">
        <v>18.756616666666666</v>
      </c>
    </row>
    <row r="104">
      <c r="A104" s="5">
        <v>45527.0</v>
      </c>
      <c r="B104" s="1" t="s">
        <v>95</v>
      </c>
      <c r="C104" s="1" t="s">
        <v>89</v>
      </c>
      <c r="D104" s="4">
        <v>593.0</v>
      </c>
      <c r="E104" s="4">
        <v>0.0</v>
      </c>
      <c r="G104" s="1" t="s">
        <v>91</v>
      </c>
      <c r="H104" s="1" t="s">
        <v>92</v>
      </c>
      <c r="I104" s="1" t="s">
        <v>344</v>
      </c>
      <c r="J104" s="1" t="s">
        <v>345</v>
      </c>
      <c r="K104" s="1" t="s">
        <v>345</v>
      </c>
      <c r="M104" s="4">
        <v>4.0</v>
      </c>
      <c r="O104" s="4">
        <v>14.024883333333333</v>
      </c>
    </row>
    <row r="105">
      <c r="A105" s="5">
        <v>45527.0</v>
      </c>
      <c r="B105" s="1" t="s">
        <v>88</v>
      </c>
      <c r="C105" s="1" t="s">
        <v>107</v>
      </c>
      <c r="D105" s="4">
        <v>807.0</v>
      </c>
      <c r="E105" s="4">
        <v>0.0</v>
      </c>
      <c r="F105" s="1" t="s">
        <v>90</v>
      </c>
      <c r="G105" s="1" t="s">
        <v>91</v>
      </c>
      <c r="H105" s="1" t="s">
        <v>92</v>
      </c>
      <c r="I105" s="1" t="s">
        <v>346</v>
      </c>
      <c r="J105" s="1" t="s">
        <v>347</v>
      </c>
      <c r="K105" s="1" t="s">
        <v>347</v>
      </c>
      <c r="M105" s="4">
        <v>1.0</v>
      </c>
      <c r="O105" s="4">
        <v>21.3944</v>
      </c>
    </row>
    <row r="106">
      <c r="A106" s="5">
        <v>45527.0</v>
      </c>
      <c r="B106" s="1" t="s">
        <v>88</v>
      </c>
      <c r="C106" s="1" t="s">
        <v>107</v>
      </c>
      <c r="D106" s="4">
        <v>386.0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348</v>
      </c>
      <c r="J106" s="1" t="s">
        <v>349</v>
      </c>
      <c r="K106" s="1" t="s">
        <v>349</v>
      </c>
      <c r="M106" s="4">
        <v>-4.0</v>
      </c>
      <c r="O106" s="4">
        <v>10.092433333333334</v>
      </c>
    </row>
    <row r="107">
      <c r="A107" s="5">
        <v>45527.0</v>
      </c>
      <c r="B107" s="1" t="s">
        <v>103</v>
      </c>
      <c r="C107" s="1" t="s">
        <v>89</v>
      </c>
      <c r="D107" s="4">
        <v>658.0</v>
      </c>
      <c r="E107" s="4">
        <v>0.0</v>
      </c>
      <c r="F107" s="1" t="s">
        <v>350</v>
      </c>
      <c r="G107" s="1" t="s">
        <v>91</v>
      </c>
      <c r="H107" s="1" t="s">
        <v>92</v>
      </c>
      <c r="I107" s="1" t="s">
        <v>351</v>
      </c>
      <c r="J107" s="1" t="s">
        <v>352</v>
      </c>
      <c r="K107" s="1" t="s">
        <v>352</v>
      </c>
      <c r="M107" s="4">
        <v>-2.0</v>
      </c>
      <c r="O107" s="4">
        <v>17.86485</v>
      </c>
    </row>
    <row r="108">
      <c r="A108" s="5">
        <v>45527.0</v>
      </c>
      <c r="B108" s="1" t="s">
        <v>103</v>
      </c>
      <c r="C108" s="1" t="s">
        <v>89</v>
      </c>
      <c r="D108" s="4">
        <v>264.0</v>
      </c>
      <c r="E108" s="4">
        <v>0.0</v>
      </c>
      <c r="F108" s="1" t="s">
        <v>353</v>
      </c>
      <c r="G108" s="1" t="s">
        <v>91</v>
      </c>
      <c r="H108" s="1" t="s">
        <v>92</v>
      </c>
      <c r="I108" s="1" t="s">
        <v>354</v>
      </c>
      <c r="J108" s="1" t="s">
        <v>355</v>
      </c>
      <c r="K108" s="1" t="s">
        <v>355</v>
      </c>
      <c r="M108" s="4">
        <v>-4.0</v>
      </c>
      <c r="O108" s="4">
        <v>10.632616666666667</v>
      </c>
    </row>
    <row r="109">
      <c r="A109" s="5">
        <v>45527.0</v>
      </c>
      <c r="B109" s="1" t="s">
        <v>116</v>
      </c>
      <c r="C109" s="1" t="s">
        <v>107</v>
      </c>
      <c r="D109" s="4">
        <v>199.0</v>
      </c>
      <c r="E109" s="4">
        <v>50.0</v>
      </c>
      <c r="G109" s="1" t="s">
        <v>111</v>
      </c>
      <c r="H109" s="1" t="s">
        <v>96</v>
      </c>
      <c r="I109" s="1" t="s">
        <v>356</v>
      </c>
      <c r="J109" s="1" t="s">
        <v>357</v>
      </c>
      <c r="K109" s="1" t="s">
        <v>357</v>
      </c>
      <c r="M109" s="4">
        <v>-4.0</v>
      </c>
      <c r="O109" s="4">
        <v>15.130616666666667</v>
      </c>
    </row>
    <row r="110">
      <c r="A110" s="5">
        <v>45527.0</v>
      </c>
      <c r="B110" s="1" t="s">
        <v>110</v>
      </c>
      <c r="C110" s="1" t="s">
        <v>107</v>
      </c>
      <c r="D110" s="4">
        <v>1122.0</v>
      </c>
      <c r="E110" s="4">
        <v>0.0</v>
      </c>
      <c r="F110" s="1" t="s">
        <v>174</v>
      </c>
      <c r="G110" s="1" t="s">
        <v>175</v>
      </c>
      <c r="H110" s="1" t="s">
        <v>96</v>
      </c>
      <c r="I110" s="1" t="s">
        <v>358</v>
      </c>
      <c r="J110" s="1" t="s">
        <v>359</v>
      </c>
      <c r="K110" s="1" t="s">
        <v>360</v>
      </c>
      <c r="L110" s="1" t="s">
        <v>361</v>
      </c>
      <c r="M110" s="4">
        <v>2.0</v>
      </c>
      <c r="N110" s="4">
        <v>0.0123</v>
      </c>
      <c r="O110" s="4">
        <v>15.842183333333333</v>
      </c>
    </row>
    <row r="111">
      <c r="A111" s="5">
        <v>45527.0</v>
      </c>
      <c r="B111" s="1" t="s">
        <v>103</v>
      </c>
      <c r="C111" s="1" t="s">
        <v>89</v>
      </c>
      <c r="D111" s="4">
        <v>928.0</v>
      </c>
      <c r="E111" s="4">
        <v>0.0</v>
      </c>
      <c r="F111" s="1" t="s">
        <v>362</v>
      </c>
      <c r="G111" s="1" t="s">
        <v>91</v>
      </c>
      <c r="H111" s="1" t="s">
        <v>92</v>
      </c>
      <c r="I111" s="1" t="s">
        <v>363</v>
      </c>
      <c r="J111" s="1" t="s">
        <v>364</v>
      </c>
      <c r="K111" s="1" t="s">
        <v>364</v>
      </c>
      <c r="M111" s="4">
        <v>-6.0</v>
      </c>
      <c r="O111" s="4">
        <v>13.534566666666667</v>
      </c>
    </row>
    <row r="112">
      <c r="A112" s="5">
        <v>45527.0</v>
      </c>
      <c r="B112" s="1" t="s">
        <v>95</v>
      </c>
      <c r="C112" s="1" t="s">
        <v>89</v>
      </c>
      <c r="D112" s="4">
        <v>329.0</v>
      </c>
      <c r="E112" s="4">
        <v>0.0</v>
      </c>
      <c r="G112" s="1" t="s">
        <v>91</v>
      </c>
      <c r="H112" s="1" t="s">
        <v>92</v>
      </c>
      <c r="I112" s="1" t="s">
        <v>365</v>
      </c>
      <c r="J112" s="1" t="s">
        <v>366</v>
      </c>
      <c r="K112" s="1" t="s">
        <v>366</v>
      </c>
      <c r="M112" s="4">
        <v>0.0</v>
      </c>
      <c r="O112" s="4">
        <v>7.70885</v>
      </c>
    </row>
    <row r="113">
      <c r="A113" s="5">
        <v>45527.0</v>
      </c>
      <c r="B113" s="1" t="s">
        <v>103</v>
      </c>
      <c r="C113" s="1" t="s">
        <v>89</v>
      </c>
      <c r="D113" s="4">
        <v>394.0</v>
      </c>
      <c r="E113" s="4">
        <v>0.0</v>
      </c>
      <c r="F113" s="1" t="s">
        <v>367</v>
      </c>
      <c r="G113" s="1" t="s">
        <v>91</v>
      </c>
      <c r="H113" s="1" t="s">
        <v>92</v>
      </c>
      <c r="I113" s="1" t="s">
        <v>368</v>
      </c>
      <c r="J113" s="1" t="s">
        <v>369</v>
      </c>
      <c r="K113" s="1" t="s">
        <v>369</v>
      </c>
      <c r="M113" s="4">
        <v>-4.0</v>
      </c>
      <c r="O113" s="4">
        <v>10.348616666666667</v>
      </c>
    </row>
    <row r="114">
      <c r="A114" s="5">
        <v>45527.0</v>
      </c>
      <c r="B114" s="1" t="s">
        <v>103</v>
      </c>
      <c r="C114" s="1" t="s">
        <v>89</v>
      </c>
      <c r="D114" s="4">
        <v>313.0</v>
      </c>
      <c r="E114" s="4">
        <v>0.0</v>
      </c>
      <c r="F114" s="1" t="s">
        <v>122</v>
      </c>
      <c r="G114" s="1" t="s">
        <v>91</v>
      </c>
      <c r="H114" s="1" t="s">
        <v>92</v>
      </c>
      <c r="I114" s="1" t="s">
        <v>370</v>
      </c>
      <c r="J114" s="1" t="s">
        <v>371</v>
      </c>
      <c r="K114" s="1" t="s">
        <v>371</v>
      </c>
      <c r="M114" s="4">
        <v>-7.0</v>
      </c>
      <c r="O114" s="4">
        <v>7.065066666666667</v>
      </c>
    </row>
    <row r="115">
      <c r="A115" s="5">
        <v>45527.0</v>
      </c>
      <c r="B115" s="1" t="s">
        <v>88</v>
      </c>
      <c r="C115" s="1" t="s">
        <v>107</v>
      </c>
      <c r="D115" s="4">
        <v>369.0</v>
      </c>
      <c r="E115" s="4">
        <v>0.0</v>
      </c>
      <c r="F115" s="1" t="s">
        <v>90</v>
      </c>
      <c r="G115" s="1" t="s">
        <v>91</v>
      </c>
      <c r="H115" s="1" t="s">
        <v>92</v>
      </c>
      <c r="I115" s="1" t="s">
        <v>372</v>
      </c>
      <c r="J115" s="1" t="s">
        <v>373</v>
      </c>
      <c r="K115" s="1" t="s">
        <v>373</v>
      </c>
      <c r="M115" s="4">
        <v>-7.0</v>
      </c>
      <c r="O115" s="4">
        <v>7.417466666666667</v>
      </c>
    </row>
    <row r="116">
      <c r="A116" s="5">
        <v>45527.0</v>
      </c>
      <c r="B116" s="1" t="s">
        <v>116</v>
      </c>
      <c r="C116" s="1" t="s">
        <v>107</v>
      </c>
      <c r="D116" s="4">
        <v>398.0</v>
      </c>
      <c r="E116" s="4">
        <v>100.0</v>
      </c>
      <c r="G116" s="1" t="s">
        <v>111</v>
      </c>
      <c r="H116" s="1" t="s">
        <v>194</v>
      </c>
      <c r="I116" s="1" t="s">
        <v>374</v>
      </c>
      <c r="J116" s="1" t="s">
        <v>375</v>
      </c>
      <c r="K116" s="1" t="s">
        <v>375</v>
      </c>
      <c r="M116" s="4">
        <v>-9.0</v>
      </c>
      <c r="O116" s="4">
        <v>56.55238333333333</v>
      </c>
    </row>
    <row r="117">
      <c r="A117" s="5">
        <v>45527.0</v>
      </c>
      <c r="B117" s="1" t="s">
        <v>116</v>
      </c>
      <c r="C117" s="1" t="s">
        <v>107</v>
      </c>
      <c r="D117" s="4">
        <v>239.0</v>
      </c>
      <c r="E117" s="4">
        <v>55.0</v>
      </c>
      <c r="G117" s="1" t="s">
        <v>111</v>
      </c>
      <c r="H117" s="1" t="s">
        <v>92</v>
      </c>
      <c r="I117" s="1" t="s">
        <v>376</v>
      </c>
      <c r="J117" s="1" t="s">
        <v>377</v>
      </c>
      <c r="K117" s="1" t="s">
        <v>377</v>
      </c>
      <c r="M117" s="4">
        <v>-10.0</v>
      </c>
      <c r="O117" s="4">
        <v>6.78805</v>
      </c>
    </row>
    <row r="118">
      <c r="A118" s="5">
        <v>45527.0</v>
      </c>
      <c r="B118" s="1" t="s">
        <v>116</v>
      </c>
      <c r="C118" s="1" t="s">
        <v>107</v>
      </c>
      <c r="D118" s="4">
        <v>388.0</v>
      </c>
      <c r="E118" s="4">
        <v>0.0</v>
      </c>
      <c r="F118" s="1" t="s">
        <v>90</v>
      </c>
      <c r="G118" s="1" t="s">
        <v>175</v>
      </c>
      <c r="H118" s="1" t="s">
        <v>92</v>
      </c>
      <c r="I118" s="1" t="s">
        <v>378</v>
      </c>
      <c r="J118" s="1" t="s">
        <v>379</v>
      </c>
      <c r="K118" s="1" t="s">
        <v>380</v>
      </c>
      <c r="L118" s="1" t="s">
        <v>381</v>
      </c>
      <c r="M118" s="4">
        <v>6.0</v>
      </c>
      <c r="N118" s="4">
        <v>6.86115</v>
      </c>
      <c r="O118" s="4">
        <v>8.221483333333333</v>
      </c>
    </row>
    <row r="119">
      <c r="A119" s="5">
        <v>45527.0</v>
      </c>
      <c r="B119" s="1" t="s">
        <v>88</v>
      </c>
      <c r="C119" s="1" t="s">
        <v>107</v>
      </c>
      <c r="D119" s="4">
        <v>647.0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382</v>
      </c>
      <c r="J119" s="1" t="s">
        <v>383</v>
      </c>
      <c r="K119" s="1" t="s">
        <v>383</v>
      </c>
      <c r="M119" s="4">
        <v>-11.0</v>
      </c>
      <c r="O119" s="4">
        <v>8.5346</v>
      </c>
    </row>
    <row r="120">
      <c r="A120" s="5">
        <v>45527.0</v>
      </c>
      <c r="B120" s="1" t="s">
        <v>88</v>
      </c>
      <c r="C120" s="1" t="s">
        <v>107</v>
      </c>
      <c r="D120" s="4">
        <v>336.0</v>
      </c>
      <c r="E120" s="4">
        <v>0.0</v>
      </c>
      <c r="F120" s="1" t="s">
        <v>90</v>
      </c>
      <c r="G120" s="1" t="s">
        <v>91</v>
      </c>
      <c r="H120" s="1" t="s">
        <v>92</v>
      </c>
      <c r="I120" s="1" t="s">
        <v>384</v>
      </c>
      <c r="J120" s="1" t="s">
        <v>385</v>
      </c>
      <c r="K120" s="1" t="s">
        <v>385</v>
      </c>
      <c r="M120" s="4">
        <v>-7.0</v>
      </c>
      <c r="O120" s="4">
        <v>7.254</v>
      </c>
    </row>
    <row r="121">
      <c r="A121" s="5">
        <v>45527.0</v>
      </c>
      <c r="B121" s="1" t="s">
        <v>116</v>
      </c>
      <c r="C121" s="1" t="s">
        <v>107</v>
      </c>
      <c r="D121" s="4">
        <v>638.0</v>
      </c>
      <c r="E121" s="4">
        <v>0.0</v>
      </c>
      <c r="F121" s="1" t="s">
        <v>386</v>
      </c>
      <c r="G121" s="1" t="s">
        <v>175</v>
      </c>
      <c r="H121" s="1" t="s">
        <v>92</v>
      </c>
      <c r="I121" s="1" t="s">
        <v>387</v>
      </c>
      <c r="J121" s="1" t="s">
        <v>388</v>
      </c>
      <c r="K121" s="1" t="s">
        <v>389</v>
      </c>
      <c r="L121" s="1" t="s">
        <v>390</v>
      </c>
      <c r="M121" s="4">
        <v>-2.0</v>
      </c>
      <c r="N121" s="4">
        <v>0.0106</v>
      </c>
      <c r="O121" s="4">
        <v>8.430916666666667</v>
      </c>
    </row>
    <row r="122">
      <c r="A122" s="5">
        <v>45527.0</v>
      </c>
      <c r="B122" s="1" t="s">
        <v>95</v>
      </c>
      <c r="C122" s="1" t="s">
        <v>89</v>
      </c>
      <c r="D122" s="4">
        <v>321.0</v>
      </c>
      <c r="E122" s="4">
        <v>0.0</v>
      </c>
      <c r="G122" s="1" t="s">
        <v>91</v>
      </c>
      <c r="H122" s="1" t="s">
        <v>92</v>
      </c>
      <c r="I122" s="1" t="s">
        <v>391</v>
      </c>
      <c r="J122" s="1" t="s">
        <v>392</v>
      </c>
      <c r="K122" s="1" t="s">
        <v>392</v>
      </c>
      <c r="M122" s="4">
        <v>0.0</v>
      </c>
      <c r="O122" s="4">
        <v>7.566416666666667</v>
      </c>
    </row>
    <row r="123">
      <c r="A123" s="5">
        <v>45527.0</v>
      </c>
      <c r="B123" s="1" t="s">
        <v>95</v>
      </c>
      <c r="C123" s="1" t="s">
        <v>107</v>
      </c>
      <c r="D123" s="4">
        <v>329.0</v>
      </c>
      <c r="E123" s="4">
        <v>0.0</v>
      </c>
      <c r="G123" s="1" t="s">
        <v>91</v>
      </c>
      <c r="H123" s="1" t="s">
        <v>92</v>
      </c>
      <c r="I123" s="1" t="s">
        <v>393</v>
      </c>
      <c r="J123" s="1" t="s">
        <v>394</v>
      </c>
      <c r="K123" s="1" t="s">
        <v>394</v>
      </c>
      <c r="M123" s="4">
        <v>-2.0</v>
      </c>
      <c r="O123" s="4">
        <v>5.896816666666667</v>
      </c>
    </row>
    <row r="124">
      <c r="A124" s="5">
        <v>45527.0</v>
      </c>
      <c r="B124" s="1" t="s">
        <v>95</v>
      </c>
      <c r="C124" s="1" t="s">
        <v>107</v>
      </c>
      <c r="D124" s="4">
        <v>249.0</v>
      </c>
      <c r="E124" s="4">
        <v>50.0</v>
      </c>
      <c r="G124" s="1" t="s">
        <v>91</v>
      </c>
      <c r="H124" s="1" t="s">
        <v>92</v>
      </c>
      <c r="I124" s="1" t="s">
        <v>395</v>
      </c>
      <c r="J124" s="1" t="s">
        <v>396</v>
      </c>
      <c r="K124" s="1" t="s">
        <v>396</v>
      </c>
      <c r="M124" s="4">
        <v>0.0</v>
      </c>
      <c r="O124" s="4">
        <v>6.554516666666666</v>
      </c>
    </row>
    <row r="125">
      <c r="A125" s="5">
        <v>45527.0</v>
      </c>
      <c r="B125" s="1" t="s">
        <v>116</v>
      </c>
      <c r="C125" s="1" t="s">
        <v>107</v>
      </c>
      <c r="D125" s="4">
        <v>367.0</v>
      </c>
      <c r="E125" s="4">
        <v>0.0</v>
      </c>
      <c r="F125" s="1" t="s">
        <v>386</v>
      </c>
      <c r="G125" s="1" t="s">
        <v>175</v>
      </c>
      <c r="H125" s="1" t="s">
        <v>96</v>
      </c>
      <c r="I125" s="1" t="s">
        <v>397</v>
      </c>
      <c r="J125" s="1" t="s">
        <v>398</v>
      </c>
      <c r="K125" s="1" t="s">
        <v>399</v>
      </c>
      <c r="L125" s="1" t="s">
        <v>400</v>
      </c>
      <c r="M125" s="4">
        <v>-19.0</v>
      </c>
      <c r="N125" s="4">
        <v>0.008433333333333333</v>
      </c>
      <c r="O125" s="4">
        <v>9.581716666666667</v>
      </c>
    </row>
    <row r="126">
      <c r="A126" s="5">
        <v>45527.0</v>
      </c>
      <c r="B126" s="1" t="s">
        <v>88</v>
      </c>
      <c r="C126" s="1" t="s">
        <v>107</v>
      </c>
      <c r="D126" s="4">
        <v>378.0</v>
      </c>
      <c r="E126" s="4">
        <v>0.0</v>
      </c>
      <c r="F126" s="1" t="s">
        <v>90</v>
      </c>
      <c r="G126" s="1" t="s">
        <v>91</v>
      </c>
      <c r="H126" s="1" t="s">
        <v>92</v>
      </c>
      <c r="I126" s="1" t="s">
        <v>401</v>
      </c>
      <c r="J126" s="1" t="s">
        <v>402</v>
      </c>
      <c r="K126" s="1" t="s">
        <v>402</v>
      </c>
      <c r="M126" s="4">
        <v>-9.0</v>
      </c>
      <c r="O126" s="4">
        <v>5.2669</v>
      </c>
    </row>
    <row r="127">
      <c r="A127" s="5">
        <v>45527.0</v>
      </c>
      <c r="B127" s="1" t="s">
        <v>116</v>
      </c>
      <c r="C127" s="1" t="s">
        <v>107</v>
      </c>
      <c r="D127" s="4">
        <v>199.0</v>
      </c>
      <c r="E127" s="4">
        <v>50.0</v>
      </c>
      <c r="G127" s="1" t="s">
        <v>111</v>
      </c>
      <c r="H127" s="1" t="s">
        <v>96</v>
      </c>
      <c r="I127" s="1" t="s">
        <v>403</v>
      </c>
      <c r="J127" s="1" t="s">
        <v>404</v>
      </c>
      <c r="K127" s="1" t="s">
        <v>404</v>
      </c>
      <c r="M127" s="4">
        <v>-14.0</v>
      </c>
      <c r="O127" s="4">
        <v>4.91625</v>
      </c>
    </row>
    <row r="128">
      <c r="A128" s="5">
        <v>45527.0</v>
      </c>
      <c r="B128" s="1" t="s">
        <v>88</v>
      </c>
      <c r="C128" s="1" t="s">
        <v>107</v>
      </c>
      <c r="D128" s="4">
        <v>353.0</v>
      </c>
      <c r="E128" s="4">
        <v>0.0</v>
      </c>
      <c r="F128" s="1" t="s">
        <v>90</v>
      </c>
      <c r="G128" s="1" t="s">
        <v>91</v>
      </c>
      <c r="H128" s="1" t="s">
        <v>92</v>
      </c>
      <c r="I128" s="1" t="s">
        <v>405</v>
      </c>
      <c r="J128" s="1" t="s">
        <v>406</v>
      </c>
      <c r="K128" s="1" t="s">
        <v>406</v>
      </c>
      <c r="M128" s="4">
        <v>-11.0</v>
      </c>
      <c r="O128" s="4">
        <v>3.2787166666666665</v>
      </c>
    </row>
    <row r="129">
      <c r="A129" s="5">
        <v>45527.0</v>
      </c>
      <c r="B129" s="1" t="s">
        <v>88</v>
      </c>
      <c r="C129" s="1" t="s">
        <v>107</v>
      </c>
      <c r="D129" s="4">
        <v>329.0</v>
      </c>
      <c r="E129" s="4">
        <v>0.0</v>
      </c>
      <c r="F129" s="1" t="s">
        <v>90</v>
      </c>
      <c r="G129" s="1" t="s">
        <v>91</v>
      </c>
      <c r="H129" s="1" t="s">
        <v>92</v>
      </c>
      <c r="I129" s="1" t="s">
        <v>407</v>
      </c>
      <c r="J129" s="1" t="s">
        <v>408</v>
      </c>
      <c r="K129" s="1" t="s">
        <v>408</v>
      </c>
      <c r="M129" s="4">
        <v>-7.0</v>
      </c>
      <c r="O129" s="4">
        <v>7.393816666666667</v>
      </c>
    </row>
    <row r="130">
      <c r="A130" s="5">
        <v>45527.0</v>
      </c>
      <c r="B130" s="1" t="s">
        <v>88</v>
      </c>
      <c r="C130" s="1" t="s">
        <v>107</v>
      </c>
      <c r="D130" s="4">
        <v>264.0</v>
      </c>
      <c r="E130" s="4">
        <v>0.0</v>
      </c>
      <c r="F130" s="1" t="s">
        <v>90</v>
      </c>
      <c r="G130" s="1" t="s">
        <v>91</v>
      </c>
      <c r="H130" s="1" t="s">
        <v>92</v>
      </c>
      <c r="I130" s="1" t="s">
        <v>409</v>
      </c>
      <c r="J130" s="1" t="s">
        <v>410</v>
      </c>
      <c r="K130" s="1" t="s">
        <v>410</v>
      </c>
      <c r="M130" s="4">
        <v>-8.0</v>
      </c>
      <c r="O130" s="4">
        <v>6.969033333333333</v>
      </c>
    </row>
    <row r="131">
      <c r="A131" s="5">
        <v>45527.0</v>
      </c>
      <c r="B131" s="1" t="s">
        <v>110</v>
      </c>
      <c r="C131" s="1" t="s">
        <v>107</v>
      </c>
      <c r="D131" s="4">
        <v>124.5</v>
      </c>
      <c r="E131" s="4">
        <v>124.5</v>
      </c>
      <c r="G131" s="1" t="s">
        <v>111</v>
      </c>
      <c r="H131" s="1" t="s">
        <v>96</v>
      </c>
      <c r="I131" s="1" t="s">
        <v>411</v>
      </c>
      <c r="J131" s="1" t="s">
        <v>412</v>
      </c>
      <c r="K131" s="1" t="s">
        <v>412</v>
      </c>
      <c r="M131" s="4">
        <v>1.0</v>
      </c>
      <c r="O131" s="4">
        <v>6.33285</v>
      </c>
    </row>
    <row r="132">
      <c r="A132" s="5">
        <v>45527.0</v>
      </c>
      <c r="B132" s="1" t="s">
        <v>110</v>
      </c>
      <c r="C132" s="1" t="s">
        <v>107</v>
      </c>
      <c r="D132" s="4">
        <v>249.0</v>
      </c>
      <c r="E132" s="4">
        <v>0.0</v>
      </c>
      <c r="G132" s="1" t="s">
        <v>111</v>
      </c>
      <c r="H132" s="1" t="s">
        <v>96</v>
      </c>
      <c r="I132" s="1" t="s">
        <v>413</v>
      </c>
      <c r="J132" s="1" t="s">
        <v>414</v>
      </c>
      <c r="K132" s="1" t="s">
        <v>414</v>
      </c>
      <c r="M132" s="4">
        <v>1.0</v>
      </c>
      <c r="O132" s="4">
        <v>6.246333333333333</v>
      </c>
    </row>
    <row r="133">
      <c r="A133" s="5">
        <v>45527.0</v>
      </c>
      <c r="B133" s="1" t="s">
        <v>116</v>
      </c>
      <c r="C133" s="1" t="s">
        <v>107</v>
      </c>
      <c r="D133" s="4">
        <v>513.0</v>
      </c>
      <c r="E133" s="4">
        <v>61.0</v>
      </c>
      <c r="G133" s="1" t="s">
        <v>111</v>
      </c>
      <c r="H133" s="1" t="s">
        <v>96</v>
      </c>
      <c r="I133" s="1" t="s">
        <v>415</v>
      </c>
      <c r="J133" s="1" t="s">
        <v>416</v>
      </c>
      <c r="K133" s="1" t="s">
        <v>416</v>
      </c>
      <c r="M133" s="4">
        <v>-15.0</v>
      </c>
      <c r="O133" s="4">
        <v>8.65245</v>
      </c>
    </row>
    <row r="134">
      <c r="A134" s="5">
        <v>45527.0</v>
      </c>
      <c r="B134" s="1" t="s">
        <v>88</v>
      </c>
      <c r="C134" s="1" t="s">
        <v>107</v>
      </c>
      <c r="D134" s="4">
        <v>474.0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417</v>
      </c>
      <c r="J134" s="1" t="s">
        <v>418</v>
      </c>
      <c r="K134" s="1" t="s">
        <v>418</v>
      </c>
      <c r="M134" s="4">
        <v>-5.0</v>
      </c>
      <c r="O134" s="4">
        <v>9.1694</v>
      </c>
    </row>
    <row r="135">
      <c r="A135" s="5">
        <v>45527.0</v>
      </c>
      <c r="B135" s="1" t="s">
        <v>88</v>
      </c>
      <c r="C135" s="1" t="s">
        <v>107</v>
      </c>
      <c r="D135" s="4">
        <v>1686.0</v>
      </c>
      <c r="E135" s="4">
        <v>0.0</v>
      </c>
      <c r="F135" s="1" t="s">
        <v>90</v>
      </c>
      <c r="G135" s="1" t="s">
        <v>91</v>
      </c>
      <c r="H135" s="1" t="s">
        <v>92</v>
      </c>
      <c r="I135" s="1" t="s">
        <v>419</v>
      </c>
      <c r="J135" s="1" t="s">
        <v>420</v>
      </c>
      <c r="K135" s="1" t="s">
        <v>420</v>
      </c>
      <c r="M135" s="4">
        <v>0.0</v>
      </c>
      <c r="O135" s="4">
        <v>19.8868</v>
      </c>
    </row>
    <row r="136">
      <c r="A136" s="5">
        <v>45527.0</v>
      </c>
      <c r="B136" s="1" t="s">
        <v>95</v>
      </c>
      <c r="C136" s="1" t="s">
        <v>107</v>
      </c>
      <c r="D136" s="4">
        <v>485.0</v>
      </c>
      <c r="E136" s="4">
        <v>0.0</v>
      </c>
      <c r="G136" s="1" t="s">
        <v>91</v>
      </c>
      <c r="H136" s="1" t="s">
        <v>92</v>
      </c>
      <c r="I136" s="1" t="s">
        <v>421</v>
      </c>
      <c r="J136" s="1" t="s">
        <v>422</v>
      </c>
      <c r="K136" s="1" t="s">
        <v>422</v>
      </c>
      <c r="M136" s="4">
        <v>-1.0</v>
      </c>
      <c r="O136" s="4">
        <v>7.929083333333334</v>
      </c>
    </row>
    <row r="137">
      <c r="A137" s="5">
        <v>45527.0</v>
      </c>
      <c r="B137" s="1" t="s">
        <v>116</v>
      </c>
      <c r="C137" s="1" t="s">
        <v>107</v>
      </c>
      <c r="D137" s="4">
        <v>247.0</v>
      </c>
      <c r="E137" s="4">
        <v>62.0</v>
      </c>
      <c r="G137" s="1" t="s">
        <v>111</v>
      </c>
      <c r="H137" s="1" t="s">
        <v>96</v>
      </c>
      <c r="I137" s="1" t="s">
        <v>423</v>
      </c>
      <c r="J137" s="1" t="s">
        <v>424</v>
      </c>
      <c r="K137" s="1" t="s">
        <v>424</v>
      </c>
      <c r="M137" s="4">
        <v>-12.0</v>
      </c>
      <c r="O137" s="4">
        <v>6.688283333333334</v>
      </c>
    </row>
    <row r="138">
      <c r="A138" s="5">
        <v>45527.0</v>
      </c>
      <c r="B138" s="1" t="s">
        <v>116</v>
      </c>
      <c r="C138" s="1" t="s">
        <v>107</v>
      </c>
      <c r="D138" s="4">
        <v>476.0</v>
      </c>
      <c r="E138" s="4">
        <v>111.0</v>
      </c>
      <c r="G138" s="1" t="s">
        <v>111</v>
      </c>
      <c r="H138" s="1" t="s">
        <v>194</v>
      </c>
      <c r="I138" s="1" t="s">
        <v>425</v>
      </c>
      <c r="J138" s="1" t="s">
        <v>426</v>
      </c>
      <c r="K138" s="1" t="s">
        <v>426</v>
      </c>
      <c r="M138" s="4">
        <v>-10.0</v>
      </c>
      <c r="O138" s="4">
        <v>9.0846</v>
      </c>
    </row>
    <row r="139">
      <c r="A139" s="5">
        <v>45527.0</v>
      </c>
      <c r="B139" s="1" t="s">
        <v>116</v>
      </c>
      <c r="C139" s="1" t="s">
        <v>107</v>
      </c>
      <c r="D139" s="4">
        <v>119.0</v>
      </c>
      <c r="E139" s="4">
        <v>0.0</v>
      </c>
      <c r="G139" s="1" t="s">
        <v>111</v>
      </c>
      <c r="H139" s="1" t="s">
        <v>96</v>
      </c>
      <c r="I139" s="1" t="s">
        <v>427</v>
      </c>
      <c r="J139" s="1" t="s">
        <v>428</v>
      </c>
      <c r="K139" s="1" t="s">
        <v>428</v>
      </c>
      <c r="M139" s="4">
        <v>-12.0</v>
      </c>
      <c r="O139" s="4">
        <v>6.40355</v>
      </c>
    </row>
    <row r="140">
      <c r="A140" s="5">
        <v>45527.0</v>
      </c>
      <c r="B140" s="1" t="s">
        <v>88</v>
      </c>
      <c r="C140" s="1" t="s">
        <v>107</v>
      </c>
      <c r="D140" s="4">
        <v>443.0</v>
      </c>
      <c r="E140" s="4">
        <v>0.0</v>
      </c>
      <c r="F140" s="1" t="s">
        <v>90</v>
      </c>
      <c r="G140" s="1" t="s">
        <v>91</v>
      </c>
      <c r="H140" s="1" t="s">
        <v>92</v>
      </c>
      <c r="I140" s="1" t="s">
        <v>429</v>
      </c>
      <c r="J140" s="1" t="s">
        <v>430</v>
      </c>
      <c r="K140" s="1" t="s">
        <v>430</v>
      </c>
      <c r="M140" s="4">
        <v>-7.0</v>
      </c>
      <c r="O140" s="4">
        <v>7.0273666666666665</v>
      </c>
    </row>
    <row r="141">
      <c r="A141" s="5">
        <v>45527.0</v>
      </c>
      <c r="B141" s="1" t="s">
        <v>88</v>
      </c>
      <c r="C141" s="1" t="s">
        <v>107</v>
      </c>
      <c r="D141" s="4">
        <v>393.0</v>
      </c>
      <c r="E141" s="4">
        <v>0.0</v>
      </c>
      <c r="F141" s="1" t="s">
        <v>90</v>
      </c>
      <c r="G141" s="1" t="s">
        <v>91</v>
      </c>
      <c r="H141" s="1" t="s">
        <v>92</v>
      </c>
      <c r="I141" s="1" t="s">
        <v>431</v>
      </c>
      <c r="J141" s="1" t="s">
        <v>432</v>
      </c>
      <c r="K141" s="1" t="s">
        <v>432</v>
      </c>
      <c r="M141" s="4">
        <v>-7.0</v>
      </c>
      <c r="O141" s="4">
        <v>7.16545</v>
      </c>
    </row>
    <row r="142">
      <c r="A142" s="5">
        <v>45527.0</v>
      </c>
      <c r="B142" s="1" t="s">
        <v>88</v>
      </c>
      <c r="C142" s="1" t="s">
        <v>107</v>
      </c>
      <c r="D142" s="4">
        <v>208.0</v>
      </c>
      <c r="E142" s="4">
        <v>0.0</v>
      </c>
      <c r="F142" s="1" t="s">
        <v>90</v>
      </c>
      <c r="G142" s="1" t="s">
        <v>91</v>
      </c>
      <c r="H142" s="1" t="s">
        <v>92</v>
      </c>
      <c r="I142" s="1" t="s">
        <v>433</v>
      </c>
      <c r="J142" s="1" t="s">
        <v>434</v>
      </c>
      <c r="K142" s="1" t="s">
        <v>434</v>
      </c>
      <c r="M142" s="4">
        <v>-9.0</v>
      </c>
      <c r="O142" s="4">
        <v>5.44555</v>
      </c>
    </row>
    <row r="143">
      <c r="A143" s="5">
        <v>45527.0</v>
      </c>
      <c r="B143" s="1" t="s">
        <v>88</v>
      </c>
      <c r="C143" s="1" t="s">
        <v>107</v>
      </c>
      <c r="D143" s="4">
        <v>702.0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435</v>
      </c>
      <c r="J143" s="1" t="s">
        <v>436</v>
      </c>
      <c r="K143" s="1" t="s">
        <v>436</v>
      </c>
      <c r="M143" s="4">
        <v>-9.0</v>
      </c>
      <c r="O143" s="4">
        <v>10.303133333333333</v>
      </c>
    </row>
    <row r="144">
      <c r="A144" s="5">
        <v>45527.0</v>
      </c>
      <c r="B144" s="1" t="s">
        <v>95</v>
      </c>
      <c r="C144" s="1" t="s">
        <v>89</v>
      </c>
      <c r="D144" s="4">
        <v>214.0</v>
      </c>
      <c r="E144" s="4">
        <v>50.0</v>
      </c>
      <c r="G144" s="1" t="s">
        <v>91</v>
      </c>
      <c r="H144" s="1" t="s">
        <v>92</v>
      </c>
      <c r="I144" s="1" t="s">
        <v>437</v>
      </c>
      <c r="J144" s="1" t="s">
        <v>438</v>
      </c>
      <c r="K144" s="1" t="s">
        <v>438</v>
      </c>
      <c r="M144" s="4">
        <v>1.0</v>
      </c>
      <c r="O144" s="4">
        <v>8.990616666666666</v>
      </c>
    </row>
    <row r="145">
      <c r="A145" s="5">
        <v>45527.0</v>
      </c>
      <c r="B145" s="1" t="s">
        <v>95</v>
      </c>
      <c r="C145" s="1" t="s">
        <v>89</v>
      </c>
      <c r="D145" s="4">
        <v>264.0</v>
      </c>
      <c r="E145" s="4">
        <v>0.0</v>
      </c>
      <c r="G145" s="1" t="s">
        <v>91</v>
      </c>
      <c r="H145" s="1" t="s">
        <v>92</v>
      </c>
      <c r="I145" s="1" t="s">
        <v>439</v>
      </c>
      <c r="J145" s="1" t="s">
        <v>440</v>
      </c>
      <c r="K145" s="1" t="s">
        <v>440</v>
      </c>
      <c r="M145" s="4">
        <v>-1.0</v>
      </c>
      <c r="O145" s="4">
        <v>6.953766666666667</v>
      </c>
    </row>
    <row r="146">
      <c r="A146" s="5">
        <v>45527.0</v>
      </c>
      <c r="B146" s="1" t="s">
        <v>88</v>
      </c>
      <c r="C146" s="1" t="s">
        <v>107</v>
      </c>
      <c r="D146" s="4">
        <v>378.0</v>
      </c>
      <c r="E146" s="4">
        <v>0.0</v>
      </c>
      <c r="F146" s="1" t="s">
        <v>90</v>
      </c>
      <c r="G146" s="1" t="s">
        <v>91</v>
      </c>
      <c r="H146" s="1" t="s">
        <v>92</v>
      </c>
      <c r="I146" s="1" t="s">
        <v>441</v>
      </c>
      <c r="J146" s="1" t="s">
        <v>442</v>
      </c>
      <c r="K146" s="1" t="s">
        <v>442</v>
      </c>
      <c r="M146" s="4">
        <v>-11.0</v>
      </c>
      <c r="O146" s="4">
        <v>15.430833333333334</v>
      </c>
    </row>
    <row r="147">
      <c r="A147" s="5">
        <v>45527.0</v>
      </c>
      <c r="B147" s="1" t="s">
        <v>116</v>
      </c>
      <c r="C147" s="1" t="s">
        <v>107</v>
      </c>
      <c r="D147" s="4">
        <v>428.0</v>
      </c>
      <c r="E147" s="4">
        <v>105.0</v>
      </c>
      <c r="G147" s="1" t="s">
        <v>111</v>
      </c>
      <c r="H147" s="1" t="s">
        <v>92</v>
      </c>
      <c r="I147" s="1" t="s">
        <v>443</v>
      </c>
      <c r="J147" s="1" t="s">
        <v>444</v>
      </c>
      <c r="K147" s="1" t="s">
        <v>444</v>
      </c>
      <c r="M147" s="4">
        <v>-8.0</v>
      </c>
      <c r="O147" s="4">
        <v>10.684133333333333</v>
      </c>
    </row>
    <row r="148">
      <c r="A148" s="5">
        <v>45527.0</v>
      </c>
      <c r="B148" s="1" t="s">
        <v>95</v>
      </c>
      <c r="C148" s="1" t="s">
        <v>107</v>
      </c>
      <c r="D148" s="4">
        <v>468.0</v>
      </c>
      <c r="E148" s="4">
        <v>150.0</v>
      </c>
      <c r="G148" s="1" t="s">
        <v>91</v>
      </c>
      <c r="H148" s="1" t="s">
        <v>96</v>
      </c>
      <c r="I148" s="1" t="s">
        <v>445</v>
      </c>
      <c r="J148" s="1" t="s">
        <v>446</v>
      </c>
      <c r="K148" s="1" t="s">
        <v>446</v>
      </c>
      <c r="M148" s="4">
        <v>0.0</v>
      </c>
      <c r="O148" s="4">
        <v>9.929716666666666</v>
      </c>
    </row>
    <row r="149">
      <c r="A149" s="5">
        <v>45527.0</v>
      </c>
      <c r="B149" s="1" t="s">
        <v>95</v>
      </c>
      <c r="C149" s="1" t="s">
        <v>107</v>
      </c>
      <c r="D149" s="4">
        <v>568.0</v>
      </c>
      <c r="E149" s="4">
        <v>0.0</v>
      </c>
      <c r="G149" s="1" t="s">
        <v>91</v>
      </c>
      <c r="H149" s="1" t="s">
        <v>92</v>
      </c>
      <c r="I149" s="1" t="s">
        <v>447</v>
      </c>
      <c r="J149" s="1" t="s">
        <v>448</v>
      </c>
      <c r="K149" s="1" t="s">
        <v>448</v>
      </c>
      <c r="M149" s="4">
        <v>0.0</v>
      </c>
      <c r="O149" s="4">
        <v>8.482283333333333</v>
      </c>
    </row>
    <row r="150">
      <c r="A150" s="5">
        <v>45527.0</v>
      </c>
      <c r="B150" s="1" t="s">
        <v>95</v>
      </c>
      <c r="C150" s="1" t="s">
        <v>107</v>
      </c>
      <c r="D150" s="4">
        <v>362.0</v>
      </c>
      <c r="E150" s="4">
        <v>100.0</v>
      </c>
      <c r="G150" s="1" t="s">
        <v>91</v>
      </c>
      <c r="H150" s="1" t="s">
        <v>92</v>
      </c>
      <c r="I150" s="1" t="s">
        <v>449</v>
      </c>
      <c r="J150" s="1" t="s">
        <v>450</v>
      </c>
      <c r="K150" s="1" t="s">
        <v>450</v>
      </c>
      <c r="M150" s="4">
        <v>0.0</v>
      </c>
      <c r="O150" s="4">
        <v>8.028483333333334</v>
      </c>
    </row>
    <row r="151">
      <c r="A151" s="5">
        <v>45527.0</v>
      </c>
      <c r="B151" s="1" t="s">
        <v>110</v>
      </c>
      <c r="C151" s="1" t="s">
        <v>107</v>
      </c>
      <c r="D151" s="4">
        <v>124.5</v>
      </c>
      <c r="E151" s="4">
        <v>124.5</v>
      </c>
      <c r="G151" s="1" t="s">
        <v>111</v>
      </c>
      <c r="H151" s="1" t="s">
        <v>96</v>
      </c>
      <c r="I151" s="1" t="s">
        <v>451</v>
      </c>
      <c r="J151" s="1" t="s">
        <v>452</v>
      </c>
      <c r="K151" s="1" t="s">
        <v>452</v>
      </c>
      <c r="M151" s="4">
        <v>-4.0</v>
      </c>
      <c r="O151" s="4">
        <v>0.6569166666666667</v>
      </c>
    </row>
    <row r="152">
      <c r="A152" s="5">
        <v>45527.0</v>
      </c>
      <c r="B152" s="1" t="s">
        <v>103</v>
      </c>
      <c r="C152" s="1" t="s">
        <v>107</v>
      </c>
      <c r="D152" s="4">
        <v>264.0</v>
      </c>
      <c r="E152" s="4">
        <v>0.0</v>
      </c>
      <c r="F152" s="1" t="s">
        <v>453</v>
      </c>
      <c r="G152" s="1" t="s">
        <v>91</v>
      </c>
      <c r="H152" s="1" t="s">
        <v>92</v>
      </c>
      <c r="I152" s="1" t="s">
        <v>454</v>
      </c>
      <c r="J152" s="1" t="s">
        <v>455</v>
      </c>
      <c r="K152" s="1" t="s">
        <v>455</v>
      </c>
      <c r="M152" s="4">
        <v>-7.0</v>
      </c>
      <c r="O152" s="4">
        <v>7.120933333333333</v>
      </c>
    </row>
    <row r="153">
      <c r="A153" s="5">
        <v>45527.0</v>
      </c>
      <c r="B153" s="1" t="s">
        <v>110</v>
      </c>
      <c r="C153" s="1" t="s">
        <v>242</v>
      </c>
      <c r="D153" s="4">
        <v>249.0</v>
      </c>
      <c r="E153" s="4">
        <v>0.0</v>
      </c>
      <c r="G153" s="1" t="s">
        <v>111</v>
      </c>
      <c r="H153" s="1" t="s">
        <v>96</v>
      </c>
      <c r="I153" s="1" t="s">
        <v>456</v>
      </c>
      <c r="J153" s="1" t="s">
        <v>457</v>
      </c>
      <c r="K153" s="1" t="s">
        <v>457</v>
      </c>
      <c r="M153" s="4">
        <v>1.0</v>
      </c>
      <c r="O153" s="4">
        <v>6.5968333333333335</v>
      </c>
    </row>
    <row r="154">
      <c r="A154" s="5">
        <v>45527.0</v>
      </c>
      <c r="B154" s="1" t="s">
        <v>116</v>
      </c>
      <c r="C154" s="1" t="s">
        <v>107</v>
      </c>
      <c r="D154" s="4">
        <v>612.0</v>
      </c>
      <c r="E154" s="4">
        <v>0.0</v>
      </c>
      <c r="F154" s="1" t="s">
        <v>386</v>
      </c>
      <c r="G154" s="1" t="s">
        <v>175</v>
      </c>
      <c r="H154" s="1" t="s">
        <v>96</v>
      </c>
      <c r="I154" s="1" t="s">
        <v>458</v>
      </c>
      <c r="J154" s="1" t="s">
        <v>459</v>
      </c>
      <c r="K154" s="1" t="s">
        <v>460</v>
      </c>
      <c r="L154" s="1" t="s">
        <v>461</v>
      </c>
      <c r="M154" s="4">
        <v>-21.0</v>
      </c>
      <c r="N154" s="4">
        <v>0.010883333333333333</v>
      </c>
      <c r="O154" s="4">
        <v>25.69621666666667</v>
      </c>
    </row>
    <row r="155">
      <c r="A155" s="5">
        <v>45527.0</v>
      </c>
      <c r="B155" s="1" t="s">
        <v>116</v>
      </c>
      <c r="C155" s="1" t="s">
        <v>107</v>
      </c>
      <c r="D155" s="4">
        <v>247.0</v>
      </c>
      <c r="E155" s="4">
        <v>62.0</v>
      </c>
      <c r="G155" s="1" t="s">
        <v>111</v>
      </c>
      <c r="H155" s="1" t="s">
        <v>92</v>
      </c>
      <c r="I155" s="1" t="s">
        <v>462</v>
      </c>
      <c r="J155" s="1" t="s">
        <v>463</v>
      </c>
      <c r="K155" s="1" t="s">
        <v>463</v>
      </c>
      <c r="M155" s="4">
        <v>-15.0</v>
      </c>
      <c r="O155" s="4">
        <v>19.257466666666666</v>
      </c>
    </row>
    <row r="156">
      <c r="A156" s="5">
        <v>45527.0</v>
      </c>
      <c r="B156" s="1" t="s">
        <v>116</v>
      </c>
      <c r="C156" s="1" t="s">
        <v>107</v>
      </c>
      <c r="D156" s="4">
        <v>250.0</v>
      </c>
      <c r="E156" s="4">
        <v>0.0</v>
      </c>
      <c r="F156" s="1" t="s">
        <v>386</v>
      </c>
      <c r="G156" s="1" t="s">
        <v>175</v>
      </c>
      <c r="H156" s="1" t="s">
        <v>96</v>
      </c>
      <c r="I156" s="1" t="s">
        <v>464</v>
      </c>
      <c r="J156" s="1" t="s">
        <v>465</v>
      </c>
      <c r="K156" s="1" t="s">
        <v>466</v>
      </c>
      <c r="L156" s="1" t="s">
        <v>467</v>
      </c>
      <c r="M156" s="4">
        <v>-15.0</v>
      </c>
      <c r="N156" s="4">
        <v>0.014666666666666666</v>
      </c>
      <c r="O156" s="4">
        <v>30.419433333333334</v>
      </c>
    </row>
    <row r="157">
      <c r="A157" s="5">
        <v>45529.0</v>
      </c>
      <c r="B157" s="1" t="s">
        <v>88</v>
      </c>
      <c r="C157" s="1" t="s">
        <v>107</v>
      </c>
      <c r="D157" s="4">
        <v>264.0</v>
      </c>
      <c r="E157" s="4">
        <v>0.0</v>
      </c>
      <c r="F157" s="1" t="s">
        <v>90</v>
      </c>
      <c r="G157" s="1" t="s">
        <v>91</v>
      </c>
      <c r="H157" s="1" t="s">
        <v>92</v>
      </c>
      <c r="I157" s="1" t="s">
        <v>468</v>
      </c>
      <c r="J157" s="1" t="s">
        <v>469</v>
      </c>
      <c r="K157" s="1" t="s">
        <v>469</v>
      </c>
      <c r="M157" s="4">
        <v>0.0</v>
      </c>
      <c r="O157" s="4">
        <v>16.970383333333334</v>
      </c>
    </row>
    <row r="158">
      <c r="A158" s="5">
        <v>45529.0</v>
      </c>
      <c r="B158" s="1" t="s">
        <v>88</v>
      </c>
      <c r="C158" s="1" t="s">
        <v>107</v>
      </c>
      <c r="D158" s="4">
        <v>369.0</v>
      </c>
      <c r="E158" s="4">
        <v>0.0</v>
      </c>
      <c r="F158" s="1" t="s">
        <v>90</v>
      </c>
      <c r="G158" s="1" t="s">
        <v>91</v>
      </c>
      <c r="H158" s="1" t="s">
        <v>92</v>
      </c>
      <c r="I158" s="1" t="s">
        <v>470</v>
      </c>
      <c r="J158" s="1" t="s">
        <v>471</v>
      </c>
      <c r="K158" s="1" t="s">
        <v>471</v>
      </c>
      <c r="M158" s="4">
        <v>3.0</v>
      </c>
      <c r="O158" s="4">
        <v>18.51765</v>
      </c>
    </row>
    <row r="159">
      <c r="A159" s="5">
        <v>45529.0</v>
      </c>
      <c r="B159" s="1" t="s">
        <v>103</v>
      </c>
      <c r="C159" s="1" t="s">
        <v>107</v>
      </c>
      <c r="D159" s="4">
        <v>279.0</v>
      </c>
      <c r="E159" s="4">
        <v>0.0</v>
      </c>
      <c r="F159" s="1" t="s">
        <v>472</v>
      </c>
      <c r="G159" s="1" t="s">
        <v>91</v>
      </c>
      <c r="H159" s="1" t="s">
        <v>92</v>
      </c>
      <c r="I159" s="1" t="s">
        <v>473</v>
      </c>
      <c r="J159" s="1" t="s">
        <v>474</v>
      </c>
      <c r="K159" s="1" t="s">
        <v>474</v>
      </c>
      <c r="M159" s="4">
        <v>-9.0</v>
      </c>
      <c r="O159" s="4">
        <v>5.988183333333334</v>
      </c>
    </row>
    <row r="160">
      <c r="A160" s="5">
        <v>45529.0</v>
      </c>
      <c r="B160" s="1" t="s">
        <v>95</v>
      </c>
      <c r="C160" s="1" t="s">
        <v>107</v>
      </c>
      <c r="D160" s="4">
        <v>214.0</v>
      </c>
      <c r="E160" s="4">
        <v>50.0</v>
      </c>
      <c r="G160" s="1" t="s">
        <v>91</v>
      </c>
      <c r="H160" s="1" t="s">
        <v>92</v>
      </c>
      <c r="I160" s="1" t="s">
        <v>475</v>
      </c>
      <c r="J160" s="1" t="s">
        <v>476</v>
      </c>
      <c r="K160" s="1" t="s">
        <v>476</v>
      </c>
      <c r="M160" s="4">
        <v>0.0</v>
      </c>
      <c r="O160" s="4">
        <v>7.005016666666666</v>
      </c>
    </row>
    <row r="161">
      <c r="A161" s="5">
        <v>45529.0</v>
      </c>
      <c r="B161" s="1" t="s">
        <v>88</v>
      </c>
      <c r="C161" s="1" t="s">
        <v>107</v>
      </c>
      <c r="D161" s="4">
        <v>329.0</v>
      </c>
      <c r="E161" s="4">
        <v>0.0</v>
      </c>
      <c r="F161" s="1" t="s">
        <v>90</v>
      </c>
      <c r="G161" s="1" t="s">
        <v>91</v>
      </c>
      <c r="H161" s="1" t="s">
        <v>92</v>
      </c>
      <c r="I161" s="1" t="s">
        <v>477</v>
      </c>
      <c r="J161" s="1" t="s">
        <v>478</v>
      </c>
      <c r="K161" s="1" t="s">
        <v>478</v>
      </c>
      <c r="M161" s="4">
        <v>-8.0</v>
      </c>
      <c r="O161" s="4">
        <v>6.209383333333333</v>
      </c>
    </row>
    <row r="162">
      <c r="A162" s="5">
        <v>45529.0</v>
      </c>
      <c r="B162" s="1" t="s">
        <v>88</v>
      </c>
      <c r="C162" s="1" t="s">
        <v>107</v>
      </c>
      <c r="D162" s="4">
        <v>264.0</v>
      </c>
      <c r="E162" s="4">
        <v>0.0</v>
      </c>
      <c r="F162" s="1" t="s">
        <v>90</v>
      </c>
      <c r="G162" s="1" t="s">
        <v>91</v>
      </c>
      <c r="H162" s="1" t="s">
        <v>92</v>
      </c>
      <c r="I162" s="1" t="s">
        <v>479</v>
      </c>
      <c r="J162" s="1" t="s">
        <v>480</v>
      </c>
      <c r="K162" s="1" t="s">
        <v>480</v>
      </c>
      <c r="M162" s="4">
        <v>-8.0</v>
      </c>
      <c r="O162" s="4">
        <v>6.490683333333333</v>
      </c>
    </row>
    <row r="163">
      <c r="A163" s="5">
        <v>45529.0</v>
      </c>
      <c r="B163" s="1" t="s">
        <v>88</v>
      </c>
      <c r="C163" s="1" t="s">
        <v>107</v>
      </c>
      <c r="D163" s="4">
        <v>321.0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481</v>
      </c>
      <c r="J163" s="1" t="s">
        <v>482</v>
      </c>
      <c r="K163" s="1" t="s">
        <v>482</v>
      </c>
      <c r="M163" s="4">
        <v>-8.0</v>
      </c>
      <c r="O163" s="4">
        <v>6.018566666666667</v>
      </c>
    </row>
    <row r="164">
      <c r="A164" s="5">
        <v>45529.0</v>
      </c>
      <c r="B164" s="1" t="s">
        <v>103</v>
      </c>
      <c r="C164" s="1" t="s">
        <v>89</v>
      </c>
      <c r="D164" s="4">
        <v>313.0</v>
      </c>
      <c r="E164" s="4">
        <v>0.0</v>
      </c>
      <c r="F164" s="1" t="s">
        <v>483</v>
      </c>
      <c r="G164" s="1" t="s">
        <v>91</v>
      </c>
      <c r="H164" s="1" t="s">
        <v>92</v>
      </c>
      <c r="I164" s="1" t="s">
        <v>484</v>
      </c>
      <c r="J164" s="1" t="s">
        <v>485</v>
      </c>
      <c r="K164" s="1" t="s">
        <v>485</v>
      </c>
      <c r="M164" s="4">
        <v>-9.0</v>
      </c>
      <c r="O164" s="4">
        <v>5.370983333333333</v>
      </c>
    </row>
    <row r="165">
      <c r="A165" s="5">
        <v>45529.0</v>
      </c>
      <c r="B165" s="1" t="s">
        <v>103</v>
      </c>
      <c r="C165" s="1" t="s">
        <v>107</v>
      </c>
      <c r="D165" s="4">
        <v>213.0</v>
      </c>
      <c r="E165" s="4">
        <v>0.0</v>
      </c>
      <c r="F165" s="1" t="s">
        <v>483</v>
      </c>
      <c r="G165" s="1" t="s">
        <v>91</v>
      </c>
      <c r="H165" s="1" t="s">
        <v>92</v>
      </c>
      <c r="I165" s="1" t="s">
        <v>486</v>
      </c>
      <c r="J165" s="1" t="s">
        <v>487</v>
      </c>
      <c r="K165" s="1" t="s">
        <v>487</v>
      </c>
      <c r="M165" s="4">
        <v>-7.0</v>
      </c>
      <c r="O165" s="4">
        <v>7.472716666666667</v>
      </c>
    </row>
    <row r="166">
      <c r="A166" s="5">
        <v>45529.0</v>
      </c>
      <c r="B166" s="1" t="s">
        <v>103</v>
      </c>
      <c r="C166" s="1" t="s">
        <v>107</v>
      </c>
      <c r="D166" s="4">
        <v>329.0</v>
      </c>
      <c r="E166" s="4">
        <v>0.0</v>
      </c>
      <c r="F166" s="1" t="s">
        <v>488</v>
      </c>
      <c r="G166" s="1" t="s">
        <v>91</v>
      </c>
      <c r="H166" s="1" t="s">
        <v>92</v>
      </c>
      <c r="I166" s="1" t="s">
        <v>489</v>
      </c>
      <c r="J166" s="1" t="s">
        <v>490</v>
      </c>
      <c r="K166" s="1" t="s">
        <v>490</v>
      </c>
      <c r="M166" s="4">
        <v>-7.0</v>
      </c>
      <c r="O166" s="4">
        <v>7.009666666666667</v>
      </c>
    </row>
    <row r="167">
      <c r="A167" s="5">
        <v>45529.0</v>
      </c>
      <c r="B167" s="1" t="s">
        <v>103</v>
      </c>
      <c r="C167" s="1" t="s">
        <v>107</v>
      </c>
      <c r="D167" s="4">
        <v>364.0</v>
      </c>
      <c r="E167" s="4">
        <v>0.0</v>
      </c>
      <c r="F167" s="1" t="s">
        <v>491</v>
      </c>
      <c r="G167" s="1" t="s">
        <v>91</v>
      </c>
      <c r="H167" s="1" t="s">
        <v>92</v>
      </c>
      <c r="I167" s="1" t="s">
        <v>492</v>
      </c>
      <c r="J167" s="1" t="s">
        <v>493</v>
      </c>
      <c r="K167" s="1" t="s">
        <v>493</v>
      </c>
      <c r="M167" s="4">
        <v>-8.0</v>
      </c>
      <c r="O167" s="4">
        <v>6.973833333333333</v>
      </c>
    </row>
    <row r="168">
      <c r="A168" s="5">
        <v>45529.0</v>
      </c>
      <c r="B168" s="1" t="s">
        <v>95</v>
      </c>
      <c r="C168" s="1" t="s">
        <v>107</v>
      </c>
      <c r="D168" s="4">
        <v>378.0</v>
      </c>
      <c r="E168" s="4">
        <v>0.0</v>
      </c>
      <c r="G168" s="1" t="s">
        <v>91</v>
      </c>
      <c r="H168" s="1" t="s">
        <v>96</v>
      </c>
      <c r="I168" s="1" t="s">
        <v>494</v>
      </c>
      <c r="J168" s="1" t="s">
        <v>495</v>
      </c>
      <c r="K168" s="1" t="s">
        <v>495</v>
      </c>
      <c r="M168" s="4">
        <v>-1.0</v>
      </c>
      <c r="O168" s="4">
        <v>7.096883333333333</v>
      </c>
    </row>
    <row r="169">
      <c r="A169" s="5">
        <v>45529.0</v>
      </c>
      <c r="B169" s="1" t="s">
        <v>95</v>
      </c>
      <c r="C169" s="1" t="s">
        <v>107</v>
      </c>
      <c r="D169" s="4">
        <v>510.0</v>
      </c>
      <c r="E169" s="4">
        <v>0.0</v>
      </c>
      <c r="G169" s="1" t="s">
        <v>91</v>
      </c>
      <c r="H169" s="1" t="s">
        <v>92</v>
      </c>
      <c r="I169" s="1" t="s">
        <v>496</v>
      </c>
      <c r="J169" s="1" t="s">
        <v>497</v>
      </c>
      <c r="K169" s="1" t="s">
        <v>497</v>
      </c>
      <c r="M169" s="4">
        <v>-1.0</v>
      </c>
      <c r="O169" s="4">
        <v>7.855283333333333</v>
      </c>
    </row>
    <row r="170">
      <c r="A170" s="5">
        <v>45529.0</v>
      </c>
      <c r="B170" s="1" t="s">
        <v>88</v>
      </c>
      <c r="C170" s="1" t="s">
        <v>107</v>
      </c>
      <c r="D170" s="4">
        <v>329.0</v>
      </c>
      <c r="E170" s="4">
        <v>0.0</v>
      </c>
      <c r="F170" s="1" t="s">
        <v>90</v>
      </c>
      <c r="G170" s="1" t="s">
        <v>91</v>
      </c>
      <c r="H170" s="1" t="s">
        <v>92</v>
      </c>
      <c r="I170" s="1" t="s">
        <v>498</v>
      </c>
      <c r="J170" s="1" t="s">
        <v>499</v>
      </c>
      <c r="K170" s="1" t="s">
        <v>499</v>
      </c>
      <c r="M170" s="4">
        <v>-8.0</v>
      </c>
      <c r="O170" s="4">
        <v>6.55445</v>
      </c>
    </row>
    <row r="171">
      <c r="A171" s="5">
        <v>45529.0</v>
      </c>
      <c r="B171" s="1" t="s">
        <v>88</v>
      </c>
      <c r="C171" s="1" t="s">
        <v>107</v>
      </c>
      <c r="D171" s="4">
        <v>642.0</v>
      </c>
      <c r="E171" s="4">
        <v>0.0</v>
      </c>
      <c r="F171" s="1" t="s">
        <v>90</v>
      </c>
      <c r="G171" s="1" t="s">
        <v>91</v>
      </c>
      <c r="H171" s="1" t="s">
        <v>92</v>
      </c>
      <c r="I171" s="1" t="s">
        <v>500</v>
      </c>
      <c r="J171" s="1" t="s">
        <v>501</v>
      </c>
      <c r="K171" s="1" t="s">
        <v>501</v>
      </c>
      <c r="M171" s="4">
        <v>-11.0</v>
      </c>
      <c r="O171" s="4">
        <v>8.3769</v>
      </c>
    </row>
    <row r="172">
      <c r="A172" s="5">
        <v>45529.0</v>
      </c>
      <c r="B172" s="1" t="s">
        <v>116</v>
      </c>
      <c r="C172" s="1" t="s">
        <v>107</v>
      </c>
      <c r="D172" s="4">
        <v>250.0</v>
      </c>
      <c r="E172" s="4">
        <v>0.0</v>
      </c>
      <c r="F172" s="1" t="s">
        <v>386</v>
      </c>
      <c r="G172" s="1" t="s">
        <v>175</v>
      </c>
      <c r="H172" s="1" t="s">
        <v>96</v>
      </c>
      <c r="I172" s="1" t="s">
        <v>502</v>
      </c>
      <c r="J172" s="1" t="s">
        <v>503</v>
      </c>
      <c r="K172" s="1" t="s">
        <v>504</v>
      </c>
      <c r="L172" s="1" t="s">
        <v>505</v>
      </c>
      <c r="M172" s="4">
        <v>-15.0</v>
      </c>
      <c r="N172" s="4">
        <v>0.010116666666666666</v>
      </c>
      <c r="O172" s="4">
        <v>6.36425</v>
      </c>
    </row>
    <row r="173">
      <c r="A173" s="5">
        <v>45529.0</v>
      </c>
      <c r="B173" s="1" t="s">
        <v>103</v>
      </c>
      <c r="C173" s="1" t="s">
        <v>89</v>
      </c>
      <c r="D173" s="4">
        <v>329.0</v>
      </c>
      <c r="E173" s="4">
        <v>0.0</v>
      </c>
      <c r="F173" s="1" t="s">
        <v>506</v>
      </c>
      <c r="G173" s="1" t="s">
        <v>91</v>
      </c>
      <c r="H173" s="1" t="s">
        <v>92</v>
      </c>
      <c r="I173" s="1" t="s">
        <v>507</v>
      </c>
      <c r="J173" s="1" t="s">
        <v>508</v>
      </c>
      <c r="K173" s="1" t="s">
        <v>508</v>
      </c>
      <c r="M173" s="4">
        <v>-7.0</v>
      </c>
      <c r="O173" s="4">
        <v>7.373366666666667</v>
      </c>
    </row>
    <row r="174">
      <c r="A174" s="5">
        <v>45529.0</v>
      </c>
      <c r="B174" s="1" t="s">
        <v>103</v>
      </c>
      <c r="C174" s="1" t="s">
        <v>89</v>
      </c>
      <c r="D174" s="4">
        <v>528.0</v>
      </c>
      <c r="E174" s="4">
        <v>0.0</v>
      </c>
      <c r="F174" s="1" t="s">
        <v>509</v>
      </c>
      <c r="G174" s="1" t="s">
        <v>91</v>
      </c>
      <c r="H174" s="1" t="s">
        <v>92</v>
      </c>
      <c r="I174" s="1" t="s">
        <v>510</v>
      </c>
      <c r="J174" s="1" t="s">
        <v>511</v>
      </c>
      <c r="K174" s="1" t="s">
        <v>511</v>
      </c>
      <c r="M174" s="4">
        <v>-13.0</v>
      </c>
      <c r="O174" s="4">
        <v>6.0415833333333335</v>
      </c>
    </row>
    <row r="175">
      <c r="A175" s="5">
        <v>45529.0</v>
      </c>
      <c r="B175" s="1" t="s">
        <v>88</v>
      </c>
      <c r="C175" s="1" t="s">
        <v>107</v>
      </c>
      <c r="D175" s="4">
        <v>264.0</v>
      </c>
      <c r="E175" s="4">
        <v>0.0</v>
      </c>
      <c r="F175" s="1" t="s">
        <v>90</v>
      </c>
      <c r="G175" s="1" t="s">
        <v>91</v>
      </c>
      <c r="H175" s="1" t="s">
        <v>92</v>
      </c>
      <c r="I175" s="1" t="s">
        <v>512</v>
      </c>
      <c r="J175" s="1" t="s">
        <v>513</v>
      </c>
      <c r="K175" s="1" t="s">
        <v>513</v>
      </c>
      <c r="M175" s="4">
        <v>-8.0</v>
      </c>
      <c r="O175" s="4">
        <v>6.661816666666667</v>
      </c>
    </row>
    <row r="176">
      <c r="A176" s="5">
        <v>45529.0</v>
      </c>
      <c r="B176" s="1" t="s">
        <v>88</v>
      </c>
      <c r="C176" s="1" t="s">
        <v>107</v>
      </c>
      <c r="D176" s="4">
        <v>558.0</v>
      </c>
      <c r="E176" s="4">
        <v>0.0</v>
      </c>
      <c r="F176" s="1" t="s">
        <v>90</v>
      </c>
      <c r="G176" s="1" t="s">
        <v>91</v>
      </c>
      <c r="H176" s="1" t="s">
        <v>92</v>
      </c>
      <c r="I176" s="1" t="s">
        <v>514</v>
      </c>
      <c r="J176" s="1" t="s">
        <v>515</v>
      </c>
      <c r="K176" s="1" t="s">
        <v>515</v>
      </c>
      <c r="M176" s="4">
        <v>-12.0</v>
      </c>
      <c r="O176" s="4">
        <v>7.77215</v>
      </c>
    </row>
    <row r="177">
      <c r="A177" s="5">
        <v>45529.0</v>
      </c>
      <c r="B177" s="1" t="s">
        <v>88</v>
      </c>
      <c r="C177" s="1" t="s">
        <v>107</v>
      </c>
      <c r="D177" s="4">
        <v>264.0</v>
      </c>
      <c r="E177" s="4">
        <v>0.0</v>
      </c>
      <c r="F177" s="1" t="s">
        <v>90</v>
      </c>
      <c r="G177" s="1" t="s">
        <v>91</v>
      </c>
      <c r="H177" s="1" t="s">
        <v>92</v>
      </c>
      <c r="I177" s="1" t="s">
        <v>516</v>
      </c>
      <c r="J177" s="1" t="s">
        <v>517</v>
      </c>
      <c r="K177" s="1" t="s">
        <v>517</v>
      </c>
      <c r="M177" s="4">
        <v>-9.0</v>
      </c>
      <c r="O177" s="4">
        <v>5.8366</v>
      </c>
    </row>
    <row r="178">
      <c r="A178" s="5">
        <v>45529.0</v>
      </c>
      <c r="B178" s="1" t="s">
        <v>88</v>
      </c>
      <c r="C178" s="1" t="s">
        <v>107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518</v>
      </c>
      <c r="J178" s="1" t="s">
        <v>519</v>
      </c>
      <c r="K178" s="1" t="s">
        <v>519</v>
      </c>
      <c r="M178" s="4">
        <v>-9.0</v>
      </c>
      <c r="O178" s="4">
        <v>5.237733333333333</v>
      </c>
    </row>
    <row r="179">
      <c r="A179" s="5">
        <v>45529.0</v>
      </c>
      <c r="B179" s="1" t="s">
        <v>116</v>
      </c>
      <c r="C179" s="1" t="s">
        <v>107</v>
      </c>
      <c r="D179" s="4">
        <v>482.0</v>
      </c>
      <c r="E179" s="4">
        <v>41.0</v>
      </c>
      <c r="F179" s="1" t="s">
        <v>386</v>
      </c>
      <c r="G179" s="1" t="s">
        <v>175</v>
      </c>
      <c r="H179" s="1" t="s">
        <v>92</v>
      </c>
      <c r="I179" s="1" t="s">
        <v>520</v>
      </c>
      <c r="J179" s="1" t="s">
        <v>521</v>
      </c>
      <c r="K179" s="1" t="s">
        <v>522</v>
      </c>
      <c r="L179" s="1" t="s">
        <v>523</v>
      </c>
      <c r="M179" s="4">
        <v>-24.0</v>
      </c>
      <c r="N179" s="4">
        <v>0.01055</v>
      </c>
      <c r="O179" s="4">
        <v>10.7176</v>
      </c>
    </row>
    <row r="180">
      <c r="A180" s="5">
        <v>45529.0</v>
      </c>
      <c r="B180" s="1" t="s">
        <v>116</v>
      </c>
      <c r="C180" s="1" t="s">
        <v>107</v>
      </c>
      <c r="D180" s="4">
        <v>265.0</v>
      </c>
      <c r="E180" s="4">
        <v>66.0</v>
      </c>
      <c r="G180" s="1" t="s">
        <v>111</v>
      </c>
      <c r="H180" s="1" t="s">
        <v>194</v>
      </c>
      <c r="I180" s="1" t="s">
        <v>524</v>
      </c>
      <c r="J180" s="1" t="s">
        <v>525</v>
      </c>
      <c r="K180" s="1" t="s">
        <v>525</v>
      </c>
      <c r="M180" s="4">
        <v>-12.0</v>
      </c>
      <c r="O180" s="4">
        <v>6.4488666666666665</v>
      </c>
    </row>
    <row r="181">
      <c r="A181" s="5">
        <v>45529.0</v>
      </c>
      <c r="B181" s="1" t="s">
        <v>95</v>
      </c>
      <c r="C181" s="1" t="s">
        <v>107</v>
      </c>
      <c r="D181" s="4">
        <v>522.0</v>
      </c>
      <c r="E181" s="4">
        <v>0.0</v>
      </c>
      <c r="G181" s="1" t="s">
        <v>91</v>
      </c>
      <c r="H181" s="1" t="s">
        <v>92</v>
      </c>
      <c r="I181" s="1" t="s">
        <v>526</v>
      </c>
      <c r="J181" s="1" t="s">
        <v>527</v>
      </c>
      <c r="K181" s="1" t="s">
        <v>527</v>
      </c>
      <c r="M181" s="4">
        <v>1.0</v>
      </c>
      <c r="O181" s="4">
        <v>10.150833333333333</v>
      </c>
    </row>
    <row r="182">
      <c r="A182" s="5">
        <v>45529.0</v>
      </c>
      <c r="B182" s="1" t="s">
        <v>95</v>
      </c>
      <c r="C182" s="1" t="s">
        <v>107</v>
      </c>
      <c r="D182" s="4">
        <v>329.0</v>
      </c>
      <c r="E182" s="4">
        <v>0.0</v>
      </c>
      <c r="G182" s="1" t="s">
        <v>91</v>
      </c>
      <c r="H182" s="1" t="s">
        <v>92</v>
      </c>
      <c r="I182" s="1" t="s">
        <v>528</v>
      </c>
      <c r="J182" s="1" t="s">
        <v>529</v>
      </c>
      <c r="K182" s="1" t="s">
        <v>529</v>
      </c>
      <c r="M182" s="4">
        <v>0.0</v>
      </c>
      <c r="O182" s="4">
        <v>8.772433333333334</v>
      </c>
    </row>
    <row r="183">
      <c r="A183" s="5">
        <v>45529.0</v>
      </c>
      <c r="B183" s="1" t="s">
        <v>116</v>
      </c>
      <c r="C183" s="1" t="s">
        <v>107</v>
      </c>
      <c r="D183" s="4">
        <v>618.0</v>
      </c>
      <c r="E183" s="4">
        <v>0.0</v>
      </c>
      <c r="F183" s="1" t="s">
        <v>386</v>
      </c>
      <c r="G183" s="1" t="s">
        <v>175</v>
      </c>
      <c r="H183" s="1" t="s">
        <v>96</v>
      </c>
      <c r="I183" s="1" t="s">
        <v>530</v>
      </c>
      <c r="J183" s="1" t="s">
        <v>531</v>
      </c>
      <c r="K183" s="1" t="s">
        <v>532</v>
      </c>
      <c r="L183" s="1" t="s">
        <v>533</v>
      </c>
      <c r="M183" s="4">
        <v>-8.0</v>
      </c>
      <c r="N183" s="4">
        <v>0.016583333333333332</v>
      </c>
      <c r="O183" s="4">
        <v>7.976333333333334</v>
      </c>
    </row>
    <row r="184">
      <c r="A184" s="5">
        <v>45529.0</v>
      </c>
      <c r="B184" s="1" t="s">
        <v>95</v>
      </c>
      <c r="C184" s="1" t="s">
        <v>107</v>
      </c>
      <c r="D184" s="4">
        <v>294.0</v>
      </c>
      <c r="E184" s="4">
        <v>0.0</v>
      </c>
      <c r="G184" s="1" t="s">
        <v>91</v>
      </c>
      <c r="H184" s="1" t="s">
        <v>92</v>
      </c>
      <c r="I184" s="1" t="s">
        <v>534</v>
      </c>
      <c r="J184" s="1" t="s">
        <v>535</v>
      </c>
      <c r="K184" s="1" t="s">
        <v>535</v>
      </c>
      <c r="M184" s="4">
        <v>1.0</v>
      </c>
      <c r="O184" s="4">
        <v>8.70665</v>
      </c>
    </row>
    <row r="185">
      <c r="A185" s="5">
        <v>45529.0</v>
      </c>
      <c r="B185" s="1" t="s">
        <v>95</v>
      </c>
      <c r="C185" s="1" t="s">
        <v>107</v>
      </c>
      <c r="D185" s="4">
        <v>334.0</v>
      </c>
      <c r="E185" s="4">
        <v>0.0</v>
      </c>
      <c r="G185" s="1" t="s">
        <v>91</v>
      </c>
      <c r="H185" s="1" t="s">
        <v>92</v>
      </c>
      <c r="I185" s="1" t="s">
        <v>536</v>
      </c>
      <c r="J185" s="1" t="s">
        <v>537</v>
      </c>
      <c r="K185" s="1" t="s">
        <v>537</v>
      </c>
      <c r="M185" s="4">
        <v>0.0</v>
      </c>
      <c r="O185" s="4">
        <v>7.883866666666667</v>
      </c>
    </row>
    <row r="186">
      <c r="A186" s="5">
        <v>45529.0</v>
      </c>
      <c r="B186" s="1" t="s">
        <v>103</v>
      </c>
      <c r="C186" s="1" t="s">
        <v>107</v>
      </c>
      <c r="D186" s="4">
        <v>394.0</v>
      </c>
      <c r="E186" s="4">
        <v>0.0</v>
      </c>
      <c r="F186" s="1" t="s">
        <v>538</v>
      </c>
      <c r="G186" s="1" t="s">
        <v>91</v>
      </c>
      <c r="H186" s="1" t="s">
        <v>92</v>
      </c>
      <c r="I186" s="1" t="s">
        <v>539</v>
      </c>
      <c r="J186" s="1" t="s">
        <v>540</v>
      </c>
      <c r="K186" s="1" t="s">
        <v>540</v>
      </c>
      <c r="M186" s="4">
        <v>-5.0</v>
      </c>
      <c r="O186" s="4">
        <v>9.150183333333333</v>
      </c>
    </row>
    <row r="187">
      <c r="A187" s="5">
        <v>45529.0</v>
      </c>
      <c r="B187" s="1" t="s">
        <v>116</v>
      </c>
      <c r="C187" s="1" t="s">
        <v>107</v>
      </c>
      <c r="D187" s="4">
        <v>440.0</v>
      </c>
      <c r="E187" s="4">
        <v>0.0</v>
      </c>
      <c r="F187" s="1" t="s">
        <v>386</v>
      </c>
      <c r="G187" s="1" t="s">
        <v>175</v>
      </c>
      <c r="H187" s="1" t="s">
        <v>92</v>
      </c>
      <c r="I187" s="1" t="s">
        <v>541</v>
      </c>
      <c r="J187" s="1" t="s">
        <v>542</v>
      </c>
      <c r="K187" s="1" t="s">
        <v>543</v>
      </c>
      <c r="L187" s="1" t="s">
        <v>544</v>
      </c>
      <c r="M187" s="4">
        <v>-29.0</v>
      </c>
      <c r="N187" s="4">
        <v>0.011316666666666666</v>
      </c>
      <c r="O187" s="4">
        <v>6.9782</v>
      </c>
    </row>
    <row r="188">
      <c r="A188" s="5">
        <v>45529.0</v>
      </c>
      <c r="B188" s="1" t="s">
        <v>95</v>
      </c>
      <c r="C188" s="1" t="s">
        <v>107</v>
      </c>
      <c r="D188" s="4">
        <v>612.0</v>
      </c>
      <c r="E188" s="4">
        <v>0.0</v>
      </c>
      <c r="G188" s="1" t="s">
        <v>91</v>
      </c>
      <c r="H188" s="1" t="s">
        <v>92</v>
      </c>
      <c r="I188" s="1" t="s">
        <v>545</v>
      </c>
      <c r="J188" s="1" t="s">
        <v>546</v>
      </c>
      <c r="K188" s="1" t="s">
        <v>546</v>
      </c>
      <c r="M188" s="4">
        <v>0.0</v>
      </c>
      <c r="O188" s="4">
        <v>10.633716666666666</v>
      </c>
    </row>
    <row r="189">
      <c r="A189" s="5">
        <v>45529.0</v>
      </c>
      <c r="B189" s="1" t="s">
        <v>103</v>
      </c>
      <c r="C189" s="1" t="s">
        <v>107</v>
      </c>
      <c r="D189" s="4">
        <v>508.0</v>
      </c>
      <c r="E189" s="4">
        <v>0.0</v>
      </c>
      <c r="F189" s="1" t="s">
        <v>547</v>
      </c>
      <c r="G189" s="1" t="s">
        <v>91</v>
      </c>
      <c r="H189" s="1" t="s">
        <v>92</v>
      </c>
      <c r="I189" s="1" t="s">
        <v>548</v>
      </c>
      <c r="J189" s="1" t="s">
        <v>549</v>
      </c>
      <c r="K189" s="1" t="s">
        <v>549</v>
      </c>
      <c r="M189" s="4">
        <v>-7.0</v>
      </c>
      <c r="O189" s="4">
        <v>12.031983333333333</v>
      </c>
    </row>
    <row r="190">
      <c r="A190" s="5">
        <v>45529.0</v>
      </c>
      <c r="B190" s="1" t="s">
        <v>88</v>
      </c>
      <c r="C190" s="1" t="s">
        <v>107</v>
      </c>
      <c r="D190" s="4">
        <v>329.0</v>
      </c>
      <c r="E190" s="4">
        <v>0.0</v>
      </c>
      <c r="F190" s="1" t="s">
        <v>90</v>
      </c>
      <c r="G190" s="1" t="s">
        <v>91</v>
      </c>
      <c r="H190" s="1" t="s">
        <v>92</v>
      </c>
      <c r="I190" s="1" t="s">
        <v>550</v>
      </c>
      <c r="J190" s="1" t="s">
        <v>551</v>
      </c>
      <c r="K190" s="1" t="s">
        <v>551</v>
      </c>
      <c r="M190" s="4">
        <v>-3.0</v>
      </c>
      <c r="O190" s="4">
        <v>11.63255</v>
      </c>
    </row>
    <row r="191">
      <c r="A191" s="5">
        <v>45529.0</v>
      </c>
      <c r="B191" s="1" t="s">
        <v>95</v>
      </c>
      <c r="C191" s="1" t="s">
        <v>107</v>
      </c>
      <c r="D191" s="4">
        <v>667.0</v>
      </c>
      <c r="E191" s="4">
        <v>0.0</v>
      </c>
      <c r="G191" s="1" t="s">
        <v>91</v>
      </c>
      <c r="H191" s="1" t="s">
        <v>92</v>
      </c>
      <c r="I191" s="1" t="s">
        <v>552</v>
      </c>
      <c r="J191" s="1" t="s">
        <v>553</v>
      </c>
      <c r="K191" s="1" t="s">
        <v>553</v>
      </c>
      <c r="M191" s="4">
        <v>0.0</v>
      </c>
      <c r="O191" s="4">
        <v>11.3872</v>
      </c>
    </row>
    <row r="192">
      <c r="A192" s="5">
        <v>45529.0</v>
      </c>
      <c r="B192" s="1" t="s">
        <v>116</v>
      </c>
      <c r="C192" s="1" t="s">
        <v>107</v>
      </c>
      <c r="D192" s="4">
        <v>588.0</v>
      </c>
      <c r="E192" s="4">
        <v>0.0</v>
      </c>
      <c r="F192" s="1" t="s">
        <v>90</v>
      </c>
      <c r="G192" s="1" t="s">
        <v>175</v>
      </c>
      <c r="H192" s="1" t="s">
        <v>92</v>
      </c>
      <c r="I192" s="1" t="s">
        <v>554</v>
      </c>
      <c r="J192" s="1" t="s">
        <v>555</v>
      </c>
      <c r="K192" s="1" t="s">
        <v>556</v>
      </c>
      <c r="L192" s="1" t="s">
        <v>557</v>
      </c>
      <c r="M192" s="4">
        <v>-4.0</v>
      </c>
      <c r="N192" s="4">
        <v>0.6469666666666667</v>
      </c>
      <c r="O192" s="4">
        <v>7.997283333333334</v>
      </c>
    </row>
    <row r="193">
      <c r="A193" s="5">
        <v>45529.0</v>
      </c>
      <c r="B193" s="1" t="s">
        <v>116</v>
      </c>
      <c r="C193" s="1" t="s">
        <v>107</v>
      </c>
      <c r="D193" s="4">
        <v>309.0</v>
      </c>
      <c r="E193" s="4">
        <v>0.0</v>
      </c>
      <c r="F193" s="1" t="s">
        <v>386</v>
      </c>
      <c r="G193" s="1" t="s">
        <v>175</v>
      </c>
      <c r="H193" s="1" t="s">
        <v>92</v>
      </c>
      <c r="I193" s="1" t="s">
        <v>558</v>
      </c>
      <c r="J193" s="1" t="s">
        <v>559</v>
      </c>
      <c r="K193" s="1" t="s">
        <v>560</v>
      </c>
      <c r="L193" s="1" t="s">
        <v>561</v>
      </c>
      <c r="M193" s="4">
        <v>-8.0</v>
      </c>
      <c r="N193" s="4">
        <v>0.007983333333333334</v>
      </c>
      <c r="O193" s="4">
        <v>6.200283333333333</v>
      </c>
    </row>
    <row r="194">
      <c r="A194" s="5">
        <v>45529.0</v>
      </c>
      <c r="B194" s="1" t="s">
        <v>116</v>
      </c>
      <c r="C194" s="1" t="s">
        <v>107</v>
      </c>
      <c r="D194" s="4">
        <v>266.0</v>
      </c>
      <c r="E194" s="4">
        <v>13.0</v>
      </c>
      <c r="F194" s="1" t="s">
        <v>386</v>
      </c>
      <c r="G194" s="1" t="s">
        <v>175</v>
      </c>
      <c r="H194" s="1" t="s">
        <v>92</v>
      </c>
      <c r="I194" s="1" t="s">
        <v>562</v>
      </c>
      <c r="J194" s="1" t="s">
        <v>563</v>
      </c>
      <c r="K194" s="1" t="s">
        <v>564</v>
      </c>
      <c r="L194" s="1" t="s">
        <v>565</v>
      </c>
      <c r="M194" s="4">
        <v>7.0</v>
      </c>
      <c r="N194" s="4">
        <v>0.010633333333333333</v>
      </c>
      <c r="O194" s="4">
        <v>16.4828</v>
      </c>
    </row>
    <row r="195">
      <c r="A195" s="5">
        <v>45529.0</v>
      </c>
      <c r="B195" s="1" t="s">
        <v>95</v>
      </c>
      <c r="C195" s="1" t="s">
        <v>89</v>
      </c>
      <c r="D195" s="4">
        <v>468.0</v>
      </c>
      <c r="E195" s="4">
        <v>0.0</v>
      </c>
      <c r="G195" s="1" t="s">
        <v>91</v>
      </c>
      <c r="H195" s="1" t="s">
        <v>92</v>
      </c>
      <c r="I195" s="1" t="s">
        <v>566</v>
      </c>
      <c r="J195" s="1" t="s">
        <v>567</v>
      </c>
      <c r="K195" s="1" t="s">
        <v>567</v>
      </c>
      <c r="M195" s="4">
        <v>3.0</v>
      </c>
      <c r="O195" s="4">
        <v>12.211833333333333</v>
      </c>
    </row>
    <row r="196">
      <c r="A196" s="5">
        <v>45529.0</v>
      </c>
      <c r="B196" s="1" t="s">
        <v>95</v>
      </c>
      <c r="C196" s="1" t="s">
        <v>89</v>
      </c>
      <c r="D196" s="4">
        <v>497.0</v>
      </c>
      <c r="E196" s="4">
        <v>0.0</v>
      </c>
      <c r="G196" s="1" t="s">
        <v>91</v>
      </c>
      <c r="H196" s="1" t="s">
        <v>92</v>
      </c>
      <c r="I196" s="1" t="s">
        <v>568</v>
      </c>
      <c r="J196" s="1" t="s">
        <v>569</v>
      </c>
      <c r="K196" s="1" t="s">
        <v>569</v>
      </c>
      <c r="M196" s="4">
        <v>3.0</v>
      </c>
      <c r="O196" s="4">
        <v>12.163983333333332</v>
      </c>
    </row>
    <row r="197">
      <c r="A197" s="5">
        <v>45529.0</v>
      </c>
      <c r="B197" s="1" t="s">
        <v>95</v>
      </c>
      <c r="C197" s="1" t="s">
        <v>89</v>
      </c>
      <c r="D197" s="4">
        <v>792.0</v>
      </c>
      <c r="E197" s="4">
        <v>0.0</v>
      </c>
      <c r="G197" s="1" t="s">
        <v>91</v>
      </c>
      <c r="H197" s="1" t="s">
        <v>96</v>
      </c>
      <c r="I197" s="1" t="s">
        <v>570</v>
      </c>
      <c r="J197" s="1" t="s">
        <v>571</v>
      </c>
      <c r="K197" s="1" t="s">
        <v>571</v>
      </c>
      <c r="M197" s="4">
        <v>6.0</v>
      </c>
      <c r="O197" s="4">
        <v>17.353483333333333</v>
      </c>
    </row>
    <row r="198">
      <c r="A198" s="5">
        <v>45529.0</v>
      </c>
      <c r="B198" s="1" t="s">
        <v>116</v>
      </c>
      <c r="C198" s="1" t="s">
        <v>107</v>
      </c>
      <c r="D198" s="4">
        <v>1798.0</v>
      </c>
      <c r="E198" s="4">
        <v>0.0</v>
      </c>
      <c r="F198" s="1" t="s">
        <v>386</v>
      </c>
      <c r="G198" s="1" t="s">
        <v>175</v>
      </c>
      <c r="H198" s="1" t="s">
        <v>92</v>
      </c>
      <c r="I198" s="1" t="s">
        <v>572</v>
      </c>
      <c r="J198" s="1" t="s">
        <v>573</v>
      </c>
      <c r="K198" s="1" t="s">
        <v>574</v>
      </c>
      <c r="L198" s="1" t="s">
        <v>575</v>
      </c>
      <c r="M198" s="4">
        <v>-4.0</v>
      </c>
      <c r="N198" s="4">
        <v>0.0121</v>
      </c>
      <c r="O198" s="4">
        <v>18.417516666666668</v>
      </c>
    </row>
    <row r="199">
      <c r="A199" s="5">
        <v>45529.0</v>
      </c>
      <c r="B199" s="1" t="s">
        <v>88</v>
      </c>
      <c r="C199" s="1" t="s">
        <v>107</v>
      </c>
      <c r="D199" s="4">
        <v>394.0</v>
      </c>
      <c r="E199" s="4">
        <v>0.0</v>
      </c>
      <c r="F199" s="1" t="s">
        <v>90</v>
      </c>
      <c r="G199" s="1" t="s">
        <v>91</v>
      </c>
      <c r="H199" s="1" t="s">
        <v>92</v>
      </c>
      <c r="I199" s="1" t="s">
        <v>576</v>
      </c>
      <c r="J199" s="1" t="s">
        <v>577</v>
      </c>
      <c r="K199" s="1" t="s">
        <v>577</v>
      </c>
      <c r="M199" s="4">
        <v>4.0</v>
      </c>
      <c r="O199" s="4">
        <v>19.25395</v>
      </c>
    </row>
    <row r="200">
      <c r="A200" s="5">
        <v>45529.0</v>
      </c>
      <c r="B200" s="1" t="s">
        <v>88</v>
      </c>
      <c r="C200" s="1" t="s">
        <v>107</v>
      </c>
      <c r="D200" s="4">
        <v>394.0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578</v>
      </c>
      <c r="J200" s="1" t="s">
        <v>579</v>
      </c>
      <c r="K200" s="1" t="s">
        <v>579</v>
      </c>
      <c r="M200" s="4">
        <v>-6.0</v>
      </c>
      <c r="O200" s="4">
        <v>8.3918</v>
      </c>
    </row>
    <row r="201">
      <c r="A201" s="5">
        <v>45529.0</v>
      </c>
      <c r="B201" s="1" t="s">
        <v>88</v>
      </c>
      <c r="C201" s="1" t="s">
        <v>107</v>
      </c>
      <c r="D201" s="4">
        <v>307.0</v>
      </c>
      <c r="E201" s="4">
        <v>0.0</v>
      </c>
      <c r="F201" s="1" t="s">
        <v>90</v>
      </c>
      <c r="G201" s="1" t="s">
        <v>91</v>
      </c>
      <c r="H201" s="1" t="s">
        <v>92</v>
      </c>
      <c r="I201" s="1" t="s">
        <v>580</v>
      </c>
      <c r="J201" s="1" t="s">
        <v>581</v>
      </c>
      <c r="K201" s="1" t="s">
        <v>581</v>
      </c>
      <c r="M201" s="4">
        <v>-6.0</v>
      </c>
      <c r="O201" s="4">
        <v>8.553533333333334</v>
      </c>
    </row>
    <row r="202">
      <c r="A202" s="5">
        <v>45529.0</v>
      </c>
      <c r="B202" s="1" t="s">
        <v>88</v>
      </c>
      <c r="C202" s="1" t="s">
        <v>107</v>
      </c>
      <c r="D202" s="4">
        <v>553.0</v>
      </c>
      <c r="E202" s="4">
        <v>0.0</v>
      </c>
      <c r="F202" s="1" t="s">
        <v>90</v>
      </c>
      <c r="G202" s="1" t="s">
        <v>91</v>
      </c>
      <c r="H202" s="1" t="s">
        <v>92</v>
      </c>
      <c r="I202" s="1" t="s">
        <v>582</v>
      </c>
      <c r="J202" s="1" t="s">
        <v>583</v>
      </c>
      <c r="K202" s="1" t="s">
        <v>583</v>
      </c>
      <c r="M202" s="4">
        <v>-9.0</v>
      </c>
      <c r="O202" s="4">
        <v>10.672766666666666</v>
      </c>
    </row>
    <row r="203">
      <c r="A203" s="5">
        <v>45529.0</v>
      </c>
      <c r="B203" s="1" t="s">
        <v>103</v>
      </c>
      <c r="C203" s="1" t="s">
        <v>89</v>
      </c>
      <c r="D203" s="4">
        <v>593.0</v>
      </c>
      <c r="E203" s="4">
        <v>0.0</v>
      </c>
      <c r="F203" s="1" t="s">
        <v>584</v>
      </c>
      <c r="G203" s="1" t="s">
        <v>91</v>
      </c>
      <c r="H203" s="1" t="s">
        <v>92</v>
      </c>
      <c r="I203" s="1" t="s">
        <v>585</v>
      </c>
      <c r="J203" s="1" t="s">
        <v>586</v>
      </c>
      <c r="K203" s="1" t="s">
        <v>586</v>
      </c>
      <c r="M203" s="4">
        <v>-11.0</v>
      </c>
      <c r="O203" s="4">
        <v>8.807566666666666</v>
      </c>
    </row>
    <row r="204">
      <c r="A204" s="5">
        <v>45529.0</v>
      </c>
      <c r="B204" s="1" t="s">
        <v>88</v>
      </c>
      <c r="C204" s="1" t="s">
        <v>107</v>
      </c>
      <c r="D204" s="4">
        <v>289.0</v>
      </c>
      <c r="E204" s="4">
        <v>0.0</v>
      </c>
      <c r="F204" s="1" t="s">
        <v>90</v>
      </c>
      <c r="G204" s="1" t="s">
        <v>91</v>
      </c>
      <c r="H204" s="1" t="s">
        <v>92</v>
      </c>
      <c r="I204" s="1" t="s">
        <v>587</v>
      </c>
      <c r="J204" s="1" t="s">
        <v>588</v>
      </c>
      <c r="K204" s="1" t="s">
        <v>588</v>
      </c>
      <c r="M204" s="4">
        <v>-7.0</v>
      </c>
      <c r="O204" s="4">
        <v>7.853583333333333</v>
      </c>
    </row>
    <row r="205">
      <c r="A205" s="5">
        <v>45529.0</v>
      </c>
      <c r="B205" s="1" t="s">
        <v>88</v>
      </c>
      <c r="C205" s="1" t="s">
        <v>107</v>
      </c>
      <c r="D205" s="4">
        <v>642.0</v>
      </c>
      <c r="E205" s="4">
        <v>0.0</v>
      </c>
      <c r="F205" s="1" t="s">
        <v>90</v>
      </c>
      <c r="G205" s="1" t="s">
        <v>91</v>
      </c>
      <c r="H205" s="1" t="s">
        <v>92</v>
      </c>
      <c r="I205" s="1" t="s">
        <v>589</v>
      </c>
      <c r="J205" s="1" t="s">
        <v>590</v>
      </c>
      <c r="K205" s="1" t="s">
        <v>590</v>
      </c>
      <c r="M205" s="4">
        <v>-10.0</v>
      </c>
      <c r="O205" s="4">
        <v>9.22155</v>
      </c>
    </row>
    <row r="206">
      <c r="A206" s="5">
        <v>45529.0</v>
      </c>
      <c r="B206" s="1" t="s">
        <v>116</v>
      </c>
      <c r="C206" s="1" t="s">
        <v>107</v>
      </c>
      <c r="D206" s="4">
        <v>247.0</v>
      </c>
      <c r="E206" s="4">
        <v>62.0</v>
      </c>
      <c r="G206" s="1" t="s">
        <v>111</v>
      </c>
      <c r="H206" s="1" t="s">
        <v>92</v>
      </c>
      <c r="I206" s="1" t="s">
        <v>591</v>
      </c>
      <c r="J206" s="1" t="s">
        <v>592</v>
      </c>
      <c r="K206" s="1" t="s">
        <v>592</v>
      </c>
      <c r="M206" s="4">
        <v>-19.0</v>
      </c>
      <c r="O206" s="4">
        <v>6.1074</v>
      </c>
    </row>
    <row r="207">
      <c r="A207" s="5">
        <v>45529.0</v>
      </c>
      <c r="B207" s="1" t="s">
        <v>88</v>
      </c>
      <c r="C207" s="1" t="s">
        <v>107</v>
      </c>
      <c r="D207" s="4">
        <v>488.0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593</v>
      </c>
      <c r="J207" s="1" t="s">
        <v>594</v>
      </c>
      <c r="K207" s="1" t="s">
        <v>594</v>
      </c>
      <c r="M207" s="4">
        <v>-10.0</v>
      </c>
      <c r="O207" s="4">
        <v>5.51905</v>
      </c>
    </row>
    <row r="208">
      <c r="A208" s="5">
        <v>45529.0</v>
      </c>
      <c r="B208" s="1" t="s">
        <v>88</v>
      </c>
      <c r="C208" s="1" t="s">
        <v>107</v>
      </c>
      <c r="D208" s="4">
        <v>329.0</v>
      </c>
      <c r="E208" s="4">
        <v>0.0</v>
      </c>
      <c r="F208" s="1" t="s">
        <v>90</v>
      </c>
      <c r="G208" s="1" t="s">
        <v>91</v>
      </c>
      <c r="H208" s="1" t="s">
        <v>92</v>
      </c>
      <c r="I208" s="1" t="s">
        <v>595</v>
      </c>
      <c r="J208" s="1" t="s">
        <v>596</v>
      </c>
      <c r="K208" s="1" t="s">
        <v>596</v>
      </c>
      <c r="M208" s="4">
        <v>-7.0</v>
      </c>
      <c r="O208" s="4">
        <v>7.386416666666666</v>
      </c>
    </row>
    <row r="209">
      <c r="A209" s="5">
        <v>45529.0</v>
      </c>
      <c r="B209" s="1" t="s">
        <v>110</v>
      </c>
      <c r="C209" s="1" t="s">
        <v>107</v>
      </c>
      <c r="D209" s="4">
        <v>119.0</v>
      </c>
      <c r="E209" s="4">
        <v>0.0</v>
      </c>
      <c r="G209" s="1" t="s">
        <v>111</v>
      </c>
      <c r="H209" s="1" t="s">
        <v>96</v>
      </c>
      <c r="I209" s="1" t="s">
        <v>597</v>
      </c>
      <c r="J209" s="1" t="s">
        <v>598</v>
      </c>
      <c r="K209" s="1" t="s">
        <v>598</v>
      </c>
      <c r="M209" s="4">
        <v>1.0</v>
      </c>
      <c r="O209" s="4">
        <v>6.323316666666667</v>
      </c>
    </row>
    <row r="210">
      <c r="A210" s="5">
        <v>45529.0</v>
      </c>
      <c r="B210" s="1" t="s">
        <v>95</v>
      </c>
      <c r="C210" s="1" t="s">
        <v>89</v>
      </c>
      <c r="D210" s="4">
        <v>858.0</v>
      </c>
      <c r="E210" s="4">
        <v>0.0</v>
      </c>
      <c r="G210" s="1" t="s">
        <v>91</v>
      </c>
      <c r="H210" s="1" t="s">
        <v>92</v>
      </c>
      <c r="I210" s="1" t="s">
        <v>599</v>
      </c>
      <c r="J210" s="1" t="s">
        <v>600</v>
      </c>
      <c r="K210" s="1" t="s">
        <v>600</v>
      </c>
      <c r="M210" s="4">
        <v>3.0</v>
      </c>
      <c r="O210" s="4">
        <v>14.754316666666666</v>
      </c>
    </row>
    <row r="211">
      <c r="A211" s="5">
        <v>45529.0</v>
      </c>
      <c r="B211" s="1" t="s">
        <v>88</v>
      </c>
      <c r="C211" s="1" t="s">
        <v>107</v>
      </c>
      <c r="D211" s="4">
        <v>321.0</v>
      </c>
      <c r="E211" s="4">
        <v>0.0</v>
      </c>
      <c r="F211" s="1" t="s">
        <v>90</v>
      </c>
      <c r="G211" s="1" t="s">
        <v>91</v>
      </c>
      <c r="H211" s="1" t="s">
        <v>92</v>
      </c>
      <c r="I211" s="1" t="s">
        <v>601</v>
      </c>
      <c r="J211" s="1" t="s">
        <v>602</v>
      </c>
      <c r="K211" s="1" t="s">
        <v>602</v>
      </c>
      <c r="M211" s="4">
        <v>-8.0</v>
      </c>
      <c r="O211" s="4">
        <v>6.984966666666667</v>
      </c>
    </row>
    <row r="212">
      <c r="A212" s="5">
        <v>45529.0</v>
      </c>
      <c r="B212" s="1" t="s">
        <v>116</v>
      </c>
      <c r="C212" s="1" t="s">
        <v>107</v>
      </c>
      <c r="D212" s="4">
        <v>306.0</v>
      </c>
      <c r="E212" s="4">
        <v>0.0</v>
      </c>
      <c r="F212" s="1" t="s">
        <v>386</v>
      </c>
      <c r="G212" s="1" t="s">
        <v>175</v>
      </c>
      <c r="H212" s="1" t="s">
        <v>92</v>
      </c>
      <c r="I212" s="1" t="s">
        <v>603</v>
      </c>
      <c r="J212" s="1" t="s">
        <v>604</v>
      </c>
      <c r="K212" s="1" t="s">
        <v>605</v>
      </c>
      <c r="L212" s="1" t="s">
        <v>606</v>
      </c>
      <c r="M212" s="4">
        <v>0.0</v>
      </c>
      <c r="N212" s="4">
        <v>0.012033333333333333</v>
      </c>
      <c r="O212" s="4">
        <v>14.138983333333334</v>
      </c>
    </row>
    <row r="213">
      <c r="A213" s="5">
        <v>45529.0</v>
      </c>
      <c r="B213" s="1" t="s">
        <v>88</v>
      </c>
      <c r="C213" s="1" t="s">
        <v>107</v>
      </c>
      <c r="D213" s="4">
        <v>513.0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607</v>
      </c>
      <c r="J213" s="1" t="s">
        <v>608</v>
      </c>
      <c r="K213" s="1" t="s">
        <v>608</v>
      </c>
      <c r="M213" s="4">
        <v>-13.0</v>
      </c>
      <c r="O213" s="4">
        <v>6.17305</v>
      </c>
    </row>
    <row r="214">
      <c r="A214" s="5">
        <v>45529.0</v>
      </c>
      <c r="B214" s="1" t="s">
        <v>95</v>
      </c>
      <c r="C214" s="1" t="s">
        <v>107</v>
      </c>
      <c r="D214" s="4">
        <v>364.0</v>
      </c>
      <c r="E214" s="4">
        <v>0.0</v>
      </c>
      <c r="G214" s="1" t="s">
        <v>91</v>
      </c>
      <c r="H214" s="1" t="s">
        <v>96</v>
      </c>
      <c r="I214" s="1" t="s">
        <v>609</v>
      </c>
      <c r="J214" s="1" t="s">
        <v>610</v>
      </c>
      <c r="K214" s="1" t="s">
        <v>610</v>
      </c>
      <c r="M214" s="4">
        <v>1.0</v>
      </c>
      <c r="O214" s="4">
        <v>9.829383333333332</v>
      </c>
    </row>
    <row r="215">
      <c r="A215" s="5">
        <v>45529.0</v>
      </c>
      <c r="B215" s="1" t="s">
        <v>116</v>
      </c>
      <c r="C215" s="1" t="s">
        <v>107</v>
      </c>
      <c r="D215" s="4">
        <v>398.0</v>
      </c>
      <c r="E215" s="4">
        <v>100.0</v>
      </c>
      <c r="G215" s="1" t="s">
        <v>111</v>
      </c>
      <c r="H215" s="1" t="s">
        <v>96</v>
      </c>
      <c r="I215" s="1" t="s">
        <v>611</v>
      </c>
      <c r="J215" s="1" t="s">
        <v>612</v>
      </c>
      <c r="K215" s="1" t="s">
        <v>612</v>
      </c>
      <c r="M215" s="4">
        <v>-7.0</v>
      </c>
      <c r="O215" s="4">
        <v>12.68235</v>
      </c>
    </row>
    <row r="216">
      <c r="A216" s="5">
        <v>45529.0</v>
      </c>
      <c r="B216" s="1" t="s">
        <v>88</v>
      </c>
      <c r="C216" s="1" t="s">
        <v>107</v>
      </c>
      <c r="D216" s="4">
        <v>334.0</v>
      </c>
      <c r="E216" s="4">
        <v>0.0</v>
      </c>
      <c r="F216" s="1" t="s">
        <v>90</v>
      </c>
      <c r="G216" s="1" t="s">
        <v>91</v>
      </c>
      <c r="H216" s="1" t="s">
        <v>92</v>
      </c>
      <c r="I216" s="1" t="s">
        <v>613</v>
      </c>
      <c r="J216" s="1" t="s">
        <v>614</v>
      </c>
      <c r="K216" s="1" t="s">
        <v>614</v>
      </c>
      <c r="M216" s="4">
        <v>-11.0</v>
      </c>
      <c r="O216" s="4">
        <v>6.127783333333333</v>
      </c>
    </row>
    <row r="217">
      <c r="A217" s="5">
        <v>45529.0</v>
      </c>
      <c r="B217" s="1" t="s">
        <v>88</v>
      </c>
      <c r="C217" s="1" t="s">
        <v>107</v>
      </c>
      <c r="D217" s="4">
        <v>716.0</v>
      </c>
      <c r="E217" s="4">
        <v>0.0</v>
      </c>
      <c r="F217" s="1" t="s">
        <v>90</v>
      </c>
      <c r="G217" s="1" t="s">
        <v>91</v>
      </c>
      <c r="H217" s="1" t="s">
        <v>92</v>
      </c>
      <c r="I217" s="1" t="s">
        <v>615</v>
      </c>
      <c r="J217" s="1" t="s">
        <v>616</v>
      </c>
      <c r="K217" s="1" t="s">
        <v>616</v>
      </c>
      <c r="M217" s="4">
        <v>-11.0</v>
      </c>
      <c r="O217" s="4">
        <v>8.372933333333334</v>
      </c>
    </row>
    <row r="218">
      <c r="A218" s="5">
        <v>45529.0</v>
      </c>
      <c r="B218" s="1" t="s">
        <v>116</v>
      </c>
      <c r="C218" s="1" t="s">
        <v>107</v>
      </c>
      <c r="D218" s="4">
        <v>528.0</v>
      </c>
      <c r="E218" s="4">
        <v>0.0</v>
      </c>
      <c r="F218" s="1" t="s">
        <v>386</v>
      </c>
      <c r="G218" s="1" t="s">
        <v>175</v>
      </c>
      <c r="H218" s="1" t="s">
        <v>92</v>
      </c>
      <c r="I218" s="1" t="s">
        <v>617</v>
      </c>
      <c r="J218" s="1" t="s">
        <v>618</v>
      </c>
      <c r="K218" s="1" t="s">
        <v>619</v>
      </c>
      <c r="L218" s="1" t="s">
        <v>620</v>
      </c>
      <c r="M218" s="4">
        <v>6.0</v>
      </c>
      <c r="N218" s="4">
        <v>0.01025</v>
      </c>
      <c r="O218" s="4">
        <v>16.201066666666666</v>
      </c>
    </row>
    <row r="219">
      <c r="A219" s="5">
        <v>45529.0</v>
      </c>
      <c r="B219" s="1" t="s">
        <v>88</v>
      </c>
      <c r="C219" s="1" t="s">
        <v>107</v>
      </c>
      <c r="D219" s="4">
        <v>329.0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621</v>
      </c>
      <c r="J219" s="1" t="s">
        <v>622</v>
      </c>
      <c r="K219" s="1" t="s">
        <v>622</v>
      </c>
      <c r="M219" s="4">
        <v>-8.0</v>
      </c>
      <c r="O219" s="4">
        <v>6.115583333333333</v>
      </c>
    </row>
    <row r="220">
      <c r="A220" s="5">
        <v>45529.0</v>
      </c>
      <c r="B220" s="1" t="s">
        <v>88</v>
      </c>
      <c r="C220" s="1" t="s">
        <v>107</v>
      </c>
      <c r="D220" s="4">
        <v>469.0</v>
      </c>
      <c r="E220" s="4">
        <v>0.0</v>
      </c>
      <c r="F220" s="1" t="s">
        <v>90</v>
      </c>
      <c r="G220" s="1" t="s">
        <v>91</v>
      </c>
      <c r="H220" s="1" t="s">
        <v>92</v>
      </c>
      <c r="I220" s="1" t="s">
        <v>623</v>
      </c>
      <c r="J220" s="1" t="s">
        <v>624</v>
      </c>
      <c r="K220" s="1" t="s">
        <v>624</v>
      </c>
      <c r="M220" s="4">
        <v>-8.0</v>
      </c>
      <c r="O220" s="4">
        <v>6.67765</v>
      </c>
    </row>
    <row r="221">
      <c r="A221" s="5">
        <v>45529.0</v>
      </c>
      <c r="B221" s="1" t="s">
        <v>116</v>
      </c>
      <c r="C221" s="1" t="s">
        <v>107</v>
      </c>
      <c r="D221" s="4">
        <v>444.0</v>
      </c>
      <c r="E221" s="4">
        <v>111.0</v>
      </c>
      <c r="G221" s="1" t="s">
        <v>111</v>
      </c>
      <c r="H221" s="1" t="s">
        <v>92</v>
      </c>
      <c r="I221" s="1" t="s">
        <v>625</v>
      </c>
      <c r="J221" s="1" t="s">
        <v>626</v>
      </c>
      <c r="K221" s="1" t="s">
        <v>626</v>
      </c>
      <c r="M221" s="4">
        <v>-7.0</v>
      </c>
      <c r="O221" s="4">
        <v>11.911583333333333</v>
      </c>
    </row>
    <row r="222">
      <c r="A222" s="5">
        <v>45529.0</v>
      </c>
      <c r="B222" s="1" t="s">
        <v>88</v>
      </c>
      <c r="C222" s="1" t="s">
        <v>107</v>
      </c>
      <c r="D222" s="4">
        <v>662.0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627</v>
      </c>
      <c r="J222" s="1" t="s">
        <v>628</v>
      </c>
      <c r="K222" s="1" t="s">
        <v>628</v>
      </c>
      <c r="M222" s="4">
        <v>-12.0</v>
      </c>
      <c r="O222" s="4">
        <v>7.0762833333333335</v>
      </c>
    </row>
    <row r="223">
      <c r="A223" s="5">
        <v>45529.0</v>
      </c>
      <c r="B223" s="1" t="s">
        <v>116</v>
      </c>
      <c r="C223" s="1" t="s">
        <v>107</v>
      </c>
      <c r="D223" s="4">
        <v>667.0</v>
      </c>
      <c r="E223" s="4">
        <v>0.0</v>
      </c>
      <c r="F223" s="1" t="s">
        <v>386</v>
      </c>
      <c r="G223" s="1" t="s">
        <v>175</v>
      </c>
      <c r="H223" s="1" t="s">
        <v>92</v>
      </c>
      <c r="I223" s="1" t="s">
        <v>629</v>
      </c>
      <c r="J223" s="1" t="s">
        <v>630</v>
      </c>
      <c r="K223" s="1" t="s">
        <v>631</v>
      </c>
      <c r="L223" s="1" t="s">
        <v>632</v>
      </c>
      <c r="M223" s="4">
        <v>-16.0</v>
      </c>
      <c r="N223" s="4">
        <v>0.01395</v>
      </c>
      <c r="O223" s="4">
        <v>20.47065</v>
      </c>
    </row>
    <row r="224">
      <c r="A224" s="5">
        <v>45529.0</v>
      </c>
      <c r="B224" s="1" t="s">
        <v>116</v>
      </c>
      <c r="C224" s="1" t="s">
        <v>107</v>
      </c>
      <c r="D224" s="4">
        <v>298.0</v>
      </c>
      <c r="E224" s="4">
        <v>0.0</v>
      </c>
      <c r="F224" s="1" t="s">
        <v>386</v>
      </c>
      <c r="G224" s="1" t="s">
        <v>175</v>
      </c>
      <c r="H224" s="1" t="s">
        <v>96</v>
      </c>
      <c r="I224" s="1" t="s">
        <v>633</v>
      </c>
      <c r="J224" s="1" t="s">
        <v>634</v>
      </c>
      <c r="K224" s="1" t="s">
        <v>635</v>
      </c>
      <c r="L224" s="1" t="s">
        <v>636</v>
      </c>
      <c r="M224" s="4">
        <v>-17.0</v>
      </c>
      <c r="N224" s="4">
        <v>0.008466666666666667</v>
      </c>
      <c r="O224" s="4">
        <v>5.6978</v>
      </c>
    </row>
    <row r="225">
      <c r="A225" s="5">
        <v>45529.0</v>
      </c>
      <c r="B225" s="1" t="s">
        <v>95</v>
      </c>
      <c r="C225" s="1" t="s">
        <v>107</v>
      </c>
      <c r="D225" s="4">
        <v>505.0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0.0</v>
      </c>
      <c r="O225" s="4">
        <v>8.18505</v>
      </c>
    </row>
    <row r="226">
      <c r="A226" s="5">
        <v>45529.0</v>
      </c>
      <c r="B226" s="1" t="s">
        <v>110</v>
      </c>
      <c r="C226" s="1" t="s">
        <v>107</v>
      </c>
      <c r="D226" s="4">
        <v>49.0</v>
      </c>
      <c r="E226" s="4">
        <v>0.0</v>
      </c>
      <c r="G226" s="1" t="s">
        <v>111</v>
      </c>
      <c r="H226" s="1" t="s">
        <v>96</v>
      </c>
      <c r="I226" s="1" t="s">
        <v>639</v>
      </c>
      <c r="J226" s="1" t="s">
        <v>640</v>
      </c>
      <c r="K226" s="1" t="s">
        <v>640</v>
      </c>
      <c r="M226" s="4">
        <v>-4.0</v>
      </c>
      <c r="O226" s="4">
        <v>0.1161</v>
      </c>
    </row>
    <row r="227">
      <c r="A227" s="5">
        <v>45529.0</v>
      </c>
      <c r="B227" s="1" t="s">
        <v>95</v>
      </c>
      <c r="C227" s="1" t="s">
        <v>107</v>
      </c>
      <c r="D227" s="4">
        <v>642.0</v>
      </c>
      <c r="E227" s="4">
        <v>0.0</v>
      </c>
      <c r="G227" s="1" t="s">
        <v>91</v>
      </c>
      <c r="H227" s="1" t="s">
        <v>92</v>
      </c>
      <c r="I227" s="1" t="s">
        <v>641</v>
      </c>
      <c r="J227" s="1" t="s">
        <v>642</v>
      </c>
      <c r="K227" s="1" t="s">
        <v>642</v>
      </c>
      <c r="M227" s="4">
        <v>4.0</v>
      </c>
      <c r="O227" s="4">
        <v>13.36935</v>
      </c>
    </row>
    <row r="228">
      <c r="A228" s="5">
        <v>45529.0</v>
      </c>
      <c r="B228" s="1" t="s">
        <v>88</v>
      </c>
      <c r="C228" s="1" t="s">
        <v>107</v>
      </c>
      <c r="D228" s="4">
        <v>398.0</v>
      </c>
      <c r="E228" s="4">
        <v>0.0</v>
      </c>
      <c r="F228" s="1" t="s">
        <v>90</v>
      </c>
      <c r="G228" s="1" t="s">
        <v>91</v>
      </c>
      <c r="H228" s="1" t="s">
        <v>92</v>
      </c>
      <c r="I228" s="1" t="s">
        <v>643</v>
      </c>
      <c r="J228" s="1" t="s">
        <v>644</v>
      </c>
      <c r="K228" s="1" t="s">
        <v>644</v>
      </c>
      <c r="M228" s="4">
        <v>-7.0</v>
      </c>
      <c r="O228" s="4">
        <v>7.7190666666666665</v>
      </c>
    </row>
    <row r="229">
      <c r="A229" s="5">
        <v>45529.0</v>
      </c>
      <c r="B229" s="1" t="s">
        <v>88</v>
      </c>
      <c r="C229" s="1" t="s">
        <v>107</v>
      </c>
      <c r="D229" s="4">
        <v>321.0</v>
      </c>
      <c r="E229" s="4">
        <v>0.0</v>
      </c>
      <c r="F229" s="1" t="s">
        <v>90</v>
      </c>
      <c r="G229" s="1" t="s">
        <v>91</v>
      </c>
      <c r="H229" s="1" t="s">
        <v>92</v>
      </c>
      <c r="I229" s="1" t="s">
        <v>645</v>
      </c>
      <c r="J229" s="1" t="s">
        <v>646</v>
      </c>
      <c r="K229" s="1" t="s">
        <v>646</v>
      </c>
      <c r="M229" s="4">
        <v>-6.0</v>
      </c>
      <c r="O229" s="4">
        <v>8.719533333333333</v>
      </c>
    </row>
    <row r="230">
      <c r="A230" s="5">
        <v>45529.0</v>
      </c>
      <c r="B230" s="1" t="s">
        <v>116</v>
      </c>
      <c r="C230" s="1" t="s">
        <v>107</v>
      </c>
      <c r="D230" s="4">
        <v>199.0</v>
      </c>
      <c r="E230" s="4">
        <v>50.0</v>
      </c>
      <c r="G230" s="1" t="s">
        <v>111</v>
      </c>
      <c r="H230" s="1" t="s">
        <v>96</v>
      </c>
      <c r="I230" s="1" t="s">
        <v>647</v>
      </c>
      <c r="J230" s="1" t="s">
        <v>648</v>
      </c>
      <c r="K230" s="1" t="s">
        <v>648</v>
      </c>
      <c r="M230" s="4">
        <v>-15.0</v>
      </c>
      <c r="O230" s="4">
        <v>15.7074</v>
      </c>
    </row>
    <row r="231">
      <c r="A231" s="5">
        <v>45529.0</v>
      </c>
      <c r="B231" s="1" t="s">
        <v>88</v>
      </c>
      <c r="C231" s="1" t="s">
        <v>107</v>
      </c>
      <c r="D231" s="4">
        <v>364.0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649</v>
      </c>
      <c r="J231" s="1" t="s">
        <v>650</v>
      </c>
      <c r="K231" s="1" t="s">
        <v>650</v>
      </c>
      <c r="M231" s="4">
        <v>-5.0</v>
      </c>
      <c r="O231" s="4">
        <v>9.018133333333333</v>
      </c>
    </row>
    <row r="232">
      <c r="A232" s="5">
        <v>45529.0</v>
      </c>
      <c r="B232" s="1" t="s">
        <v>116</v>
      </c>
      <c r="C232" s="1" t="s">
        <v>107</v>
      </c>
      <c r="D232" s="4">
        <v>306.0</v>
      </c>
      <c r="E232" s="4">
        <v>0.0</v>
      </c>
      <c r="F232" s="1" t="s">
        <v>90</v>
      </c>
      <c r="G232" s="1" t="s">
        <v>175</v>
      </c>
      <c r="H232" s="1" t="s">
        <v>92</v>
      </c>
      <c r="I232" s="1" t="s">
        <v>651</v>
      </c>
      <c r="J232" s="1" t="s">
        <v>652</v>
      </c>
      <c r="K232" s="1" t="s">
        <v>653</v>
      </c>
      <c r="L232" s="1" t="s">
        <v>654</v>
      </c>
      <c r="M232" s="4">
        <v>37.0</v>
      </c>
      <c r="N232" s="4">
        <v>15.772533333333334</v>
      </c>
      <c r="O232" s="4">
        <v>14.61975</v>
      </c>
    </row>
    <row r="233">
      <c r="A233" s="5">
        <v>45529.0</v>
      </c>
      <c r="B233" s="1" t="s">
        <v>116</v>
      </c>
      <c r="C233" s="1" t="s">
        <v>107</v>
      </c>
      <c r="D233" s="4">
        <v>861.0</v>
      </c>
      <c r="E233" s="4">
        <v>0.0</v>
      </c>
      <c r="F233" s="1" t="s">
        <v>386</v>
      </c>
      <c r="G233" s="1" t="s">
        <v>175</v>
      </c>
      <c r="H233" s="1" t="s">
        <v>96</v>
      </c>
      <c r="I233" s="1" t="s">
        <v>655</v>
      </c>
      <c r="J233" s="1" t="s">
        <v>656</v>
      </c>
      <c r="K233" s="1" t="s">
        <v>657</v>
      </c>
      <c r="L233" s="1" t="s">
        <v>658</v>
      </c>
      <c r="M233" s="4">
        <v>-16.0</v>
      </c>
      <c r="N233" s="4">
        <v>0.011466666666666667</v>
      </c>
      <c r="O233" s="4">
        <v>25.810183333333335</v>
      </c>
    </row>
    <row r="234">
      <c r="A234" s="5">
        <v>45529.0</v>
      </c>
      <c r="B234" s="1" t="s">
        <v>95</v>
      </c>
      <c r="C234" s="1" t="s">
        <v>107</v>
      </c>
      <c r="D234" s="4">
        <v>477.0</v>
      </c>
      <c r="E234" s="4">
        <v>150.0</v>
      </c>
      <c r="G234" s="1" t="s">
        <v>91</v>
      </c>
      <c r="H234" s="1" t="s">
        <v>92</v>
      </c>
      <c r="I234" s="1" t="s">
        <v>659</v>
      </c>
      <c r="J234" s="1" t="s">
        <v>660</v>
      </c>
      <c r="K234" s="1" t="s">
        <v>660</v>
      </c>
      <c r="M234" s="4">
        <v>2.0</v>
      </c>
      <c r="O234" s="4">
        <v>11.797916666666667</v>
      </c>
    </row>
    <row r="235">
      <c r="A235" s="5">
        <v>45529.0</v>
      </c>
      <c r="B235" s="1" t="s">
        <v>88</v>
      </c>
      <c r="C235" s="1" t="s">
        <v>107</v>
      </c>
      <c r="D235" s="4">
        <v>321.0</v>
      </c>
      <c r="E235" s="4">
        <v>0.0</v>
      </c>
      <c r="F235" s="1" t="s">
        <v>90</v>
      </c>
      <c r="G235" s="1" t="s">
        <v>91</v>
      </c>
      <c r="H235" s="1" t="s">
        <v>92</v>
      </c>
      <c r="I235" s="1" t="s">
        <v>661</v>
      </c>
      <c r="J235" s="1" t="s">
        <v>662</v>
      </c>
      <c r="K235" s="1" t="s">
        <v>662</v>
      </c>
      <c r="M235" s="4">
        <v>-2.0</v>
      </c>
      <c r="O235" s="4">
        <v>12.125733333333333</v>
      </c>
    </row>
    <row r="236">
      <c r="A236" s="5">
        <v>45529.0</v>
      </c>
      <c r="B236" s="1" t="s">
        <v>110</v>
      </c>
      <c r="C236" s="1" t="s">
        <v>107</v>
      </c>
      <c r="D236" s="4">
        <v>309.0</v>
      </c>
      <c r="E236" s="4">
        <v>0.0</v>
      </c>
      <c r="G236" s="1" t="s">
        <v>111</v>
      </c>
      <c r="H236" s="1" t="s">
        <v>96</v>
      </c>
      <c r="I236" s="1" t="s">
        <v>663</v>
      </c>
      <c r="J236" s="1" t="s">
        <v>664</v>
      </c>
      <c r="K236" s="1" t="s">
        <v>664</v>
      </c>
      <c r="M236" s="4">
        <v>-2.0</v>
      </c>
      <c r="O236" s="4">
        <v>2.9648833333333333</v>
      </c>
    </row>
    <row r="237">
      <c r="A237" s="5">
        <v>45529.0</v>
      </c>
      <c r="B237" s="1" t="s">
        <v>103</v>
      </c>
      <c r="C237" s="1" t="s">
        <v>107</v>
      </c>
      <c r="D237" s="4">
        <v>264.0</v>
      </c>
      <c r="E237" s="4">
        <v>0.0</v>
      </c>
      <c r="F237" s="1" t="s">
        <v>665</v>
      </c>
      <c r="G237" s="1" t="s">
        <v>91</v>
      </c>
      <c r="H237" s="1" t="s">
        <v>92</v>
      </c>
      <c r="I237" s="1" t="s">
        <v>666</v>
      </c>
      <c r="J237" s="1" t="s">
        <v>667</v>
      </c>
      <c r="K237" s="1" t="s">
        <v>667</v>
      </c>
      <c r="M237" s="4">
        <v>-8.0</v>
      </c>
      <c r="O237" s="4">
        <v>6.529166666666667</v>
      </c>
    </row>
    <row r="238">
      <c r="A238" s="5">
        <v>45529.0</v>
      </c>
      <c r="B238" s="1" t="s">
        <v>103</v>
      </c>
      <c r="C238" s="1" t="s">
        <v>107</v>
      </c>
      <c r="D238" s="4">
        <v>507.0</v>
      </c>
      <c r="E238" s="4">
        <v>0.0</v>
      </c>
      <c r="F238" s="1" t="s">
        <v>668</v>
      </c>
      <c r="G238" s="1" t="s">
        <v>91</v>
      </c>
      <c r="H238" s="1" t="s">
        <v>92</v>
      </c>
      <c r="I238" s="1" t="s">
        <v>669</v>
      </c>
      <c r="J238" s="1" t="s">
        <v>670</v>
      </c>
      <c r="K238" s="1" t="s">
        <v>670</v>
      </c>
      <c r="M238" s="4">
        <v>-8.0</v>
      </c>
      <c r="O238" s="4">
        <v>11.13445</v>
      </c>
    </row>
    <row r="239">
      <c r="A239" s="5">
        <v>45529.0</v>
      </c>
      <c r="B239" s="1" t="s">
        <v>110</v>
      </c>
      <c r="C239" s="1" t="s">
        <v>107</v>
      </c>
      <c r="D239" s="4">
        <v>716.0</v>
      </c>
      <c r="E239" s="4">
        <v>0.0</v>
      </c>
      <c r="G239" s="1" t="s">
        <v>111</v>
      </c>
      <c r="H239" s="1" t="s">
        <v>96</v>
      </c>
      <c r="I239" s="1" t="s">
        <v>671</v>
      </c>
      <c r="J239" s="1" t="s">
        <v>672</v>
      </c>
      <c r="K239" s="1" t="s">
        <v>672</v>
      </c>
      <c r="M239" s="4">
        <v>1.0</v>
      </c>
      <c r="O239" s="4">
        <v>11.673616666666666</v>
      </c>
    </row>
    <row r="240">
      <c r="A240" s="5">
        <v>45529.0</v>
      </c>
      <c r="B240" s="1" t="s">
        <v>116</v>
      </c>
      <c r="C240" s="1" t="s">
        <v>107</v>
      </c>
      <c r="D240" s="4">
        <v>501.0</v>
      </c>
      <c r="E240" s="4">
        <v>0.0</v>
      </c>
      <c r="F240" s="1" t="s">
        <v>386</v>
      </c>
      <c r="G240" s="1" t="s">
        <v>175</v>
      </c>
      <c r="H240" s="1" t="s">
        <v>92</v>
      </c>
      <c r="I240" s="1" t="s">
        <v>673</v>
      </c>
      <c r="J240" s="1" t="s">
        <v>674</v>
      </c>
      <c r="K240" s="1" t="s">
        <v>675</v>
      </c>
      <c r="L240" s="1" t="s">
        <v>676</v>
      </c>
      <c r="M240" s="4">
        <v>-18.0</v>
      </c>
      <c r="N240" s="4">
        <v>0.0102</v>
      </c>
      <c r="O240" s="4">
        <v>20.67185</v>
      </c>
    </row>
    <row r="241">
      <c r="A241" s="5">
        <v>45529.0</v>
      </c>
      <c r="B241" s="1" t="s">
        <v>88</v>
      </c>
      <c r="C241" s="1" t="s">
        <v>107</v>
      </c>
      <c r="D241" s="4">
        <v>329.0</v>
      </c>
      <c r="E241" s="4">
        <v>0.0</v>
      </c>
      <c r="F241" s="1" t="s">
        <v>90</v>
      </c>
      <c r="G241" s="1" t="s">
        <v>91</v>
      </c>
      <c r="H241" s="1" t="s">
        <v>92</v>
      </c>
      <c r="I241" s="1" t="s">
        <v>677</v>
      </c>
      <c r="J241" s="1" t="s">
        <v>678</v>
      </c>
      <c r="K241" s="1" t="s">
        <v>678</v>
      </c>
      <c r="M241" s="4">
        <v>2.0</v>
      </c>
      <c r="O241" s="4">
        <v>17.387266666666665</v>
      </c>
    </row>
    <row r="242">
      <c r="A242" s="5">
        <v>45529.0</v>
      </c>
      <c r="B242" s="1" t="s">
        <v>116</v>
      </c>
      <c r="C242" s="1" t="s">
        <v>107</v>
      </c>
      <c r="D242" s="4">
        <v>676.0</v>
      </c>
      <c r="E242" s="4">
        <v>0.0</v>
      </c>
      <c r="F242" s="1" t="s">
        <v>386</v>
      </c>
      <c r="G242" s="1" t="s">
        <v>175</v>
      </c>
      <c r="H242" s="1" t="s">
        <v>92</v>
      </c>
      <c r="I242" s="1" t="s">
        <v>679</v>
      </c>
      <c r="J242" s="1" t="s">
        <v>680</v>
      </c>
      <c r="K242" s="1" t="s">
        <v>681</v>
      </c>
      <c r="L242" s="1" t="s">
        <v>682</v>
      </c>
      <c r="M242" s="4">
        <v>0.0</v>
      </c>
      <c r="N242" s="4">
        <v>0.011216666666666666</v>
      </c>
      <c r="O242" s="4">
        <v>21.13825</v>
      </c>
    </row>
    <row r="243">
      <c r="A243" s="5">
        <v>45529.0</v>
      </c>
      <c r="B243" s="1" t="s">
        <v>88</v>
      </c>
      <c r="C243" s="1" t="s">
        <v>107</v>
      </c>
      <c r="D243" s="4">
        <v>313.0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683</v>
      </c>
      <c r="J243" s="1" t="s">
        <v>684</v>
      </c>
      <c r="K243" s="1" t="s">
        <v>684</v>
      </c>
      <c r="M243" s="4">
        <v>-3.0</v>
      </c>
      <c r="O243" s="4">
        <v>11.1813</v>
      </c>
    </row>
    <row r="244">
      <c r="A244" s="5">
        <v>45529.0</v>
      </c>
      <c r="B244" s="1" t="s">
        <v>95</v>
      </c>
      <c r="C244" s="1" t="s">
        <v>107</v>
      </c>
      <c r="D244" s="4">
        <v>658.0</v>
      </c>
      <c r="E244" s="4">
        <v>0.0</v>
      </c>
      <c r="G244" s="1" t="s">
        <v>91</v>
      </c>
      <c r="H244" s="1" t="s">
        <v>92</v>
      </c>
      <c r="I244" s="1" t="s">
        <v>685</v>
      </c>
      <c r="J244" s="1" t="s">
        <v>686</v>
      </c>
      <c r="K244" s="1" t="s">
        <v>686</v>
      </c>
      <c r="M244" s="4">
        <v>3.0</v>
      </c>
      <c r="O244" s="4">
        <v>13.338</v>
      </c>
    </row>
    <row r="245">
      <c r="A245" s="5">
        <v>45529.0</v>
      </c>
      <c r="B245" s="1" t="s">
        <v>116</v>
      </c>
      <c r="C245" s="1" t="s">
        <v>107</v>
      </c>
      <c r="D245" s="4">
        <v>250.0</v>
      </c>
      <c r="E245" s="4">
        <v>0.0</v>
      </c>
      <c r="F245" s="1" t="s">
        <v>386</v>
      </c>
      <c r="G245" s="1" t="s">
        <v>175</v>
      </c>
      <c r="H245" s="1" t="s">
        <v>92</v>
      </c>
      <c r="I245" s="1" t="s">
        <v>687</v>
      </c>
      <c r="J245" s="1" t="s">
        <v>688</v>
      </c>
      <c r="K245" s="1" t="s">
        <v>689</v>
      </c>
      <c r="L245" s="1" t="s">
        <v>690</v>
      </c>
      <c r="M245" s="4">
        <v>-4.0</v>
      </c>
      <c r="N245" s="4">
        <v>0.009766666666666667</v>
      </c>
      <c r="O245" s="4">
        <v>18.41975</v>
      </c>
    </row>
    <row r="246">
      <c r="A246" s="5">
        <v>45529.0</v>
      </c>
      <c r="B246" s="1" t="s">
        <v>88</v>
      </c>
      <c r="C246" s="1" t="s">
        <v>107</v>
      </c>
      <c r="D246" s="4">
        <v>1121.0</v>
      </c>
      <c r="E246" s="4">
        <v>0.0</v>
      </c>
      <c r="F246" s="1" t="s">
        <v>90</v>
      </c>
      <c r="G246" s="1" t="s">
        <v>91</v>
      </c>
      <c r="H246" s="1" t="s">
        <v>92</v>
      </c>
      <c r="I246" s="1" t="s">
        <v>691</v>
      </c>
      <c r="J246" s="1" t="s">
        <v>692</v>
      </c>
      <c r="K246" s="1" t="s">
        <v>692</v>
      </c>
      <c r="M246" s="4">
        <v>-1.0</v>
      </c>
      <c r="O246" s="4">
        <v>18.699533333333335</v>
      </c>
    </row>
    <row r="247">
      <c r="A247" s="5">
        <v>45529.0</v>
      </c>
      <c r="B247" s="1" t="s">
        <v>95</v>
      </c>
      <c r="C247" s="1" t="s">
        <v>89</v>
      </c>
      <c r="D247" s="4">
        <v>270.0</v>
      </c>
      <c r="E247" s="4">
        <v>100.0</v>
      </c>
      <c r="G247" s="1" t="s">
        <v>91</v>
      </c>
      <c r="H247" s="1" t="s">
        <v>92</v>
      </c>
      <c r="I247" s="1" t="s">
        <v>693</v>
      </c>
      <c r="J247" s="1" t="s">
        <v>694</v>
      </c>
      <c r="K247" s="1" t="s">
        <v>694</v>
      </c>
      <c r="M247" s="4">
        <v>6.0</v>
      </c>
      <c r="O247" s="4">
        <v>14.15335</v>
      </c>
    </row>
    <row r="248">
      <c r="A248" s="5">
        <v>45529.0</v>
      </c>
      <c r="B248" s="1" t="s">
        <v>95</v>
      </c>
      <c r="C248" s="1" t="s">
        <v>89</v>
      </c>
      <c r="D248" s="4">
        <v>412.0</v>
      </c>
      <c r="E248" s="4">
        <v>150.0</v>
      </c>
      <c r="G248" s="1" t="s">
        <v>91</v>
      </c>
      <c r="H248" s="1" t="s">
        <v>92</v>
      </c>
      <c r="I248" s="1" t="s">
        <v>695</v>
      </c>
      <c r="J248" s="1" t="s">
        <v>696</v>
      </c>
      <c r="K248" s="1" t="s">
        <v>696</v>
      </c>
      <c r="M248" s="4">
        <v>4.0</v>
      </c>
      <c r="O248" s="4">
        <v>13.44725</v>
      </c>
    </row>
    <row r="249">
      <c r="A249" s="5">
        <v>45529.0</v>
      </c>
      <c r="B249" s="1" t="s">
        <v>103</v>
      </c>
      <c r="C249" s="1" t="s">
        <v>89</v>
      </c>
      <c r="D249" s="4">
        <v>294.0</v>
      </c>
      <c r="E249" s="4">
        <v>0.0</v>
      </c>
      <c r="F249" s="1" t="s">
        <v>547</v>
      </c>
      <c r="G249" s="1" t="s">
        <v>91</v>
      </c>
      <c r="H249" s="1" t="s">
        <v>92</v>
      </c>
      <c r="I249" s="1" t="s">
        <v>697</v>
      </c>
      <c r="J249" s="1" t="s">
        <v>698</v>
      </c>
      <c r="K249" s="1" t="s">
        <v>698</v>
      </c>
      <c r="M249" s="4">
        <v>-3.0</v>
      </c>
      <c r="O249" s="4">
        <v>11.57755</v>
      </c>
    </row>
    <row r="250">
      <c r="A250" s="5">
        <v>45529.0</v>
      </c>
      <c r="B250" s="1" t="s">
        <v>95</v>
      </c>
      <c r="C250" s="1" t="s">
        <v>89</v>
      </c>
      <c r="D250" s="4">
        <v>129.0</v>
      </c>
      <c r="E250" s="4">
        <v>0.0</v>
      </c>
      <c r="G250" s="1" t="s">
        <v>91</v>
      </c>
      <c r="H250" s="1" t="s">
        <v>92</v>
      </c>
      <c r="I250" s="1" t="s">
        <v>699</v>
      </c>
      <c r="J250" s="1" t="s">
        <v>700</v>
      </c>
      <c r="K250" s="1" t="s">
        <v>700</v>
      </c>
      <c r="M250" s="4">
        <v>1.0</v>
      </c>
      <c r="O250" s="4">
        <v>7.479066666666666</v>
      </c>
    </row>
    <row r="251">
      <c r="A251" s="5">
        <v>45529.0</v>
      </c>
      <c r="B251" s="1" t="s">
        <v>116</v>
      </c>
      <c r="C251" s="1" t="s">
        <v>107</v>
      </c>
      <c r="D251" s="4">
        <v>523.0</v>
      </c>
      <c r="E251" s="4">
        <v>0.0</v>
      </c>
      <c r="F251" s="1" t="s">
        <v>386</v>
      </c>
      <c r="G251" s="1" t="s">
        <v>175</v>
      </c>
      <c r="H251" s="1" t="s">
        <v>92</v>
      </c>
      <c r="I251" s="1" t="s">
        <v>701</v>
      </c>
      <c r="J251" s="1" t="s">
        <v>702</v>
      </c>
      <c r="K251" s="1" t="s">
        <v>703</v>
      </c>
      <c r="L251" s="1" t="s">
        <v>704</v>
      </c>
      <c r="M251" s="4">
        <v>-17.0</v>
      </c>
      <c r="N251" s="4">
        <v>0.015083333333333334</v>
      </c>
      <c r="O251" s="4">
        <v>13.70665</v>
      </c>
    </row>
    <row r="252">
      <c r="A252" s="5">
        <v>45529.0</v>
      </c>
      <c r="B252" s="1" t="s">
        <v>110</v>
      </c>
      <c r="C252" s="1" t="s">
        <v>107</v>
      </c>
      <c r="D252" s="4">
        <v>309.0</v>
      </c>
      <c r="E252" s="4">
        <v>0.0</v>
      </c>
      <c r="G252" s="1" t="s">
        <v>111</v>
      </c>
      <c r="H252" s="1" t="s">
        <v>96</v>
      </c>
      <c r="I252" s="1" t="s">
        <v>705</v>
      </c>
      <c r="J252" s="1" t="s">
        <v>706</v>
      </c>
      <c r="K252" s="1" t="s">
        <v>706</v>
      </c>
      <c r="M252" s="4">
        <v>4.0</v>
      </c>
      <c r="O252" s="4">
        <v>9.698783333333333</v>
      </c>
    </row>
    <row r="253">
      <c r="A253" s="5">
        <v>45529.0</v>
      </c>
      <c r="B253" s="1" t="s">
        <v>116</v>
      </c>
      <c r="C253" s="1" t="s">
        <v>107</v>
      </c>
      <c r="D253" s="4">
        <v>827.0</v>
      </c>
      <c r="E253" s="4">
        <v>0.0</v>
      </c>
      <c r="F253" s="1" t="s">
        <v>386</v>
      </c>
      <c r="G253" s="1" t="s">
        <v>175</v>
      </c>
      <c r="H253" s="1" t="s">
        <v>92</v>
      </c>
      <c r="I253" s="1" t="s">
        <v>707</v>
      </c>
      <c r="J253" s="1" t="s">
        <v>708</v>
      </c>
      <c r="K253" s="1" t="s">
        <v>709</v>
      </c>
      <c r="L253" s="1" t="s">
        <v>710</v>
      </c>
      <c r="M253" s="4">
        <v>1.0</v>
      </c>
      <c r="N253" s="4">
        <v>0.0099</v>
      </c>
      <c r="O253" s="4">
        <v>16.553016666666668</v>
      </c>
    </row>
    <row r="254">
      <c r="A254" s="5">
        <v>45529.0</v>
      </c>
      <c r="B254" s="1" t="s">
        <v>95</v>
      </c>
      <c r="C254" s="1" t="s">
        <v>89</v>
      </c>
      <c r="D254" s="4">
        <v>368.0</v>
      </c>
      <c r="E254" s="4">
        <v>150.0</v>
      </c>
      <c r="G254" s="1" t="s">
        <v>91</v>
      </c>
      <c r="H254" s="1" t="s">
        <v>96</v>
      </c>
      <c r="I254" s="1" t="s">
        <v>711</v>
      </c>
      <c r="J254" s="1" t="s">
        <v>712</v>
      </c>
      <c r="K254" s="1" t="s">
        <v>712</v>
      </c>
      <c r="M254" s="4">
        <v>4.0</v>
      </c>
      <c r="O254" s="4">
        <v>13.12425</v>
      </c>
    </row>
    <row r="255">
      <c r="A255" s="5">
        <v>45529.0</v>
      </c>
      <c r="B255" s="1" t="s">
        <v>103</v>
      </c>
      <c r="C255" s="1" t="s">
        <v>89</v>
      </c>
      <c r="D255" s="4">
        <v>264.0</v>
      </c>
      <c r="E255" s="4">
        <v>0.0</v>
      </c>
      <c r="F255" s="1" t="s">
        <v>713</v>
      </c>
      <c r="G255" s="1" t="s">
        <v>91</v>
      </c>
      <c r="H255" s="1" t="s">
        <v>92</v>
      </c>
      <c r="I255" s="1" t="s">
        <v>714</v>
      </c>
      <c r="J255" s="1" t="s">
        <v>715</v>
      </c>
      <c r="K255" s="1" t="s">
        <v>715</v>
      </c>
      <c r="M255" s="4">
        <v>-3.0</v>
      </c>
      <c r="O255" s="4">
        <v>11.95305</v>
      </c>
    </row>
    <row r="256">
      <c r="A256" s="5">
        <v>45529.0</v>
      </c>
      <c r="B256" s="1" t="s">
        <v>116</v>
      </c>
      <c r="C256" s="1" t="s">
        <v>107</v>
      </c>
      <c r="D256" s="4">
        <v>607.0</v>
      </c>
      <c r="E256" s="4">
        <v>30.0</v>
      </c>
      <c r="F256" s="1" t="s">
        <v>90</v>
      </c>
      <c r="G256" s="1" t="s">
        <v>175</v>
      </c>
      <c r="H256" s="1" t="s">
        <v>92</v>
      </c>
      <c r="I256" s="1" t="s">
        <v>716</v>
      </c>
      <c r="J256" s="1" t="s">
        <v>717</v>
      </c>
      <c r="K256" s="1" t="s">
        <v>718</v>
      </c>
      <c r="L256" s="1" t="s">
        <v>719</v>
      </c>
      <c r="M256" s="4">
        <v>20.0</v>
      </c>
      <c r="N256" s="4">
        <v>32.75906666666667</v>
      </c>
      <c r="O256" s="4">
        <v>29.099</v>
      </c>
    </row>
    <row r="257">
      <c r="A257" s="5">
        <v>45529.0</v>
      </c>
      <c r="B257" s="1" t="s">
        <v>110</v>
      </c>
      <c r="C257" s="1" t="s">
        <v>107</v>
      </c>
      <c r="D257" s="4">
        <v>618.0</v>
      </c>
      <c r="E257" s="4">
        <v>0.0</v>
      </c>
      <c r="G257" s="1" t="s">
        <v>111</v>
      </c>
      <c r="H257" s="1" t="s">
        <v>96</v>
      </c>
      <c r="I257" s="1" t="s">
        <v>720</v>
      </c>
      <c r="J257" s="1" t="s">
        <v>721</v>
      </c>
      <c r="K257" s="1" t="s">
        <v>721</v>
      </c>
      <c r="M257" s="4">
        <v>9.0</v>
      </c>
      <c r="O257" s="4">
        <v>19.5667</v>
      </c>
    </row>
    <row r="258">
      <c r="A258" s="5">
        <v>45529.0</v>
      </c>
      <c r="B258" s="1" t="s">
        <v>103</v>
      </c>
      <c r="C258" s="1" t="s">
        <v>89</v>
      </c>
      <c r="D258" s="4">
        <v>708.0</v>
      </c>
      <c r="E258" s="4">
        <v>0.0</v>
      </c>
      <c r="F258" s="1" t="s">
        <v>722</v>
      </c>
      <c r="G258" s="1" t="s">
        <v>91</v>
      </c>
      <c r="H258" s="1" t="s">
        <v>92</v>
      </c>
      <c r="I258" s="1" t="s">
        <v>723</v>
      </c>
      <c r="J258" s="1" t="s">
        <v>724</v>
      </c>
      <c r="K258" s="1" t="s">
        <v>724</v>
      </c>
      <c r="M258" s="4">
        <v>7.0</v>
      </c>
      <c r="O258" s="4">
        <v>27.18745</v>
      </c>
    </row>
    <row r="259">
      <c r="A259" s="5">
        <v>45529.0</v>
      </c>
      <c r="B259" s="1" t="s">
        <v>116</v>
      </c>
      <c r="C259" s="1" t="s">
        <v>107</v>
      </c>
      <c r="D259" s="4">
        <v>336.0</v>
      </c>
      <c r="E259" s="4">
        <v>0.0</v>
      </c>
      <c r="F259" s="1" t="s">
        <v>386</v>
      </c>
      <c r="G259" s="1" t="s">
        <v>175</v>
      </c>
      <c r="H259" s="1" t="s">
        <v>96</v>
      </c>
      <c r="I259" s="1" t="s">
        <v>725</v>
      </c>
      <c r="J259" s="1" t="s">
        <v>726</v>
      </c>
      <c r="K259" s="1" t="s">
        <v>727</v>
      </c>
      <c r="L259" s="1" t="s">
        <v>728</v>
      </c>
      <c r="M259" s="4">
        <v>-6.0</v>
      </c>
      <c r="N259" s="4">
        <v>0.013533333333333333</v>
      </c>
      <c r="O259" s="4">
        <v>15.790716666666667</v>
      </c>
    </row>
    <row r="260">
      <c r="A260" s="5">
        <v>45529.0</v>
      </c>
      <c r="B260" s="1" t="s">
        <v>88</v>
      </c>
      <c r="C260" s="1" t="s">
        <v>107</v>
      </c>
      <c r="D260" s="4">
        <v>370.0</v>
      </c>
      <c r="E260" s="4">
        <v>0.0</v>
      </c>
      <c r="F260" s="1" t="s">
        <v>90</v>
      </c>
      <c r="G260" s="1" t="s">
        <v>91</v>
      </c>
      <c r="H260" s="1" t="s">
        <v>92</v>
      </c>
      <c r="I260" s="1" t="s">
        <v>729</v>
      </c>
      <c r="J260" s="1" t="s">
        <v>730</v>
      </c>
      <c r="K260" s="1" t="s">
        <v>730</v>
      </c>
      <c r="M260" s="4">
        <v>5.0</v>
      </c>
      <c r="O260" s="4">
        <v>20.1073</v>
      </c>
    </row>
    <row r="261">
      <c r="A261" s="5">
        <v>45529.0</v>
      </c>
      <c r="B261" s="1" t="s">
        <v>103</v>
      </c>
      <c r="C261" s="1" t="s">
        <v>89</v>
      </c>
      <c r="D261" s="4">
        <v>652.0</v>
      </c>
      <c r="E261" s="4">
        <v>0.0</v>
      </c>
      <c r="F261" s="1" t="s">
        <v>731</v>
      </c>
      <c r="G261" s="1" t="s">
        <v>91</v>
      </c>
      <c r="H261" s="1" t="s">
        <v>92</v>
      </c>
      <c r="I261" s="1" t="s">
        <v>732</v>
      </c>
      <c r="J261" s="1" t="s">
        <v>733</v>
      </c>
      <c r="K261" s="1" t="s">
        <v>733</v>
      </c>
      <c r="M261" s="4">
        <v>7.0</v>
      </c>
      <c r="O261" s="4">
        <v>27.056433333333334</v>
      </c>
    </row>
    <row r="262">
      <c r="A262" s="5">
        <v>45529.0</v>
      </c>
      <c r="B262" s="1" t="s">
        <v>116</v>
      </c>
      <c r="C262" s="1" t="s">
        <v>107</v>
      </c>
      <c r="D262" s="4">
        <v>250.0</v>
      </c>
      <c r="E262" s="4">
        <v>0.0</v>
      </c>
      <c r="F262" s="1" t="s">
        <v>90</v>
      </c>
      <c r="G262" s="1" t="s">
        <v>175</v>
      </c>
      <c r="H262" s="1" t="s">
        <v>92</v>
      </c>
      <c r="I262" s="1" t="s">
        <v>734</v>
      </c>
      <c r="J262" s="1" t="s">
        <v>735</v>
      </c>
      <c r="K262" s="1" t="s">
        <v>736</v>
      </c>
      <c r="L262" s="1" t="s">
        <v>737</v>
      </c>
      <c r="M262" s="4">
        <v>-4.0</v>
      </c>
      <c r="N262" s="4">
        <v>4.3991</v>
      </c>
      <c r="O262" s="4">
        <v>12.688416666666667</v>
      </c>
    </row>
    <row r="263">
      <c r="A263" s="5">
        <v>45529.0</v>
      </c>
      <c r="B263" s="1" t="s">
        <v>116</v>
      </c>
      <c r="C263" s="1" t="s">
        <v>107</v>
      </c>
      <c r="D263" s="4">
        <v>199.0</v>
      </c>
      <c r="E263" s="4">
        <v>50.0</v>
      </c>
      <c r="G263" s="1" t="s">
        <v>111</v>
      </c>
      <c r="H263" s="1" t="s">
        <v>92</v>
      </c>
      <c r="I263" s="1" t="s">
        <v>738</v>
      </c>
      <c r="J263" s="1" t="s">
        <v>739</v>
      </c>
      <c r="K263" s="1" t="s">
        <v>739</v>
      </c>
      <c r="M263" s="4">
        <v>-9.0</v>
      </c>
      <c r="O263" s="4">
        <v>9.310016666666666</v>
      </c>
    </row>
    <row r="264">
      <c r="A264" s="5">
        <v>45529.0</v>
      </c>
      <c r="B264" s="1" t="s">
        <v>103</v>
      </c>
      <c r="C264" s="1" t="s">
        <v>89</v>
      </c>
      <c r="D264" s="4">
        <v>264.0</v>
      </c>
      <c r="E264" s="4">
        <v>0.0</v>
      </c>
      <c r="F264" s="1" t="s">
        <v>740</v>
      </c>
      <c r="G264" s="1" t="s">
        <v>91</v>
      </c>
      <c r="H264" s="1" t="s">
        <v>92</v>
      </c>
      <c r="I264" s="1" t="s">
        <v>741</v>
      </c>
      <c r="J264" s="1" t="s">
        <v>742</v>
      </c>
      <c r="K264" s="1" t="s">
        <v>742</v>
      </c>
      <c r="M264" s="4">
        <v>-4.0</v>
      </c>
      <c r="O264" s="4">
        <v>10.2216</v>
      </c>
    </row>
    <row r="265">
      <c r="A265" s="5">
        <v>45529.0</v>
      </c>
      <c r="B265" s="1" t="s">
        <v>110</v>
      </c>
      <c r="C265" s="1" t="s">
        <v>242</v>
      </c>
      <c r="D265" s="4">
        <v>119.0</v>
      </c>
      <c r="E265" s="4">
        <v>0.0</v>
      </c>
      <c r="G265" s="1" t="s">
        <v>111</v>
      </c>
      <c r="H265" s="1" t="s">
        <v>96</v>
      </c>
      <c r="I265" s="1" t="s">
        <v>743</v>
      </c>
      <c r="M265" s="4">
        <v>0.0</v>
      </c>
    </row>
    <row r="266">
      <c r="A266" s="5">
        <v>45529.0</v>
      </c>
      <c r="B266" s="1" t="s">
        <v>110</v>
      </c>
      <c r="C266" s="1" t="s">
        <v>107</v>
      </c>
      <c r="D266" s="4">
        <v>119.0</v>
      </c>
      <c r="E266" s="4">
        <v>0.0</v>
      </c>
      <c r="G266" s="1" t="s">
        <v>111</v>
      </c>
      <c r="H266" s="1" t="s">
        <v>96</v>
      </c>
      <c r="I266" s="1" t="s">
        <v>744</v>
      </c>
      <c r="J266" s="1" t="s">
        <v>745</v>
      </c>
      <c r="K266" s="1" t="s">
        <v>745</v>
      </c>
      <c r="M266" s="4">
        <v>-3.0</v>
      </c>
      <c r="O266" s="4">
        <v>1.4259666666666666</v>
      </c>
    </row>
    <row r="267">
      <c r="A267" s="5">
        <v>45529.0</v>
      </c>
      <c r="B267" s="1" t="s">
        <v>116</v>
      </c>
      <c r="C267" s="1" t="s">
        <v>107</v>
      </c>
      <c r="D267" s="4">
        <v>738.0</v>
      </c>
      <c r="E267" s="4">
        <v>0.0</v>
      </c>
      <c r="F267" s="1" t="s">
        <v>386</v>
      </c>
      <c r="G267" s="1" t="s">
        <v>175</v>
      </c>
      <c r="H267" s="1" t="s">
        <v>92</v>
      </c>
      <c r="I267" s="1" t="s">
        <v>746</v>
      </c>
      <c r="J267" s="1" t="s">
        <v>747</v>
      </c>
      <c r="K267" s="1" t="s">
        <v>748</v>
      </c>
      <c r="L267" s="1" t="s">
        <v>749</v>
      </c>
      <c r="M267" s="4">
        <v>-2.0</v>
      </c>
      <c r="N267" s="4">
        <v>0.010483333333333334</v>
      </c>
      <c r="O267" s="4">
        <v>40.3835</v>
      </c>
    </row>
    <row r="268">
      <c r="A268" s="5">
        <v>45529.0</v>
      </c>
      <c r="B268" s="1" t="s">
        <v>103</v>
      </c>
      <c r="C268" s="1" t="s">
        <v>89</v>
      </c>
      <c r="D268" s="4">
        <v>321.0</v>
      </c>
      <c r="E268" s="4">
        <v>0.0</v>
      </c>
      <c r="F268" s="1" t="s">
        <v>750</v>
      </c>
      <c r="G268" s="1" t="s">
        <v>91</v>
      </c>
      <c r="H268" s="1" t="s">
        <v>92</v>
      </c>
      <c r="I268" s="1" t="s">
        <v>751</v>
      </c>
      <c r="J268" s="1" t="s">
        <v>752</v>
      </c>
      <c r="K268" s="1" t="s">
        <v>752</v>
      </c>
      <c r="M268" s="4">
        <v>-4.0</v>
      </c>
      <c r="O268" s="4">
        <v>10.785066666666667</v>
      </c>
    </row>
    <row r="269">
      <c r="A269" s="5">
        <v>45529.0</v>
      </c>
      <c r="B269" s="1" t="s">
        <v>116</v>
      </c>
      <c r="C269" s="1" t="s">
        <v>107</v>
      </c>
      <c r="D269" s="4">
        <v>344.0</v>
      </c>
      <c r="E269" s="4">
        <v>0.0</v>
      </c>
      <c r="F269" s="1" t="s">
        <v>386</v>
      </c>
      <c r="G269" s="1" t="s">
        <v>175</v>
      </c>
      <c r="H269" s="1" t="s">
        <v>96</v>
      </c>
      <c r="I269" s="1" t="s">
        <v>753</v>
      </c>
      <c r="J269" s="1" t="s">
        <v>754</v>
      </c>
      <c r="K269" s="1" t="s">
        <v>755</v>
      </c>
      <c r="L269" s="1" t="s">
        <v>756</v>
      </c>
      <c r="M269" s="4">
        <v>-11.0</v>
      </c>
      <c r="N269" s="4">
        <v>0.011283333333333333</v>
      </c>
      <c r="O269" s="4">
        <v>12.125033333333333</v>
      </c>
    </row>
    <row r="270">
      <c r="A270" s="5">
        <v>45529.0</v>
      </c>
      <c r="B270" s="1" t="s">
        <v>116</v>
      </c>
      <c r="C270" s="1" t="s">
        <v>242</v>
      </c>
      <c r="D270" s="4">
        <v>463.0</v>
      </c>
      <c r="E270" s="4">
        <v>0.0</v>
      </c>
      <c r="F270" s="1" t="s">
        <v>386</v>
      </c>
      <c r="G270" s="1" t="s">
        <v>175</v>
      </c>
      <c r="H270" s="1" t="s">
        <v>96</v>
      </c>
      <c r="I270" s="1" t="s">
        <v>757</v>
      </c>
      <c r="L270" s="1" t="s">
        <v>758</v>
      </c>
      <c r="M270" s="4">
        <v>0.0</v>
      </c>
      <c r="N270" s="4">
        <v>0.015366666666666667</v>
      </c>
    </row>
    <row r="271">
      <c r="A271" s="5">
        <v>45531.0</v>
      </c>
      <c r="B271" s="1" t="s">
        <v>95</v>
      </c>
      <c r="C271" s="1" t="s">
        <v>107</v>
      </c>
      <c r="D271" s="4">
        <v>378.0</v>
      </c>
      <c r="E271" s="4">
        <v>0.0</v>
      </c>
      <c r="G271" s="1" t="s">
        <v>91</v>
      </c>
      <c r="H271" s="1" t="s">
        <v>92</v>
      </c>
      <c r="I271" s="1" t="s">
        <v>759</v>
      </c>
      <c r="J271" s="1" t="s">
        <v>760</v>
      </c>
      <c r="K271" s="1" t="s">
        <v>760</v>
      </c>
      <c r="M271" s="4">
        <v>-1.0</v>
      </c>
      <c r="O271" s="4">
        <v>6.128683333333333</v>
      </c>
    </row>
    <row r="272">
      <c r="A272" s="5">
        <v>45531.0</v>
      </c>
      <c r="B272" s="1" t="s">
        <v>95</v>
      </c>
      <c r="C272" s="1" t="s">
        <v>107</v>
      </c>
      <c r="D272" s="4">
        <v>329.0</v>
      </c>
      <c r="E272" s="4">
        <v>0.0</v>
      </c>
      <c r="G272" s="1" t="s">
        <v>91</v>
      </c>
      <c r="H272" s="1" t="s">
        <v>96</v>
      </c>
      <c r="I272" s="1" t="s">
        <v>761</v>
      </c>
      <c r="J272" s="1" t="s">
        <v>762</v>
      </c>
      <c r="K272" s="1" t="s">
        <v>762</v>
      </c>
      <c r="M272" s="4">
        <v>-1.0</v>
      </c>
      <c r="O272" s="4">
        <v>6.62255</v>
      </c>
    </row>
    <row r="273">
      <c r="A273" s="5">
        <v>45531.0</v>
      </c>
      <c r="B273" s="1" t="s">
        <v>103</v>
      </c>
      <c r="C273" s="1" t="s">
        <v>107</v>
      </c>
      <c r="D273" s="4">
        <v>394.0</v>
      </c>
      <c r="E273" s="4">
        <v>0.0</v>
      </c>
      <c r="F273" s="1" t="s">
        <v>763</v>
      </c>
      <c r="G273" s="1" t="s">
        <v>91</v>
      </c>
      <c r="H273" s="1" t="s">
        <v>92</v>
      </c>
      <c r="I273" s="1" t="s">
        <v>764</v>
      </c>
      <c r="J273" s="1" t="s">
        <v>765</v>
      </c>
      <c r="K273" s="1" t="s">
        <v>765</v>
      </c>
      <c r="M273" s="4">
        <v>-6.0</v>
      </c>
      <c r="O273" s="4">
        <v>8.11085</v>
      </c>
    </row>
    <row r="274">
      <c r="A274" s="5">
        <v>45531.0</v>
      </c>
      <c r="B274" s="1" t="s">
        <v>88</v>
      </c>
      <c r="C274" s="1" t="s">
        <v>107</v>
      </c>
      <c r="D274" s="4">
        <v>434.0</v>
      </c>
      <c r="E274" s="4">
        <v>0.0</v>
      </c>
      <c r="F274" s="1" t="s">
        <v>90</v>
      </c>
      <c r="G274" s="1" t="s">
        <v>91</v>
      </c>
      <c r="H274" s="1" t="s">
        <v>92</v>
      </c>
      <c r="I274" s="1" t="s">
        <v>766</v>
      </c>
      <c r="J274" s="1" t="s">
        <v>767</v>
      </c>
      <c r="K274" s="1" t="s">
        <v>767</v>
      </c>
      <c r="M274" s="4">
        <v>-6.0</v>
      </c>
      <c r="O274" s="4">
        <v>8.0132</v>
      </c>
    </row>
    <row r="275">
      <c r="A275" s="5">
        <v>45531.0</v>
      </c>
      <c r="B275" s="1" t="s">
        <v>88</v>
      </c>
      <c r="C275" s="1" t="s">
        <v>107</v>
      </c>
      <c r="D275" s="4">
        <v>321.0</v>
      </c>
      <c r="E275" s="4">
        <v>0.0</v>
      </c>
      <c r="F275" s="1" t="s">
        <v>90</v>
      </c>
      <c r="G275" s="1" t="s">
        <v>91</v>
      </c>
      <c r="H275" s="1" t="s">
        <v>92</v>
      </c>
      <c r="I275" s="1" t="s">
        <v>768</v>
      </c>
      <c r="J275" s="1" t="s">
        <v>769</v>
      </c>
      <c r="K275" s="1" t="s">
        <v>769</v>
      </c>
      <c r="M275" s="4">
        <v>-4.0</v>
      </c>
      <c r="O275" s="4">
        <v>10.783633333333333</v>
      </c>
    </row>
    <row r="276">
      <c r="A276" s="5">
        <v>45531.0</v>
      </c>
      <c r="B276" s="1" t="s">
        <v>88</v>
      </c>
      <c r="C276" s="1" t="s">
        <v>107</v>
      </c>
      <c r="D276" s="4">
        <v>254.0</v>
      </c>
      <c r="E276" s="4">
        <v>0.0</v>
      </c>
      <c r="F276" s="1" t="s">
        <v>90</v>
      </c>
      <c r="G276" s="1" t="s">
        <v>91</v>
      </c>
      <c r="H276" s="1" t="s">
        <v>92</v>
      </c>
      <c r="I276" s="1" t="s">
        <v>770</v>
      </c>
      <c r="J276" s="1" t="s">
        <v>771</v>
      </c>
      <c r="K276" s="1" t="s">
        <v>771</v>
      </c>
      <c r="M276" s="4">
        <v>-10.0</v>
      </c>
      <c r="O276" s="4">
        <v>4.0214</v>
      </c>
    </row>
    <row r="277">
      <c r="A277" s="5">
        <v>45531.0</v>
      </c>
      <c r="B277" s="1" t="s">
        <v>88</v>
      </c>
      <c r="C277" s="1" t="s">
        <v>107</v>
      </c>
      <c r="D277" s="4">
        <v>329.0</v>
      </c>
      <c r="E277" s="4">
        <v>0.0</v>
      </c>
      <c r="F277" s="1" t="s">
        <v>90</v>
      </c>
      <c r="G277" s="1" t="s">
        <v>91</v>
      </c>
      <c r="H277" s="1" t="s">
        <v>92</v>
      </c>
      <c r="I277" s="1" t="s">
        <v>772</v>
      </c>
      <c r="J277" s="1" t="s">
        <v>773</v>
      </c>
      <c r="K277" s="1" t="s">
        <v>773</v>
      </c>
      <c r="M277" s="4">
        <v>-8.0</v>
      </c>
      <c r="O277" s="4">
        <v>6.5854</v>
      </c>
    </row>
    <row r="278">
      <c r="A278" s="5">
        <v>45531.0</v>
      </c>
      <c r="B278" s="1" t="s">
        <v>116</v>
      </c>
      <c r="C278" s="1" t="s">
        <v>107</v>
      </c>
      <c r="D278" s="4">
        <v>267.0</v>
      </c>
      <c r="E278" s="4">
        <v>31.0</v>
      </c>
      <c r="F278" s="1" t="s">
        <v>774</v>
      </c>
      <c r="G278" s="1" t="s">
        <v>175</v>
      </c>
      <c r="H278" s="1" t="s">
        <v>92</v>
      </c>
      <c r="I278" s="1" t="s">
        <v>775</v>
      </c>
      <c r="J278" s="1" t="s">
        <v>776</v>
      </c>
      <c r="K278" s="1" t="s">
        <v>777</v>
      </c>
      <c r="L278" s="1" t="s">
        <v>778</v>
      </c>
      <c r="M278" s="4">
        <v>-10.0</v>
      </c>
      <c r="N278" s="4">
        <v>0.01135</v>
      </c>
      <c r="O278" s="4">
        <v>7.80215</v>
      </c>
    </row>
    <row r="279">
      <c r="A279" s="5">
        <v>45531.0</v>
      </c>
      <c r="B279" s="1" t="s">
        <v>88</v>
      </c>
      <c r="C279" s="1" t="s">
        <v>107</v>
      </c>
      <c r="D279" s="4">
        <v>368.0</v>
      </c>
      <c r="E279" s="4">
        <v>0.0</v>
      </c>
      <c r="F279" s="1" t="s">
        <v>90</v>
      </c>
      <c r="G279" s="1" t="s">
        <v>91</v>
      </c>
      <c r="H279" s="1" t="s">
        <v>92</v>
      </c>
      <c r="I279" s="1" t="s">
        <v>779</v>
      </c>
      <c r="J279" s="1" t="s">
        <v>780</v>
      </c>
      <c r="K279" s="1" t="s">
        <v>780</v>
      </c>
      <c r="M279" s="4">
        <v>-4.0</v>
      </c>
      <c r="O279" s="4">
        <v>10.43335</v>
      </c>
    </row>
    <row r="280">
      <c r="A280" s="5">
        <v>45531.0</v>
      </c>
      <c r="B280" s="1" t="s">
        <v>116</v>
      </c>
      <c r="C280" s="1" t="s">
        <v>107</v>
      </c>
      <c r="D280" s="4">
        <v>347.0</v>
      </c>
      <c r="E280" s="4">
        <v>0.0</v>
      </c>
      <c r="F280" s="1" t="s">
        <v>774</v>
      </c>
      <c r="G280" s="1" t="s">
        <v>175</v>
      </c>
      <c r="H280" s="1" t="s">
        <v>96</v>
      </c>
      <c r="I280" s="1" t="s">
        <v>781</v>
      </c>
      <c r="J280" s="1" t="s">
        <v>782</v>
      </c>
      <c r="K280" s="1" t="s">
        <v>783</v>
      </c>
      <c r="L280" s="1" t="s">
        <v>784</v>
      </c>
      <c r="M280" s="4">
        <v>-16.0</v>
      </c>
      <c r="N280" s="4">
        <v>0.009466666666666667</v>
      </c>
      <c r="O280" s="4">
        <v>5.019066666666666</v>
      </c>
    </row>
    <row r="281">
      <c r="A281" s="5">
        <v>45531.0</v>
      </c>
      <c r="B281" s="1" t="s">
        <v>103</v>
      </c>
      <c r="C281" s="1" t="s">
        <v>107</v>
      </c>
      <c r="D281" s="4">
        <v>369.0</v>
      </c>
      <c r="E281" s="4">
        <v>0.0</v>
      </c>
      <c r="F281" s="1" t="s">
        <v>785</v>
      </c>
      <c r="G281" s="1" t="s">
        <v>91</v>
      </c>
      <c r="H281" s="1" t="s">
        <v>92</v>
      </c>
      <c r="I281" s="1" t="s">
        <v>786</v>
      </c>
      <c r="J281" s="1" t="s">
        <v>787</v>
      </c>
      <c r="K281" s="1" t="s">
        <v>787</v>
      </c>
      <c r="M281" s="4">
        <v>-7.0</v>
      </c>
      <c r="O281" s="4">
        <v>7.343333333333334</v>
      </c>
    </row>
    <row r="282">
      <c r="A282" s="5">
        <v>45531.0</v>
      </c>
      <c r="B282" s="1" t="s">
        <v>95</v>
      </c>
      <c r="C282" s="1" t="s">
        <v>107</v>
      </c>
      <c r="D282" s="4">
        <v>264.0</v>
      </c>
      <c r="E282" s="4">
        <v>0.0</v>
      </c>
      <c r="G282" s="1" t="s">
        <v>91</v>
      </c>
      <c r="H282" s="1" t="s">
        <v>92</v>
      </c>
      <c r="I282" s="1" t="s">
        <v>788</v>
      </c>
      <c r="J282" s="1" t="s">
        <v>789</v>
      </c>
      <c r="K282" s="1" t="s">
        <v>789</v>
      </c>
      <c r="M282" s="4">
        <v>-2.0</v>
      </c>
      <c r="O282" s="4">
        <v>4.942733333333333</v>
      </c>
    </row>
    <row r="283">
      <c r="A283" s="5">
        <v>45531.0</v>
      </c>
      <c r="B283" s="1" t="s">
        <v>88</v>
      </c>
      <c r="C283" s="1" t="s">
        <v>107</v>
      </c>
      <c r="D283" s="4">
        <v>329.0</v>
      </c>
      <c r="E283" s="4">
        <v>0.0</v>
      </c>
      <c r="F283" s="1" t="s">
        <v>90</v>
      </c>
      <c r="G283" s="1" t="s">
        <v>91</v>
      </c>
      <c r="H283" s="1" t="s">
        <v>92</v>
      </c>
      <c r="I283" s="1" t="s">
        <v>790</v>
      </c>
      <c r="J283" s="1" t="s">
        <v>791</v>
      </c>
      <c r="K283" s="1" t="s">
        <v>791</v>
      </c>
      <c r="M283" s="4">
        <v>-8.0</v>
      </c>
      <c r="O283" s="4">
        <v>6.7628</v>
      </c>
    </row>
    <row r="284">
      <c r="A284" s="5">
        <v>45531.0</v>
      </c>
      <c r="B284" s="1" t="s">
        <v>88</v>
      </c>
      <c r="C284" s="1" t="s">
        <v>107</v>
      </c>
      <c r="D284" s="4">
        <v>363.0</v>
      </c>
      <c r="E284" s="4">
        <v>0.0</v>
      </c>
      <c r="F284" s="1" t="s">
        <v>90</v>
      </c>
      <c r="G284" s="1" t="s">
        <v>91</v>
      </c>
      <c r="H284" s="1" t="s">
        <v>92</v>
      </c>
      <c r="I284" s="1" t="s">
        <v>792</v>
      </c>
      <c r="J284" s="1" t="s">
        <v>793</v>
      </c>
      <c r="K284" s="1" t="s">
        <v>793</v>
      </c>
      <c r="M284" s="4">
        <v>-10.0</v>
      </c>
      <c r="O284" s="4">
        <v>4.5325</v>
      </c>
    </row>
    <row r="285">
      <c r="A285" s="5">
        <v>45531.0</v>
      </c>
      <c r="B285" s="1" t="s">
        <v>88</v>
      </c>
      <c r="C285" s="1" t="s">
        <v>107</v>
      </c>
      <c r="D285" s="4">
        <v>329.0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794</v>
      </c>
      <c r="J285" s="1" t="s">
        <v>795</v>
      </c>
      <c r="K285" s="1" t="s">
        <v>795</v>
      </c>
      <c r="M285" s="4">
        <v>-2.0</v>
      </c>
      <c r="O285" s="4">
        <v>12.722083333333334</v>
      </c>
    </row>
    <row r="286">
      <c r="A286" s="5">
        <v>45531.0</v>
      </c>
      <c r="B286" s="1" t="s">
        <v>116</v>
      </c>
      <c r="C286" s="1" t="s">
        <v>107</v>
      </c>
      <c r="D286" s="4">
        <v>235.0</v>
      </c>
      <c r="E286" s="4">
        <v>71.0</v>
      </c>
      <c r="G286" s="1" t="s">
        <v>111</v>
      </c>
      <c r="H286" s="1" t="s">
        <v>194</v>
      </c>
      <c r="I286" s="1" t="s">
        <v>796</v>
      </c>
      <c r="J286" s="1" t="s">
        <v>797</v>
      </c>
      <c r="K286" s="1" t="s">
        <v>797</v>
      </c>
      <c r="M286" s="4">
        <v>-8.0</v>
      </c>
      <c r="O286" s="4">
        <v>10.614633333333334</v>
      </c>
    </row>
    <row r="287">
      <c r="A287" s="5">
        <v>45531.0</v>
      </c>
      <c r="B287" s="1" t="s">
        <v>103</v>
      </c>
      <c r="C287" s="1" t="s">
        <v>107</v>
      </c>
      <c r="D287" s="4">
        <v>329.0</v>
      </c>
      <c r="E287" s="4">
        <v>0.0</v>
      </c>
      <c r="F287" s="1" t="s">
        <v>104</v>
      </c>
      <c r="G287" s="1" t="s">
        <v>91</v>
      </c>
      <c r="H287" s="1" t="s">
        <v>92</v>
      </c>
      <c r="I287" s="1" t="s">
        <v>798</v>
      </c>
      <c r="J287" s="1" t="s">
        <v>799</v>
      </c>
      <c r="K287" s="1" t="s">
        <v>799</v>
      </c>
      <c r="M287" s="4">
        <v>-7.0</v>
      </c>
      <c r="O287" s="4">
        <v>7.257666666666666</v>
      </c>
    </row>
    <row r="288">
      <c r="A288" s="5">
        <v>45531.0</v>
      </c>
      <c r="B288" s="1" t="s">
        <v>95</v>
      </c>
      <c r="C288" s="1" t="s">
        <v>107</v>
      </c>
      <c r="D288" s="4">
        <v>387.0</v>
      </c>
      <c r="E288" s="4">
        <v>0.0</v>
      </c>
      <c r="G288" s="1" t="s">
        <v>91</v>
      </c>
      <c r="H288" s="1" t="s">
        <v>92</v>
      </c>
      <c r="I288" s="1" t="s">
        <v>800</v>
      </c>
      <c r="J288" s="1" t="s">
        <v>801</v>
      </c>
      <c r="K288" s="1" t="s">
        <v>801</v>
      </c>
      <c r="M288" s="4">
        <v>8.0</v>
      </c>
      <c r="O288" s="4">
        <v>16.636566666666667</v>
      </c>
    </row>
    <row r="289">
      <c r="A289" s="5">
        <v>45531.0</v>
      </c>
      <c r="B289" s="1" t="s">
        <v>110</v>
      </c>
      <c r="C289" s="1" t="s">
        <v>107</v>
      </c>
      <c r="D289" s="4">
        <v>249.0</v>
      </c>
      <c r="E289" s="4">
        <v>0.0</v>
      </c>
      <c r="G289" s="1" t="s">
        <v>111</v>
      </c>
      <c r="H289" s="1" t="s">
        <v>96</v>
      </c>
      <c r="I289" s="1" t="s">
        <v>802</v>
      </c>
      <c r="J289" s="1" t="s">
        <v>803</v>
      </c>
      <c r="K289" s="1" t="s">
        <v>803</v>
      </c>
      <c r="M289" s="4">
        <v>2.0</v>
      </c>
      <c r="O289" s="4">
        <v>7.855466666666667</v>
      </c>
    </row>
    <row r="290">
      <c r="A290" s="5">
        <v>45531.0</v>
      </c>
      <c r="B290" s="1" t="s">
        <v>103</v>
      </c>
      <c r="C290" s="1" t="s">
        <v>107</v>
      </c>
      <c r="D290" s="4">
        <v>329.0</v>
      </c>
      <c r="E290" s="4">
        <v>0.0</v>
      </c>
      <c r="F290" s="1" t="s">
        <v>722</v>
      </c>
      <c r="G290" s="1" t="s">
        <v>91</v>
      </c>
      <c r="H290" s="1" t="s">
        <v>92</v>
      </c>
      <c r="I290" s="1" t="s">
        <v>804</v>
      </c>
      <c r="J290" s="1" t="s">
        <v>805</v>
      </c>
      <c r="K290" s="1" t="s">
        <v>805</v>
      </c>
      <c r="M290" s="4">
        <v>-5.0</v>
      </c>
      <c r="O290" s="4">
        <v>9.2416</v>
      </c>
    </row>
    <row r="291">
      <c r="A291" s="5">
        <v>45531.0</v>
      </c>
      <c r="B291" s="1" t="s">
        <v>88</v>
      </c>
      <c r="C291" s="1" t="s">
        <v>107</v>
      </c>
      <c r="D291" s="4">
        <v>264.0</v>
      </c>
      <c r="E291" s="4">
        <v>0.0</v>
      </c>
      <c r="F291" s="1" t="s">
        <v>90</v>
      </c>
      <c r="G291" s="1" t="s">
        <v>91</v>
      </c>
      <c r="H291" s="1" t="s">
        <v>92</v>
      </c>
      <c r="I291" s="1" t="s">
        <v>806</v>
      </c>
      <c r="J291" s="1" t="s">
        <v>807</v>
      </c>
      <c r="K291" s="1" t="s">
        <v>807</v>
      </c>
      <c r="M291" s="4">
        <v>-4.0</v>
      </c>
      <c r="O291" s="4">
        <v>10.701283333333333</v>
      </c>
    </row>
    <row r="292">
      <c r="A292" s="5">
        <v>45531.0</v>
      </c>
      <c r="B292" s="1" t="s">
        <v>103</v>
      </c>
      <c r="C292" s="1" t="s">
        <v>107</v>
      </c>
      <c r="D292" s="4">
        <v>394.0</v>
      </c>
      <c r="E292" s="4">
        <v>0.0</v>
      </c>
      <c r="F292" s="1" t="s">
        <v>808</v>
      </c>
      <c r="G292" s="1" t="s">
        <v>91</v>
      </c>
      <c r="H292" s="1" t="s">
        <v>92</v>
      </c>
      <c r="I292" s="1" t="s">
        <v>809</v>
      </c>
      <c r="J292" s="1" t="s">
        <v>810</v>
      </c>
      <c r="K292" s="1" t="s">
        <v>810</v>
      </c>
      <c r="M292" s="4">
        <v>0.0</v>
      </c>
      <c r="O292" s="4">
        <v>16.132233333333332</v>
      </c>
    </row>
    <row r="293">
      <c r="A293" s="5">
        <v>45531.0</v>
      </c>
      <c r="B293" s="1" t="s">
        <v>103</v>
      </c>
      <c r="C293" s="1" t="s">
        <v>107</v>
      </c>
      <c r="D293" s="4">
        <v>429.0</v>
      </c>
      <c r="E293" s="4">
        <v>0.0</v>
      </c>
      <c r="F293" s="1" t="s">
        <v>811</v>
      </c>
      <c r="G293" s="1" t="s">
        <v>91</v>
      </c>
      <c r="H293" s="1" t="s">
        <v>92</v>
      </c>
      <c r="I293" s="1" t="s">
        <v>812</v>
      </c>
      <c r="J293" s="1" t="s">
        <v>813</v>
      </c>
      <c r="K293" s="1" t="s">
        <v>813</v>
      </c>
      <c r="M293" s="4">
        <v>6.0</v>
      </c>
      <c r="O293" s="4">
        <v>21.565883333333332</v>
      </c>
    </row>
    <row r="294">
      <c r="A294" s="5">
        <v>45531.0</v>
      </c>
      <c r="B294" s="1" t="s">
        <v>103</v>
      </c>
      <c r="C294" s="1" t="s">
        <v>107</v>
      </c>
      <c r="D294" s="4">
        <v>329.0</v>
      </c>
      <c r="E294" s="4">
        <v>0.0</v>
      </c>
      <c r="F294" s="1" t="s">
        <v>811</v>
      </c>
      <c r="G294" s="1" t="s">
        <v>91</v>
      </c>
      <c r="H294" s="1" t="s">
        <v>92</v>
      </c>
      <c r="I294" s="1" t="s">
        <v>814</v>
      </c>
      <c r="J294" s="1" t="s">
        <v>815</v>
      </c>
      <c r="K294" s="1" t="s">
        <v>815</v>
      </c>
      <c r="M294" s="4">
        <v>-2.0</v>
      </c>
      <c r="O294" s="4">
        <v>12.215533333333333</v>
      </c>
    </row>
    <row r="295">
      <c r="A295" s="5">
        <v>45531.0</v>
      </c>
      <c r="B295" s="1" t="s">
        <v>103</v>
      </c>
      <c r="C295" s="1" t="s">
        <v>107</v>
      </c>
      <c r="D295" s="4">
        <v>329.0</v>
      </c>
      <c r="E295" s="4">
        <v>0.0</v>
      </c>
      <c r="F295" s="1" t="s">
        <v>808</v>
      </c>
      <c r="G295" s="1" t="s">
        <v>91</v>
      </c>
      <c r="H295" s="1" t="s">
        <v>92</v>
      </c>
      <c r="I295" s="1" t="s">
        <v>816</v>
      </c>
      <c r="J295" s="1" t="s">
        <v>817</v>
      </c>
      <c r="K295" s="1" t="s">
        <v>817</v>
      </c>
      <c r="M295" s="4">
        <v>-2.0</v>
      </c>
      <c r="O295" s="4">
        <v>12.270516666666667</v>
      </c>
    </row>
    <row r="296">
      <c r="A296" s="5">
        <v>45531.0</v>
      </c>
      <c r="B296" s="1" t="s">
        <v>95</v>
      </c>
      <c r="C296" s="1" t="s">
        <v>107</v>
      </c>
      <c r="D296" s="4">
        <v>397.0</v>
      </c>
      <c r="E296" s="4">
        <v>150.0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1.0</v>
      </c>
      <c r="O296" s="4">
        <v>10.89025</v>
      </c>
    </row>
    <row r="297">
      <c r="A297" s="5">
        <v>45531.0</v>
      </c>
      <c r="B297" s="1" t="s">
        <v>116</v>
      </c>
      <c r="C297" s="1" t="s">
        <v>107</v>
      </c>
      <c r="D297" s="4">
        <v>321.0</v>
      </c>
      <c r="E297" s="4">
        <v>353.0</v>
      </c>
      <c r="F297" s="1" t="s">
        <v>774</v>
      </c>
      <c r="G297" s="1" t="s">
        <v>175</v>
      </c>
      <c r="H297" s="1" t="s">
        <v>92</v>
      </c>
      <c r="I297" s="1" t="s">
        <v>820</v>
      </c>
      <c r="J297" s="1" t="s">
        <v>821</v>
      </c>
      <c r="K297" s="1" t="s">
        <v>822</v>
      </c>
      <c r="L297" s="1" t="s">
        <v>823</v>
      </c>
      <c r="M297" s="4">
        <v>-25.0</v>
      </c>
      <c r="N297" s="4">
        <v>0.010316666666666667</v>
      </c>
      <c r="O297" s="4">
        <v>9.378316666666667</v>
      </c>
    </row>
    <row r="298">
      <c r="A298" s="5">
        <v>45531.0</v>
      </c>
      <c r="B298" s="1" t="s">
        <v>116</v>
      </c>
      <c r="C298" s="1" t="s">
        <v>107</v>
      </c>
      <c r="D298" s="4">
        <v>247.0</v>
      </c>
      <c r="E298" s="4">
        <v>62.0</v>
      </c>
      <c r="G298" s="1" t="s">
        <v>111</v>
      </c>
      <c r="H298" s="1" t="s">
        <v>194</v>
      </c>
      <c r="I298" s="1" t="s">
        <v>824</v>
      </c>
      <c r="J298" s="1" t="s">
        <v>825</v>
      </c>
      <c r="K298" s="1" t="s">
        <v>825</v>
      </c>
      <c r="M298" s="4">
        <v>-9.0</v>
      </c>
      <c r="O298" s="4">
        <v>9.5265</v>
      </c>
    </row>
    <row r="299">
      <c r="A299" s="5">
        <v>45531.0</v>
      </c>
      <c r="B299" s="1" t="s">
        <v>95</v>
      </c>
      <c r="C299" s="1" t="s">
        <v>107</v>
      </c>
      <c r="D299" s="4">
        <v>528.0</v>
      </c>
      <c r="E299" s="4">
        <v>0.0</v>
      </c>
      <c r="G299" s="1" t="s">
        <v>91</v>
      </c>
      <c r="H299" s="1" t="s">
        <v>96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10.858316666666667</v>
      </c>
    </row>
    <row r="300">
      <c r="A300" s="5">
        <v>45531.0</v>
      </c>
      <c r="B300" s="1" t="s">
        <v>95</v>
      </c>
      <c r="C300" s="1" t="s">
        <v>107</v>
      </c>
      <c r="D300" s="4">
        <v>354.0</v>
      </c>
      <c r="E300" s="4">
        <v>0.0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2.0</v>
      </c>
      <c r="O300" s="4">
        <v>10.087266666666666</v>
      </c>
    </row>
    <row r="301">
      <c r="A301" s="5">
        <v>45531.0</v>
      </c>
      <c r="B301" s="1" t="s">
        <v>88</v>
      </c>
      <c r="C301" s="1" t="s">
        <v>107</v>
      </c>
      <c r="D301" s="4">
        <v>376.0</v>
      </c>
      <c r="E301" s="4">
        <v>0.0</v>
      </c>
      <c r="F301" s="1" t="s">
        <v>90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-6.0</v>
      </c>
      <c r="O301" s="4">
        <v>8.308916666666667</v>
      </c>
    </row>
    <row r="302">
      <c r="A302" s="5">
        <v>45531.0</v>
      </c>
      <c r="B302" s="1" t="s">
        <v>116</v>
      </c>
      <c r="C302" s="1" t="s">
        <v>107</v>
      </c>
      <c r="D302" s="4">
        <v>269.0</v>
      </c>
      <c r="E302" s="4">
        <v>0.0</v>
      </c>
      <c r="F302" s="1" t="s">
        <v>774</v>
      </c>
      <c r="G302" s="1" t="s">
        <v>175</v>
      </c>
      <c r="H302" s="1" t="s">
        <v>96</v>
      </c>
      <c r="I302" s="1" t="s">
        <v>832</v>
      </c>
      <c r="J302" s="1" t="s">
        <v>833</v>
      </c>
      <c r="K302" s="1" t="s">
        <v>834</v>
      </c>
      <c r="L302" s="1" t="s">
        <v>835</v>
      </c>
      <c r="M302" s="4">
        <v>-2.0</v>
      </c>
      <c r="N302" s="4">
        <v>0.009116666666666667</v>
      </c>
      <c r="O302" s="4">
        <v>6.885933333333333</v>
      </c>
    </row>
    <row r="303">
      <c r="A303" s="5">
        <v>45531.0</v>
      </c>
      <c r="B303" s="1" t="s">
        <v>103</v>
      </c>
      <c r="C303" s="1" t="s">
        <v>107</v>
      </c>
      <c r="D303" s="4">
        <v>264.0</v>
      </c>
      <c r="E303" s="4">
        <v>0.0</v>
      </c>
      <c r="F303" s="1" t="s">
        <v>836</v>
      </c>
      <c r="G303" s="1" t="s">
        <v>91</v>
      </c>
      <c r="H303" s="1" t="s">
        <v>92</v>
      </c>
      <c r="I303" s="1" t="s">
        <v>837</v>
      </c>
      <c r="J303" s="1" t="s">
        <v>838</v>
      </c>
      <c r="K303" s="1" t="s">
        <v>838</v>
      </c>
      <c r="M303" s="4">
        <v>-4.0</v>
      </c>
      <c r="O303" s="4">
        <v>10.656516666666667</v>
      </c>
    </row>
    <row r="304">
      <c r="A304" s="5">
        <v>45531.0</v>
      </c>
      <c r="B304" s="1" t="s">
        <v>95</v>
      </c>
      <c r="C304" s="1" t="s">
        <v>89</v>
      </c>
      <c r="D304" s="4">
        <v>303.0</v>
      </c>
      <c r="E304" s="4">
        <v>0.0</v>
      </c>
      <c r="G304" s="1" t="s">
        <v>91</v>
      </c>
      <c r="H304" s="1" t="s">
        <v>92</v>
      </c>
      <c r="I304" s="1" t="s">
        <v>839</v>
      </c>
      <c r="J304" s="1" t="s">
        <v>840</v>
      </c>
      <c r="K304" s="1" t="s">
        <v>840</v>
      </c>
      <c r="M304" s="4">
        <v>0.0</v>
      </c>
      <c r="O304" s="4">
        <v>7.400566666666666</v>
      </c>
    </row>
    <row r="305">
      <c r="A305" s="5">
        <v>45531.0</v>
      </c>
      <c r="B305" s="1" t="s">
        <v>95</v>
      </c>
      <c r="C305" s="1" t="s">
        <v>89</v>
      </c>
      <c r="D305" s="4">
        <v>387.0</v>
      </c>
      <c r="E305" s="4">
        <v>0.0</v>
      </c>
      <c r="G305" s="1" t="s">
        <v>91</v>
      </c>
      <c r="H305" s="1" t="s">
        <v>92</v>
      </c>
      <c r="I305" s="1" t="s">
        <v>841</v>
      </c>
      <c r="J305" s="1" t="s">
        <v>842</v>
      </c>
      <c r="K305" s="1" t="s">
        <v>842</v>
      </c>
      <c r="M305" s="4">
        <v>0.0</v>
      </c>
      <c r="O305" s="4">
        <v>7.699133333333333</v>
      </c>
    </row>
    <row r="306">
      <c r="A306" s="5">
        <v>45531.0</v>
      </c>
      <c r="B306" s="1" t="s">
        <v>95</v>
      </c>
      <c r="C306" s="1" t="s">
        <v>89</v>
      </c>
      <c r="D306" s="4">
        <v>264.0</v>
      </c>
      <c r="E306" s="4">
        <v>0.0</v>
      </c>
      <c r="G306" s="1" t="s">
        <v>91</v>
      </c>
      <c r="H306" s="1" t="s">
        <v>92</v>
      </c>
      <c r="I306" s="1" t="s">
        <v>843</v>
      </c>
      <c r="J306" s="1" t="s">
        <v>844</v>
      </c>
      <c r="K306" s="1" t="s">
        <v>844</v>
      </c>
      <c r="M306" s="4">
        <v>0.0</v>
      </c>
      <c r="O306" s="4">
        <v>7.42675</v>
      </c>
    </row>
    <row r="307">
      <c r="A307" s="5">
        <v>45531.0</v>
      </c>
      <c r="B307" s="1" t="s">
        <v>116</v>
      </c>
      <c r="C307" s="1" t="s">
        <v>107</v>
      </c>
      <c r="D307" s="4">
        <v>463.0</v>
      </c>
      <c r="E307" s="4">
        <v>15.0</v>
      </c>
      <c r="F307" s="1" t="s">
        <v>774</v>
      </c>
      <c r="G307" s="1" t="s">
        <v>175</v>
      </c>
      <c r="H307" s="1" t="s">
        <v>92</v>
      </c>
      <c r="I307" s="1" t="s">
        <v>845</v>
      </c>
      <c r="J307" s="1" t="s">
        <v>846</v>
      </c>
      <c r="K307" s="1" t="s">
        <v>847</v>
      </c>
      <c r="L307" s="1" t="s">
        <v>848</v>
      </c>
      <c r="M307" s="4">
        <v>-4.0</v>
      </c>
      <c r="N307" s="4">
        <v>0.0104</v>
      </c>
      <c r="O307" s="4">
        <v>8.404366666666666</v>
      </c>
    </row>
    <row r="308">
      <c r="A308" s="5">
        <v>45531.0</v>
      </c>
      <c r="B308" s="1" t="s">
        <v>116</v>
      </c>
      <c r="C308" s="1" t="s">
        <v>107</v>
      </c>
      <c r="D308" s="4">
        <v>326.0</v>
      </c>
      <c r="E308" s="4">
        <v>0.0</v>
      </c>
      <c r="F308" s="1" t="s">
        <v>774</v>
      </c>
      <c r="G308" s="1" t="s">
        <v>175</v>
      </c>
      <c r="H308" s="1" t="s">
        <v>92</v>
      </c>
      <c r="I308" s="1" t="s">
        <v>849</v>
      </c>
      <c r="J308" s="1" t="s">
        <v>850</v>
      </c>
      <c r="K308" s="1" t="s">
        <v>851</v>
      </c>
      <c r="L308" s="1" t="s">
        <v>852</v>
      </c>
      <c r="M308" s="4">
        <v>-3.0</v>
      </c>
      <c r="N308" s="4">
        <v>0.010116666666666666</v>
      </c>
      <c r="O308" s="4">
        <v>12.692466666666666</v>
      </c>
    </row>
    <row r="309">
      <c r="A309" s="5">
        <v>45531.0</v>
      </c>
      <c r="B309" s="1" t="s">
        <v>110</v>
      </c>
      <c r="C309" s="1" t="s">
        <v>107</v>
      </c>
      <c r="D309" s="4">
        <v>249.0</v>
      </c>
      <c r="E309" s="4">
        <v>0.0</v>
      </c>
      <c r="G309" s="1" t="s">
        <v>111</v>
      </c>
      <c r="H309" s="1" t="s">
        <v>96</v>
      </c>
      <c r="I309" s="1" t="s">
        <v>853</v>
      </c>
      <c r="J309" s="1" t="s">
        <v>854</v>
      </c>
      <c r="K309" s="1" t="s">
        <v>854</v>
      </c>
      <c r="M309" s="4">
        <v>2.0</v>
      </c>
      <c r="O309" s="4">
        <v>7.76235</v>
      </c>
    </row>
    <row r="310">
      <c r="A310" s="5">
        <v>45531.0</v>
      </c>
      <c r="B310" s="1" t="s">
        <v>110</v>
      </c>
      <c r="C310" s="1" t="s">
        <v>107</v>
      </c>
      <c r="D310" s="4">
        <v>498.0</v>
      </c>
      <c r="E310" s="4">
        <v>0.0</v>
      </c>
      <c r="G310" s="1" t="s">
        <v>111</v>
      </c>
      <c r="H310" s="1" t="s">
        <v>96</v>
      </c>
      <c r="I310" s="1" t="s">
        <v>855</v>
      </c>
      <c r="J310" s="1" t="s">
        <v>856</v>
      </c>
      <c r="K310" s="1" t="s">
        <v>856</v>
      </c>
      <c r="M310" s="4">
        <v>7.0</v>
      </c>
      <c r="O310" s="4">
        <v>12.582733333333334</v>
      </c>
    </row>
    <row r="311">
      <c r="A311" s="5">
        <v>45531.0</v>
      </c>
      <c r="B311" s="1" t="s">
        <v>110</v>
      </c>
      <c r="C311" s="1" t="s">
        <v>107</v>
      </c>
      <c r="D311" s="4">
        <v>249.0</v>
      </c>
      <c r="E311" s="4">
        <v>0.0</v>
      </c>
      <c r="G311" s="1" t="s">
        <v>111</v>
      </c>
      <c r="H311" s="1" t="s">
        <v>96</v>
      </c>
      <c r="I311" s="1" t="s">
        <v>857</v>
      </c>
      <c r="J311" s="1" t="s">
        <v>858</v>
      </c>
      <c r="K311" s="1" t="s">
        <v>858</v>
      </c>
      <c r="M311" s="4">
        <v>4.0</v>
      </c>
      <c r="O311" s="4">
        <v>9.6888</v>
      </c>
    </row>
    <row r="312">
      <c r="A312" s="5">
        <v>45531.0</v>
      </c>
      <c r="B312" s="1" t="s">
        <v>95</v>
      </c>
      <c r="C312" s="1" t="s">
        <v>89</v>
      </c>
      <c r="D312" s="4">
        <v>299.0</v>
      </c>
      <c r="E312" s="4">
        <v>0.0</v>
      </c>
      <c r="G312" s="1" t="s">
        <v>91</v>
      </c>
      <c r="H312" s="1" t="s">
        <v>92</v>
      </c>
      <c r="I312" s="1" t="s">
        <v>859</v>
      </c>
      <c r="J312" s="1" t="s">
        <v>860</v>
      </c>
      <c r="K312" s="1" t="s">
        <v>860</v>
      </c>
      <c r="M312" s="4">
        <v>3.0</v>
      </c>
      <c r="O312" s="4">
        <v>11.541266666666667</v>
      </c>
    </row>
    <row r="313">
      <c r="A313" s="5">
        <v>45531.0</v>
      </c>
      <c r="B313" s="1" t="s">
        <v>110</v>
      </c>
      <c r="C313" s="1" t="s">
        <v>107</v>
      </c>
      <c r="D313" s="4">
        <v>309.0</v>
      </c>
      <c r="E313" s="4">
        <v>0.0</v>
      </c>
      <c r="G313" s="1" t="s">
        <v>111</v>
      </c>
      <c r="H313" s="1" t="s">
        <v>96</v>
      </c>
      <c r="I313" s="1" t="s">
        <v>861</v>
      </c>
      <c r="J313" s="1" t="s">
        <v>862</v>
      </c>
      <c r="K313" s="1" t="s">
        <v>862</v>
      </c>
      <c r="M313" s="4">
        <v>0.0</v>
      </c>
      <c r="O313" s="4">
        <v>5.107366666666667</v>
      </c>
    </row>
    <row r="314">
      <c r="A314" s="5">
        <v>45531.0</v>
      </c>
      <c r="B314" s="1" t="s">
        <v>110</v>
      </c>
      <c r="C314" s="1" t="s">
        <v>107</v>
      </c>
      <c r="D314" s="4">
        <v>249.0</v>
      </c>
      <c r="E314" s="4">
        <v>0.0</v>
      </c>
      <c r="G314" s="1" t="s">
        <v>111</v>
      </c>
      <c r="H314" s="1" t="s">
        <v>96</v>
      </c>
      <c r="I314" s="1" t="s">
        <v>863</v>
      </c>
      <c r="J314" s="1" t="s">
        <v>864</v>
      </c>
      <c r="K314" s="1" t="s">
        <v>864</v>
      </c>
      <c r="M314" s="4">
        <v>4.0</v>
      </c>
      <c r="O314" s="4">
        <v>9.100083333333334</v>
      </c>
    </row>
    <row r="315">
      <c r="A315" s="5">
        <v>45531.0</v>
      </c>
      <c r="B315" s="1" t="s">
        <v>95</v>
      </c>
      <c r="C315" s="1" t="s">
        <v>89</v>
      </c>
      <c r="D315" s="4">
        <v>264.0</v>
      </c>
      <c r="E315" s="4">
        <v>0.0</v>
      </c>
      <c r="G315" s="1" t="s">
        <v>91</v>
      </c>
      <c r="H315" s="1" t="s">
        <v>92</v>
      </c>
      <c r="I315" s="1" t="s">
        <v>865</v>
      </c>
      <c r="J315" s="1" t="s">
        <v>866</v>
      </c>
      <c r="K315" s="1" t="s">
        <v>866</v>
      </c>
      <c r="M315" s="4">
        <v>0.0</v>
      </c>
      <c r="O315" s="4">
        <v>8.003633333333333</v>
      </c>
    </row>
    <row r="316">
      <c r="A316" s="5">
        <v>45531.0</v>
      </c>
      <c r="B316" s="1" t="s">
        <v>88</v>
      </c>
      <c r="C316" s="1" t="s">
        <v>107</v>
      </c>
      <c r="D316" s="4">
        <v>368.0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867</v>
      </c>
      <c r="J316" s="1" t="s">
        <v>868</v>
      </c>
      <c r="K316" s="1" t="s">
        <v>868</v>
      </c>
      <c r="M316" s="4">
        <v>-6.0</v>
      </c>
      <c r="O316" s="4">
        <v>8.61355</v>
      </c>
    </row>
    <row r="317">
      <c r="A317" s="5">
        <v>45531.0</v>
      </c>
      <c r="B317" s="1" t="s">
        <v>95</v>
      </c>
      <c r="C317" s="1" t="s">
        <v>89</v>
      </c>
      <c r="D317" s="4">
        <v>264.0</v>
      </c>
      <c r="E317" s="4">
        <v>0.0</v>
      </c>
      <c r="G317" s="1" t="s">
        <v>91</v>
      </c>
      <c r="H317" s="1" t="s">
        <v>92</v>
      </c>
      <c r="I317" s="1" t="s">
        <v>869</v>
      </c>
      <c r="J317" s="1" t="s">
        <v>870</v>
      </c>
      <c r="K317" s="1" t="s">
        <v>870</v>
      </c>
      <c r="M317" s="4">
        <v>3.0</v>
      </c>
      <c r="O317" s="4">
        <v>10.274933333333333</v>
      </c>
    </row>
    <row r="318">
      <c r="A318" s="5">
        <v>45531.0</v>
      </c>
      <c r="B318" s="1" t="s">
        <v>88</v>
      </c>
      <c r="C318" s="1" t="s">
        <v>107</v>
      </c>
      <c r="D318" s="4">
        <v>184.0</v>
      </c>
      <c r="E318" s="4">
        <v>0.0</v>
      </c>
      <c r="F318" s="1" t="s">
        <v>90</v>
      </c>
      <c r="G318" s="1" t="s">
        <v>91</v>
      </c>
      <c r="H318" s="1" t="s">
        <v>92</v>
      </c>
      <c r="I318" s="1" t="s">
        <v>871</v>
      </c>
      <c r="J318" s="1" t="s">
        <v>872</v>
      </c>
      <c r="K318" s="1" t="s">
        <v>872</v>
      </c>
      <c r="M318" s="4">
        <v>-1.0</v>
      </c>
      <c r="O318" s="4">
        <v>13.303333333333333</v>
      </c>
    </row>
    <row r="319">
      <c r="A319" s="5">
        <v>45531.0</v>
      </c>
      <c r="B319" s="1" t="s">
        <v>116</v>
      </c>
      <c r="C319" s="1" t="s">
        <v>107</v>
      </c>
      <c r="D319" s="4">
        <v>275.0</v>
      </c>
      <c r="E319" s="4">
        <v>69.0</v>
      </c>
      <c r="G319" s="1" t="s">
        <v>111</v>
      </c>
      <c r="H319" s="1" t="s">
        <v>194</v>
      </c>
      <c r="I319" s="1" t="s">
        <v>873</v>
      </c>
      <c r="J319" s="1" t="s">
        <v>874</v>
      </c>
      <c r="K319" s="1" t="s">
        <v>874</v>
      </c>
      <c r="M319" s="4">
        <v>-14.0</v>
      </c>
      <c r="O319" s="4">
        <v>12.2525</v>
      </c>
    </row>
    <row r="320">
      <c r="A320" s="5">
        <v>45531.0</v>
      </c>
      <c r="B320" s="1" t="s">
        <v>110</v>
      </c>
      <c r="C320" s="1" t="s">
        <v>107</v>
      </c>
      <c r="D320" s="4">
        <v>249.0</v>
      </c>
      <c r="E320" s="4">
        <v>249.0</v>
      </c>
      <c r="G320" s="1" t="s">
        <v>111</v>
      </c>
      <c r="H320" s="1" t="s">
        <v>96</v>
      </c>
      <c r="I320" s="1" t="s">
        <v>875</v>
      </c>
      <c r="J320" s="1" t="s">
        <v>876</v>
      </c>
      <c r="K320" s="1" t="s">
        <v>876</v>
      </c>
      <c r="M320" s="4">
        <v>4.0</v>
      </c>
      <c r="O320" s="4">
        <v>9.169066666666666</v>
      </c>
    </row>
    <row r="321">
      <c r="A321" s="5">
        <v>45531.0</v>
      </c>
      <c r="B321" s="1" t="s">
        <v>116</v>
      </c>
      <c r="C321" s="1" t="s">
        <v>107</v>
      </c>
      <c r="D321" s="4">
        <v>247.0</v>
      </c>
      <c r="E321" s="4">
        <v>62.0</v>
      </c>
      <c r="G321" s="1" t="s">
        <v>111</v>
      </c>
      <c r="H321" s="1" t="s">
        <v>96</v>
      </c>
      <c r="I321" s="1" t="s">
        <v>877</v>
      </c>
      <c r="J321" s="1" t="s">
        <v>878</v>
      </c>
      <c r="K321" s="1" t="s">
        <v>878</v>
      </c>
      <c r="M321" s="4">
        <v>-11.0</v>
      </c>
      <c r="O321" s="4">
        <v>8.496016666666666</v>
      </c>
    </row>
    <row r="322">
      <c r="A322" s="5">
        <v>45531.0</v>
      </c>
      <c r="B322" s="1" t="s">
        <v>116</v>
      </c>
      <c r="C322" s="1" t="s">
        <v>107</v>
      </c>
      <c r="D322" s="4">
        <v>486.0</v>
      </c>
      <c r="E322" s="4">
        <v>0.0</v>
      </c>
      <c r="F322" s="1" t="s">
        <v>774</v>
      </c>
      <c r="G322" s="1" t="s">
        <v>175</v>
      </c>
      <c r="H322" s="1" t="s">
        <v>96</v>
      </c>
      <c r="I322" s="1" t="s">
        <v>879</v>
      </c>
      <c r="J322" s="1" t="s">
        <v>880</v>
      </c>
      <c r="K322" s="1" t="s">
        <v>881</v>
      </c>
      <c r="L322" s="1" t="s">
        <v>882</v>
      </c>
      <c r="M322" s="4">
        <v>0.0</v>
      </c>
      <c r="N322" s="4">
        <v>0.01025</v>
      </c>
      <c r="O322" s="4">
        <v>13.245566666666667</v>
      </c>
    </row>
    <row r="323">
      <c r="A323" s="5">
        <v>45531.0</v>
      </c>
      <c r="B323" s="1" t="s">
        <v>88</v>
      </c>
      <c r="C323" s="1" t="s">
        <v>107</v>
      </c>
      <c r="D323" s="4">
        <v>264.0</v>
      </c>
      <c r="E323" s="4">
        <v>0.0</v>
      </c>
      <c r="F323" s="1" t="s">
        <v>90</v>
      </c>
      <c r="G323" s="1" t="s">
        <v>91</v>
      </c>
      <c r="H323" s="1" t="s">
        <v>92</v>
      </c>
      <c r="I323" s="1" t="s">
        <v>883</v>
      </c>
      <c r="J323" s="1" t="s">
        <v>884</v>
      </c>
      <c r="K323" s="1" t="s">
        <v>884</v>
      </c>
      <c r="M323" s="4">
        <v>-9.0</v>
      </c>
      <c r="O323" s="4">
        <v>5.567433333333334</v>
      </c>
    </row>
    <row r="324">
      <c r="A324" s="5">
        <v>45531.0</v>
      </c>
      <c r="B324" s="1" t="s">
        <v>110</v>
      </c>
      <c r="C324" s="1" t="s">
        <v>107</v>
      </c>
      <c r="D324" s="4">
        <v>358.0</v>
      </c>
      <c r="E324" s="4">
        <v>0.0</v>
      </c>
      <c r="G324" s="1" t="s">
        <v>111</v>
      </c>
      <c r="H324" s="1" t="s">
        <v>96</v>
      </c>
      <c r="I324" s="1" t="s">
        <v>885</v>
      </c>
      <c r="J324" s="1" t="s">
        <v>886</v>
      </c>
      <c r="K324" s="1" t="s">
        <v>886</v>
      </c>
      <c r="M324" s="4">
        <v>4.0</v>
      </c>
      <c r="O324" s="4">
        <v>9.171083333333334</v>
      </c>
    </row>
    <row r="325">
      <c r="A325" s="5">
        <v>45531.0</v>
      </c>
      <c r="B325" s="1" t="s">
        <v>103</v>
      </c>
      <c r="C325" s="1" t="s">
        <v>89</v>
      </c>
      <c r="D325" s="4">
        <v>642.0</v>
      </c>
      <c r="E325" s="4">
        <v>0.0</v>
      </c>
      <c r="F325" s="1" t="s">
        <v>887</v>
      </c>
      <c r="G325" s="1" t="s">
        <v>91</v>
      </c>
      <c r="H325" s="1" t="s">
        <v>92</v>
      </c>
      <c r="I325" s="1" t="s">
        <v>888</v>
      </c>
      <c r="J325" s="1" t="s">
        <v>889</v>
      </c>
      <c r="K325" s="1" t="s">
        <v>889</v>
      </c>
      <c r="M325" s="4">
        <v>-6.0</v>
      </c>
      <c r="O325" s="4">
        <v>13.484233333333334</v>
      </c>
    </row>
    <row r="326">
      <c r="A326" s="5">
        <v>45531.0</v>
      </c>
      <c r="B326" s="1" t="s">
        <v>116</v>
      </c>
      <c r="C326" s="1" t="s">
        <v>107</v>
      </c>
      <c r="D326" s="4">
        <v>374.0</v>
      </c>
      <c r="E326" s="4">
        <v>0.0</v>
      </c>
      <c r="F326" s="1" t="s">
        <v>774</v>
      </c>
      <c r="G326" s="1" t="s">
        <v>175</v>
      </c>
      <c r="H326" s="1" t="s">
        <v>92</v>
      </c>
      <c r="I326" s="1" t="s">
        <v>890</v>
      </c>
      <c r="J326" s="1" t="s">
        <v>891</v>
      </c>
      <c r="K326" s="1" t="s">
        <v>892</v>
      </c>
      <c r="L326" s="1" t="s">
        <v>893</v>
      </c>
      <c r="M326" s="4">
        <v>-9.0</v>
      </c>
      <c r="N326" s="4">
        <v>0.00985</v>
      </c>
      <c r="O326" s="4">
        <v>12.2436</v>
      </c>
    </row>
    <row r="327">
      <c r="A327" s="5">
        <v>45531.0</v>
      </c>
      <c r="B327" s="1" t="s">
        <v>88</v>
      </c>
      <c r="C327" s="1" t="s">
        <v>107</v>
      </c>
      <c r="D327" s="4">
        <v>264.0</v>
      </c>
      <c r="E327" s="4">
        <v>0.0</v>
      </c>
      <c r="F327" s="1" t="s">
        <v>90</v>
      </c>
      <c r="G327" s="1" t="s">
        <v>91</v>
      </c>
      <c r="H327" s="1" t="s">
        <v>92</v>
      </c>
      <c r="I327" s="1" t="s">
        <v>894</v>
      </c>
      <c r="J327" s="1" t="s">
        <v>895</v>
      </c>
      <c r="K327" s="1" t="s">
        <v>895</v>
      </c>
      <c r="M327" s="4">
        <v>-8.0</v>
      </c>
      <c r="O327" s="4">
        <v>6.7776</v>
      </c>
    </row>
    <row r="328">
      <c r="A328" s="5">
        <v>45531.0</v>
      </c>
      <c r="B328" s="1" t="s">
        <v>116</v>
      </c>
      <c r="C328" s="1" t="s">
        <v>107</v>
      </c>
      <c r="D328" s="4">
        <v>379.0</v>
      </c>
      <c r="E328" s="4">
        <v>119.0</v>
      </c>
      <c r="G328" s="1" t="s">
        <v>111</v>
      </c>
      <c r="H328" s="1" t="s">
        <v>92</v>
      </c>
      <c r="I328" s="1" t="s">
        <v>896</v>
      </c>
      <c r="J328" s="1" t="s">
        <v>897</v>
      </c>
      <c r="K328" s="1" t="s">
        <v>897</v>
      </c>
      <c r="M328" s="4">
        <v>-9.0</v>
      </c>
      <c r="O328" s="4">
        <v>9.519716666666667</v>
      </c>
    </row>
    <row r="329">
      <c r="A329" s="5">
        <v>45531.0</v>
      </c>
      <c r="B329" s="1" t="s">
        <v>110</v>
      </c>
      <c r="C329" s="1" t="s">
        <v>107</v>
      </c>
      <c r="D329" s="4">
        <v>119.0</v>
      </c>
      <c r="E329" s="4">
        <v>0.0</v>
      </c>
      <c r="G329" s="1" t="s">
        <v>111</v>
      </c>
      <c r="H329" s="1" t="s">
        <v>96</v>
      </c>
      <c r="I329" s="1" t="s">
        <v>898</v>
      </c>
      <c r="J329" s="1" t="s">
        <v>899</v>
      </c>
      <c r="K329" s="1" t="s">
        <v>899</v>
      </c>
      <c r="M329" s="4">
        <v>3.0</v>
      </c>
      <c r="O329" s="4">
        <v>8.601216666666666</v>
      </c>
    </row>
    <row r="330">
      <c r="A330" s="5">
        <v>45531.0</v>
      </c>
      <c r="B330" s="1" t="s">
        <v>95</v>
      </c>
      <c r="C330" s="1" t="s">
        <v>107</v>
      </c>
      <c r="D330" s="4">
        <v>329.0</v>
      </c>
      <c r="E330" s="4">
        <v>0.0</v>
      </c>
      <c r="G330" s="1" t="s">
        <v>91</v>
      </c>
      <c r="H330" s="1" t="s">
        <v>92</v>
      </c>
      <c r="I330" s="1" t="s">
        <v>900</v>
      </c>
      <c r="J330" s="1" t="s">
        <v>901</v>
      </c>
      <c r="K330" s="1" t="s">
        <v>901</v>
      </c>
      <c r="M330" s="4">
        <v>8.0</v>
      </c>
      <c r="O330" s="4">
        <v>15.417666666666667</v>
      </c>
    </row>
    <row r="331">
      <c r="A331" s="5">
        <v>45531.0</v>
      </c>
      <c r="B331" s="1" t="s">
        <v>116</v>
      </c>
      <c r="C331" s="1" t="s">
        <v>107</v>
      </c>
      <c r="D331" s="4">
        <v>398.0</v>
      </c>
      <c r="E331" s="4">
        <v>100.0</v>
      </c>
      <c r="G331" s="1" t="s">
        <v>111</v>
      </c>
      <c r="H331" s="1" t="s">
        <v>194</v>
      </c>
      <c r="I331" s="1" t="s">
        <v>902</v>
      </c>
      <c r="J331" s="1" t="s">
        <v>903</v>
      </c>
      <c r="K331" s="1" t="s">
        <v>903</v>
      </c>
      <c r="M331" s="4">
        <v>-10.0</v>
      </c>
      <c r="O331" s="4">
        <v>8.673733333333333</v>
      </c>
    </row>
    <row r="332">
      <c r="A332" s="5">
        <v>45531.0</v>
      </c>
      <c r="B332" s="1" t="s">
        <v>103</v>
      </c>
      <c r="C332" s="1" t="s">
        <v>107</v>
      </c>
      <c r="D332" s="4">
        <v>264.0</v>
      </c>
      <c r="E332" s="4">
        <v>0.0</v>
      </c>
      <c r="F332" s="1" t="s">
        <v>904</v>
      </c>
      <c r="G332" s="1" t="s">
        <v>91</v>
      </c>
      <c r="H332" s="1" t="s">
        <v>92</v>
      </c>
      <c r="I332" s="1" t="s">
        <v>905</v>
      </c>
      <c r="J332" s="1" t="s">
        <v>906</v>
      </c>
      <c r="K332" s="1" t="s">
        <v>906</v>
      </c>
      <c r="M332" s="4">
        <v>-9.0</v>
      </c>
      <c r="O332" s="4">
        <v>5.8162666666666665</v>
      </c>
    </row>
    <row r="333">
      <c r="A333" s="5">
        <v>45531.0</v>
      </c>
      <c r="B333" s="1" t="s">
        <v>95</v>
      </c>
      <c r="C333" s="1" t="s">
        <v>89</v>
      </c>
      <c r="D333" s="4">
        <v>264.0</v>
      </c>
      <c r="E333" s="4">
        <v>100.0</v>
      </c>
      <c r="G333" s="1" t="s">
        <v>91</v>
      </c>
      <c r="H333" s="1" t="s">
        <v>92</v>
      </c>
      <c r="I333" s="1" t="s">
        <v>907</v>
      </c>
      <c r="J333" s="1" t="s">
        <v>908</v>
      </c>
      <c r="K333" s="1" t="s">
        <v>908</v>
      </c>
      <c r="M333" s="4">
        <v>0.0</v>
      </c>
      <c r="O333" s="4">
        <v>6.553583333333333</v>
      </c>
    </row>
    <row r="334">
      <c r="A334" s="5">
        <v>45531.0</v>
      </c>
      <c r="B334" s="1" t="s">
        <v>116</v>
      </c>
      <c r="C334" s="1" t="s">
        <v>107</v>
      </c>
      <c r="D334" s="4">
        <v>366.0</v>
      </c>
      <c r="E334" s="4">
        <v>92.0</v>
      </c>
      <c r="G334" s="1" t="s">
        <v>111</v>
      </c>
      <c r="H334" s="1" t="s">
        <v>92</v>
      </c>
      <c r="I334" s="1" t="s">
        <v>909</v>
      </c>
      <c r="J334" s="1" t="s">
        <v>910</v>
      </c>
      <c r="K334" s="1" t="s">
        <v>910</v>
      </c>
      <c r="M334" s="4">
        <v>-25.0</v>
      </c>
      <c r="O334" s="4">
        <v>9.73145</v>
      </c>
    </row>
    <row r="335">
      <c r="A335" s="5">
        <v>45531.0</v>
      </c>
      <c r="B335" s="1" t="s">
        <v>103</v>
      </c>
      <c r="C335" s="1" t="s">
        <v>89</v>
      </c>
      <c r="D335" s="4">
        <v>264.0</v>
      </c>
      <c r="E335" s="4">
        <v>0.0</v>
      </c>
      <c r="F335" s="1" t="s">
        <v>187</v>
      </c>
      <c r="G335" s="1" t="s">
        <v>91</v>
      </c>
      <c r="H335" s="1" t="s">
        <v>92</v>
      </c>
      <c r="I335" s="1" t="s">
        <v>911</v>
      </c>
      <c r="J335" s="1" t="s">
        <v>912</v>
      </c>
      <c r="K335" s="1" t="s">
        <v>912</v>
      </c>
      <c r="M335" s="4">
        <v>-2.0</v>
      </c>
      <c r="O335" s="4">
        <v>12.89765</v>
      </c>
    </row>
    <row r="336">
      <c r="A336" s="5">
        <v>45531.0</v>
      </c>
      <c r="B336" s="1" t="s">
        <v>116</v>
      </c>
      <c r="C336" s="1" t="s">
        <v>107</v>
      </c>
      <c r="D336" s="4">
        <v>199.0</v>
      </c>
      <c r="E336" s="4">
        <v>50.0</v>
      </c>
      <c r="G336" s="1" t="s">
        <v>111</v>
      </c>
      <c r="H336" s="1" t="s">
        <v>96</v>
      </c>
      <c r="I336" s="1" t="s">
        <v>913</v>
      </c>
      <c r="J336" s="1" t="s">
        <v>914</v>
      </c>
      <c r="K336" s="1" t="s">
        <v>914</v>
      </c>
      <c r="M336" s="4">
        <v>-13.0</v>
      </c>
      <c r="O336" s="4">
        <v>5.992816666666666</v>
      </c>
    </row>
    <row r="337">
      <c r="A337" s="5">
        <v>45531.0</v>
      </c>
      <c r="B337" s="1" t="s">
        <v>88</v>
      </c>
      <c r="C337" s="1" t="s">
        <v>107</v>
      </c>
      <c r="D337" s="4">
        <v>351.0</v>
      </c>
      <c r="E337" s="4">
        <v>0.0</v>
      </c>
      <c r="F337" s="1" t="s">
        <v>90</v>
      </c>
      <c r="G337" s="1" t="s">
        <v>91</v>
      </c>
      <c r="H337" s="1" t="s">
        <v>92</v>
      </c>
      <c r="I337" s="1" t="s">
        <v>915</v>
      </c>
      <c r="J337" s="1" t="s">
        <v>916</v>
      </c>
      <c r="K337" s="1" t="s">
        <v>916</v>
      </c>
      <c r="M337" s="4">
        <v>-8.0</v>
      </c>
      <c r="O337" s="4">
        <v>6.946983333333334</v>
      </c>
    </row>
    <row r="338">
      <c r="A338" s="5">
        <v>45531.0</v>
      </c>
      <c r="B338" s="1" t="s">
        <v>88</v>
      </c>
      <c r="C338" s="1" t="s">
        <v>107</v>
      </c>
      <c r="D338" s="4">
        <v>368.0</v>
      </c>
      <c r="E338" s="4">
        <v>0.0</v>
      </c>
      <c r="F338" s="1" t="s">
        <v>90</v>
      </c>
      <c r="G338" s="1" t="s">
        <v>91</v>
      </c>
      <c r="H338" s="1" t="s">
        <v>92</v>
      </c>
      <c r="I338" s="1" t="s">
        <v>917</v>
      </c>
      <c r="J338" s="1" t="s">
        <v>918</v>
      </c>
      <c r="K338" s="1" t="s">
        <v>918</v>
      </c>
      <c r="M338" s="4">
        <v>-8.0</v>
      </c>
      <c r="O338" s="4">
        <v>6.37605</v>
      </c>
    </row>
    <row r="339">
      <c r="A339" s="5">
        <v>45531.0</v>
      </c>
      <c r="B339" s="1" t="s">
        <v>116</v>
      </c>
      <c r="C339" s="1" t="s">
        <v>107</v>
      </c>
      <c r="D339" s="4">
        <v>279.0</v>
      </c>
      <c r="E339" s="4">
        <v>0.0</v>
      </c>
      <c r="F339" s="1" t="s">
        <v>386</v>
      </c>
      <c r="G339" s="1" t="s">
        <v>175</v>
      </c>
      <c r="H339" s="1" t="s">
        <v>96</v>
      </c>
      <c r="I339" s="1" t="s">
        <v>919</v>
      </c>
      <c r="J339" s="1" t="s">
        <v>920</v>
      </c>
      <c r="K339" s="1" t="s">
        <v>921</v>
      </c>
      <c r="L339" s="1" t="s">
        <v>922</v>
      </c>
      <c r="M339" s="4">
        <v>-8.0</v>
      </c>
      <c r="N339" s="4">
        <v>0.009183333333333333</v>
      </c>
      <c r="O339" s="4">
        <v>5.952166666666667</v>
      </c>
    </row>
    <row r="340">
      <c r="A340" s="5">
        <v>45531.0</v>
      </c>
      <c r="B340" s="1" t="s">
        <v>95</v>
      </c>
      <c r="C340" s="1" t="s">
        <v>107</v>
      </c>
      <c r="D340" s="4">
        <v>394.0</v>
      </c>
      <c r="E340" s="4">
        <v>0.0</v>
      </c>
      <c r="G340" s="1" t="s">
        <v>91</v>
      </c>
      <c r="H340" s="1" t="s">
        <v>92</v>
      </c>
      <c r="I340" s="1" t="s">
        <v>923</v>
      </c>
      <c r="J340" s="1" t="s">
        <v>924</v>
      </c>
      <c r="K340" s="1" t="s">
        <v>924</v>
      </c>
      <c r="M340" s="4">
        <v>2.0</v>
      </c>
      <c r="O340" s="4">
        <v>10.946633333333333</v>
      </c>
    </row>
    <row r="341">
      <c r="A341" s="5">
        <v>45531.0</v>
      </c>
      <c r="B341" s="1" t="s">
        <v>88</v>
      </c>
      <c r="C341" s="1" t="s">
        <v>107</v>
      </c>
      <c r="D341" s="4">
        <v>269.0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925</v>
      </c>
      <c r="J341" s="1" t="s">
        <v>926</v>
      </c>
      <c r="K341" s="1" t="s">
        <v>926</v>
      </c>
      <c r="M341" s="4">
        <v>-8.0</v>
      </c>
      <c r="O341" s="4">
        <v>6.490683333333333</v>
      </c>
    </row>
    <row r="342">
      <c r="A342" s="5">
        <v>45531.0</v>
      </c>
      <c r="B342" s="1" t="s">
        <v>88</v>
      </c>
      <c r="C342" s="1" t="s">
        <v>107</v>
      </c>
      <c r="D342" s="4">
        <v>313.0</v>
      </c>
      <c r="E342" s="4">
        <v>0.0</v>
      </c>
      <c r="F342" s="1" t="s">
        <v>90</v>
      </c>
      <c r="G342" s="1" t="s">
        <v>91</v>
      </c>
      <c r="H342" s="1" t="s">
        <v>92</v>
      </c>
      <c r="I342" s="1" t="s">
        <v>927</v>
      </c>
      <c r="J342" s="1" t="s">
        <v>928</v>
      </c>
      <c r="K342" s="1" t="s">
        <v>928</v>
      </c>
      <c r="M342" s="4">
        <v>-7.0</v>
      </c>
      <c r="O342" s="4">
        <v>7.137433333333333</v>
      </c>
    </row>
    <row r="343">
      <c r="A343" s="5">
        <v>45531.0</v>
      </c>
      <c r="B343" s="1" t="s">
        <v>103</v>
      </c>
      <c r="C343" s="1" t="s">
        <v>107</v>
      </c>
      <c r="D343" s="4">
        <v>329.0</v>
      </c>
      <c r="E343" s="4">
        <v>0.0</v>
      </c>
      <c r="F343" s="1" t="s">
        <v>929</v>
      </c>
      <c r="G343" s="1" t="s">
        <v>91</v>
      </c>
      <c r="H343" s="1" t="s">
        <v>92</v>
      </c>
      <c r="I343" s="1" t="s">
        <v>930</v>
      </c>
      <c r="J343" s="1" t="s">
        <v>931</v>
      </c>
      <c r="K343" s="1" t="s">
        <v>931</v>
      </c>
      <c r="M343" s="4">
        <v>-7.0</v>
      </c>
      <c r="O343" s="4">
        <v>7.89195</v>
      </c>
    </row>
    <row r="344">
      <c r="A344" s="5">
        <v>45531.0</v>
      </c>
      <c r="B344" s="1" t="s">
        <v>95</v>
      </c>
      <c r="C344" s="1" t="s">
        <v>107</v>
      </c>
      <c r="D344" s="4">
        <v>845.0</v>
      </c>
      <c r="E344" s="4">
        <v>0.0</v>
      </c>
      <c r="G344" s="1" t="s">
        <v>91</v>
      </c>
      <c r="H344" s="1" t="s">
        <v>96</v>
      </c>
      <c r="I344" s="1" t="s">
        <v>932</v>
      </c>
      <c r="J344" s="1" t="s">
        <v>933</v>
      </c>
      <c r="K344" s="1" t="s">
        <v>933</v>
      </c>
      <c r="M344" s="4">
        <v>4.0</v>
      </c>
      <c r="O344" s="4">
        <v>15.04685</v>
      </c>
    </row>
    <row r="345">
      <c r="A345" s="5">
        <v>45531.0</v>
      </c>
      <c r="B345" s="1" t="s">
        <v>116</v>
      </c>
      <c r="C345" s="1" t="s">
        <v>107</v>
      </c>
      <c r="D345" s="4">
        <v>199.0</v>
      </c>
      <c r="E345" s="4">
        <v>50.0</v>
      </c>
      <c r="G345" s="1" t="s">
        <v>111</v>
      </c>
      <c r="H345" s="1" t="s">
        <v>194</v>
      </c>
      <c r="I345" s="1" t="s">
        <v>934</v>
      </c>
      <c r="J345" s="1" t="s">
        <v>935</v>
      </c>
      <c r="K345" s="1" t="s">
        <v>935</v>
      </c>
      <c r="M345" s="4">
        <v>-7.0</v>
      </c>
      <c r="O345" s="4">
        <v>12.171483333333333</v>
      </c>
    </row>
    <row r="346">
      <c r="A346" s="5">
        <v>45531.0</v>
      </c>
      <c r="B346" s="1" t="s">
        <v>88</v>
      </c>
      <c r="C346" s="1" t="s">
        <v>107</v>
      </c>
      <c r="D346" s="4">
        <v>642.0</v>
      </c>
      <c r="E346" s="4">
        <v>0.0</v>
      </c>
      <c r="F346" s="1" t="s">
        <v>90</v>
      </c>
      <c r="G346" s="1" t="s">
        <v>91</v>
      </c>
      <c r="H346" s="1" t="s">
        <v>92</v>
      </c>
      <c r="I346" s="1" t="s">
        <v>936</v>
      </c>
      <c r="J346" s="1" t="s">
        <v>937</v>
      </c>
      <c r="K346" s="1" t="s">
        <v>937</v>
      </c>
      <c r="M346" s="4">
        <v>-9.0</v>
      </c>
      <c r="O346" s="4">
        <v>10.8653</v>
      </c>
    </row>
    <row r="347">
      <c r="A347" s="5">
        <v>45531.0</v>
      </c>
      <c r="B347" s="1" t="s">
        <v>116</v>
      </c>
      <c r="C347" s="1" t="s">
        <v>107</v>
      </c>
      <c r="D347" s="4">
        <v>219.0</v>
      </c>
      <c r="E347" s="4">
        <v>55.0</v>
      </c>
      <c r="G347" s="1" t="s">
        <v>111</v>
      </c>
      <c r="H347" s="1" t="s">
        <v>194</v>
      </c>
      <c r="I347" s="1" t="s">
        <v>938</v>
      </c>
      <c r="J347" s="1" t="s">
        <v>939</v>
      </c>
      <c r="K347" s="1" t="s">
        <v>939</v>
      </c>
      <c r="M347" s="4">
        <v>-11.0</v>
      </c>
      <c r="O347" s="4">
        <v>7.836866666666666</v>
      </c>
    </row>
    <row r="348">
      <c r="A348" s="5">
        <v>45531.0</v>
      </c>
      <c r="B348" s="1" t="s">
        <v>110</v>
      </c>
      <c r="C348" s="1" t="s">
        <v>107</v>
      </c>
      <c r="D348" s="4">
        <v>249.0</v>
      </c>
      <c r="E348" s="4">
        <v>0.0</v>
      </c>
      <c r="G348" s="1" t="s">
        <v>111</v>
      </c>
      <c r="H348" s="1" t="s">
        <v>96</v>
      </c>
      <c r="I348" s="1" t="s">
        <v>940</v>
      </c>
      <c r="J348" s="1" t="s">
        <v>941</v>
      </c>
      <c r="K348" s="1" t="s">
        <v>941</v>
      </c>
      <c r="M348" s="4">
        <v>0.0</v>
      </c>
      <c r="O348" s="4">
        <v>5.45565</v>
      </c>
    </row>
    <row r="349">
      <c r="A349" s="5">
        <v>45531.0</v>
      </c>
      <c r="B349" s="1" t="s">
        <v>103</v>
      </c>
      <c r="C349" s="1" t="s">
        <v>89</v>
      </c>
      <c r="D349" s="4">
        <v>408.0</v>
      </c>
      <c r="E349" s="4">
        <v>0.0</v>
      </c>
      <c r="F349" s="1" t="s">
        <v>942</v>
      </c>
      <c r="G349" s="1" t="s">
        <v>91</v>
      </c>
      <c r="H349" s="1" t="s">
        <v>92</v>
      </c>
      <c r="I349" s="1" t="s">
        <v>943</v>
      </c>
      <c r="J349" s="1" t="s">
        <v>944</v>
      </c>
      <c r="K349" s="1" t="s">
        <v>944</v>
      </c>
      <c r="M349" s="4">
        <v>-1.0</v>
      </c>
      <c r="O349" s="4">
        <v>13.505633333333334</v>
      </c>
    </row>
    <row r="350">
      <c r="A350" s="5">
        <v>45531.0</v>
      </c>
      <c r="B350" s="1" t="s">
        <v>95</v>
      </c>
      <c r="C350" s="1" t="s">
        <v>89</v>
      </c>
      <c r="D350" s="4">
        <v>378.0</v>
      </c>
      <c r="E350" s="4">
        <v>150.0</v>
      </c>
      <c r="G350" s="1" t="s">
        <v>91</v>
      </c>
      <c r="H350" s="1" t="s">
        <v>92</v>
      </c>
      <c r="I350" s="1" t="s">
        <v>945</v>
      </c>
      <c r="J350" s="1" t="s">
        <v>946</v>
      </c>
      <c r="K350" s="1" t="s">
        <v>946</v>
      </c>
      <c r="M350" s="4">
        <v>1.0</v>
      </c>
      <c r="O350" s="4">
        <v>10.098216666666668</v>
      </c>
    </row>
    <row r="351">
      <c r="A351" s="5">
        <v>45531.0</v>
      </c>
      <c r="B351" s="1" t="s">
        <v>95</v>
      </c>
      <c r="C351" s="1" t="s">
        <v>89</v>
      </c>
      <c r="D351" s="4">
        <v>264.0</v>
      </c>
      <c r="E351" s="4">
        <v>0.0</v>
      </c>
      <c r="G351" s="1" t="s">
        <v>91</v>
      </c>
      <c r="H351" s="1" t="s">
        <v>92</v>
      </c>
      <c r="I351" s="1" t="s">
        <v>947</v>
      </c>
      <c r="J351" s="1" t="s">
        <v>948</v>
      </c>
      <c r="K351" s="1" t="s">
        <v>948</v>
      </c>
      <c r="M351" s="4">
        <v>0.0</v>
      </c>
      <c r="O351" s="4">
        <v>7.9253</v>
      </c>
    </row>
    <row r="352">
      <c r="A352" s="5">
        <v>45531.0</v>
      </c>
      <c r="B352" s="1" t="s">
        <v>116</v>
      </c>
      <c r="C352" s="1" t="s">
        <v>107</v>
      </c>
      <c r="D352" s="4">
        <v>904.0</v>
      </c>
      <c r="E352" s="4">
        <v>0.0</v>
      </c>
      <c r="F352" s="1" t="s">
        <v>90</v>
      </c>
      <c r="G352" s="1" t="s">
        <v>175</v>
      </c>
      <c r="H352" s="1" t="s">
        <v>92</v>
      </c>
      <c r="I352" s="1" t="s">
        <v>949</v>
      </c>
      <c r="J352" s="1" t="s">
        <v>950</v>
      </c>
      <c r="K352" s="1" t="s">
        <v>951</v>
      </c>
      <c r="L352" s="1" t="s">
        <v>952</v>
      </c>
      <c r="M352" s="4">
        <v>-5.0</v>
      </c>
      <c r="N352" s="4">
        <v>10.187316666666666</v>
      </c>
      <c r="O352" s="4">
        <v>12.899766666666666</v>
      </c>
    </row>
    <row r="353">
      <c r="A353" s="5">
        <v>45531.0</v>
      </c>
      <c r="B353" s="1" t="s">
        <v>116</v>
      </c>
      <c r="C353" s="1" t="s">
        <v>107</v>
      </c>
      <c r="D353" s="4">
        <v>199.0</v>
      </c>
      <c r="E353" s="4">
        <v>50.0</v>
      </c>
      <c r="G353" s="1" t="s">
        <v>111</v>
      </c>
      <c r="H353" s="1" t="s">
        <v>194</v>
      </c>
      <c r="I353" s="1" t="s">
        <v>953</v>
      </c>
      <c r="J353" s="1" t="s">
        <v>954</v>
      </c>
      <c r="K353" s="1" t="s">
        <v>954</v>
      </c>
      <c r="M353" s="4">
        <v>-12.0</v>
      </c>
      <c r="O353" s="4">
        <v>7.353683333333334</v>
      </c>
    </row>
    <row r="354">
      <c r="A354" s="5">
        <v>45531.0</v>
      </c>
      <c r="B354" s="1" t="s">
        <v>116</v>
      </c>
      <c r="C354" s="1" t="s">
        <v>107</v>
      </c>
      <c r="D354" s="4">
        <v>131.0</v>
      </c>
      <c r="E354" s="4">
        <v>119.0</v>
      </c>
      <c r="F354" s="1" t="s">
        <v>90</v>
      </c>
      <c r="G354" s="1" t="s">
        <v>175</v>
      </c>
      <c r="H354" s="1" t="s">
        <v>92</v>
      </c>
      <c r="I354" s="1" t="s">
        <v>955</v>
      </c>
      <c r="J354" s="1" t="s">
        <v>956</v>
      </c>
      <c r="K354" s="1" t="s">
        <v>957</v>
      </c>
      <c r="L354" s="1" t="s">
        <v>958</v>
      </c>
      <c r="M354" s="4">
        <v>-3.0</v>
      </c>
      <c r="N354" s="4">
        <v>7.23575</v>
      </c>
      <c r="O354" s="4">
        <v>12.015916666666667</v>
      </c>
    </row>
    <row r="355">
      <c r="A355" s="5">
        <v>45531.0</v>
      </c>
      <c r="B355" s="1" t="s">
        <v>116</v>
      </c>
      <c r="C355" s="1" t="s">
        <v>107</v>
      </c>
      <c r="D355" s="4">
        <v>247.0</v>
      </c>
      <c r="E355" s="4">
        <v>62.0</v>
      </c>
      <c r="G355" s="1" t="s">
        <v>111</v>
      </c>
      <c r="H355" s="1" t="s">
        <v>92</v>
      </c>
      <c r="I355" s="1" t="s">
        <v>959</v>
      </c>
      <c r="J355" s="1" t="s">
        <v>960</v>
      </c>
      <c r="K355" s="1" t="s">
        <v>960</v>
      </c>
      <c r="M355" s="4">
        <v>-7.0</v>
      </c>
      <c r="O355" s="4">
        <v>11.076666666666666</v>
      </c>
    </row>
    <row r="356">
      <c r="A356" s="5">
        <v>45531.0</v>
      </c>
      <c r="B356" s="1" t="s">
        <v>116</v>
      </c>
      <c r="C356" s="1" t="s">
        <v>107</v>
      </c>
      <c r="D356" s="4">
        <v>468.0</v>
      </c>
      <c r="E356" s="4">
        <v>0.0</v>
      </c>
      <c r="F356" s="1" t="s">
        <v>90</v>
      </c>
      <c r="G356" s="1" t="s">
        <v>175</v>
      </c>
      <c r="H356" s="1" t="s">
        <v>92</v>
      </c>
      <c r="I356" s="1" t="s">
        <v>961</v>
      </c>
      <c r="J356" s="1" t="s">
        <v>962</v>
      </c>
      <c r="K356" s="1" t="s">
        <v>963</v>
      </c>
      <c r="L356" s="1" t="s">
        <v>964</v>
      </c>
      <c r="M356" s="4">
        <v>-1.0</v>
      </c>
      <c r="N356" s="4">
        <v>9.845666666666666</v>
      </c>
      <c r="O356" s="4">
        <v>8.552733333333334</v>
      </c>
    </row>
    <row r="357">
      <c r="A357" s="5">
        <v>45531.0</v>
      </c>
      <c r="B357" s="1" t="s">
        <v>88</v>
      </c>
      <c r="C357" s="1" t="s">
        <v>107</v>
      </c>
      <c r="D357" s="4">
        <v>426.0</v>
      </c>
      <c r="E357" s="4">
        <v>0.0</v>
      </c>
      <c r="F357" s="1" t="s">
        <v>90</v>
      </c>
      <c r="G357" s="1" t="s">
        <v>91</v>
      </c>
      <c r="H357" s="1" t="s">
        <v>92</v>
      </c>
      <c r="I357" s="1" t="s">
        <v>965</v>
      </c>
      <c r="J357" s="1" t="s">
        <v>966</v>
      </c>
      <c r="K357" s="1" t="s">
        <v>966</v>
      </c>
      <c r="M357" s="4">
        <v>-7.0</v>
      </c>
      <c r="O357" s="4">
        <v>7.9576</v>
      </c>
    </row>
    <row r="358">
      <c r="A358" s="5">
        <v>45531.0</v>
      </c>
      <c r="B358" s="1" t="s">
        <v>116</v>
      </c>
      <c r="C358" s="1" t="s">
        <v>107</v>
      </c>
      <c r="D358" s="4">
        <v>398.0</v>
      </c>
      <c r="E358" s="4">
        <v>100.0</v>
      </c>
      <c r="G358" s="1" t="s">
        <v>111</v>
      </c>
      <c r="H358" s="1" t="s">
        <v>194</v>
      </c>
      <c r="I358" s="1" t="s">
        <v>967</v>
      </c>
      <c r="J358" s="1" t="s">
        <v>968</v>
      </c>
      <c r="K358" s="1" t="s">
        <v>968</v>
      </c>
      <c r="M358" s="4">
        <v>-6.0</v>
      </c>
      <c r="O358" s="4">
        <v>13.5384</v>
      </c>
    </row>
    <row r="359">
      <c r="A359" s="5">
        <v>45531.0</v>
      </c>
      <c r="B359" s="1" t="s">
        <v>95</v>
      </c>
      <c r="C359" s="1" t="s">
        <v>107</v>
      </c>
      <c r="D359" s="4">
        <v>357.0</v>
      </c>
      <c r="E359" s="4">
        <v>150.0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0.0</v>
      </c>
      <c r="O359" s="4">
        <v>9.106033333333333</v>
      </c>
    </row>
    <row r="360">
      <c r="A360" s="5">
        <v>45531.0</v>
      </c>
      <c r="B360" s="1" t="s">
        <v>116</v>
      </c>
      <c r="C360" s="1" t="s">
        <v>107</v>
      </c>
      <c r="D360" s="4">
        <v>190.0</v>
      </c>
      <c r="E360" s="4">
        <v>59.0</v>
      </c>
      <c r="G360" s="1" t="s">
        <v>111</v>
      </c>
      <c r="H360" s="1" t="s">
        <v>194</v>
      </c>
      <c r="I360" s="1" t="s">
        <v>971</v>
      </c>
      <c r="J360" s="1" t="s">
        <v>972</v>
      </c>
      <c r="K360" s="1" t="s">
        <v>972</v>
      </c>
      <c r="M360" s="4">
        <v>-18.0</v>
      </c>
      <c r="O360" s="4">
        <v>16.3344</v>
      </c>
    </row>
    <row r="361">
      <c r="A361" s="5">
        <v>45531.0</v>
      </c>
      <c r="B361" s="1" t="s">
        <v>116</v>
      </c>
      <c r="C361" s="1" t="s">
        <v>107</v>
      </c>
      <c r="D361" s="4">
        <v>278.0</v>
      </c>
      <c r="E361" s="4">
        <v>0.0</v>
      </c>
      <c r="F361" s="1" t="s">
        <v>386</v>
      </c>
      <c r="G361" s="1" t="s">
        <v>175</v>
      </c>
      <c r="H361" s="1" t="s">
        <v>92</v>
      </c>
      <c r="I361" s="1" t="s">
        <v>973</v>
      </c>
      <c r="J361" s="1" t="s">
        <v>974</v>
      </c>
      <c r="K361" s="1" t="s">
        <v>975</v>
      </c>
      <c r="L361" s="1" t="s">
        <v>976</v>
      </c>
      <c r="M361" s="4">
        <v>-9.0</v>
      </c>
      <c r="N361" s="4">
        <v>0.01005</v>
      </c>
      <c r="O361" s="4">
        <v>19.410633333333333</v>
      </c>
    </row>
    <row r="362">
      <c r="A362" s="5">
        <v>45531.0</v>
      </c>
      <c r="B362" s="1" t="s">
        <v>95</v>
      </c>
      <c r="C362" s="1" t="s">
        <v>107</v>
      </c>
      <c r="D362" s="4">
        <v>528.0</v>
      </c>
      <c r="E362" s="4">
        <v>0.0</v>
      </c>
      <c r="G362" s="1" t="s">
        <v>91</v>
      </c>
      <c r="H362" s="1" t="s">
        <v>96</v>
      </c>
      <c r="I362" s="1" t="s">
        <v>977</v>
      </c>
      <c r="J362" s="1" t="s">
        <v>978</v>
      </c>
      <c r="K362" s="1" t="s">
        <v>978</v>
      </c>
      <c r="M362" s="4">
        <v>8.0</v>
      </c>
      <c r="O362" s="4">
        <v>17.639</v>
      </c>
    </row>
    <row r="363">
      <c r="A363" s="5">
        <v>45531.0</v>
      </c>
      <c r="B363" s="1" t="s">
        <v>95</v>
      </c>
      <c r="C363" s="1" t="s">
        <v>107</v>
      </c>
      <c r="D363" s="4">
        <v>482.0</v>
      </c>
      <c r="E363" s="4">
        <v>150.0</v>
      </c>
      <c r="G363" s="1" t="s">
        <v>91</v>
      </c>
      <c r="H363" s="1" t="s">
        <v>92</v>
      </c>
      <c r="I363" s="1" t="s">
        <v>979</v>
      </c>
      <c r="J363" s="1" t="s">
        <v>980</v>
      </c>
      <c r="K363" s="1" t="s">
        <v>980</v>
      </c>
      <c r="M363" s="4">
        <v>2.0</v>
      </c>
      <c r="O363" s="4">
        <v>12.91405</v>
      </c>
    </row>
    <row r="364">
      <c r="A364" s="5">
        <v>45531.0</v>
      </c>
      <c r="B364" s="1" t="s">
        <v>110</v>
      </c>
      <c r="C364" s="1" t="s">
        <v>107</v>
      </c>
      <c r="D364" s="4">
        <v>328.0</v>
      </c>
      <c r="E364" s="4">
        <v>0.0</v>
      </c>
      <c r="G364" s="1" t="s">
        <v>111</v>
      </c>
      <c r="H364" s="1" t="s">
        <v>96</v>
      </c>
      <c r="I364" s="1" t="s">
        <v>981</v>
      </c>
      <c r="J364" s="1" t="s">
        <v>982</v>
      </c>
      <c r="K364" s="1" t="s">
        <v>982</v>
      </c>
      <c r="M364" s="4">
        <v>3.0</v>
      </c>
      <c r="O364" s="4">
        <v>8.391383333333334</v>
      </c>
    </row>
    <row r="365">
      <c r="A365" s="5">
        <v>45531.0</v>
      </c>
      <c r="B365" s="1" t="s">
        <v>116</v>
      </c>
      <c r="C365" s="1" t="s">
        <v>107</v>
      </c>
      <c r="D365" s="4">
        <v>323.0</v>
      </c>
      <c r="E365" s="4">
        <v>0.0</v>
      </c>
      <c r="F365" s="1" t="s">
        <v>386</v>
      </c>
      <c r="G365" s="1" t="s">
        <v>175</v>
      </c>
      <c r="H365" s="1" t="s">
        <v>92</v>
      </c>
      <c r="I365" s="1" t="s">
        <v>983</v>
      </c>
      <c r="J365" s="1" t="s">
        <v>984</v>
      </c>
      <c r="K365" s="1" t="s">
        <v>985</v>
      </c>
      <c r="L365" s="1" t="s">
        <v>986</v>
      </c>
      <c r="M365" s="4">
        <v>-1.0</v>
      </c>
      <c r="N365" s="4">
        <v>0.018383333333333335</v>
      </c>
      <c r="O365" s="4">
        <v>27.5915</v>
      </c>
    </row>
    <row r="366">
      <c r="A366" s="5">
        <v>45533.0</v>
      </c>
      <c r="B366" s="1" t="s">
        <v>110</v>
      </c>
      <c r="C366" s="1" t="s">
        <v>107</v>
      </c>
      <c r="D366" s="4">
        <v>119.0</v>
      </c>
      <c r="E366" s="4">
        <v>0.0</v>
      </c>
      <c r="G366" s="1" t="s">
        <v>111</v>
      </c>
      <c r="H366" s="1" t="s">
        <v>96</v>
      </c>
      <c r="I366" s="1" t="s">
        <v>987</v>
      </c>
      <c r="J366" s="1" t="s">
        <v>988</v>
      </c>
      <c r="K366" s="1" t="s">
        <v>988</v>
      </c>
      <c r="M366" s="4">
        <v>-3.0</v>
      </c>
      <c r="O366" s="4">
        <v>1.3451333333333333</v>
      </c>
    </row>
    <row r="367">
      <c r="A367" s="5">
        <v>45533.0</v>
      </c>
      <c r="B367" s="1" t="s">
        <v>95</v>
      </c>
      <c r="C367" s="1" t="s">
        <v>107</v>
      </c>
      <c r="D367" s="4">
        <v>351.0</v>
      </c>
      <c r="E367" s="4">
        <v>0.0</v>
      </c>
      <c r="G367" s="1" t="s">
        <v>91</v>
      </c>
      <c r="H367" s="1" t="s">
        <v>92</v>
      </c>
      <c r="I367" s="1" t="s">
        <v>989</v>
      </c>
      <c r="J367" s="1" t="s">
        <v>990</v>
      </c>
      <c r="K367" s="1" t="s">
        <v>990</v>
      </c>
      <c r="M367" s="4">
        <v>0.0</v>
      </c>
      <c r="O367" s="4">
        <v>8.028533333333334</v>
      </c>
    </row>
    <row r="368">
      <c r="A368" s="5">
        <v>45533.0</v>
      </c>
      <c r="B368" s="1" t="s">
        <v>116</v>
      </c>
      <c r="C368" s="1" t="s">
        <v>107</v>
      </c>
      <c r="D368" s="4">
        <v>392.0</v>
      </c>
      <c r="E368" s="4">
        <v>0.0</v>
      </c>
      <c r="F368" s="1" t="s">
        <v>90</v>
      </c>
      <c r="G368" s="1" t="s">
        <v>175</v>
      </c>
      <c r="H368" s="1" t="s">
        <v>96</v>
      </c>
      <c r="I368" s="1" t="s">
        <v>991</v>
      </c>
      <c r="J368" s="1" t="s">
        <v>992</v>
      </c>
      <c r="K368" s="1" t="s">
        <v>993</v>
      </c>
      <c r="L368" s="1" t="s">
        <v>994</v>
      </c>
      <c r="M368" s="4">
        <v>-15.0</v>
      </c>
      <c r="N368" s="4">
        <v>1.2876666666666667</v>
      </c>
      <c r="O368" s="4">
        <v>7.60585</v>
      </c>
    </row>
    <row r="369">
      <c r="A369" s="5">
        <v>45533.0</v>
      </c>
      <c r="B369" s="1" t="s">
        <v>95</v>
      </c>
      <c r="C369" s="1" t="s">
        <v>107</v>
      </c>
      <c r="D369" s="4">
        <v>214.0</v>
      </c>
      <c r="E369" s="4">
        <v>50.0</v>
      </c>
      <c r="G369" s="1" t="s">
        <v>91</v>
      </c>
      <c r="H369" s="1" t="s">
        <v>92</v>
      </c>
      <c r="I369" s="1" t="s">
        <v>995</v>
      </c>
      <c r="J369" s="1" t="s">
        <v>996</v>
      </c>
      <c r="K369" s="1" t="s">
        <v>996</v>
      </c>
      <c r="M369" s="4">
        <v>0.0</v>
      </c>
      <c r="O369" s="4">
        <v>7.566</v>
      </c>
    </row>
    <row r="370">
      <c r="A370" s="5">
        <v>45533.0</v>
      </c>
      <c r="B370" s="1" t="s">
        <v>88</v>
      </c>
      <c r="C370" s="1" t="s">
        <v>107</v>
      </c>
      <c r="D370" s="4">
        <v>463.0</v>
      </c>
      <c r="E370" s="4">
        <v>0.0</v>
      </c>
      <c r="F370" s="1" t="s">
        <v>90</v>
      </c>
      <c r="G370" s="1" t="s">
        <v>91</v>
      </c>
      <c r="H370" s="1" t="s">
        <v>92</v>
      </c>
      <c r="I370" s="1" t="s">
        <v>997</v>
      </c>
      <c r="J370" s="1" t="s">
        <v>998</v>
      </c>
      <c r="K370" s="1" t="s">
        <v>998</v>
      </c>
      <c r="M370" s="4">
        <v>-2.0</v>
      </c>
      <c r="O370" s="4">
        <v>12.497416666666666</v>
      </c>
    </row>
    <row r="371">
      <c r="A371" s="5">
        <v>45533.0</v>
      </c>
      <c r="B371" s="1" t="s">
        <v>95</v>
      </c>
      <c r="C371" s="1" t="s">
        <v>107</v>
      </c>
      <c r="D371" s="4">
        <v>329.0</v>
      </c>
      <c r="E371" s="4">
        <v>0.0</v>
      </c>
      <c r="G371" s="1" t="s">
        <v>91</v>
      </c>
      <c r="H371" s="1" t="s">
        <v>96</v>
      </c>
      <c r="I371" s="1" t="s">
        <v>999</v>
      </c>
      <c r="J371" s="1" t="s">
        <v>1000</v>
      </c>
      <c r="K371" s="1" t="s">
        <v>1000</v>
      </c>
      <c r="M371" s="4">
        <v>0.0</v>
      </c>
      <c r="O371" s="4">
        <v>7.52115</v>
      </c>
    </row>
    <row r="372">
      <c r="A372" s="5">
        <v>45533.0</v>
      </c>
      <c r="B372" s="1" t="s">
        <v>88</v>
      </c>
      <c r="C372" s="1" t="s">
        <v>107</v>
      </c>
      <c r="D372" s="4">
        <v>348.0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1001</v>
      </c>
      <c r="J372" s="1" t="s">
        <v>1002</v>
      </c>
      <c r="K372" s="1" t="s">
        <v>1002</v>
      </c>
      <c r="M372" s="4">
        <v>-6.0</v>
      </c>
      <c r="O372" s="4">
        <v>8.97935</v>
      </c>
    </row>
    <row r="373">
      <c r="A373" s="5">
        <v>45533.0</v>
      </c>
      <c r="B373" s="1" t="s">
        <v>95</v>
      </c>
      <c r="C373" s="1" t="s">
        <v>107</v>
      </c>
      <c r="D373" s="4">
        <v>329.0</v>
      </c>
      <c r="E373" s="4">
        <v>0.0</v>
      </c>
      <c r="G373" s="1" t="s">
        <v>91</v>
      </c>
      <c r="H373" s="1" t="s">
        <v>92</v>
      </c>
      <c r="I373" s="1" t="s">
        <v>1003</v>
      </c>
      <c r="J373" s="1" t="s">
        <v>1004</v>
      </c>
      <c r="K373" s="1" t="s">
        <v>1004</v>
      </c>
      <c r="M373" s="4">
        <v>0.0</v>
      </c>
      <c r="O373" s="4">
        <v>7.0422666666666665</v>
      </c>
    </row>
    <row r="374">
      <c r="A374" s="5">
        <v>45533.0</v>
      </c>
      <c r="B374" s="1" t="s">
        <v>88</v>
      </c>
      <c r="C374" s="1" t="s">
        <v>107</v>
      </c>
      <c r="D374" s="4">
        <v>351.0</v>
      </c>
      <c r="E374" s="4">
        <v>0.0</v>
      </c>
      <c r="F374" s="1" t="s">
        <v>90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-7.0</v>
      </c>
      <c r="O374" s="4">
        <v>7.736983333333334</v>
      </c>
    </row>
    <row r="375">
      <c r="A375" s="5">
        <v>45533.0</v>
      </c>
      <c r="B375" s="1" t="s">
        <v>95</v>
      </c>
      <c r="C375" s="1" t="s">
        <v>107</v>
      </c>
      <c r="D375" s="4">
        <v>284.0</v>
      </c>
      <c r="E375" s="4">
        <v>0.0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0.0</v>
      </c>
      <c r="O375" s="4">
        <v>6.0616666666666665</v>
      </c>
    </row>
    <row r="376">
      <c r="A376" s="5">
        <v>45533.0</v>
      </c>
      <c r="B376" s="1" t="s">
        <v>103</v>
      </c>
      <c r="C376" s="1" t="s">
        <v>107</v>
      </c>
      <c r="D376" s="4">
        <v>321.0</v>
      </c>
      <c r="E376" s="4">
        <v>0.0</v>
      </c>
      <c r="F376" s="1" t="s">
        <v>1009</v>
      </c>
      <c r="G376" s="1" t="s">
        <v>91</v>
      </c>
      <c r="H376" s="1" t="s">
        <v>92</v>
      </c>
      <c r="I376" s="1" t="s">
        <v>1010</v>
      </c>
      <c r="J376" s="1" t="s">
        <v>1011</v>
      </c>
      <c r="K376" s="1" t="s">
        <v>1011</v>
      </c>
      <c r="M376" s="4">
        <v>-4.0</v>
      </c>
      <c r="O376" s="4">
        <v>10.227283333333334</v>
      </c>
    </row>
    <row r="377">
      <c r="A377" s="5">
        <v>45533.0</v>
      </c>
      <c r="B377" s="1" t="s">
        <v>95</v>
      </c>
      <c r="C377" s="1" t="s">
        <v>107</v>
      </c>
      <c r="D377" s="4">
        <v>528.0</v>
      </c>
      <c r="E377" s="4">
        <v>0.0</v>
      </c>
      <c r="G377" s="1" t="s">
        <v>91</v>
      </c>
      <c r="H377" s="1" t="s">
        <v>96</v>
      </c>
      <c r="I377" s="1" t="s">
        <v>1012</v>
      </c>
      <c r="J377" s="1" t="s">
        <v>1013</v>
      </c>
      <c r="K377" s="1" t="s">
        <v>1013</v>
      </c>
      <c r="M377" s="4">
        <v>0.0</v>
      </c>
      <c r="O377" s="4">
        <v>8.3789</v>
      </c>
    </row>
    <row r="378">
      <c r="A378" s="5">
        <v>45533.0</v>
      </c>
      <c r="B378" s="1" t="s">
        <v>88</v>
      </c>
      <c r="C378" s="1" t="s">
        <v>107</v>
      </c>
      <c r="D378" s="4">
        <v>218.0</v>
      </c>
      <c r="E378" s="4">
        <v>0.0</v>
      </c>
      <c r="F378" s="1" t="s">
        <v>90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-6.0</v>
      </c>
      <c r="O378" s="4">
        <v>8.968916666666667</v>
      </c>
    </row>
    <row r="379">
      <c r="A379" s="5">
        <v>45533.0</v>
      </c>
      <c r="B379" s="1" t="s">
        <v>110</v>
      </c>
      <c r="C379" s="1" t="s">
        <v>107</v>
      </c>
      <c r="D379" s="4">
        <v>309.0</v>
      </c>
      <c r="E379" s="4">
        <v>0.0</v>
      </c>
      <c r="G379" s="1" t="s">
        <v>111</v>
      </c>
      <c r="H379" s="1" t="s">
        <v>96</v>
      </c>
      <c r="I379" s="1" t="s">
        <v>1016</v>
      </c>
      <c r="J379" s="1" t="s">
        <v>1017</v>
      </c>
      <c r="K379" s="1" t="s">
        <v>1017</v>
      </c>
      <c r="M379" s="4">
        <v>0.0</v>
      </c>
      <c r="O379" s="4">
        <v>5.4667666666666666</v>
      </c>
    </row>
    <row r="380">
      <c r="A380" s="5">
        <v>45533.0</v>
      </c>
      <c r="B380" s="1" t="s">
        <v>88</v>
      </c>
      <c r="C380" s="1" t="s">
        <v>107</v>
      </c>
      <c r="D380" s="4">
        <v>394.0</v>
      </c>
      <c r="E380" s="4">
        <v>0.0</v>
      </c>
      <c r="F380" s="1" t="s">
        <v>90</v>
      </c>
      <c r="G380" s="1" t="s">
        <v>91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-5.0</v>
      </c>
      <c r="O380" s="4">
        <v>9.261583333333334</v>
      </c>
    </row>
    <row r="381">
      <c r="A381" s="5">
        <v>45533.0</v>
      </c>
      <c r="B381" s="1" t="s">
        <v>116</v>
      </c>
      <c r="C381" s="1" t="s">
        <v>107</v>
      </c>
      <c r="D381" s="4">
        <v>388.0</v>
      </c>
      <c r="E381" s="4">
        <v>67.0</v>
      </c>
      <c r="G381" s="1" t="s">
        <v>111</v>
      </c>
      <c r="H381" s="1" t="s">
        <v>194</v>
      </c>
      <c r="I381" s="1" t="s">
        <v>1020</v>
      </c>
      <c r="J381" s="1" t="s">
        <v>1021</v>
      </c>
      <c r="K381" s="1" t="s">
        <v>1021</v>
      </c>
      <c r="M381" s="4">
        <v>-11.0</v>
      </c>
      <c r="O381" s="4">
        <v>8.139916666666666</v>
      </c>
    </row>
    <row r="382">
      <c r="A382" s="5">
        <v>45533.0</v>
      </c>
      <c r="B382" s="1" t="s">
        <v>103</v>
      </c>
      <c r="C382" s="1" t="s">
        <v>107</v>
      </c>
      <c r="D382" s="4">
        <v>294.0</v>
      </c>
      <c r="E382" s="4">
        <v>0.0</v>
      </c>
      <c r="F382" s="1" t="s">
        <v>1022</v>
      </c>
      <c r="G382" s="1" t="s">
        <v>91</v>
      </c>
      <c r="H382" s="1" t="s">
        <v>92</v>
      </c>
      <c r="I382" s="1" t="s">
        <v>1023</v>
      </c>
      <c r="J382" s="1" t="s">
        <v>1024</v>
      </c>
      <c r="K382" s="1" t="s">
        <v>1024</v>
      </c>
      <c r="M382" s="4">
        <v>-9.0</v>
      </c>
      <c r="O382" s="4">
        <v>5.127133333333333</v>
      </c>
    </row>
    <row r="383">
      <c r="A383" s="5">
        <v>45533.0</v>
      </c>
      <c r="B383" s="1" t="s">
        <v>110</v>
      </c>
      <c r="C383" s="1" t="s">
        <v>107</v>
      </c>
      <c r="D383" s="4">
        <v>374.0</v>
      </c>
      <c r="E383" s="4">
        <v>0.0</v>
      </c>
      <c r="G383" s="1" t="s">
        <v>111</v>
      </c>
      <c r="H383" s="1" t="s">
        <v>96</v>
      </c>
      <c r="I383" s="1" t="s">
        <v>1025</v>
      </c>
      <c r="J383" s="1" t="s">
        <v>1026</v>
      </c>
      <c r="K383" s="1" t="s">
        <v>1026</v>
      </c>
      <c r="M383" s="4">
        <v>0.0</v>
      </c>
      <c r="O383" s="4">
        <v>4.57555</v>
      </c>
    </row>
    <row r="384">
      <c r="A384" s="5">
        <v>45533.0</v>
      </c>
      <c r="B384" s="1" t="s">
        <v>88</v>
      </c>
      <c r="C384" s="1" t="s">
        <v>107</v>
      </c>
      <c r="D384" s="4">
        <v>258.0</v>
      </c>
      <c r="E384" s="4">
        <v>0.0</v>
      </c>
      <c r="F384" s="1" t="s">
        <v>90</v>
      </c>
      <c r="G384" s="1" t="s">
        <v>91</v>
      </c>
      <c r="H384" s="1" t="s">
        <v>92</v>
      </c>
      <c r="I384" s="1" t="s">
        <v>1027</v>
      </c>
      <c r="J384" s="1" t="s">
        <v>1028</v>
      </c>
      <c r="K384" s="1" t="s">
        <v>1028</v>
      </c>
      <c r="M384" s="4">
        <v>0.0</v>
      </c>
      <c r="O384" s="4">
        <v>14.151566666666668</v>
      </c>
    </row>
    <row r="385">
      <c r="A385" s="5">
        <v>45533.0</v>
      </c>
      <c r="B385" s="1" t="s">
        <v>88</v>
      </c>
      <c r="C385" s="1" t="s">
        <v>107</v>
      </c>
      <c r="D385" s="4">
        <v>493.0</v>
      </c>
      <c r="E385" s="4">
        <v>0.0</v>
      </c>
      <c r="F385" s="1" t="s">
        <v>90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2.0</v>
      </c>
      <c r="O385" s="4">
        <v>17.6151</v>
      </c>
    </row>
    <row r="386">
      <c r="A386" s="5">
        <v>45533.0</v>
      </c>
      <c r="B386" s="1" t="s">
        <v>95</v>
      </c>
      <c r="C386" s="1" t="s">
        <v>107</v>
      </c>
      <c r="D386" s="4">
        <v>303.0</v>
      </c>
      <c r="E386" s="4">
        <v>0.0</v>
      </c>
      <c r="G386" s="1" t="s">
        <v>91</v>
      </c>
      <c r="H386" s="1" t="s">
        <v>92</v>
      </c>
      <c r="I386" s="1" t="s">
        <v>1031</v>
      </c>
      <c r="J386" s="1" t="s">
        <v>1032</v>
      </c>
      <c r="K386" s="1" t="s">
        <v>1032</v>
      </c>
      <c r="M386" s="4">
        <v>5.0</v>
      </c>
      <c r="O386" s="4">
        <v>12.132433333333333</v>
      </c>
    </row>
    <row r="387">
      <c r="A387" s="5">
        <v>45533.0</v>
      </c>
      <c r="B387" s="1" t="s">
        <v>116</v>
      </c>
      <c r="C387" s="1" t="s">
        <v>107</v>
      </c>
      <c r="D387" s="4">
        <v>247.0</v>
      </c>
      <c r="E387" s="4">
        <v>62.0</v>
      </c>
      <c r="G387" s="1" t="s">
        <v>111</v>
      </c>
      <c r="H387" s="1" t="s">
        <v>194</v>
      </c>
      <c r="I387" s="1" t="s">
        <v>1033</v>
      </c>
      <c r="J387" s="1" t="s">
        <v>1034</v>
      </c>
      <c r="K387" s="1" t="s">
        <v>1034</v>
      </c>
      <c r="M387" s="4">
        <v>-3.0</v>
      </c>
      <c r="O387" s="4">
        <v>16.6762</v>
      </c>
    </row>
    <row r="388">
      <c r="A388" s="5">
        <v>45533.0</v>
      </c>
      <c r="B388" s="1" t="s">
        <v>88</v>
      </c>
      <c r="C388" s="1" t="s">
        <v>107</v>
      </c>
      <c r="D388" s="4">
        <v>264.0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1035</v>
      </c>
      <c r="J388" s="1" t="s">
        <v>1036</v>
      </c>
      <c r="K388" s="1" t="s">
        <v>1036</v>
      </c>
      <c r="M388" s="4">
        <v>-4.0</v>
      </c>
      <c r="O388" s="4">
        <v>10.545683333333333</v>
      </c>
    </row>
    <row r="389">
      <c r="A389" s="5">
        <v>45533.0</v>
      </c>
      <c r="B389" s="1" t="s">
        <v>110</v>
      </c>
      <c r="C389" s="1" t="s">
        <v>107</v>
      </c>
      <c r="D389" s="4">
        <v>49.0</v>
      </c>
      <c r="E389" s="4">
        <v>0.0</v>
      </c>
      <c r="G389" s="1" t="s">
        <v>111</v>
      </c>
      <c r="H389" s="1" t="s">
        <v>96</v>
      </c>
      <c r="I389" s="1" t="s">
        <v>1037</v>
      </c>
      <c r="J389" s="1" t="s">
        <v>1038</v>
      </c>
      <c r="K389" s="1" t="s">
        <v>1038</v>
      </c>
      <c r="M389" s="4">
        <v>-1.0</v>
      </c>
      <c r="O389" s="4">
        <v>3.6415166666666665</v>
      </c>
    </row>
    <row r="390">
      <c r="A390" s="5">
        <v>45533.0</v>
      </c>
      <c r="B390" s="1" t="s">
        <v>116</v>
      </c>
      <c r="C390" s="1" t="s">
        <v>107</v>
      </c>
      <c r="D390" s="4">
        <v>199.0</v>
      </c>
      <c r="E390" s="4">
        <v>50.0</v>
      </c>
      <c r="G390" s="1" t="s">
        <v>111</v>
      </c>
      <c r="H390" s="1" t="s">
        <v>194</v>
      </c>
      <c r="I390" s="1" t="s">
        <v>1039</v>
      </c>
      <c r="J390" s="1" t="s">
        <v>1040</v>
      </c>
      <c r="K390" s="1" t="s">
        <v>1040</v>
      </c>
      <c r="M390" s="4">
        <v>-2.0</v>
      </c>
      <c r="O390" s="4">
        <v>16.646333333333335</v>
      </c>
    </row>
    <row r="391">
      <c r="A391" s="5">
        <v>45533.0</v>
      </c>
      <c r="B391" s="1" t="s">
        <v>95</v>
      </c>
      <c r="C391" s="1" t="s">
        <v>107</v>
      </c>
      <c r="D391" s="4">
        <v>488.0</v>
      </c>
      <c r="E391" s="4">
        <v>0.0</v>
      </c>
      <c r="G391" s="1" t="s">
        <v>91</v>
      </c>
      <c r="H391" s="1" t="s">
        <v>96</v>
      </c>
      <c r="I391" s="1" t="s">
        <v>1041</v>
      </c>
      <c r="J391" s="1" t="s">
        <v>1042</v>
      </c>
      <c r="K391" s="1" t="s">
        <v>1042</v>
      </c>
      <c r="M391" s="4">
        <v>0.0</v>
      </c>
      <c r="O391" s="4">
        <v>9.032566666666666</v>
      </c>
    </row>
    <row r="392">
      <c r="A392" s="5">
        <v>45533.0</v>
      </c>
      <c r="B392" s="1" t="s">
        <v>95</v>
      </c>
      <c r="C392" s="1" t="s">
        <v>107</v>
      </c>
      <c r="D392" s="4">
        <v>264.0</v>
      </c>
      <c r="E392" s="4">
        <v>0.0</v>
      </c>
      <c r="G392" s="1" t="s">
        <v>91</v>
      </c>
      <c r="H392" s="1" t="s">
        <v>92</v>
      </c>
      <c r="I392" s="1" t="s">
        <v>1043</v>
      </c>
      <c r="J392" s="1" t="s">
        <v>1044</v>
      </c>
      <c r="K392" s="1" t="s">
        <v>1044</v>
      </c>
      <c r="M392" s="4">
        <v>3.0</v>
      </c>
      <c r="O392" s="4">
        <v>10.065466666666667</v>
      </c>
    </row>
    <row r="393">
      <c r="A393" s="5">
        <v>45533.0</v>
      </c>
      <c r="B393" s="1" t="s">
        <v>116</v>
      </c>
      <c r="C393" s="1" t="s">
        <v>107</v>
      </c>
      <c r="D393" s="4">
        <v>319.0</v>
      </c>
      <c r="E393" s="4">
        <v>0.0</v>
      </c>
      <c r="F393" s="1" t="s">
        <v>386</v>
      </c>
      <c r="G393" s="1" t="s">
        <v>175</v>
      </c>
      <c r="H393" s="1" t="s">
        <v>92</v>
      </c>
      <c r="I393" s="1" t="s">
        <v>1045</v>
      </c>
      <c r="J393" s="1" t="s">
        <v>1046</v>
      </c>
      <c r="K393" s="1" t="s">
        <v>1047</v>
      </c>
      <c r="L393" s="1" t="s">
        <v>1048</v>
      </c>
      <c r="M393" s="4">
        <v>0.0</v>
      </c>
      <c r="N393" s="4">
        <v>0.010883333333333333</v>
      </c>
      <c r="O393" s="4">
        <v>6.908816666666667</v>
      </c>
    </row>
    <row r="394">
      <c r="A394" s="5">
        <v>45533.0</v>
      </c>
      <c r="B394" s="1" t="s">
        <v>103</v>
      </c>
      <c r="C394" s="1" t="s">
        <v>107</v>
      </c>
      <c r="D394" s="4">
        <v>329.0</v>
      </c>
      <c r="E394" s="4">
        <v>0.0</v>
      </c>
      <c r="F394" s="1" t="s">
        <v>1049</v>
      </c>
      <c r="G394" s="1" t="s">
        <v>91</v>
      </c>
      <c r="H394" s="1" t="s">
        <v>92</v>
      </c>
      <c r="I394" s="1" t="s">
        <v>1050</v>
      </c>
      <c r="J394" s="1" t="s">
        <v>1051</v>
      </c>
      <c r="K394" s="1" t="s">
        <v>1051</v>
      </c>
      <c r="M394" s="4">
        <v>-4.0</v>
      </c>
      <c r="O394" s="4">
        <v>10.0278</v>
      </c>
    </row>
    <row r="395">
      <c r="A395" s="5">
        <v>45533.0</v>
      </c>
      <c r="B395" s="1" t="s">
        <v>116</v>
      </c>
      <c r="C395" s="1" t="s">
        <v>107</v>
      </c>
      <c r="D395" s="4">
        <v>518.0</v>
      </c>
      <c r="E395" s="4">
        <v>0.0</v>
      </c>
      <c r="F395" s="1" t="s">
        <v>386</v>
      </c>
      <c r="G395" s="1" t="s">
        <v>175</v>
      </c>
      <c r="H395" s="1" t="s">
        <v>92</v>
      </c>
      <c r="I395" s="1" t="s">
        <v>1052</v>
      </c>
      <c r="J395" s="1" t="s">
        <v>1053</v>
      </c>
      <c r="K395" s="1" t="s">
        <v>1054</v>
      </c>
      <c r="L395" s="1" t="s">
        <v>1055</v>
      </c>
      <c r="M395" s="4">
        <v>-8.0</v>
      </c>
      <c r="N395" s="4">
        <v>0.010616666666666667</v>
      </c>
      <c r="O395" s="4">
        <v>8.108183333333333</v>
      </c>
    </row>
    <row r="396">
      <c r="A396" s="5">
        <v>45533.0</v>
      </c>
      <c r="B396" s="1" t="s">
        <v>116</v>
      </c>
      <c r="C396" s="1" t="s">
        <v>107</v>
      </c>
      <c r="D396" s="4">
        <v>309.0</v>
      </c>
      <c r="E396" s="4">
        <v>0.0</v>
      </c>
      <c r="F396" s="1" t="s">
        <v>386</v>
      </c>
      <c r="G396" s="1" t="s">
        <v>175</v>
      </c>
      <c r="H396" s="1" t="s">
        <v>92</v>
      </c>
      <c r="I396" s="1" t="s">
        <v>1056</v>
      </c>
      <c r="J396" s="1" t="s">
        <v>1057</v>
      </c>
      <c r="K396" s="1" t="s">
        <v>1058</v>
      </c>
      <c r="L396" s="1" t="s">
        <v>1059</v>
      </c>
      <c r="M396" s="4">
        <v>-13.0</v>
      </c>
      <c r="N396" s="4">
        <v>0.01065</v>
      </c>
      <c r="O396" s="4">
        <v>8.4213</v>
      </c>
    </row>
    <row r="397">
      <c r="A397" s="5">
        <v>45533.0</v>
      </c>
      <c r="B397" s="1" t="s">
        <v>95</v>
      </c>
      <c r="C397" s="1" t="s">
        <v>107</v>
      </c>
      <c r="D397" s="4">
        <v>488.0</v>
      </c>
      <c r="E397" s="4">
        <v>0.0</v>
      </c>
      <c r="G397" s="1" t="s">
        <v>91</v>
      </c>
      <c r="H397" s="1" t="s">
        <v>92</v>
      </c>
      <c r="I397" s="1" t="s">
        <v>1060</v>
      </c>
      <c r="J397" s="1" t="s">
        <v>1061</v>
      </c>
      <c r="K397" s="1" t="s">
        <v>1061</v>
      </c>
      <c r="M397" s="4">
        <v>-2.0</v>
      </c>
      <c r="O397" s="4">
        <v>6.26345</v>
      </c>
    </row>
    <row r="398">
      <c r="A398" s="5">
        <v>45533.0</v>
      </c>
      <c r="B398" s="1" t="s">
        <v>88</v>
      </c>
      <c r="C398" s="1" t="s">
        <v>107</v>
      </c>
      <c r="D398" s="4">
        <v>364.0</v>
      </c>
      <c r="E398" s="4">
        <v>0.0</v>
      </c>
      <c r="F398" s="1" t="s">
        <v>90</v>
      </c>
      <c r="G398" s="1" t="s">
        <v>91</v>
      </c>
      <c r="H398" s="1" t="s">
        <v>92</v>
      </c>
      <c r="I398" s="1" t="s">
        <v>1062</v>
      </c>
      <c r="J398" s="1" t="s">
        <v>1063</v>
      </c>
      <c r="K398" s="1" t="s">
        <v>1063</v>
      </c>
      <c r="M398" s="4">
        <v>-12.0</v>
      </c>
      <c r="O398" s="4">
        <v>11.001066666666667</v>
      </c>
    </row>
    <row r="399">
      <c r="A399" s="5">
        <v>45533.0</v>
      </c>
      <c r="B399" s="1" t="s">
        <v>88</v>
      </c>
      <c r="C399" s="1" t="s">
        <v>107</v>
      </c>
      <c r="D399" s="4">
        <v>453.0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1064</v>
      </c>
      <c r="J399" s="1" t="s">
        <v>1065</v>
      </c>
      <c r="K399" s="1" t="s">
        <v>1065</v>
      </c>
      <c r="M399" s="4">
        <v>-6.0</v>
      </c>
      <c r="O399" s="4">
        <v>8.654366666666666</v>
      </c>
    </row>
    <row r="400">
      <c r="A400" s="5">
        <v>45533.0</v>
      </c>
      <c r="B400" s="1" t="s">
        <v>88</v>
      </c>
      <c r="C400" s="1" t="s">
        <v>107</v>
      </c>
      <c r="D400" s="4">
        <v>558.0</v>
      </c>
      <c r="E400" s="4">
        <v>0.0</v>
      </c>
      <c r="F400" s="1" t="s">
        <v>90</v>
      </c>
      <c r="G400" s="1" t="s">
        <v>91</v>
      </c>
      <c r="H400" s="1" t="s">
        <v>92</v>
      </c>
      <c r="I400" s="1" t="s">
        <v>1066</v>
      </c>
      <c r="J400" s="1" t="s">
        <v>1067</v>
      </c>
      <c r="K400" s="1" t="s">
        <v>1067</v>
      </c>
      <c r="M400" s="4">
        <v>-12.0</v>
      </c>
      <c r="O400" s="4">
        <v>7.707333333333334</v>
      </c>
    </row>
    <row r="401">
      <c r="A401" s="5">
        <v>45533.0</v>
      </c>
      <c r="B401" s="1" t="s">
        <v>88</v>
      </c>
      <c r="C401" s="1" t="s">
        <v>107</v>
      </c>
      <c r="D401" s="4">
        <v>264.0</v>
      </c>
      <c r="E401" s="4">
        <v>0.0</v>
      </c>
      <c r="F401" s="1" t="s">
        <v>90</v>
      </c>
      <c r="G401" s="1" t="s">
        <v>91</v>
      </c>
      <c r="H401" s="1" t="s">
        <v>92</v>
      </c>
      <c r="I401" s="1" t="s">
        <v>1068</v>
      </c>
      <c r="J401" s="1" t="s">
        <v>1069</v>
      </c>
      <c r="K401" s="1" t="s">
        <v>1069</v>
      </c>
      <c r="M401" s="4">
        <v>-7.0</v>
      </c>
      <c r="O401" s="4">
        <v>7.159883333333333</v>
      </c>
    </row>
    <row r="402">
      <c r="A402" s="5">
        <v>45533.0</v>
      </c>
      <c r="B402" s="1" t="s">
        <v>95</v>
      </c>
      <c r="C402" s="1" t="s">
        <v>107</v>
      </c>
      <c r="D402" s="4">
        <v>214.0</v>
      </c>
      <c r="E402" s="4">
        <v>50.0</v>
      </c>
      <c r="G402" s="1" t="s">
        <v>91</v>
      </c>
      <c r="H402" s="1" t="s">
        <v>92</v>
      </c>
      <c r="I402" s="1" t="s">
        <v>1070</v>
      </c>
      <c r="J402" s="1" t="s">
        <v>1071</v>
      </c>
      <c r="K402" s="1" t="s">
        <v>1071</v>
      </c>
      <c r="M402" s="4">
        <v>0.0</v>
      </c>
      <c r="O402" s="4">
        <v>6.612233333333333</v>
      </c>
    </row>
    <row r="403">
      <c r="A403" s="5">
        <v>45533.0</v>
      </c>
      <c r="B403" s="1" t="s">
        <v>88</v>
      </c>
      <c r="C403" s="1" t="s">
        <v>107</v>
      </c>
      <c r="D403" s="4">
        <v>321.0</v>
      </c>
      <c r="E403" s="4">
        <v>0.0</v>
      </c>
      <c r="F403" s="1" t="s">
        <v>90</v>
      </c>
      <c r="G403" s="1" t="s">
        <v>91</v>
      </c>
      <c r="H403" s="1" t="s">
        <v>92</v>
      </c>
      <c r="I403" s="1" t="s">
        <v>1072</v>
      </c>
      <c r="J403" s="1" t="s">
        <v>1073</v>
      </c>
      <c r="K403" s="1" t="s">
        <v>1073</v>
      </c>
      <c r="M403" s="4">
        <v>-7.0</v>
      </c>
      <c r="O403" s="4">
        <v>7.2728166666666665</v>
      </c>
    </row>
    <row r="404">
      <c r="A404" s="5">
        <v>45533.0</v>
      </c>
      <c r="B404" s="1" t="s">
        <v>88</v>
      </c>
      <c r="C404" s="1" t="s">
        <v>107</v>
      </c>
      <c r="D404" s="4">
        <v>203.0</v>
      </c>
      <c r="E404" s="4">
        <v>0.0</v>
      </c>
      <c r="F404" s="1" t="s">
        <v>90</v>
      </c>
      <c r="G404" s="1" t="s">
        <v>91</v>
      </c>
      <c r="H404" s="1" t="s">
        <v>92</v>
      </c>
      <c r="I404" s="1" t="s">
        <v>1074</v>
      </c>
      <c r="J404" s="1" t="s">
        <v>1075</v>
      </c>
      <c r="K404" s="1" t="s">
        <v>1075</v>
      </c>
      <c r="M404" s="4">
        <v>-6.0</v>
      </c>
      <c r="O404" s="4">
        <v>8.760966666666667</v>
      </c>
    </row>
    <row r="405">
      <c r="A405" s="5">
        <v>45533.0</v>
      </c>
      <c r="B405" s="1" t="s">
        <v>95</v>
      </c>
      <c r="C405" s="1" t="s">
        <v>107</v>
      </c>
      <c r="D405" s="4">
        <v>553.0</v>
      </c>
      <c r="E405" s="4">
        <v>0.0</v>
      </c>
      <c r="G405" s="1" t="s">
        <v>91</v>
      </c>
      <c r="H405" s="1" t="s">
        <v>92</v>
      </c>
      <c r="I405" s="1" t="s">
        <v>1076</v>
      </c>
      <c r="J405" s="1" t="s">
        <v>1077</v>
      </c>
      <c r="K405" s="1" t="s">
        <v>1077</v>
      </c>
      <c r="M405" s="4">
        <v>-1.0</v>
      </c>
      <c r="O405" s="4">
        <v>7.8547666666666665</v>
      </c>
    </row>
    <row r="406">
      <c r="A406" s="5">
        <v>45533.0</v>
      </c>
      <c r="B406" s="1" t="s">
        <v>116</v>
      </c>
      <c r="C406" s="1" t="s">
        <v>107</v>
      </c>
      <c r="D406" s="4">
        <v>279.0</v>
      </c>
      <c r="E406" s="4">
        <v>0.0</v>
      </c>
      <c r="F406" s="1" t="s">
        <v>386</v>
      </c>
      <c r="G406" s="1" t="s">
        <v>175</v>
      </c>
      <c r="H406" s="1" t="s">
        <v>96</v>
      </c>
      <c r="I406" s="1" t="s">
        <v>1078</v>
      </c>
      <c r="J406" s="1" t="s">
        <v>1079</v>
      </c>
      <c r="K406" s="1" t="s">
        <v>1080</v>
      </c>
      <c r="L406" s="1" t="s">
        <v>1081</v>
      </c>
      <c r="M406" s="4">
        <v>-16.0</v>
      </c>
      <c r="N406" s="4">
        <v>0.01645</v>
      </c>
      <c r="O406" s="4">
        <v>6.808433333333333</v>
      </c>
    </row>
    <row r="407">
      <c r="A407" s="5">
        <v>45533.0</v>
      </c>
      <c r="B407" s="1" t="s">
        <v>116</v>
      </c>
      <c r="C407" s="1" t="s">
        <v>107</v>
      </c>
      <c r="D407" s="4">
        <v>498.0</v>
      </c>
      <c r="E407" s="4">
        <v>125.0</v>
      </c>
      <c r="G407" s="1" t="s">
        <v>111</v>
      </c>
      <c r="H407" s="1" t="s">
        <v>194</v>
      </c>
      <c r="I407" s="1" t="s">
        <v>1082</v>
      </c>
      <c r="J407" s="1" t="s">
        <v>1083</v>
      </c>
      <c r="K407" s="1" t="s">
        <v>1083</v>
      </c>
      <c r="M407" s="4">
        <v>-16.0</v>
      </c>
      <c r="O407" s="4">
        <v>12.638866666666667</v>
      </c>
    </row>
    <row r="408">
      <c r="A408" s="5">
        <v>45533.0</v>
      </c>
      <c r="B408" s="1" t="s">
        <v>116</v>
      </c>
      <c r="C408" s="1" t="s">
        <v>107</v>
      </c>
      <c r="D408" s="4">
        <v>528.0</v>
      </c>
      <c r="E408" s="4">
        <v>0.0</v>
      </c>
      <c r="F408" s="1" t="s">
        <v>386</v>
      </c>
      <c r="G408" s="1" t="s">
        <v>175</v>
      </c>
      <c r="H408" s="1" t="s">
        <v>96</v>
      </c>
      <c r="I408" s="1" t="s">
        <v>1084</v>
      </c>
      <c r="J408" s="1" t="s">
        <v>1085</v>
      </c>
      <c r="K408" s="1" t="s">
        <v>1086</v>
      </c>
      <c r="L408" s="1" t="s">
        <v>1087</v>
      </c>
      <c r="M408" s="4">
        <v>-21.0</v>
      </c>
      <c r="N408" s="4">
        <v>0.013683333333333334</v>
      </c>
      <c r="O408" s="4">
        <v>7.385466666666667</v>
      </c>
    </row>
    <row r="409">
      <c r="A409" s="5">
        <v>45533.0</v>
      </c>
      <c r="B409" s="1" t="s">
        <v>103</v>
      </c>
      <c r="C409" s="1" t="s">
        <v>89</v>
      </c>
      <c r="D409" s="4">
        <v>585.0</v>
      </c>
      <c r="E409" s="4">
        <v>0.0</v>
      </c>
      <c r="F409" s="1" t="s">
        <v>1088</v>
      </c>
      <c r="G409" s="1" t="s">
        <v>91</v>
      </c>
      <c r="H409" s="1" t="s">
        <v>92</v>
      </c>
      <c r="I409" s="1" t="s">
        <v>1089</v>
      </c>
      <c r="J409" s="1" t="s">
        <v>1090</v>
      </c>
      <c r="K409" s="1" t="s">
        <v>1090</v>
      </c>
      <c r="M409" s="4">
        <v>-11.0</v>
      </c>
      <c r="O409" s="4">
        <v>8.665166666666666</v>
      </c>
    </row>
    <row r="410">
      <c r="A410" s="5">
        <v>45533.0</v>
      </c>
      <c r="B410" s="1" t="s">
        <v>95</v>
      </c>
      <c r="C410" s="1" t="s">
        <v>89</v>
      </c>
      <c r="D410" s="4">
        <v>264.0</v>
      </c>
      <c r="E410" s="4">
        <v>0.0</v>
      </c>
      <c r="G410" s="1" t="s">
        <v>91</v>
      </c>
      <c r="H410" s="1" t="s">
        <v>96</v>
      </c>
      <c r="I410" s="1" t="s">
        <v>1091</v>
      </c>
      <c r="J410" s="1" t="s">
        <v>1092</v>
      </c>
      <c r="K410" s="1" t="s">
        <v>1092</v>
      </c>
      <c r="M410" s="4">
        <v>-2.0</v>
      </c>
      <c r="O410" s="4">
        <v>5.090583333333333</v>
      </c>
    </row>
    <row r="411">
      <c r="A411" s="5">
        <v>45533.0</v>
      </c>
      <c r="B411" s="1" t="s">
        <v>116</v>
      </c>
      <c r="C411" s="1" t="s">
        <v>107</v>
      </c>
      <c r="D411" s="4">
        <v>134.0</v>
      </c>
      <c r="E411" s="4">
        <v>0.0</v>
      </c>
      <c r="G411" s="1" t="s">
        <v>111</v>
      </c>
      <c r="H411" s="1" t="s">
        <v>92</v>
      </c>
      <c r="I411" s="1" t="s">
        <v>1093</v>
      </c>
      <c r="J411" s="1" t="s">
        <v>1094</v>
      </c>
      <c r="K411" s="1" t="s">
        <v>1094</v>
      </c>
      <c r="M411" s="4">
        <v>-10.0</v>
      </c>
      <c r="O411" s="4">
        <v>8.08455</v>
      </c>
    </row>
    <row r="412">
      <c r="A412" s="5">
        <v>45533.0</v>
      </c>
      <c r="B412" s="1" t="s">
        <v>95</v>
      </c>
      <c r="C412" s="1" t="s">
        <v>89</v>
      </c>
      <c r="D412" s="4">
        <v>642.0</v>
      </c>
      <c r="E412" s="4">
        <v>0.0</v>
      </c>
      <c r="G412" s="1" t="s">
        <v>91</v>
      </c>
      <c r="H412" s="1" t="s">
        <v>92</v>
      </c>
      <c r="I412" s="1" t="s">
        <v>1095</v>
      </c>
      <c r="J412" s="1" t="s">
        <v>1096</v>
      </c>
      <c r="K412" s="1" t="s">
        <v>1096</v>
      </c>
      <c r="M412" s="4">
        <v>-1.0</v>
      </c>
      <c r="O412" s="4">
        <v>8.107766666666667</v>
      </c>
    </row>
    <row r="413">
      <c r="A413" s="5">
        <v>45533.0</v>
      </c>
      <c r="B413" s="1" t="s">
        <v>110</v>
      </c>
      <c r="C413" s="1" t="s">
        <v>107</v>
      </c>
      <c r="D413" s="4">
        <v>249.0</v>
      </c>
      <c r="E413" s="4">
        <v>0.0</v>
      </c>
      <c r="G413" s="1" t="s">
        <v>111</v>
      </c>
      <c r="H413" s="1" t="s">
        <v>96</v>
      </c>
      <c r="I413" s="1" t="s">
        <v>1097</v>
      </c>
      <c r="J413" s="1" t="s">
        <v>1098</v>
      </c>
      <c r="K413" s="1" t="s">
        <v>1098</v>
      </c>
      <c r="M413" s="4">
        <v>1.0</v>
      </c>
      <c r="O413" s="4">
        <v>6.231533333333333</v>
      </c>
    </row>
    <row r="414">
      <c r="A414" s="5">
        <v>45533.0</v>
      </c>
      <c r="B414" s="1" t="s">
        <v>88</v>
      </c>
      <c r="C414" s="1" t="s">
        <v>107</v>
      </c>
      <c r="D414" s="4">
        <v>259.0</v>
      </c>
      <c r="E414" s="4">
        <v>0.0</v>
      </c>
      <c r="F414" s="1" t="s">
        <v>90</v>
      </c>
      <c r="G414" s="1" t="s">
        <v>91</v>
      </c>
      <c r="H414" s="1" t="s">
        <v>92</v>
      </c>
      <c r="I414" s="1" t="s">
        <v>1099</v>
      </c>
      <c r="J414" s="1" t="s">
        <v>1100</v>
      </c>
      <c r="K414" s="1" t="s">
        <v>1100</v>
      </c>
      <c r="M414" s="4">
        <v>-6.0</v>
      </c>
      <c r="O414" s="4">
        <v>8.455083333333333</v>
      </c>
    </row>
    <row r="415">
      <c r="A415" s="5">
        <v>45533.0</v>
      </c>
      <c r="B415" s="1" t="s">
        <v>95</v>
      </c>
      <c r="C415" s="1" t="s">
        <v>89</v>
      </c>
      <c r="D415" s="4">
        <v>357.0</v>
      </c>
      <c r="E415" s="4">
        <v>150.0</v>
      </c>
      <c r="G415" s="1" t="s">
        <v>91</v>
      </c>
      <c r="H415" s="1" t="s">
        <v>92</v>
      </c>
      <c r="I415" s="1" t="s">
        <v>1101</v>
      </c>
      <c r="J415" s="1" t="s">
        <v>1102</v>
      </c>
      <c r="K415" s="1" t="s">
        <v>1102</v>
      </c>
      <c r="M415" s="4">
        <v>0.0</v>
      </c>
      <c r="O415" s="4">
        <v>8.7662</v>
      </c>
    </row>
    <row r="416">
      <c r="A416" s="5">
        <v>45533.0</v>
      </c>
      <c r="B416" s="1" t="s">
        <v>95</v>
      </c>
      <c r="C416" s="1" t="s">
        <v>89</v>
      </c>
      <c r="D416" s="4">
        <v>528.0</v>
      </c>
      <c r="E416" s="4">
        <v>0.0</v>
      </c>
      <c r="G416" s="1" t="s">
        <v>91</v>
      </c>
      <c r="H416" s="1" t="s">
        <v>92</v>
      </c>
      <c r="I416" s="1" t="s">
        <v>1103</v>
      </c>
      <c r="J416" s="1" t="s">
        <v>1104</v>
      </c>
      <c r="K416" s="1" t="s">
        <v>1104</v>
      </c>
      <c r="M416" s="4">
        <v>-1.0</v>
      </c>
      <c r="O416" s="4">
        <v>8.141783333333333</v>
      </c>
    </row>
    <row r="417">
      <c r="A417" s="5">
        <v>45533.0</v>
      </c>
      <c r="B417" s="1" t="s">
        <v>95</v>
      </c>
      <c r="C417" s="1" t="s">
        <v>89</v>
      </c>
      <c r="D417" s="4">
        <v>288.0</v>
      </c>
      <c r="E417" s="4">
        <v>0.0</v>
      </c>
      <c r="G417" s="1" t="s">
        <v>91</v>
      </c>
      <c r="H417" s="1" t="s">
        <v>96</v>
      </c>
      <c r="I417" s="1" t="s">
        <v>1105</v>
      </c>
      <c r="J417" s="1" t="s">
        <v>1106</v>
      </c>
      <c r="K417" s="1" t="s">
        <v>1106</v>
      </c>
      <c r="M417" s="4">
        <v>0.0</v>
      </c>
      <c r="O417" s="4">
        <v>7.757833333333333</v>
      </c>
    </row>
    <row r="418">
      <c r="A418" s="5">
        <v>45533.0</v>
      </c>
      <c r="B418" s="1" t="s">
        <v>88</v>
      </c>
      <c r="C418" s="1" t="s">
        <v>107</v>
      </c>
      <c r="D418" s="4">
        <v>289.0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1107</v>
      </c>
      <c r="J418" s="1" t="s">
        <v>1108</v>
      </c>
      <c r="K418" s="1" t="s">
        <v>1108</v>
      </c>
      <c r="M418" s="4">
        <v>-8.0</v>
      </c>
      <c r="O418" s="4">
        <v>6.2704</v>
      </c>
    </row>
    <row r="419">
      <c r="A419" s="5">
        <v>45533.0</v>
      </c>
      <c r="B419" s="1" t="s">
        <v>95</v>
      </c>
      <c r="C419" s="1" t="s">
        <v>89</v>
      </c>
      <c r="D419" s="4">
        <v>378.0</v>
      </c>
      <c r="E419" s="4">
        <v>0.0</v>
      </c>
      <c r="G419" s="1" t="s">
        <v>91</v>
      </c>
      <c r="H419" s="1" t="s">
        <v>92</v>
      </c>
      <c r="I419" s="1" t="s">
        <v>1109</v>
      </c>
      <c r="J419" s="1" t="s">
        <v>1110</v>
      </c>
      <c r="K419" s="1" t="s">
        <v>1110</v>
      </c>
      <c r="M419" s="4">
        <v>1.0</v>
      </c>
      <c r="O419" s="4">
        <v>9.189766666666667</v>
      </c>
    </row>
    <row r="420">
      <c r="A420" s="5">
        <v>45533.0</v>
      </c>
      <c r="B420" s="1" t="s">
        <v>110</v>
      </c>
      <c r="C420" s="1" t="s">
        <v>107</v>
      </c>
      <c r="D420" s="4">
        <v>119.0</v>
      </c>
      <c r="E420" s="4">
        <v>0.0</v>
      </c>
      <c r="G420" s="1" t="s">
        <v>111</v>
      </c>
      <c r="H420" s="1" t="s">
        <v>96</v>
      </c>
      <c r="I420" s="1" t="s">
        <v>1111</v>
      </c>
      <c r="J420" s="1" t="s">
        <v>1112</v>
      </c>
      <c r="K420" s="1" t="s">
        <v>1112</v>
      </c>
      <c r="M420" s="4">
        <v>2.0</v>
      </c>
      <c r="O420" s="4">
        <v>7.16365</v>
      </c>
    </row>
    <row r="421">
      <c r="A421" s="5">
        <v>45533.0</v>
      </c>
      <c r="B421" s="1" t="s">
        <v>110</v>
      </c>
      <c r="C421" s="1" t="s">
        <v>107</v>
      </c>
      <c r="D421" s="4">
        <v>458.0</v>
      </c>
      <c r="E421" s="4">
        <v>0.0</v>
      </c>
      <c r="G421" s="1" t="s">
        <v>111</v>
      </c>
      <c r="H421" s="1" t="s">
        <v>96</v>
      </c>
      <c r="I421" s="1" t="s">
        <v>1113</v>
      </c>
      <c r="J421" s="1" t="s">
        <v>1114</v>
      </c>
      <c r="K421" s="1" t="s">
        <v>1114</v>
      </c>
      <c r="M421" s="4">
        <v>2.0</v>
      </c>
      <c r="O421" s="4">
        <v>7.4806</v>
      </c>
    </row>
    <row r="422">
      <c r="A422" s="5">
        <v>45533.0</v>
      </c>
      <c r="B422" s="1" t="s">
        <v>103</v>
      </c>
      <c r="C422" s="1" t="s">
        <v>89</v>
      </c>
      <c r="D422" s="4">
        <v>329.0</v>
      </c>
      <c r="E422" s="4">
        <v>0.0</v>
      </c>
      <c r="F422" s="1" t="s">
        <v>1115</v>
      </c>
      <c r="G422" s="1" t="s">
        <v>91</v>
      </c>
      <c r="H422" s="1" t="s">
        <v>92</v>
      </c>
      <c r="I422" s="1" t="s">
        <v>1116</v>
      </c>
      <c r="J422" s="1" t="s">
        <v>1117</v>
      </c>
      <c r="K422" s="1" t="s">
        <v>1117</v>
      </c>
      <c r="M422" s="4">
        <v>-8.0</v>
      </c>
      <c r="O422" s="4">
        <v>6.921266666666667</v>
      </c>
    </row>
    <row r="423">
      <c r="A423" s="5">
        <v>45533.0</v>
      </c>
      <c r="B423" s="1" t="s">
        <v>116</v>
      </c>
      <c r="C423" s="1" t="s">
        <v>107</v>
      </c>
      <c r="D423" s="4">
        <v>234.0</v>
      </c>
      <c r="E423" s="4">
        <v>16.0</v>
      </c>
      <c r="F423" s="1" t="s">
        <v>386</v>
      </c>
      <c r="G423" s="1" t="s">
        <v>175</v>
      </c>
      <c r="H423" s="1" t="s">
        <v>92</v>
      </c>
      <c r="I423" s="1" t="s">
        <v>1118</v>
      </c>
      <c r="J423" s="1" t="s">
        <v>1119</v>
      </c>
      <c r="K423" s="1" t="s">
        <v>1120</v>
      </c>
      <c r="L423" s="1" t="s">
        <v>1121</v>
      </c>
      <c r="M423" s="4">
        <v>-9.0</v>
      </c>
      <c r="N423" s="4">
        <v>0.008916666666666666</v>
      </c>
      <c r="O423" s="4">
        <v>6.585966666666667</v>
      </c>
    </row>
    <row r="424">
      <c r="A424" s="5">
        <v>45533.0</v>
      </c>
      <c r="B424" s="1" t="s">
        <v>88</v>
      </c>
      <c r="C424" s="1" t="s">
        <v>107</v>
      </c>
      <c r="D424" s="4">
        <v>264.0</v>
      </c>
      <c r="E424" s="4">
        <v>0.0</v>
      </c>
      <c r="F424" s="1" t="s">
        <v>90</v>
      </c>
      <c r="G424" s="1" t="s">
        <v>91</v>
      </c>
      <c r="H424" s="1" t="s">
        <v>92</v>
      </c>
      <c r="I424" s="1" t="s">
        <v>1122</v>
      </c>
      <c r="J424" s="1" t="s">
        <v>1123</v>
      </c>
      <c r="K424" s="1" t="s">
        <v>1123</v>
      </c>
      <c r="M424" s="4">
        <v>-8.0</v>
      </c>
      <c r="O424" s="4">
        <v>6.289733333333333</v>
      </c>
    </row>
    <row r="425">
      <c r="A425" s="5">
        <v>45533.0</v>
      </c>
      <c r="B425" s="1" t="s">
        <v>88</v>
      </c>
      <c r="C425" s="1" t="s">
        <v>107</v>
      </c>
      <c r="D425" s="4">
        <v>144.0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1124</v>
      </c>
      <c r="J425" s="1" t="s">
        <v>1125</v>
      </c>
      <c r="K425" s="1" t="s">
        <v>1125</v>
      </c>
      <c r="M425" s="4">
        <v>-9.0</v>
      </c>
      <c r="O425" s="4">
        <v>5.9767</v>
      </c>
    </row>
    <row r="426">
      <c r="A426" s="5">
        <v>45533.0</v>
      </c>
      <c r="B426" s="1" t="s">
        <v>95</v>
      </c>
      <c r="C426" s="1" t="s">
        <v>107</v>
      </c>
      <c r="D426" s="4">
        <v>539.0</v>
      </c>
      <c r="E426" s="4">
        <v>0.0</v>
      </c>
      <c r="G426" s="1" t="s">
        <v>91</v>
      </c>
      <c r="H426" s="1" t="s">
        <v>92</v>
      </c>
      <c r="I426" s="1" t="s">
        <v>1126</v>
      </c>
      <c r="J426" s="1" t="s">
        <v>1127</v>
      </c>
      <c r="K426" s="1" t="s">
        <v>1127</v>
      </c>
      <c r="M426" s="4">
        <v>0.0</v>
      </c>
      <c r="O426" s="4">
        <v>9.872833333333332</v>
      </c>
    </row>
    <row r="427">
      <c r="A427" s="5">
        <v>45533.0</v>
      </c>
      <c r="B427" s="1" t="s">
        <v>116</v>
      </c>
      <c r="C427" s="1" t="s">
        <v>107</v>
      </c>
      <c r="D427" s="4">
        <v>196.0</v>
      </c>
      <c r="E427" s="4">
        <v>113.0</v>
      </c>
      <c r="G427" s="1" t="s">
        <v>111</v>
      </c>
      <c r="H427" s="1" t="s">
        <v>194</v>
      </c>
      <c r="I427" s="1" t="s">
        <v>1128</v>
      </c>
      <c r="J427" s="1" t="s">
        <v>1129</v>
      </c>
      <c r="K427" s="1" t="s">
        <v>1129</v>
      </c>
      <c r="M427" s="4">
        <v>-12.0</v>
      </c>
      <c r="O427" s="4">
        <v>6.629733333333333</v>
      </c>
    </row>
    <row r="428">
      <c r="A428" s="5">
        <v>45533.0</v>
      </c>
      <c r="B428" s="1" t="s">
        <v>95</v>
      </c>
      <c r="C428" s="1" t="s">
        <v>107</v>
      </c>
      <c r="D428" s="4">
        <v>733.0</v>
      </c>
      <c r="E428" s="4">
        <v>0.0</v>
      </c>
      <c r="G428" s="1" t="s">
        <v>91</v>
      </c>
      <c r="H428" s="1" t="s">
        <v>92</v>
      </c>
      <c r="I428" s="1" t="s">
        <v>1130</v>
      </c>
      <c r="J428" s="1" t="s">
        <v>1131</v>
      </c>
      <c r="K428" s="1" t="s">
        <v>1131</v>
      </c>
      <c r="M428" s="4">
        <v>0.0</v>
      </c>
      <c r="O428" s="4">
        <v>10.9738</v>
      </c>
    </row>
    <row r="429">
      <c r="A429" s="5">
        <v>45533.0</v>
      </c>
      <c r="B429" s="1" t="s">
        <v>88</v>
      </c>
      <c r="C429" s="1" t="s">
        <v>107</v>
      </c>
      <c r="D429" s="4">
        <v>351.0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1132</v>
      </c>
      <c r="J429" s="1" t="s">
        <v>1133</v>
      </c>
      <c r="K429" s="1" t="s">
        <v>1133</v>
      </c>
      <c r="M429" s="4">
        <v>-5.0</v>
      </c>
      <c r="O429" s="4">
        <v>9.270983333333334</v>
      </c>
    </row>
    <row r="430">
      <c r="A430" s="5">
        <v>45533.0</v>
      </c>
      <c r="B430" s="1" t="s">
        <v>95</v>
      </c>
      <c r="C430" s="1" t="s">
        <v>89</v>
      </c>
      <c r="D430" s="4">
        <v>1058.0</v>
      </c>
      <c r="E430" s="4">
        <v>0.0</v>
      </c>
      <c r="G430" s="1" t="s">
        <v>91</v>
      </c>
      <c r="H430" s="1" t="s">
        <v>96</v>
      </c>
      <c r="I430" s="1" t="s">
        <v>1134</v>
      </c>
      <c r="J430" s="1" t="s">
        <v>1135</v>
      </c>
      <c r="K430" s="1" t="s">
        <v>1135</v>
      </c>
      <c r="M430" s="4">
        <v>0.0</v>
      </c>
      <c r="O430" s="4">
        <v>11.14805</v>
      </c>
    </row>
    <row r="431">
      <c r="A431" s="5">
        <v>45533.0</v>
      </c>
      <c r="B431" s="1" t="s">
        <v>95</v>
      </c>
      <c r="C431" s="1" t="s">
        <v>89</v>
      </c>
      <c r="D431" s="4">
        <v>399.0</v>
      </c>
      <c r="E431" s="4">
        <v>0.0</v>
      </c>
      <c r="G431" s="1" t="s">
        <v>91</v>
      </c>
      <c r="H431" s="1" t="s">
        <v>92</v>
      </c>
      <c r="I431" s="1" t="s">
        <v>1136</v>
      </c>
      <c r="J431" s="1" t="s">
        <v>1137</v>
      </c>
      <c r="K431" s="1" t="s">
        <v>1137</v>
      </c>
      <c r="M431" s="4">
        <v>0.0</v>
      </c>
      <c r="O431" s="4">
        <v>7.136783333333334</v>
      </c>
    </row>
    <row r="432">
      <c r="A432" s="5">
        <v>45533.0</v>
      </c>
      <c r="B432" s="1" t="s">
        <v>110</v>
      </c>
      <c r="C432" s="1" t="s">
        <v>107</v>
      </c>
      <c r="D432" s="4">
        <v>249.0</v>
      </c>
      <c r="E432" s="4">
        <v>0.0</v>
      </c>
      <c r="G432" s="1" t="s">
        <v>111</v>
      </c>
      <c r="H432" s="1" t="s">
        <v>96</v>
      </c>
      <c r="I432" s="1" t="s">
        <v>1138</v>
      </c>
      <c r="J432" s="1" t="s">
        <v>1139</v>
      </c>
      <c r="K432" s="1" t="s">
        <v>1139</v>
      </c>
      <c r="M432" s="4">
        <v>-4.0</v>
      </c>
      <c r="O432" s="4">
        <v>0.5658</v>
      </c>
    </row>
    <row r="433">
      <c r="A433" s="5">
        <v>45533.0</v>
      </c>
      <c r="B433" s="1" t="s">
        <v>116</v>
      </c>
      <c r="C433" s="1" t="s">
        <v>107</v>
      </c>
      <c r="D433" s="4">
        <v>398.0</v>
      </c>
      <c r="E433" s="4">
        <v>100.0</v>
      </c>
      <c r="G433" s="1" t="s">
        <v>111</v>
      </c>
      <c r="H433" s="1" t="s">
        <v>92</v>
      </c>
      <c r="I433" s="1" t="s">
        <v>1140</v>
      </c>
      <c r="J433" s="1" t="s">
        <v>1141</v>
      </c>
      <c r="K433" s="1" t="s">
        <v>1141</v>
      </c>
      <c r="M433" s="4">
        <v>-13.0</v>
      </c>
      <c r="O433" s="4">
        <v>37.08595</v>
      </c>
    </row>
    <row r="434">
      <c r="A434" s="5">
        <v>45533.0</v>
      </c>
      <c r="B434" s="1" t="s">
        <v>116</v>
      </c>
      <c r="C434" s="1" t="s">
        <v>107</v>
      </c>
      <c r="D434" s="4">
        <v>199.0</v>
      </c>
      <c r="E434" s="4">
        <v>50.0</v>
      </c>
      <c r="G434" s="1" t="s">
        <v>111</v>
      </c>
      <c r="H434" s="1" t="s">
        <v>194</v>
      </c>
      <c r="I434" s="1" t="s">
        <v>1142</v>
      </c>
      <c r="J434" s="1" t="s">
        <v>1143</v>
      </c>
      <c r="K434" s="1" t="s">
        <v>1143</v>
      </c>
      <c r="M434" s="4">
        <v>-12.0</v>
      </c>
      <c r="O434" s="4">
        <v>6.170016666666666</v>
      </c>
    </row>
    <row r="435">
      <c r="A435" s="5">
        <v>45533.0</v>
      </c>
      <c r="B435" s="1" t="s">
        <v>110</v>
      </c>
      <c r="C435" s="1" t="s">
        <v>107</v>
      </c>
      <c r="D435" s="4">
        <v>309.0</v>
      </c>
      <c r="E435" s="4">
        <v>0.0</v>
      </c>
      <c r="G435" s="1" t="s">
        <v>111</v>
      </c>
      <c r="H435" s="1" t="s">
        <v>96</v>
      </c>
      <c r="I435" s="1" t="s">
        <v>1144</v>
      </c>
      <c r="J435" s="1" t="s">
        <v>1145</v>
      </c>
      <c r="K435" s="1" t="s">
        <v>1145</v>
      </c>
      <c r="M435" s="4">
        <v>-1.0</v>
      </c>
      <c r="O435" s="4">
        <v>3.83</v>
      </c>
    </row>
    <row r="436">
      <c r="A436" s="5">
        <v>45533.0</v>
      </c>
      <c r="B436" s="1" t="s">
        <v>116</v>
      </c>
      <c r="C436" s="1" t="s">
        <v>107</v>
      </c>
      <c r="D436" s="4">
        <v>250.0</v>
      </c>
      <c r="E436" s="4">
        <v>0.0</v>
      </c>
      <c r="F436" s="1" t="s">
        <v>386</v>
      </c>
      <c r="G436" s="1" t="s">
        <v>175</v>
      </c>
      <c r="H436" s="1" t="s">
        <v>96</v>
      </c>
      <c r="I436" s="1" t="s">
        <v>1146</v>
      </c>
      <c r="J436" s="1" t="s">
        <v>1147</v>
      </c>
      <c r="K436" s="1" t="s">
        <v>1148</v>
      </c>
      <c r="L436" s="1" t="s">
        <v>1149</v>
      </c>
      <c r="M436" s="4">
        <v>-9.0</v>
      </c>
      <c r="N436" s="4">
        <v>0.008966666666666666</v>
      </c>
      <c r="O436" s="4">
        <v>6.9935</v>
      </c>
    </row>
    <row r="437">
      <c r="A437" s="5">
        <v>45533.0</v>
      </c>
      <c r="B437" s="1" t="s">
        <v>88</v>
      </c>
      <c r="C437" s="1" t="s">
        <v>107</v>
      </c>
      <c r="D437" s="4">
        <v>179.0</v>
      </c>
      <c r="E437" s="4">
        <v>0.0</v>
      </c>
      <c r="F437" s="1" t="s">
        <v>90</v>
      </c>
      <c r="G437" s="1" t="s">
        <v>91</v>
      </c>
      <c r="H437" s="1" t="s">
        <v>92</v>
      </c>
      <c r="I437" s="1" t="s">
        <v>1150</v>
      </c>
      <c r="J437" s="1" t="s">
        <v>1151</v>
      </c>
      <c r="K437" s="1" t="s">
        <v>1151</v>
      </c>
      <c r="M437" s="4">
        <v>-8.0</v>
      </c>
      <c r="O437" s="4">
        <v>6.454183333333333</v>
      </c>
    </row>
    <row r="438">
      <c r="A438" s="5">
        <v>45533.0</v>
      </c>
      <c r="B438" s="1" t="s">
        <v>88</v>
      </c>
      <c r="C438" s="1" t="s">
        <v>107</v>
      </c>
      <c r="D438" s="4">
        <v>289.0</v>
      </c>
      <c r="E438" s="4">
        <v>0.0</v>
      </c>
      <c r="F438" s="1" t="s">
        <v>90</v>
      </c>
      <c r="G438" s="1" t="s">
        <v>91</v>
      </c>
      <c r="H438" s="1" t="s">
        <v>92</v>
      </c>
      <c r="I438" s="1" t="s">
        <v>1152</v>
      </c>
      <c r="J438" s="1" t="s">
        <v>1153</v>
      </c>
      <c r="K438" s="1" t="s">
        <v>1153</v>
      </c>
      <c r="M438" s="4">
        <v>-6.0</v>
      </c>
      <c r="O438" s="4">
        <v>8.033233333333333</v>
      </c>
    </row>
    <row r="439">
      <c r="A439" s="5">
        <v>45533.0</v>
      </c>
      <c r="B439" s="1" t="s">
        <v>95</v>
      </c>
      <c r="C439" s="1" t="s">
        <v>107</v>
      </c>
      <c r="D439" s="4">
        <v>224.0</v>
      </c>
      <c r="E439" s="4">
        <v>0.0</v>
      </c>
      <c r="G439" s="1" t="s">
        <v>91</v>
      </c>
      <c r="H439" s="1" t="s">
        <v>92</v>
      </c>
      <c r="I439" s="1" t="s">
        <v>1154</v>
      </c>
      <c r="J439" s="1" t="s">
        <v>1155</v>
      </c>
      <c r="K439" s="1" t="s">
        <v>1155</v>
      </c>
      <c r="M439" s="4">
        <v>1.0</v>
      </c>
      <c r="O439" s="4">
        <v>8.894366666666667</v>
      </c>
    </row>
    <row r="440">
      <c r="A440" s="5">
        <v>45533.0</v>
      </c>
      <c r="B440" s="1" t="s">
        <v>95</v>
      </c>
      <c r="C440" s="1" t="s">
        <v>107</v>
      </c>
      <c r="D440" s="4">
        <v>425.0</v>
      </c>
      <c r="E440" s="4">
        <v>0.0</v>
      </c>
      <c r="G440" s="1" t="s">
        <v>91</v>
      </c>
      <c r="H440" s="1" t="s">
        <v>92</v>
      </c>
      <c r="I440" s="1" t="s">
        <v>1156</v>
      </c>
      <c r="J440" s="1" t="s">
        <v>1157</v>
      </c>
      <c r="K440" s="1" t="s">
        <v>1157</v>
      </c>
      <c r="M440" s="4">
        <v>4.0</v>
      </c>
      <c r="O440" s="4">
        <v>12.3565</v>
      </c>
    </row>
    <row r="441">
      <c r="A441" s="5">
        <v>45533.0</v>
      </c>
      <c r="B441" s="1" t="s">
        <v>110</v>
      </c>
      <c r="C441" s="1" t="s">
        <v>107</v>
      </c>
      <c r="D441" s="4">
        <v>249.0</v>
      </c>
      <c r="E441" s="4">
        <v>0.0</v>
      </c>
      <c r="G441" s="1" t="s">
        <v>111</v>
      </c>
      <c r="H441" s="1" t="s">
        <v>96</v>
      </c>
      <c r="I441" s="1" t="s">
        <v>1158</v>
      </c>
      <c r="J441" s="1" t="s">
        <v>1159</v>
      </c>
      <c r="K441" s="1" t="s">
        <v>1159</v>
      </c>
      <c r="M441" s="4">
        <v>0.0</v>
      </c>
      <c r="O441" s="4">
        <v>5.411783333333333</v>
      </c>
    </row>
    <row r="442">
      <c r="A442" s="5">
        <v>45533.0</v>
      </c>
      <c r="B442" s="1" t="s">
        <v>110</v>
      </c>
      <c r="C442" s="1" t="s">
        <v>107</v>
      </c>
      <c r="D442" s="4">
        <v>249.0</v>
      </c>
      <c r="E442" s="4">
        <v>0.0</v>
      </c>
      <c r="G442" s="1" t="s">
        <v>111</v>
      </c>
      <c r="H442" s="1" t="s">
        <v>96</v>
      </c>
      <c r="I442" s="1" t="s">
        <v>1160</v>
      </c>
      <c r="J442" s="1" t="s">
        <v>1161</v>
      </c>
      <c r="K442" s="1" t="s">
        <v>1161</v>
      </c>
      <c r="M442" s="4">
        <v>0.0</v>
      </c>
      <c r="O442" s="4">
        <v>5.890633333333334</v>
      </c>
    </row>
    <row r="443">
      <c r="A443" s="5">
        <v>45533.0</v>
      </c>
      <c r="B443" s="1" t="s">
        <v>103</v>
      </c>
      <c r="C443" s="1" t="s">
        <v>107</v>
      </c>
      <c r="D443" s="4">
        <v>451.0</v>
      </c>
      <c r="E443" s="4">
        <v>0.0</v>
      </c>
      <c r="F443" s="1" t="s">
        <v>887</v>
      </c>
      <c r="G443" s="1" t="s">
        <v>91</v>
      </c>
      <c r="H443" s="1" t="s">
        <v>92</v>
      </c>
      <c r="I443" s="1" t="s">
        <v>1162</v>
      </c>
      <c r="J443" s="1" t="s">
        <v>1163</v>
      </c>
      <c r="K443" s="1" t="s">
        <v>1163</v>
      </c>
      <c r="M443" s="4">
        <v>-5.0</v>
      </c>
      <c r="O443" s="4">
        <v>9.3187</v>
      </c>
    </row>
    <row r="444">
      <c r="A444" s="5">
        <v>45533.0</v>
      </c>
      <c r="B444" s="1" t="s">
        <v>95</v>
      </c>
      <c r="C444" s="1" t="s">
        <v>107</v>
      </c>
      <c r="D444" s="4">
        <v>264.0</v>
      </c>
      <c r="E444" s="4">
        <v>0.0</v>
      </c>
      <c r="G444" s="1" t="s">
        <v>91</v>
      </c>
      <c r="H444" s="1" t="s">
        <v>92</v>
      </c>
      <c r="I444" s="1" t="s">
        <v>1164</v>
      </c>
      <c r="J444" s="1" t="s">
        <v>1165</v>
      </c>
      <c r="K444" s="1" t="s">
        <v>1165</v>
      </c>
      <c r="M444" s="4">
        <v>0.0</v>
      </c>
      <c r="O444" s="4">
        <v>7.6368833333333335</v>
      </c>
    </row>
    <row r="445">
      <c r="A445" s="5">
        <v>45533.0</v>
      </c>
      <c r="B445" s="1" t="s">
        <v>95</v>
      </c>
      <c r="C445" s="1" t="s">
        <v>107</v>
      </c>
      <c r="D445" s="4">
        <v>269.0</v>
      </c>
      <c r="E445" s="4">
        <v>100.0</v>
      </c>
      <c r="G445" s="1" t="s">
        <v>91</v>
      </c>
      <c r="H445" s="1" t="s">
        <v>92</v>
      </c>
      <c r="I445" s="1" t="s">
        <v>1166</v>
      </c>
      <c r="J445" s="1" t="s">
        <v>1167</v>
      </c>
      <c r="K445" s="1" t="s">
        <v>1167</v>
      </c>
      <c r="M445" s="4">
        <v>1.0</v>
      </c>
      <c r="O445" s="4">
        <v>8.5271</v>
      </c>
    </row>
    <row r="446">
      <c r="A446" s="5">
        <v>45533.0</v>
      </c>
      <c r="B446" s="1" t="s">
        <v>116</v>
      </c>
      <c r="C446" s="1" t="s">
        <v>107</v>
      </c>
      <c r="D446" s="4">
        <v>244.0</v>
      </c>
      <c r="E446" s="4">
        <v>27.0</v>
      </c>
      <c r="F446" s="1" t="s">
        <v>174</v>
      </c>
      <c r="G446" s="1" t="s">
        <v>175</v>
      </c>
      <c r="H446" s="1" t="s">
        <v>92</v>
      </c>
      <c r="I446" s="1" t="s">
        <v>1168</v>
      </c>
      <c r="J446" s="1" t="s">
        <v>1169</v>
      </c>
      <c r="K446" s="1" t="s">
        <v>1170</v>
      </c>
      <c r="L446" s="1" t="s">
        <v>1171</v>
      </c>
      <c r="M446" s="4">
        <v>-13.0</v>
      </c>
      <c r="N446" s="4">
        <v>0.012566666666666667</v>
      </c>
      <c r="O446" s="4">
        <v>7.098183333333333</v>
      </c>
    </row>
    <row r="447">
      <c r="A447" s="5">
        <v>45533.0</v>
      </c>
      <c r="B447" s="1" t="s">
        <v>95</v>
      </c>
      <c r="C447" s="1" t="s">
        <v>89</v>
      </c>
      <c r="D447" s="4">
        <v>264.0</v>
      </c>
      <c r="E447" s="4">
        <v>0.0</v>
      </c>
      <c r="G447" s="1" t="s">
        <v>91</v>
      </c>
      <c r="H447" s="1" t="s">
        <v>92</v>
      </c>
      <c r="I447" s="1" t="s">
        <v>1172</v>
      </c>
      <c r="J447" s="1" t="s">
        <v>1173</v>
      </c>
      <c r="K447" s="1" t="s">
        <v>1173</v>
      </c>
      <c r="M447" s="4">
        <v>0.0</v>
      </c>
      <c r="O447" s="4">
        <v>7.7086</v>
      </c>
    </row>
    <row r="448">
      <c r="A448" s="5">
        <v>45533.0</v>
      </c>
      <c r="B448" s="1" t="s">
        <v>95</v>
      </c>
      <c r="C448" s="1" t="s">
        <v>89</v>
      </c>
      <c r="D448" s="4">
        <v>314.0</v>
      </c>
      <c r="E448" s="4">
        <v>0.0</v>
      </c>
      <c r="G448" s="1" t="s">
        <v>91</v>
      </c>
      <c r="H448" s="1" t="s">
        <v>96</v>
      </c>
      <c r="I448" s="1" t="s">
        <v>1174</v>
      </c>
      <c r="J448" s="1" t="s">
        <v>1175</v>
      </c>
      <c r="K448" s="1" t="s">
        <v>1175</v>
      </c>
      <c r="M448" s="4">
        <v>14.0</v>
      </c>
      <c r="O448" s="4">
        <v>21.337316666666666</v>
      </c>
    </row>
    <row r="449">
      <c r="A449" s="5">
        <v>45533.0</v>
      </c>
      <c r="B449" s="1" t="s">
        <v>116</v>
      </c>
      <c r="C449" s="1" t="s">
        <v>107</v>
      </c>
      <c r="D449" s="4">
        <v>306.0</v>
      </c>
      <c r="E449" s="4">
        <v>0.0</v>
      </c>
      <c r="F449" s="1" t="s">
        <v>174</v>
      </c>
      <c r="G449" s="1" t="s">
        <v>175</v>
      </c>
      <c r="H449" s="1" t="s">
        <v>92</v>
      </c>
      <c r="I449" s="1" t="s">
        <v>1176</v>
      </c>
      <c r="J449" s="1" t="s">
        <v>1177</v>
      </c>
      <c r="K449" s="1" t="s">
        <v>1178</v>
      </c>
      <c r="L449" s="1" t="s">
        <v>1179</v>
      </c>
      <c r="M449" s="4">
        <v>-8.0</v>
      </c>
      <c r="N449" s="4">
        <v>0.0091</v>
      </c>
      <c r="O449" s="4">
        <v>12.454833333333333</v>
      </c>
    </row>
    <row r="450">
      <c r="A450" s="5">
        <v>45533.0</v>
      </c>
      <c r="B450" s="1" t="s">
        <v>88</v>
      </c>
      <c r="C450" s="1" t="s">
        <v>107</v>
      </c>
      <c r="D450" s="4">
        <v>528.0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1180</v>
      </c>
      <c r="J450" s="1" t="s">
        <v>1181</v>
      </c>
      <c r="K450" s="1" t="s">
        <v>1181</v>
      </c>
      <c r="M450" s="4">
        <v>-10.0</v>
      </c>
      <c r="O450" s="4">
        <v>9.9407</v>
      </c>
    </row>
    <row r="451">
      <c r="A451" s="5">
        <v>45533.0</v>
      </c>
      <c r="B451" s="1" t="s">
        <v>110</v>
      </c>
      <c r="C451" s="1" t="s">
        <v>107</v>
      </c>
      <c r="D451" s="4">
        <v>344.0</v>
      </c>
      <c r="E451" s="4">
        <v>0.0</v>
      </c>
      <c r="G451" s="1" t="s">
        <v>111</v>
      </c>
      <c r="H451" s="1" t="s">
        <v>96</v>
      </c>
      <c r="I451" s="1" t="s">
        <v>1182</v>
      </c>
      <c r="J451" s="1" t="s">
        <v>1183</v>
      </c>
      <c r="K451" s="1" t="s">
        <v>1183</v>
      </c>
      <c r="M451" s="4">
        <v>3.0</v>
      </c>
      <c r="O451" s="4">
        <v>8.261416666666667</v>
      </c>
    </row>
    <row r="452">
      <c r="A452" s="5">
        <v>45533.0</v>
      </c>
      <c r="B452" s="1" t="s">
        <v>95</v>
      </c>
      <c r="C452" s="1" t="s">
        <v>107</v>
      </c>
      <c r="D452" s="4">
        <v>528.0</v>
      </c>
      <c r="E452" s="4">
        <v>0.0</v>
      </c>
      <c r="G452" s="1" t="s">
        <v>91</v>
      </c>
      <c r="H452" s="1" t="s">
        <v>92</v>
      </c>
      <c r="I452" s="1" t="s">
        <v>1184</v>
      </c>
      <c r="J452" s="1" t="s">
        <v>1185</v>
      </c>
      <c r="K452" s="1" t="s">
        <v>1185</v>
      </c>
      <c r="M452" s="4">
        <v>4.0</v>
      </c>
      <c r="O452" s="4">
        <v>13.823433333333334</v>
      </c>
    </row>
    <row r="453">
      <c r="A453" s="5">
        <v>45533.0</v>
      </c>
      <c r="B453" s="1" t="s">
        <v>88</v>
      </c>
      <c r="C453" s="1" t="s">
        <v>107</v>
      </c>
      <c r="D453" s="4">
        <v>309.0</v>
      </c>
      <c r="E453" s="4">
        <v>0.0</v>
      </c>
      <c r="F453" s="1" t="s">
        <v>90</v>
      </c>
      <c r="G453" s="1" t="s">
        <v>91</v>
      </c>
      <c r="H453" s="1" t="s">
        <v>92</v>
      </c>
      <c r="I453" s="1" t="s">
        <v>1186</v>
      </c>
      <c r="J453" s="1" t="s">
        <v>1187</v>
      </c>
      <c r="K453" s="1" t="s">
        <v>1187</v>
      </c>
      <c r="M453" s="4">
        <v>-2.0</v>
      </c>
      <c r="O453" s="4">
        <v>12.081666666666667</v>
      </c>
    </row>
    <row r="454">
      <c r="A454" s="5">
        <v>45533.0</v>
      </c>
      <c r="B454" s="1" t="s">
        <v>88</v>
      </c>
      <c r="C454" s="1" t="s">
        <v>107</v>
      </c>
      <c r="D454" s="4">
        <v>264.0</v>
      </c>
      <c r="E454" s="4">
        <v>0.0</v>
      </c>
      <c r="F454" s="1" t="s">
        <v>90</v>
      </c>
      <c r="G454" s="1" t="s">
        <v>91</v>
      </c>
      <c r="H454" s="1" t="s">
        <v>92</v>
      </c>
      <c r="I454" s="1" t="s">
        <v>1188</v>
      </c>
      <c r="J454" s="1" t="s">
        <v>1189</v>
      </c>
      <c r="K454" s="1" t="s">
        <v>1189</v>
      </c>
      <c r="M454" s="4">
        <v>-4.0</v>
      </c>
      <c r="O454" s="4">
        <v>10.849616666666666</v>
      </c>
    </row>
    <row r="455">
      <c r="A455" s="5">
        <v>45533.0</v>
      </c>
      <c r="B455" s="1" t="s">
        <v>116</v>
      </c>
      <c r="C455" s="1" t="s">
        <v>107</v>
      </c>
      <c r="D455" s="4">
        <v>250.0</v>
      </c>
      <c r="E455" s="4">
        <v>0.0</v>
      </c>
      <c r="F455" s="1" t="s">
        <v>174</v>
      </c>
      <c r="G455" s="1" t="s">
        <v>175</v>
      </c>
      <c r="H455" s="1" t="s">
        <v>92</v>
      </c>
      <c r="I455" s="1" t="s">
        <v>1190</v>
      </c>
      <c r="J455" s="1" t="s">
        <v>1191</v>
      </c>
      <c r="K455" s="1" t="s">
        <v>1192</v>
      </c>
      <c r="L455" s="1" t="s">
        <v>1193</v>
      </c>
      <c r="M455" s="4">
        <v>-8.0</v>
      </c>
      <c r="N455" s="4">
        <v>0.0113</v>
      </c>
      <c r="O455" s="4">
        <v>6.60515</v>
      </c>
    </row>
    <row r="456">
      <c r="A456" s="5">
        <v>45533.0</v>
      </c>
      <c r="B456" s="1" t="s">
        <v>88</v>
      </c>
      <c r="C456" s="1" t="s">
        <v>107</v>
      </c>
      <c r="D456" s="4">
        <v>329.0</v>
      </c>
      <c r="E456" s="4">
        <v>0.0</v>
      </c>
      <c r="F456" s="1" t="s">
        <v>90</v>
      </c>
      <c r="G456" s="1" t="s">
        <v>91</v>
      </c>
      <c r="H456" s="1" t="s">
        <v>92</v>
      </c>
      <c r="I456" s="1" t="s">
        <v>1194</v>
      </c>
      <c r="J456" s="1" t="s">
        <v>1195</v>
      </c>
      <c r="K456" s="1" t="s">
        <v>1195</v>
      </c>
      <c r="M456" s="4">
        <v>-2.0</v>
      </c>
      <c r="O456" s="4">
        <v>12.643383333333333</v>
      </c>
    </row>
    <row r="457">
      <c r="A457" s="5">
        <v>45533.0</v>
      </c>
      <c r="B457" s="1" t="s">
        <v>116</v>
      </c>
      <c r="C457" s="1" t="s">
        <v>107</v>
      </c>
      <c r="D457" s="4">
        <v>269.0</v>
      </c>
      <c r="E457" s="4">
        <v>0.0</v>
      </c>
      <c r="F457" s="1" t="s">
        <v>174</v>
      </c>
      <c r="G457" s="1" t="s">
        <v>175</v>
      </c>
      <c r="H457" s="1" t="s">
        <v>92</v>
      </c>
      <c r="I457" s="1" t="s">
        <v>1196</v>
      </c>
      <c r="J457" s="1" t="s">
        <v>1197</v>
      </c>
      <c r="K457" s="1" t="s">
        <v>1198</v>
      </c>
      <c r="L457" s="1" t="s">
        <v>1199</v>
      </c>
      <c r="M457" s="4">
        <v>-10.0</v>
      </c>
      <c r="N457" s="4">
        <v>0.00875</v>
      </c>
      <c r="O457" s="4">
        <v>8.4708</v>
      </c>
    </row>
    <row r="458">
      <c r="A458" s="5">
        <v>45533.0</v>
      </c>
      <c r="B458" s="1" t="s">
        <v>95</v>
      </c>
      <c r="C458" s="1" t="s">
        <v>107</v>
      </c>
      <c r="D458" s="4">
        <v>658.0</v>
      </c>
      <c r="E458" s="4">
        <v>0.0</v>
      </c>
      <c r="G458" s="1" t="s">
        <v>91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3.0</v>
      </c>
      <c r="O458" s="4">
        <v>13.595133333333333</v>
      </c>
    </row>
    <row r="459">
      <c r="A459" s="5">
        <v>45533.0</v>
      </c>
      <c r="B459" s="1" t="s">
        <v>116</v>
      </c>
      <c r="C459" s="1" t="s">
        <v>107</v>
      </c>
      <c r="D459" s="4">
        <v>247.0</v>
      </c>
      <c r="E459" s="4">
        <v>62.0</v>
      </c>
      <c r="G459" s="1" t="s">
        <v>111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-1.0</v>
      </c>
      <c r="O459" s="4">
        <v>16.5401</v>
      </c>
    </row>
    <row r="460">
      <c r="A460" s="5">
        <v>45533.0</v>
      </c>
      <c r="B460" s="1" t="s">
        <v>88</v>
      </c>
      <c r="C460" s="1" t="s">
        <v>107</v>
      </c>
      <c r="D460" s="4">
        <v>387.0</v>
      </c>
      <c r="E460" s="4">
        <v>0.0</v>
      </c>
      <c r="F460" s="1" t="s">
        <v>90</v>
      </c>
      <c r="G460" s="1" t="s">
        <v>91</v>
      </c>
      <c r="H460" s="1" t="s">
        <v>92</v>
      </c>
      <c r="I460" s="1" t="s">
        <v>1204</v>
      </c>
      <c r="J460" s="1" t="s">
        <v>1205</v>
      </c>
      <c r="K460" s="1" t="s">
        <v>1205</v>
      </c>
      <c r="M460" s="4">
        <v>-6.0</v>
      </c>
      <c r="O460" s="4">
        <v>8.790266666666666</v>
      </c>
    </row>
    <row r="461">
      <c r="A461" s="5">
        <v>45533.0</v>
      </c>
      <c r="B461" s="1" t="s">
        <v>110</v>
      </c>
      <c r="C461" s="1" t="s">
        <v>107</v>
      </c>
      <c r="D461" s="4">
        <v>249.0</v>
      </c>
      <c r="E461" s="4">
        <v>0.0</v>
      </c>
      <c r="G461" s="1" t="s">
        <v>111</v>
      </c>
      <c r="H461" s="1" t="s">
        <v>96</v>
      </c>
      <c r="I461" s="1" t="s">
        <v>1206</v>
      </c>
      <c r="J461" s="1" t="s">
        <v>1207</v>
      </c>
      <c r="K461" s="1" t="s">
        <v>1207</v>
      </c>
      <c r="M461" s="4">
        <v>0.0</v>
      </c>
      <c r="O461" s="4">
        <v>5.2007666666666665</v>
      </c>
    </row>
    <row r="462">
      <c r="A462" s="5">
        <v>45533.0</v>
      </c>
      <c r="B462" s="1" t="s">
        <v>116</v>
      </c>
      <c r="C462" s="1" t="s">
        <v>107</v>
      </c>
      <c r="D462" s="4">
        <v>245.0</v>
      </c>
      <c r="E462" s="4">
        <v>61.0</v>
      </c>
      <c r="G462" s="1" t="s">
        <v>111</v>
      </c>
      <c r="H462" s="1" t="s">
        <v>194</v>
      </c>
      <c r="I462" s="1" t="s">
        <v>1208</v>
      </c>
      <c r="J462" s="1" t="s">
        <v>1209</v>
      </c>
      <c r="K462" s="1" t="s">
        <v>1209</v>
      </c>
      <c r="M462" s="4">
        <v>-10.0</v>
      </c>
      <c r="O462" s="4">
        <v>9.06675</v>
      </c>
    </row>
    <row r="463">
      <c r="A463" s="5">
        <v>45533.0</v>
      </c>
      <c r="B463" s="1" t="s">
        <v>95</v>
      </c>
      <c r="C463" s="1" t="s">
        <v>89</v>
      </c>
      <c r="D463" s="4">
        <v>264.0</v>
      </c>
      <c r="E463" s="4">
        <v>100.0</v>
      </c>
      <c r="G463" s="1" t="s">
        <v>91</v>
      </c>
      <c r="H463" s="1" t="s">
        <v>92</v>
      </c>
      <c r="I463" s="1" t="s">
        <v>1210</v>
      </c>
      <c r="J463" s="1" t="s">
        <v>1211</v>
      </c>
      <c r="K463" s="1" t="s">
        <v>1211</v>
      </c>
      <c r="M463" s="4">
        <v>4.0</v>
      </c>
      <c r="O463" s="4">
        <v>12.226033333333334</v>
      </c>
    </row>
    <row r="464">
      <c r="A464" s="5">
        <v>45533.0</v>
      </c>
      <c r="B464" s="1" t="s">
        <v>116</v>
      </c>
      <c r="C464" s="1" t="s">
        <v>107</v>
      </c>
      <c r="D464" s="4">
        <v>289.0</v>
      </c>
      <c r="E464" s="4">
        <v>0.0</v>
      </c>
      <c r="F464" s="1" t="s">
        <v>174</v>
      </c>
      <c r="G464" s="1" t="s">
        <v>175</v>
      </c>
      <c r="H464" s="1" t="s">
        <v>92</v>
      </c>
      <c r="I464" s="1" t="s">
        <v>1212</v>
      </c>
      <c r="J464" s="1" t="s">
        <v>1213</v>
      </c>
      <c r="K464" s="1" t="s">
        <v>1214</v>
      </c>
      <c r="L464" s="1" t="s">
        <v>1215</v>
      </c>
      <c r="M464" s="4">
        <v>0.0</v>
      </c>
      <c r="N464" s="4">
        <v>0.0117</v>
      </c>
      <c r="O464" s="4">
        <v>17.140866666666668</v>
      </c>
    </row>
    <row r="465">
      <c r="A465" s="5">
        <v>45533.0</v>
      </c>
      <c r="B465" s="1" t="s">
        <v>88</v>
      </c>
      <c r="C465" s="1" t="s">
        <v>107</v>
      </c>
      <c r="D465" s="4">
        <v>369.0</v>
      </c>
      <c r="E465" s="4">
        <v>0.0</v>
      </c>
      <c r="F465" s="1" t="s">
        <v>90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5.0</v>
      </c>
      <c r="O465" s="4">
        <v>20.683333333333334</v>
      </c>
    </row>
    <row r="466">
      <c r="A466" s="5">
        <v>45533.0</v>
      </c>
      <c r="B466" s="1" t="s">
        <v>95</v>
      </c>
      <c r="C466" s="1" t="s">
        <v>89</v>
      </c>
      <c r="D466" s="4">
        <v>528.0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0.0</v>
      </c>
      <c r="O466" s="4">
        <v>10.72035</v>
      </c>
    </row>
    <row r="467">
      <c r="A467" s="5">
        <v>45533.0</v>
      </c>
      <c r="B467" s="1" t="s">
        <v>88</v>
      </c>
      <c r="C467" s="1" t="s">
        <v>107</v>
      </c>
      <c r="D467" s="4">
        <v>817.0</v>
      </c>
      <c r="E467" s="4">
        <v>0.0</v>
      </c>
      <c r="F467" s="1" t="s">
        <v>90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22.86495</v>
      </c>
    </row>
    <row r="468">
      <c r="A468" s="5">
        <v>45533.0</v>
      </c>
      <c r="B468" s="1" t="s">
        <v>95</v>
      </c>
      <c r="C468" s="1" t="s">
        <v>89</v>
      </c>
      <c r="D468" s="4">
        <v>269.0</v>
      </c>
      <c r="E468" s="4">
        <v>100.0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4.0</v>
      </c>
      <c r="O468" s="4">
        <v>12.39625</v>
      </c>
    </row>
    <row r="469">
      <c r="A469" s="5">
        <v>45533.0</v>
      </c>
      <c r="B469" s="1" t="s">
        <v>103</v>
      </c>
      <c r="C469" s="1" t="s">
        <v>89</v>
      </c>
      <c r="D469" s="4">
        <v>264.0</v>
      </c>
      <c r="E469" s="4">
        <v>0.0</v>
      </c>
      <c r="F469" s="1" t="s">
        <v>1224</v>
      </c>
      <c r="G469" s="1" t="s">
        <v>91</v>
      </c>
      <c r="H469" s="1" t="s">
        <v>92</v>
      </c>
      <c r="I469" s="1" t="s">
        <v>1225</v>
      </c>
      <c r="J469" s="1" t="s">
        <v>1226</v>
      </c>
      <c r="K469" s="1" t="s">
        <v>1226</v>
      </c>
      <c r="M469" s="4">
        <v>-1.0</v>
      </c>
      <c r="O469" s="4">
        <v>13.70495</v>
      </c>
    </row>
    <row r="470">
      <c r="A470" s="5">
        <v>45533.0</v>
      </c>
      <c r="B470" s="1" t="s">
        <v>95</v>
      </c>
      <c r="C470" s="1" t="s">
        <v>89</v>
      </c>
      <c r="D470" s="4">
        <v>252.0</v>
      </c>
      <c r="E470" s="4">
        <v>100.0</v>
      </c>
      <c r="G470" s="1" t="s">
        <v>91</v>
      </c>
      <c r="H470" s="1" t="s">
        <v>92</v>
      </c>
      <c r="I470" s="1" t="s">
        <v>1227</v>
      </c>
      <c r="J470" s="1" t="s">
        <v>1228</v>
      </c>
      <c r="K470" s="1" t="s">
        <v>1228</v>
      </c>
      <c r="M470" s="4">
        <v>0.0</v>
      </c>
      <c r="O470" s="4">
        <v>8.596316666666667</v>
      </c>
    </row>
    <row r="471">
      <c r="A471" s="5">
        <v>45533.0</v>
      </c>
      <c r="B471" s="1" t="s">
        <v>88</v>
      </c>
      <c r="C471" s="1" t="s">
        <v>107</v>
      </c>
      <c r="D471" s="4">
        <v>394.0</v>
      </c>
      <c r="E471" s="4">
        <v>0.0</v>
      </c>
      <c r="F471" s="1" t="s">
        <v>90</v>
      </c>
      <c r="G471" s="1" t="s">
        <v>91</v>
      </c>
      <c r="H471" s="1" t="s">
        <v>92</v>
      </c>
      <c r="I471" s="1" t="s">
        <v>1229</v>
      </c>
      <c r="J471" s="1" t="s">
        <v>1230</v>
      </c>
      <c r="K471" s="1" t="s">
        <v>1230</v>
      </c>
      <c r="M471" s="4">
        <v>-5.0</v>
      </c>
      <c r="O471" s="4">
        <v>9.56975</v>
      </c>
    </row>
    <row r="472">
      <c r="A472" s="5">
        <v>45533.0</v>
      </c>
      <c r="B472" s="1" t="s">
        <v>88</v>
      </c>
      <c r="C472" s="1" t="s">
        <v>107</v>
      </c>
      <c r="D472" s="4">
        <v>224.0</v>
      </c>
      <c r="E472" s="4">
        <v>0.0</v>
      </c>
      <c r="F472" s="1" t="s">
        <v>90</v>
      </c>
      <c r="G472" s="1" t="s">
        <v>91</v>
      </c>
      <c r="H472" s="1" t="s">
        <v>92</v>
      </c>
      <c r="I472" s="1" t="s">
        <v>1231</v>
      </c>
      <c r="J472" s="1" t="s">
        <v>1232</v>
      </c>
      <c r="K472" s="1" t="s">
        <v>1232</v>
      </c>
      <c r="M472" s="4">
        <v>-29.0</v>
      </c>
      <c r="O472" s="4">
        <v>111.72071666666666</v>
      </c>
    </row>
    <row r="473">
      <c r="A473" s="5">
        <v>45534.0</v>
      </c>
      <c r="B473" s="1" t="s">
        <v>103</v>
      </c>
      <c r="C473" s="1" t="s">
        <v>107</v>
      </c>
      <c r="D473" s="4">
        <v>264.0</v>
      </c>
      <c r="E473" s="4">
        <v>0.0</v>
      </c>
      <c r="F473" s="1" t="s">
        <v>1233</v>
      </c>
      <c r="G473" s="1" t="s">
        <v>91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-7.0</v>
      </c>
      <c r="O473" s="4">
        <v>7.734416666666666</v>
      </c>
    </row>
    <row r="474">
      <c r="A474" s="5">
        <v>45534.0</v>
      </c>
      <c r="B474" s="1" t="s">
        <v>110</v>
      </c>
      <c r="C474" s="1" t="s">
        <v>107</v>
      </c>
      <c r="D474" s="4">
        <v>39.0</v>
      </c>
      <c r="E474" s="4">
        <v>0.0</v>
      </c>
      <c r="G474" s="1" t="s">
        <v>111</v>
      </c>
      <c r="H474" s="1" t="s">
        <v>96</v>
      </c>
      <c r="I474" s="1" t="s">
        <v>1236</v>
      </c>
      <c r="J474" s="1" t="s">
        <v>1237</v>
      </c>
      <c r="K474" s="1" t="s">
        <v>1237</v>
      </c>
      <c r="M474" s="4">
        <v>-4.0</v>
      </c>
      <c r="O474" s="4">
        <v>0.15701666666666667</v>
      </c>
    </row>
    <row r="475">
      <c r="A475" s="5">
        <v>45534.0</v>
      </c>
      <c r="B475" s="1" t="s">
        <v>103</v>
      </c>
      <c r="C475" s="1" t="s">
        <v>107</v>
      </c>
      <c r="D475" s="4">
        <v>179.0</v>
      </c>
      <c r="E475" s="4">
        <v>0.0</v>
      </c>
      <c r="F475" s="1" t="s">
        <v>1238</v>
      </c>
      <c r="G475" s="1" t="s">
        <v>91</v>
      </c>
      <c r="H475" s="1" t="s">
        <v>92</v>
      </c>
      <c r="I475" s="1" t="s">
        <v>1239</v>
      </c>
      <c r="J475" s="1" t="s">
        <v>1240</v>
      </c>
      <c r="K475" s="1" t="s">
        <v>1240</v>
      </c>
      <c r="M475" s="4">
        <v>-7.0</v>
      </c>
      <c r="O475" s="4">
        <v>7.216616666666667</v>
      </c>
    </row>
    <row r="476">
      <c r="A476" s="5">
        <v>45534.0</v>
      </c>
      <c r="B476" s="1" t="s">
        <v>95</v>
      </c>
      <c r="C476" s="1" t="s">
        <v>107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1241</v>
      </c>
      <c r="J476" s="1" t="s">
        <v>1242</v>
      </c>
      <c r="K476" s="1" t="s">
        <v>1242</v>
      </c>
      <c r="M476" s="4">
        <v>0.0</v>
      </c>
      <c r="O476" s="4">
        <v>6.0460666666666665</v>
      </c>
    </row>
    <row r="477">
      <c r="A477" s="5">
        <v>45534.0</v>
      </c>
      <c r="B477" s="1" t="s">
        <v>88</v>
      </c>
      <c r="C477" s="1" t="s">
        <v>107</v>
      </c>
      <c r="D477" s="4">
        <v>264.0</v>
      </c>
      <c r="E477" s="4">
        <v>0.0</v>
      </c>
      <c r="F477" s="1" t="s">
        <v>90</v>
      </c>
      <c r="G477" s="1" t="s">
        <v>91</v>
      </c>
      <c r="H477" s="1" t="s">
        <v>92</v>
      </c>
      <c r="I477" s="1" t="s">
        <v>1243</v>
      </c>
      <c r="J477" s="1" t="s">
        <v>1244</v>
      </c>
      <c r="K477" s="1" t="s">
        <v>1244</v>
      </c>
      <c r="M477" s="4">
        <v>-5.0</v>
      </c>
      <c r="O477" s="4">
        <v>9.643166666666668</v>
      </c>
    </row>
    <row r="478">
      <c r="A478" s="5">
        <v>45534.0</v>
      </c>
      <c r="B478" s="1" t="s">
        <v>95</v>
      </c>
      <c r="C478" s="1" t="s">
        <v>107</v>
      </c>
      <c r="D478" s="4">
        <v>382.0</v>
      </c>
      <c r="E478" s="4">
        <v>100.0</v>
      </c>
      <c r="G478" s="1" t="s">
        <v>91</v>
      </c>
      <c r="H478" s="1" t="s">
        <v>92</v>
      </c>
      <c r="I478" s="1" t="s">
        <v>1245</v>
      </c>
      <c r="J478" s="1" t="s">
        <v>1246</v>
      </c>
      <c r="K478" s="1" t="s">
        <v>1246</v>
      </c>
      <c r="M478" s="4">
        <v>0.0</v>
      </c>
      <c r="O478" s="4">
        <v>8.4278</v>
      </c>
    </row>
    <row r="479">
      <c r="A479" s="5">
        <v>45534.0</v>
      </c>
      <c r="B479" s="1" t="s">
        <v>110</v>
      </c>
      <c r="C479" s="1" t="s">
        <v>107</v>
      </c>
      <c r="D479" s="4">
        <v>49.0</v>
      </c>
      <c r="E479" s="4">
        <v>0.0</v>
      </c>
      <c r="G479" s="1" t="s">
        <v>111</v>
      </c>
      <c r="H479" s="1" t="s">
        <v>96</v>
      </c>
      <c r="I479" s="1" t="s">
        <v>1247</v>
      </c>
      <c r="J479" s="1" t="s">
        <v>1248</v>
      </c>
      <c r="K479" s="1" t="s">
        <v>1248</v>
      </c>
      <c r="M479" s="4">
        <v>1.0</v>
      </c>
      <c r="O479" s="4">
        <v>6.192716666666667</v>
      </c>
    </row>
    <row r="480">
      <c r="A480" s="5">
        <v>45534.0</v>
      </c>
      <c r="B480" s="1" t="s">
        <v>116</v>
      </c>
      <c r="C480" s="1" t="s">
        <v>107</v>
      </c>
      <c r="D480" s="4">
        <v>418.0</v>
      </c>
      <c r="E480" s="4">
        <v>0.0</v>
      </c>
      <c r="F480" s="1" t="s">
        <v>774</v>
      </c>
      <c r="G480" s="1" t="s">
        <v>175</v>
      </c>
      <c r="H480" s="1" t="s">
        <v>96</v>
      </c>
      <c r="I480" s="1" t="s">
        <v>1249</v>
      </c>
      <c r="J480" s="1" t="s">
        <v>1250</v>
      </c>
      <c r="K480" s="1" t="s">
        <v>1251</v>
      </c>
      <c r="L480" s="1" t="s">
        <v>1252</v>
      </c>
      <c r="M480" s="4">
        <v>-5.0</v>
      </c>
      <c r="N480" s="4">
        <v>0.008766666666666667</v>
      </c>
      <c r="O480" s="4">
        <v>12.185566666666666</v>
      </c>
    </row>
    <row r="481">
      <c r="A481" s="5">
        <v>45534.0</v>
      </c>
      <c r="B481" s="1" t="s">
        <v>95</v>
      </c>
      <c r="C481" s="1" t="s">
        <v>89</v>
      </c>
      <c r="D481" s="4">
        <v>278.0</v>
      </c>
      <c r="E481" s="4">
        <v>100.0</v>
      </c>
      <c r="G481" s="1" t="s">
        <v>91</v>
      </c>
      <c r="H481" s="1" t="s">
        <v>92</v>
      </c>
      <c r="I481" s="1" t="s">
        <v>1253</v>
      </c>
      <c r="J481" s="1" t="s">
        <v>1254</v>
      </c>
      <c r="K481" s="1" t="s">
        <v>1254</v>
      </c>
      <c r="M481" s="4">
        <v>-1.0</v>
      </c>
      <c r="O481" s="4">
        <v>6.837016666666667</v>
      </c>
    </row>
    <row r="482">
      <c r="A482" s="5">
        <v>45534.0</v>
      </c>
      <c r="B482" s="1" t="s">
        <v>88</v>
      </c>
      <c r="C482" s="1" t="s">
        <v>107</v>
      </c>
      <c r="D482" s="4">
        <v>329.0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1255</v>
      </c>
      <c r="J482" s="1" t="s">
        <v>1256</v>
      </c>
      <c r="K482" s="1" t="s">
        <v>1256</v>
      </c>
      <c r="M482" s="4">
        <v>-6.0</v>
      </c>
      <c r="O482" s="4">
        <v>8.46635</v>
      </c>
    </row>
    <row r="483">
      <c r="A483" s="5">
        <v>45534.0</v>
      </c>
      <c r="B483" s="1" t="s">
        <v>116</v>
      </c>
      <c r="C483" s="1" t="s">
        <v>107</v>
      </c>
      <c r="D483" s="4">
        <v>250.0</v>
      </c>
      <c r="E483" s="4">
        <v>0.0</v>
      </c>
      <c r="F483" s="1" t="s">
        <v>774</v>
      </c>
      <c r="G483" s="1" t="s">
        <v>175</v>
      </c>
      <c r="H483" s="1" t="s">
        <v>92</v>
      </c>
      <c r="I483" s="1" t="s">
        <v>1257</v>
      </c>
      <c r="J483" s="1" t="s">
        <v>1258</v>
      </c>
      <c r="K483" s="1" t="s">
        <v>1259</v>
      </c>
      <c r="L483" s="1" t="s">
        <v>1260</v>
      </c>
      <c r="M483" s="4">
        <v>-12.0</v>
      </c>
      <c r="N483" s="4">
        <v>0.011483333333333333</v>
      </c>
      <c r="O483" s="4">
        <v>7.633783333333334</v>
      </c>
    </row>
    <row r="484">
      <c r="A484" s="5">
        <v>45534.0</v>
      </c>
      <c r="B484" s="1" t="s">
        <v>116</v>
      </c>
      <c r="C484" s="1" t="s">
        <v>107</v>
      </c>
      <c r="D484" s="4">
        <v>245.0</v>
      </c>
      <c r="E484" s="4">
        <v>61.0</v>
      </c>
      <c r="G484" s="1" t="s">
        <v>111</v>
      </c>
      <c r="H484" s="1" t="s">
        <v>194</v>
      </c>
      <c r="I484" s="1" t="s">
        <v>1261</v>
      </c>
      <c r="J484" s="1" t="s">
        <v>1262</v>
      </c>
      <c r="K484" s="1" t="s">
        <v>1262</v>
      </c>
      <c r="M484" s="4">
        <v>-9.0</v>
      </c>
      <c r="O484" s="4">
        <v>10.166416666666667</v>
      </c>
    </row>
    <row r="485">
      <c r="A485" s="5">
        <v>45534.0</v>
      </c>
      <c r="B485" s="1" t="s">
        <v>103</v>
      </c>
      <c r="C485" s="1" t="s">
        <v>89</v>
      </c>
      <c r="D485" s="4">
        <v>698.0</v>
      </c>
      <c r="E485" s="4">
        <v>0.0</v>
      </c>
      <c r="F485" s="1" t="s">
        <v>1263</v>
      </c>
      <c r="G485" s="1" t="s">
        <v>91</v>
      </c>
      <c r="H485" s="1" t="s">
        <v>92</v>
      </c>
      <c r="I485" s="1" t="s">
        <v>1264</v>
      </c>
      <c r="J485" s="1" t="s">
        <v>1265</v>
      </c>
      <c r="K485" s="1" t="s">
        <v>1265</v>
      </c>
      <c r="M485" s="4">
        <v>-9.0</v>
      </c>
      <c r="O485" s="4">
        <v>10.802766666666667</v>
      </c>
    </row>
    <row r="486">
      <c r="A486" s="5">
        <v>45534.0</v>
      </c>
      <c r="B486" s="1" t="s">
        <v>116</v>
      </c>
      <c r="C486" s="1" t="s">
        <v>107</v>
      </c>
      <c r="D486" s="4">
        <v>700.0</v>
      </c>
      <c r="E486" s="4">
        <v>0.0</v>
      </c>
      <c r="F486" s="1" t="s">
        <v>774</v>
      </c>
      <c r="G486" s="1" t="s">
        <v>175</v>
      </c>
      <c r="H486" s="1" t="s">
        <v>92</v>
      </c>
      <c r="I486" s="1" t="s">
        <v>1266</v>
      </c>
      <c r="J486" s="1" t="s">
        <v>1267</v>
      </c>
      <c r="K486" s="1" t="s">
        <v>1268</v>
      </c>
      <c r="L486" s="1" t="s">
        <v>1269</v>
      </c>
      <c r="M486" s="4">
        <v>-22.0</v>
      </c>
      <c r="N486" s="4">
        <v>0.009716666666666667</v>
      </c>
      <c r="O486" s="4">
        <v>8.967933333333333</v>
      </c>
    </row>
    <row r="487">
      <c r="A487" s="5">
        <v>45534.0</v>
      </c>
      <c r="B487" s="1" t="s">
        <v>95</v>
      </c>
      <c r="C487" s="1" t="s">
        <v>89</v>
      </c>
      <c r="D487" s="4">
        <v>264.0</v>
      </c>
      <c r="E487" s="4">
        <v>0.0</v>
      </c>
      <c r="G487" s="1" t="s">
        <v>91</v>
      </c>
      <c r="H487" s="1" t="s">
        <v>92</v>
      </c>
      <c r="I487" s="1" t="s">
        <v>1270</v>
      </c>
      <c r="J487" s="1" t="s">
        <v>1271</v>
      </c>
      <c r="K487" s="1" t="s">
        <v>1271</v>
      </c>
      <c r="M487" s="4">
        <v>0.0</v>
      </c>
      <c r="O487" s="4">
        <v>7.0982666666666665</v>
      </c>
    </row>
    <row r="488">
      <c r="A488" s="5">
        <v>45534.0</v>
      </c>
      <c r="B488" s="1" t="s">
        <v>88</v>
      </c>
      <c r="C488" s="1" t="s">
        <v>107</v>
      </c>
      <c r="D488" s="4">
        <v>329.0</v>
      </c>
      <c r="E488" s="4">
        <v>0.0</v>
      </c>
      <c r="F488" s="1" t="s">
        <v>90</v>
      </c>
      <c r="G488" s="1" t="s">
        <v>91</v>
      </c>
      <c r="H488" s="1" t="s">
        <v>92</v>
      </c>
      <c r="I488" s="1" t="s">
        <v>1272</v>
      </c>
      <c r="J488" s="1" t="s">
        <v>1273</v>
      </c>
      <c r="K488" s="1" t="s">
        <v>1273</v>
      </c>
      <c r="M488" s="4">
        <v>-7.0</v>
      </c>
      <c r="O488" s="4">
        <v>9.880633333333334</v>
      </c>
    </row>
    <row r="489">
      <c r="A489" s="5">
        <v>45534.0</v>
      </c>
      <c r="B489" s="1" t="s">
        <v>88</v>
      </c>
      <c r="C489" s="1" t="s">
        <v>107</v>
      </c>
      <c r="D489" s="4">
        <v>394.0</v>
      </c>
      <c r="E489" s="4">
        <v>0.0</v>
      </c>
      <c r="F489" s="1" t="s">
        <v>90</v>
      </c>
      <c r="G489" s="1" t="s">
        <v>91</v>
      </c>
      <c r="H489" s="1" t="s">
        <v>92</v>
      </c>
      <c r="I489" s="1" t="s">
        <v>1274</v>
      </c>
      <c r="J489" s="1" t="s">
        <v>1275</v>
      </c>
      <c r="K489" s="1" t="s">
        <v>1275</v>
      </c>
      <c r="M489" s="4">
        <v>-8.0</v>
      </c>
      <c r="O489" s="4">
        <v>6.671566666666667</v>
      </c>
    </row>
    <row r="490">
      <c r="A490" s="5">
        <v>45534.0</v>
      </c>
      <c r="B490" s="1" t="s">
        <v>95</v>
      </c>
      <c r="C490" s="1" t="s">
        <v>89</v>
      </c>
      <c r="D490" s="4">
        <v>329.0</v>
      </c>
      <c r="E490" s="4">
        <v>0.0</v>
      </c>
      <c r="G490" s="1" t="s">
        <v>91</v>
      </c>
      <c r="H490" s="1" t="s">
        <v>92</v>
      </c>
      <c r="I490" s="1" t="s">
        <v>1276</v>
      </c>
      <c r="J490" s="1" t="s">
        <v>1277</v>
      </c>
      <c r="K490" s="1" t="s">
        <v>1277</v>
      </c>
      <c r="M490" s="4">
        <v>0.0</v>
      </c>
      <c r="O490" s="4">
        <v>7.46965</v>
      </c>
    </row>
    <row r="491">
      <c r="A491" s="5">
        <v>45534.0</v>
      </c>
      <c r="B491" s="1" t="s">
        <v>88</v>
      </c>
      <c r="C491" s="1" t="s">
        <v>107</v>
      </c>
      <c r="D491" s="4">
        <v>516.0</v>
      </c>
      <c r="E491" s="4">
        <v>0.0</v>
      </c>
      <c r="F491" s="1" t="s">
        <v>90</v>
      </c>
      <c r="G491" s="1" t="s">
        <v>91</v>
      </c>
      <c r="H491" s="1" t="s">
        <v>92</v>
      </c>
      <c r="I491" s="1" t="s">
        <v>1278</v>
      </c>
      <c r="J491" s="1" t="s">
        <v>1279</v>
      </c>
      <c r="K491" s="1" t="s">
        <v>1279</v>
      </c>
      <c r="M491" s="4">
        <v>-12.0</v>
      </c>
      <c r="O491" s="4">
        <v>7.793616666666667</v>
      </c>
    </row>
    <row r="492">
      <c r="A492" s="5">
        <v>45534.0</v>
      </c>
      <c r="B492" s="1" t="s">
        <v>95</v>
      </c>
      <c r="C492" s="1" t="s">
        <v>107</v>
      </c>
      <c r="D492" s="4">
        <v>457.0</v>
      </c>
      <c r="E492" s="4">
        <v>0.0</v>
      </c>
      <c r="G492" s="1" t="s">
        <v>91</v>
      </c>
      <c r="H492" s="1" t="s">
        <v>92</v>
      </c>
      <c r="I492" s="1" t="s">
        <v>1280</v>
      </c>
      <c r="J492" s="1" t="s">
        <v>1281</v>
      </c>
      <c r="K492" s="1" t="s">
        <v>1281</v>
      </c>
      <c r="M492" s="4">
        <v>0.0</v>
      </c>
      <c r="O492" s="4">
        <v>9.637233333333333</v>
      </c>
    </row>
    <row r="493">
      <c r="A493" s="5">
        <v>45534.0</v>
      </c>
      <c r="B493" s="1" t="s">
        <v>88</v>
      </c>
      <c r="C493" s="1" t="s">
        <v>107</v>
      </c>
      <c r="D493" s="4">
        <v>458.0</v>
      </c>
      <c r="E493" s="4">
        <v>0.0</v>
      </c>
      <c r="F493" s="1" t="s">
        <v>90</v>
      </c>
      <c r="G493" s="1" t="s">
        <v>91</v>
      </c>
      <c r="H493" s="1" t="s">
        <v>92</v>
      </c>
      <c r="I493" s="1" t="s">
        <v>1282</v>
      </c>
      <c r="J493" s="1" t="s">
        <v>1283</v>
      </c>
      <c r="K493" s="1" t="s">
        <v>1283</v>
      </c>
      <c r="M493" s="4">
        <v>-6.0</v>
      </c>
      <c r="O493" s="4">
        <v>8.094216666666666</v>
      </c>
    </row>
    <row r="494">
      <c r="A494" s="5">
        <v>45534.0</v>
      </c>
      <c r="B494" s="1" t="s">
        <v>95</v>
      </c>
      <c r="C494" s="1" t="s">
        <v>107</v>
      </c>
      <c r="D494" s="4">
        <v>458.0</v>
      </c>
      <c r="E494" s="4">
        <v>0.0</v>
      </c>
      <c r="G494" s="1" t="s">
        <v>91</v>
      </c>
      <c r="H494" s="1" t="s">
        <v>96</v>
      </c>
      <c r="I494" s="1" t="s">
        <v>1284</v>
      </c>
      <c r="J494" s="1" t="s">
        <v>1285</v>
      </c>
      <c r="K494" s="1" t="s">
        <v>1285</v>
      </c>
      <c r="M494" s="4">
        <v>-3.0</v>
      </c>
      <c r="O494" s="4">
        <v>5.465183333333333</v>
      </c>
    </row>
    <row r="495">
      <c r="A495" s="5">
        <v>45534.0</v>
      </c>
      <c r="B495" s="1" t="s">
        <v>110</v>
      </c>
      <c r="C495" s="1" t="s">
        <v>107</v>
      </c>
      <c r="D495" s="4">
        <v>119.0</v>
      </c>
      <c r="E495" s="4">
        <v>0.0</v>
      </c>
      <c r="G495" s="1" t="s">
        <v>111</v>
      </c>
      <c r="H495" s="1" t="s">
        <v>96</v>
      </c>
      <c r="I495" s="1" t="s">
        <v>1286</v>
      </c>
      <c r="J495" s="1" t="s">
        <v>1287</v>
      </c>
      <c r="K495" s="1" t="s">
        <v>1287</v>
      </c>
      <c r="M495" s="4">
        <v>0.0</v>
      </c>
      <c r="O495" s="4">
        <v>5.451966666666666</v>
      </c>
    </row>
    <row r="496">
      <c r="A496" s="5">
        <v>45534.0</v>
      </c>
      <c r="B496" s="1" t="s">
        <v>116</v>
      </c>
      <c r="C496" s="1" t="s">
        <v>107</v>
      </c>
      <c r="D496" s="4">
        <v>375.0</v>
      </c>
      <c r="E496" s="4">
        <v>0.0</v>
      </c>
      <c r="F496" s="1" t="s">
        <v>774</v>
      </c>
      <c r="G496" s="1" t="s">
        <v>175</v>
      </c>
      <c r="H496" s="1" t="s">
        <v>96</v>
      </c>
      <c r="I496" s="1" t="s">
        <v>1288</v>
      </c>
      <c r="J496" s="1" t="s">
        <v>1289</v>
      </c>
      <c r="K496" s="1" t="s">
        <v>1290</v>
      </c>
      <c r="L496" s="1" t="s">
        <v>1291</v>
      </c>
      <c r="M496" s="4">
        <v>-17.0</v>
      </c>
      <c r="N496" s="4">
        <v>0.014816666666666667</v>
      </c>
      <c r="O496" s="4">
        <v>9.87175</v>
      </c>
    </row>
    <row r="497">
      <c r="A497" s="5">
        <v>45534.0</v>
      </c>
      <c r="B497" s="1" t="s">
        <v>103</v>
      </c>
      <c r="C497" s="1" t="s">
        <v>107</v>
      </c>
      <c r="D497" s="4">
        <v>369.0</v>
      </c>
      <c r="E497" s="4">
        <v>0.0</v>
      </c>
      <c r="F497" s="1" t="s">
        <v>1263</v>
      </c>
      <c r="G497" s="1" t="s">
        <v>91</v>
      </c>
      <c r="H497" s="1" t="s">
        <v>92</v>
      </c>
      <c r="I497" s="1" t="s">
        <v>1292</v>
      </c>
      <c r="J497" s="1" t="s">
        <v>1293</v>
      </c>
      <c r="K497" s="1" t="s">
        <v>1293</v>
      </c>
      <c r="M497" s="4">
        <v>-5.0</v>
      </c>
      <c r="O497" s="4">
        <v>9.609566666666666</v>
      </c>
    </row>
    <row r="498">
      <c r="A498" s="5">
        <v>45534.0</v>
      </c>
      <c r="B498" s="1" t="s">
        <v>88</v>
      </c>
      <c r="C498" s="1" t="s">
        <v>107</v>
      </c>
      <c r="D498" s="4">
        <v>329.0</v>
      </c>
      <c r="E498" s="4">
        <v>0.0</v>
      </c>
      <c r="F498" s="1" t="s">
        <v>90</v>
      </c>
      <c r="G498" s="1" t="s">
        <v>91</v>
      </c>
      <c r="H498" s="1" t="s">
        <v>92</v>
      </c>
      <c r="I498" s="1" t="s">
        <v>1294</v>
      </c>
      <c r="J498" s="1" t="s">
        <v>1295</v>
      </c>
      <c r="K498" s="1" t="s">
        <v>1295</v>
      </c>
      <c r="M498" s="4">
        <v>-8.0</v>
      </c>
      <c r="O498" s="4">
        <v>6.13105</v>
      </c>
    </row>
    <row r="499">
      <c r="A499" s="5">
        <v>45534.0</v>
      </c>
      <c r="B499" s="1" t="s">
        <v>88</v>
      </c>
      <c r="C499" s="1" t="s">
        <v>107</v>
      </c>
      <c r="D499" s="4">
        <v>303.0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1296</v>
      </c>
      <c r="J499" s="1" t="s">
        <v>1297</v>
      </c>
      <c r="K499" s="1" t="s">
        <v>1297</v>
      </c>
      <c r="M499" s="4">
        <v>-5.0</v>
      </c>
      <c r="O499" s="4">
        <v>9.331033333333334</v>
      </c>
    </row>
    <row r="500">
      <c r="A500" s="5">
        <v>45534.0</v>
      </c>
      <c r="B500" s="1" t="s">
        <v>110</v>
      </c>
      <c r="C500" s="1" t="s">
        <v>107</v>
      </c>
      <c r="D500" s="4">
        <v>667.0</v>
      </c>
      <c r="E500" s="4">
        <v>0.0</v>
      </c>
      <c r="G500" s="1" t="s">
        <v>111</v>
      </c>
      <c r="H500" s="1" t="s">
        <v>96</v>
      </c>
      <c r="I500" s="1" t="s">
        <v>1298</v>
      </c>
      <c r="J500" s="1" t="s">
        <v>1299</v>
      </c>
      <c r="K500" s="1" t="s">
        <v>1299</v>
      </c>
      <c r="M500" s="4">
        <v>-2.0</v>
      </c>
      <c r="O500" s="4">
        <v>7.282883333333333</v>
      </c>
    </row>
    <row r="501">
      <c r="A501" s="5">
        <v>45534.0</v>
      </c>
      <c r="B501" s="1" t="s">
        <v>110</v>
      </c>
      <c r="C501" s="1" t="s">
        <v>107</v>
      </c>
      <c r="D501" s="4">
        <v>368.0</v>
      </c>
      <c r="E501" s="4">
        <v>0.0</v>
      </c>
      <c r="G501" s="1" t="s">
        <v>111</v>
      </c>
      <c r="H501" s="1" t="s">
        <v>96</v>
      </c>
      <c r="I501" s="1" t="s">
        <v>1300</v>
      </c>
      <c r="J501" s="1" t="s">
        <v>1301</v>
      </c>
      <c r="K501" s="1" t="s">
        <v>1301</v>
      </c>
      <c r="M501" s="4">
        <v>1.0</v>
      </c>
      <c r="O501" s="4">
        <v>6.33655</v>
      </c>
    </row>
    <row r="502">
      <c r="A502" s="5">
        <v>45534.0</v>
      </c>
      <c r="B502" s="1" t="s">
        <v>116</v>
      </c>
      <c r="C502" s="1" t="s">
        <v>107</v>
      </c>
      <c r="D502" s="4">
        <v>843.0</v>
      </c>
      <c r="E502" s="4">
        <v>0.0</v>
      </c>
      <c r="F502" s="1" t="s">
        <v>774</v>
      </c>
      <c r="G502" s="1" t="s">
        <v>175</v>
      </c>
      <c r="H502" s="1" t="s">
        <v>96</v>
      </c>
      <c r="I502" s="1" t="s">
        <v>1302</v>
      </c>
      <c r="J502" s="1" t="s">
        <v>1303</v>
      </c>
      <c r="K502" s="1" t="s">
        <v>1304</v>
      </c>
      <c r="L502" s="1" t="s">
        <v>1305</v>
      </c>
      <c r="M502" s="4">
        <v>-14.0</v>
      </c>
      <c r="N502" s="4">
        <v>0.015133333333333334</v>
      </c>
      <c r="O502" s="4">
        <v>11.313083333333333</v>
      </c>
    </row>
    <row r="503">
      <c r="A503" s="5">
        <v>45534.0</v>
      </c>
      <c r="B503" s="1" t="s">
        <v>88</v>
      </c>
      <c r="C503" s="1" t="s">
        <v>107</v>
      </c>
      <c r="D503" s="4">
        <v>394.0</v>
      </c>
      <c r="E503" s="4">
        <v>0.0</v>
      </c>
      <c r="F503" s="1" t="s">
        <v>90</v>
      </c>
      <c r="G503" s="1" t="s">
        <v>91</v>
      </c>
      <c r="H503" s="1" t="s">
        <v>92</v>
      </c>
      <c r="I503" s="1" t="s">
        <v>1306</v>
      </c>
      <c r="J503" s="1" t="s">
        <v>1307</v>
      </c>
      <c r="K503" s="1" t="s">
        <v>1307</v>
      </c>
      <c r="M503" s="4">
        <v>-6.0</v>
      </c>
      <c r="O503" s="4">
        <v>8.1831</v>
      </c>
    </row>
    <row r="504">
      <c r="A504" s="5">
        <v>45534.0</v>
      </c>
      <c r="B504" s="1" t="s">
        <v>116</v>
      </c>
      <c r="C504" s="1" t="s">
        <v>107</v>
      </c>
      <c r="D504" s="4">
        <v>348.0</v>
      </c>
      <c r="E504" s="4">
        <v>24.0</v>
      </c>
      <c r="F504" s="1" t="s">
        <v>774</v>
      </c>
      <c r="G504" s="1" t="s">
        <v>175</v>
      </c>
      <c r="H504" s="1" t="s">
        <v>92</v>
      </c>
      <c r="I504" s="1" t="s">
        <v>1308</v>
      </c>
      <c r="J504" s="1" t="s">
        <v>1309</v>
      </c>
      <c r="K504" s="1" t="s">
        <v>1310</v>
      </c>
      <c r="L504" s="1" t="s">
        <v>1311</v>
      </c>
      <c r="M504" s="4">
        <v>-12.0</v>
      </c>
      <c r="N504" s="4">
        <v>0.013583333333333333</v>
      </c>
      <c r="O504" s="4">
        <v>6.956833333333333</v>
      </c>
    </row>
    <row r="505">
      <c r="A505" s="5">
        <v>45534.0</v>
      </c>
      <c r="B505" s="1" t="s">
        <v>103</v>
      </c>
      <c r="C505" s="1" t="s">
        <v>107</v>
      </c>
      <c r="D505" s="4">
        <v>264.0</v>
      </c>
      <c r="E505" s="4">
        <v>0.0</v>
      </c>
      <c r="F505" s="1" t="s">
        <v>1312</v>
      </c>
      <c r="G505" s="1" t="s">
        <v>91</v>
      </c>
      <c r="H505" s="1" t="s">
        <v>92</v>
      </c>
      <c r="I505" s="1" t="s">
        <v>1313</v>
      </c>
      <c r="J505" s="1" t="s">
        <v>1314</v>
      </c>
      <c r="K505" s="1" t="s">
        <v>1314</v>
      </c>
      <c r="M505" s="4">
        <v>-8.0</v>
      </c>
      <c r="O505" s="4">
        <v>6.175583333333333</v>
      </c>
    </row>
    <row r="506">
      <c r="A506" s="5">
        <v>45534.0</v>
      </c>
      <c r="B506" s="1" t="s">
        <v>88</v>
      </c>
      <c r="C506" s="1" t="s">
        <v>107</v>
      </c>
      <c r="D506" s="4">
        <v>841.0</v>
      </c>
      <c r="E506" s="4">
        <v>0.0</v>
      </c>
      <c r="F506" s="1" t="s">
        <v>90</v>
      </c>
      <c r="G506" s="1" t="s">
        <v>91</v>
      </c>
      <c r="H506" s="1" t="s">
        <v>92</v>
      </c>
      <c r="I506" s="1" t="s">
        <v>1315</v>
      </c>
      <c r="J506" s="1" t="s">
        <v>1316</v>
      </c>
      <c r="K506" s="1" t="s">
        <v>1316</v>
      </c>
      <c r="M506" s="4">
        <v>-9.0</v>
      </c>
      <c r="O506" s="4">
        <v>10.91095</v>
      </c>
    </row>
    <row r="507">
      <c r="A507" s="5">
        <v>45534.0</v>
      </c>
      <c r="B507" s="1" t="s">
        <v>88</v>
      </c>
      <c r="C507" s="1" t="s">
        <v>107</v>
      </c>
      <c r="D507" s="4">
        <v>369.0</v>
      </c>
      <c r="E507" s="4">
        <v>0.0</v>
      </c>
      <c r="F507" s="1" t="s">
        <v>90</v>
      </c>
      <c r="G507" s="1" t="s">
        <v>91</v>
      </c>
      <c r="H507" s="1" t="s">
        <v>92</v>
      </c>
      <c r="I507" s="1" t="s">
        <v>1317</v>
      </c>
      <c r="J507" s="1" t="s">
        <v>1318</v>
      </c>
      <c r="K507" s="1" t="s">
        <v>1318</v>
      </c>
      <c r="M507" s="4">
        <v>-8.0</v>
      </c>
      <c r="O507" s="4">
        <v>6.856083333333333</v>
      </c>
    </row>
    <row r="508">
      <c r="A508" s="5">
        <v>45534.0</v>
      </c>
      <c r="B508" s="1" t="s">
        <v>116</v>
      </c>
      <c r="C508" s="1" t="s">
        <v>107</v>
      </c>
      <c r="D508" s="4">
        <v>396.0</v>
      </c>
      <c r="E508" s="4">
        <v>77.0</v>
      </c>
      <c r="G508" s="1" t="s">
        <v>111</v>
      </c>
      <c r="H508" s="1" t="s">
        <v>92</v>
      </c>
      <c r="I508" s="1" t="s">
        <v>1319</v>
      </c>
      <c r="J508" s="1" t="s">
        <v>1320</v>
      </c>
      <c r="K508" s="1" t="s">
        <v>1320</v>
      </c>
      <c r="M508" s="4">
        <v>-6.0</v>
      </c>
      <c r="O508" s="4">
        <v>10.987633333333333</v>
      </c>
    </row>
    <row r="509">
      <c r="A509" s="5">
        <v>45534.0</v>
      </c>
      <c r="B509" s="1" t="s">
        <v>116</v>
      </c>
      <c r="C509" s="1" t="s">
        <v>107</v>
      </c>
      <c r="D509" s="4">
        <v>398.0</v>
      </c>
      <c r="E509" s="4">
        <v>100.0</v>
      </c>
      <c r="G509" s="1" t="s">
        <v>111</v>
      </c>
      <c r="H509" s="1" t="s">
        <v>194</v>
      </c>
      <c r="I509" s="1" t="s">
        <v>1321</v>
      </c>
      <c r="J509" s="1" t="s">
        <v>1322</v>
      </c>
      <c r="K509" s="1" t="s">
        <v>1322</v>
      </c>
      <c r="M509" s="4">
        <v>-9.0</v>
      </c>
      <c r="O509" s="4">
        <v>9.762466666666667</v>
      </c>
    </row>
    <row r="510">
      <c r="A510" s="5">
        <v>45534.0</v>
      </c>
      <c r="B510" s="1" t="s">
        <v>95</v>
      </c>
      <c r="C510" s="1" t="s">
        <v>107</v>
      </c>
      <c r="D510" s="4">
        <v>321.0</v>
      </c>
      <c r="E510" s="4">
        <v>0.0</v>
      </c>
      <c r="G510" s="1" t="s">
        <v>91</v>
      </c>
      <c r="H510" s="1" t="s">
        <v>96</v>
      </c>
      <c r="I510" s="1" t="s">
        <v>1323</v>
      </c>
      <c r="J510" s="1" t="s">
        <v>1324</v>
      </c>
      <c r="K510" s="1" t="s">
        <v>1324</v>
      </c>
      <c r="M510" s="4">
        <v>-1.0</v>
      </c>
      <c r="O510" s="4">
        <v>6.954066666666667</v>
      </c>
    </row>
    <row r="511">
      <c r="A511" s="5">
        <v>45534.0</v>
      </c>
      <c r="B511" s="1" t="s">
        <v>103</v>
      </c>
      <c r="C511" s="1" t="s">
        <v>89</v>
      </c>
      <c r="D511" s="4">
        <v>329.0</v>
      </c>
      <c r="E511" s="4">
        <v>0.0</v>
      </c>
      <c r="F511" s="1" t="s">
        <v>1325</v>
      </c>
      <c r="G511" s="1" t="s">
        <v>91</v>
      </c>
      <c r="H511" s="1" t="s">
        <v>92</v>
      </c>
      <c r="I511" s="1" t="s">
        <v>1326</v>
      </c>
      <c r="J511" s="1" t="s">
        <v>1327</v>
      </c>
      <c r="K511" s="1" t="s">
        <v>1327</v>
      </c>
      <c r="M511" s="4">
        <v>-9.0</v>
      </c>
      <c r="O511" s="4">
        <v>5.57905</v>
      </c>
    </row>
    <row r="512">
      <c r="A512" s="5">
        <v>45534.0</v>
      </c>
      <c r="B512" s="1" t="s">
        <v>95</v>
      </c>
      <c r="C512" s="1" t="s">
        <v>107</v>
      </c>
      <c r="D512" s="4">
        <v>658.0</v>
      </c>
      <c r="E512" s="4">
        <v>0.0</v>
      </c>
      <c r="G512" s="1" t="s">
        <v>91</v>
      </c>
      <c r="H512" s="1" t="s">
        <v>92</v>
      </c>
      <c r="I512" s="1" t="s">
        <v>1328</v>
      </c>
      <c r="J512" s="1" t="s">
        <v>1329</v>
      </c>
      <c r="K512" s="1" t="s">
        <v>1329</v>
      </c>
      <c r="M512" s="4">
        <v>-2.0</v>
      </c>
      <c r="O512" s="4">
        <v>7.879666666666667</v>
      </c>
    </row>
    <row r="513">
      <c r="A513" s="5">
        <v>45534.0</v>
      </c>
      <c r="B513" s="1" t="s">
        <v>116</v>
      </c>
      <c r="C513" s="1" t="s">
        <v>107</v>
      </c>
      <c r="D513" s="4">
        <v>295.0</v>
      </c>
      <c r="E513" s="4">
        <v>66.0</v>
      </c>
      <c r="G513" s="1" t="s">
        <v>111</v>
      </c>
      <c r="H513" s="1" t="s">
        <v>92</v>
      </c>
      <c r="I513" s="1" t="s">
        <v>1330</v>
      </c>
      <c r="J513" s="1" t="s">
        <v>1331</v>
      </c>
      <c r="K513" s="1" t="s">
        <v>1331</v>
      </c>
      <c r="M513" s="4">
        <v>-9.0</v>
      </c>
      <c r="O513" s="4">
        <v>26.2367</v>
      </c>
    </row>
    <row r="514">
      <c r="A514" s="5">
        <v>45534.0</v>
      </c>
      <c r="B514" s="1" t="s">
        <v>116</v>
      </c>
      <c r="C514" s="1" t="s">
        <v>107</v>
      </c>
      <c r="D514" s="4">
        <v>250.0</v>
      </c>
      <c r="E514" s="4">
        <v>0.0</v>
      </c>
      <c r="F514" s="1" t="s">
        <v>774</v>
      </c>
      <c r="G514" s="1" t="s">
        <v>175</v>
      </c>
      <c r="H514" s="1" t="s">
        <v>96</v>
      </c>
      <c r="I514" s="1" t="s">
        <v>1332</v>
      </c>
      <c r="J514" s="1" t="s">
        <v>1333</v>
      </c>
      <c r="K514" s="1" t="s">
        <v>1334</v>
      </c>
      <c r="L514" s="1" t="s">
        <v>1335</v>
      </c>
      <c r="M514" s="4">
        <v>-13.0</v>
      </c>
      <c r="N514" s="4">
        <v>0.008566666666666667</v>
      </c>
      <c r="O514" s="4">
        <v>5.336516666666666</v>
      </c>
    </row>
    <row r="515">
      <c r="A515" s="5">
        <v>45534.0</v>
      </c>
      <c r="B515" s="1" t="s">
        <v>116</v>
      </c>
      <c r="C515" s="1" t="s">
        <v>107</v>
      </c>
      <c r="D515" s="4">
        <v>202.0</v>
      </c>
      <c r="E515" s="4">
        <v>67.0</v>
      </c>
      <c r="G515" s="1" t="s">
        <v>111</v>
      </c>
      <c r="H515" s="1" t="s">
        <v>92</v>
      </c>
      <c r="I515" s="1" t="s">
        <v>1336</v>
      </c>
      <c r="J515" s="1" t="s">
        <v>1337</v>
      </c>
      <c r="K515" s="1" t="s">
        <v>1337</v>
      </c>
      <c r="M515" s="4">
        <v>-10.0</v>
      </c>
      <c r="O515" s="4">
        <v>7.5425</v>
      </c>
    </row>
    <row r="516">
      <c r="A516" s="5">
        <v>45534.0</v>
      </c>
      <c r="B516" s="1" t="s">
        <v>95</v>
      </c>
      <c r="C516" s="1" t="s">
        <v>107</v>
      </c>
      <c r="D516" s="4">
        <v>346.0</v>
      </c>
      <c r="E516" s="4">
        <v>0.0</v>
      </c>
      <c r="G516" s="1" t="s">
        <v>91</v>
      </c>
      <c r="H516" s="1" t="s">
        <v>92</v>
      </c>
      <c r="I516" s="1" t="s">
        <v>1338</v>
      </c>
      <c r="J516" s="1" t="s">
        <v>1339</v>
      </c>
      <c r="K516" s="1" t="s">
        <v>1339</v>
      </c>
      <c r="M516" s="4">
        <v>1.0</v>
      </c>
      <c r="O516" s="4">
        <v>9.280466666666667</v>
      </c>
    </row>
    <row r="517">
      <c r="A517" s="5">
        <v>45534.0</v>
      </c>
      <c r="B517" s="1" t="s">
        <v>88</v>
      </c>
      <c r="C517" s="1" t="s">
        <v>107</v>
      </c>
      <c r="D517" s="4">
        <v>406.0</v>
      </c>
      <c r="E517" s="4">
        <v>0.0</v>
      </c>
      <c r="F517" s="1" t="s">
        <v>90</v>
      </c>
      <c r="G517" s="1" t="s">
        <v>91</v>
      </c>
      <c r="H517" s="1" t="s">
        <v>92</v>
      </c>
      <c r="I517" s="1" t="s">
        <v>1340</v>
      </c>
      <c r="J517" s="1" t="s">
        <v>1341</v>
      </c>
      <c r="K517" s="1" t="s">
        <v>1341</v>
      </c>
      <c r="M517" s="4">
        <v>-3.0</v>
      </c>
      <c r="O517" s="4">
        <v>11.781766666666666</v>
      </c>
    </row>
    <row r="518">
      <c r="A518" s="5">
        <v>45534.0</v>
      </c>
      <c r="B518" s="1" t="s">
        <v>103</v>
      </c>
      <c r="C518" s="1" t="s">
        <v>89</v>
      </c>
      <c r="D518" s="4">
        <v>264.0</v>
      </c>
      <c r="E518" s="4">
        <v>0.0</v>
      </c>
      <c r="F518" s="1" t="s">
        <v>1342</v>
      </c>
      <c r="G518" s="1" t="s">
        <v>91</v>
      </c>
      <c r="H518" s="1" t="s">
        <v>92</v>
      </c>
      <c r="I518" s="1" t="s">
        <v>1343</v>
      </c>
      <c r="J518" s="1" t="s">
        <v>1344</v>
      </c>
      <c r="K518" s="1" t="s">
        <v>1344</v>
      </c>
      <c r="M518" s="4">
        <v>-10.0</v>
      </c>
      <c r="O518" s="4">
        <v>4.885866666666667</v>
      </c>
    </row>
    <row r="519">
      <c r="A519" s="5">
        <v>45534.0</v>
      </c>
      <c r="B519" s="1" t="s">
        <v>95</v>
      </c>
      <c r="C519" s="1" t="s">
        <v>89</v>
      </c>
      <c r="D519" s="4">
        <v>313.0</v>
      </c>
      <c r="E519" s="4">
        <v>0.0</v>
      </c>
      <c r="G519" s="1" t="s">
        <v>91</v>
      </c>
      <c r="H519" s="1" t="s">
        <v>92</v>
      </c>
      <c r="I519" s="1" t="s">
        <v>1345</v>
      </c>
      <c r="J519" s="1" t="s">
        <v>1346</v>
      </c>
      <c r="K519" s="1" t="s">
        <v>1346</v>
      </c>
      <c r="M519" s="4">
        <v>0.0</v>
      </c>
      <c r="O519" s="4">
        <v>6.14485</v>
      </c>
    </row>
    <row r="520">
      <c r="A520" s="5">
        <v>45534.0</v>
      </c>
      <c r="B520" s="1" t="s">
        <v>103</v>
      </c>
      <c r="C520" s="1" t="s">
        <v>89</v>
      </c>
      <c r="D520" s="4">
        <v>393.0</v>
      </c>
      <c r="E520" s="4">
        <v>0.0</v>
      </c>
      <c r="F520" s="1" t="s">
        <v>1347</v>
      </c>
      <c r="G520" s="1" t="s">
        <v>91</v>
      </c>
      <c r="H520" s="1" t="s">
        <v>92</v>
      </c>
      <c r="I520" s="1" t="s">
        <v>1348</v>
      </c>
      <c r="J520" s="1" t="s">
        <v>1349</v>
      </c>
      <c r="K520" s="1" t="s">
        <v>1349</v>
      </c>
      <c r="M520" s="4">
        <v>-7.0</v>
      </c>
      <c r="O520" s="4">
        <v>7.2645333333333335</v>
      </c>
    </row>
    <row r="521">
      <c r="A521" s="5">
        <v>45534.0</v>
      </c>
      <c r="B521" s="1" t="s">
        <v>88</v>
      </c>
      <c r="C521" s="1" t="s">
        <v>107</v>
      </c>
      <c r="D521" s="4">
        <v>329.0</v>
      </c>
      <c r="E521" s="4">
        <v>0.0</v>
      </c>
      <c r="F521" s="1" t="s">
        <v>90</v>
      </c>
      <c r="G521" s="1" t="s">
        <v>91</v>
      </c>
      <c r="H521" s="1" t="s">
        <v>92</v>
      </c>
      <c r="I521" s="1" t="s">
        <v>1350</v>
      </c>
      <c r="J521" s="1" t="s">
        <v>1351</v>
      </c>
      <c r="K521" s="1" t="s">
        <v>1351</v>
      </c>
      <c r="M521" s="4">
        <v>-6.0</v>
      </c>
      <c r="O521" s="4">
        <v>8.127916666666666</v>
      </c>
    </row>
    <row r="522">
      <c r="A522" s="5">
        <v>45534.0</v>
      </c>
      <c r="B522" s="1" t="s">
        <v>88</v>
      </c>
      <c r="C522" s="1" t="s">
        <v>107</v>
      </c>
      <c r="D522" s="4">
        <v>378.0</v>
      </c>
      <c r="E522" s="4">
        <v>0.0</v>
      </c>
      <c r="F522" s="1" t="s">
        <v>90</v>
      </c>
      <c r="G522" s="1" t="s">
        <v>91</v>
      </c>
      <c r="H522" s="1" t="s">
        <v>92</v>
      </c>
      <c r="I522" s="1" t="s">
        <v>1352</v>
      </c>
      <c r="J522" s="1" t="s">
        <v>1353</v>
      </c>
      <c r="K522" s="1" t="s">
        <v>1353</v>
      </c>
      <c r="M522" s="4">
        <v>-6.0</v>
      </c>
      <c r="O522" s="4">
        <v>8.64015</v>
      </c>
    </row>
    <row r="523">
      <c r="A523" s="5">
        <v>45534.0</v>
      </c>
      <c r="B523" s="1" t="s">
        <v>88</v>
      </c>
      <c r="C523" s="1" t="s">
        <v>107</v>
      </c>
      <c r="D523" s="4">
        <v>632.0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1354</v>
      </c>
      <c r="J523" s="1" t="s">
        <v>1355</v>
      </c>
      <c r="K523" s="1" t="s">
        <v>1355</v>
      </c>
      <c r="M523" s="4">
        <v>-5.0</v>
      </c>
      <c r="O523" s="4">
        <v>14.212733333333333</v>
      </c>
    </row>
    <row r="524">
      <c r="A524" s="5">
        <v>45534.0</v>
      </c>
      <c r="B524" s="1" t="s">
        <v>95</v>
      </c>
      <c r="C524" s="1" t="s">
        <v>107</v>
      </c>
      <c r="D524" s="4">
        <v>264.0</v>
      </c>
      <c r="E524" s="4">
        <v>0.0</v>
      </c>
      <c r="G524" s="1" t="s">
        <v>91</v>
      </c>
      <c r="H524" s="1" t="s">
        <v>92</v>
      </c>
      <c r="I524" s="1" t="s">
        <v>1356</v>
      </c>
      <c r="J524" s="1" t="s">
        <v>1357</v>
      </c>
      <c r="K524" s="1" t="s">
        <v>1357</v>
      </c>
      <c r="M524" s="4">
        <v>0.0</v>
      </c>
      <c r="O524" s="4">
        <v>8.1918</v>
      </c>
    </row>
    <row r="525">
      <c r="A525" s="5">
        <v>45534.0</v>
      </c>
      <c r="B525" s="1" t="s">
        <v>116</v>
      </c>
      <c r="C525" s="1" t="s">
        <v>107</v>
      </c>
      <c r="D525" s="4">
        <v>430.0</v>
      </c>
      <c r="E525" s="4">
        <v>57.0</v>
      </c>
      <c r="G525" s="1" t="s">
        <v>111</v>
      </c>
      <c r="H525" s="1" t="s">
        <v>92</v>
      </c>
      <c r="I525" s="1" t="s">
        <v>1358</v>
      </c>
      <c r="J525" s="1" t="s">
        <v>1359</v>
      </c>
      <c r="K525" s="1" t="s">
        <v>1359</v>
      </c>
      <c r="M525" s="4">
        <v>1.0</v>
      </c>
      <c r="O525" s="4">
        <v>19.366566666666667</v>
      </c>
    </row>
    <row r="526">
      <c r="A526" s="5">
        <v>45534.0</v>
      </c>
      <c r="B526" s="1" t="s">
        <v>103</v>
      </c>
      <c r="C526" s="1" t="s">
        <v>89</v>
      </c>
      <c r="D526" s="4">
        <v>594.0</v>
      </c>
      <c r="E526" s="4">
        <v>0.0</v>
      </c>
      <c r="F526" s="1" t="s">
        <v>1347</v>
      </c>
      <c r="G526" s="1" t="s">
        <v>91</v>
      </c>
      <c r="H526" s="1" t="s">
        <v>92</v>
      </c>
      <c r="I526" s="1" t="s">
        <v>1360</v>
      </c>
      <c r="J526" s="1" t="s">
        <v>1361</v>
      </c>
      <c r="K526" s="1" t="s">
        <v>1361</v>
      </c>
      <c r="M526" s="4">
        <v>-1.0</v>
      </c>
      <c r="O526" s="4">
        <v>18.60165</v>
      </c>
    </row>
    <row r="527">
      <c r="A527" s="5">
        <v>45534.0</v>
      </c>
      <c r="B527" s="1" t="s">
        <v>116</v>
      </c>
      <c r="C527" s="1" t="s">
        <v>107</v>
      </c>
      <c r="D527" s="4">
        <v>319.0</v>
      </c>
      <c r="E527" s="4">
        <v>75.0</v>
      </c>
      <c r="G527" s="1" t="s">
        <v>111</v>
      </c>
      <c r="H527" s="1" t="s">
        <v>92</v>
      </c>
      <c r="I527" s="1" t="s">
        <v>1362</v>
      </c>
      <c r="J527" s="1" t="s">
        <v>1363</v>
      </c>
      <c r="K527" s="1" t="s">
        <v>1363</v>
      </c>
      <c r="M527" s="4">
        <v>-3.0</v>
      </c>
      <c r="O527" s="4">
        <v>15.9149</v>
      </c>
    </row>
    <row r="528">
      <c r="A528" s="5">
        <v>45534.0</v>
      </c>
      <c r="B528" s="1" t="s">
        <v>88</v>
      </c>
      <c r="C528" s="1" t="s">
        <v>107</v>
      </c>
      <c r="D528" s="4">
        <v>1127.0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1364</v>
      </c>
      <c r="J528" s="1" t="s">
        <v>1365</v>
      </c>
      <c r="K528" s="1" t="s">
        <v>1365</v>
      </c>
      <c r="M528" s="4">
        <v>-6.0</v>
      </c>
      <c r="O528" s="4">
        <v>13.798683333333333</v>
      </c>
    </row>
    <row r="529">
      <c r="A529" s="5">
        <v>45534.0</v>
      </c>
      <c r="B529" s="1" t="s">
        <v>116</v>
      </c>
      <c r="C529" s="1" t="s">
        <v>107</v>
      </c>
      <c r="D529" s="4">
        <v>199.0</v>
      </c>
      <c r="E529" s="4">
        <v>50.0</v>
      </c>
      <c r="G529" s="1" t="s">
        <v>111</v>
      </c>
      <c r="H529" s="1" t="s">
        <v>194</v>
      </c>
      <c r="I529" s="1" t="s">
        <v>1366</v>
      </c>
      <c r="J529" s="1" t="s">
        <v>1367</v>
      </c>
      <c r="K529" s="1" t="s">
        <v>1367</v>
      </c>
      <c r="M529" s="4">
        <v>-10.0</v>
      </c>
      <c r="O529" s="4">
        <v>8.706</v>
      </c>
    </row>
    <row r="530">
      <c r="A530" s="5">
        <v>45534.0</v>
      </c>
      <c r="B530" s="1" t="s">
        <v>116</v>
      </c>
      <c r="C530" s="1" t="s">
        <v>107</v>
      </c>
      <c r="D530" s="4">
        <v>389.0</v>
      </c>
      <c r="E530" s="4">
        <v>0.0</v>
      </c>
      <c r="F530" s="1" t="s">
        <v>774</v>
      </c>
      <c r="G530" s="1" t="s">
        <v>175</v>
      </c>
      <c r="H530" s="1" t="s">
        <v>92</v>
      </c>
      <c r="I530" s="1" t="s">
        <v>1368</v>
      </c>
      <c r="J530" s="1" t="s">
        <v>1369</v>
      </c>
      <c r="K530" s="1" t="s">
        <v>1370</v>
      </c>
      <c r="L530" s="1" t="s">
        <v>1371</v>
      </c>
      <c r="M530" s="4">
        <v>-1.0</v>
      </c>
      <c r="N530" s="4">
        <v>0.008583333333333333</v>
      </c>
      <c r="O530" s="4">
        <v>9.336366666666667</v>
      </c>
    </row>
    <row r="531">
      <c r="A531" s="5">
        <v>45534.0</v>
      </c>
      <c r="B531" s="1" t="s">
        <v>116</v>
      </c>
      <c r="C531" s="1" t="s">
        <v>107</v>
      </c>
      <c r="D531" s="4">
        <v>393.0</v>
      </c>
      <c r="E531" s="4">
        <v>0.0</v>
      </c>
      <c r="F531" s="1" t="s">
        <v>774</v>
      </c>
      <c r="G531" s="1" t="s">
        <v>175</v>
      </c>
      <c r="H531" s="1" t="s">
        <v>92</v>
      </c>
      <c r="I531" s="1" t="s">
        <v>1372</v>
      </c>
      <c r="J531" s="1" t="s">
        <v>1373</v>
      </c>
      <c r="K531" s="1" t="s">
        <v>1374</v>
      </c>
      <c r="L531" s="1" t="s">
        <v>1375</v>
      </c>
      <c r="M531" s="4">
        <v>-9.0</v>
      </c>
      <c r="N531" s="4">
        <v>0.00855</v>
      </c>
      <c r="O531" s="4">
        <v>6.102633333333333</v>
      </c>
    </row>
    <row r="532">
      <c r="A532" s="5">
        <v>45534.0</v>
      </c>
      <c r="B532" s="1" t="s">
        <v>95</v>
      </c>
      <c r="C532" s="1" t="s">
        <v>89</v>
      </c>
      <c r="D532" s="4">
        <v>264.0</v>
      </c>
      <c r="E532" s="4">
        <v>0.0</v>
      </c>
      <c r="G532" s="1" t="s">
        <v>91</v>
      </c>
      <c r="H532" s="1" t="s">
        <v>92</v>
      </c>
      <c r="I532" s="1" t="s">
        <v>1376</v>
      </c>
      <c r="J532" s="1" t="s">
        <v>1377</v>
      </c>
      <c r="K532" s="1" t="s">
        <v>1377</v>
      </c>
      <c r="M532" s="4">
        <v>1.0</v>
      </c>
      <c r="O532" s="4">
        <v>10.45285</v>
      </c>
    </row>
    <row r="533">
      <c r="A533" s="5">
        <v>45534.0</v>
      </c>
      <c r="B533" s="1" t="s">
        <v>95</v>
      </c>
      <c r="C533" s="1" t="s">
        <v>89</v>
      </c>
      <c r="D533" s="4">
        <v>329.0</v>
      </c>
      <c r="E533" s="4">
        <v>0.0</v>
      </c>
      <c r="G533" s="1" t="s">
        <v>91</v>
      </c>
      <c r="H533" s="1" t="s">
        <v>92</v>
      </c>
      <c r="I533" s="1" t="s">
        <v>1378</v>
      </c>
      <c r="J533" s="1" t="s">
        <v>1379</v>
      </c>
      <c r="K533" s="1" t="s">
        <v>1379</v>
      </c>
      <c r="M533" s="4">
        <v>4.0</v>
      </c>
      <c r="O533" s="4">
        <v>12.892466666666667</v>
      </c>
    </row>
    <row r="534">
      <c r="A534" s="5">
        <v>45534.0</v>
      </c>
      <c r="B534" s="1" t="s">
        <v>95</v>
      </c>
      <c r="C534" s="1" t="s">
        <v>89</v>
      </c>
      <c r="D534" s="4">
        <v>264.0</v>
      </c>
      <c r="E534" s="4">
        <v>0.0</v>
      </c>
      <c r="G534" s="1" t="s">
        <v>91</v>
      </c>
      <c r="H534" s="1" t="s">
        <v>92</v>
      </c>
      <c r="I534" s="1" t="s">
        <v>1380</v>
      </c>
      <c r="J534" s="1" t="s">
        <v>1381</v>
      </c>
      <c r="K534" s="1" t="s">
        <v>1381</v>
      </c>
      <c r="M534" s="4">
        <v>2.0</v>
      </c>
      <c r="O534" s="4">
        <v>9.478816666666667</v>
      </c>
    </row>
    <row r="535">
      <c r="A535" s="5">
        <v>45534.0</v>
      </c>
      <c r="B535" s="1" t="s">
        <v>95</v>
      </c>
      <c r="C535" s="1" t="s">
        <v>89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1382</v>
      </c>
      <c r="J535" s="1" t="s">
        <v>1383</v>
      </c>
      <c r="K535" s="1" t="s">
        <v>1383</v>
      </c>
      <c r="M535" s="4">
        <v>2.0</v>
      </c>
      <c r="O535" s="4">
        <v>9.18165</v>
      </c>
    </row>
    <row r="536">
      <c r="A536" s="5">
        <v>45534.0</v>
      </c>
      <c r="B536" s="1" t="s">
        <v>88</v>
      </c>
      <c r="C536" s="1" t="s">
        <v>107</v>
      </c>
      <c r="D536" s="4">
        <v>393.0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1384</v>
      </c>
      <c r="J536" s="1" t="s">
        <v>1385</v>
      </c>
      <c r="K536" s="1" t="s">
        <v>1385</v>
      </c>
      <c r="M536" s="4">
        <v>-6.0</v>
      </c>
      <c r="O536" s="4">
        <v>8.463833333333334</v>
      </c>
    </row>
    <row r="537">
      <c r="A537" s="5">
        <v>45534.0</v>
      </c>
      <c r="B537" s="1" t="s">
        <v>88</v>
      </c>
      <c r="C537" s="1" t="s">
        <v>107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1386</v>
      </c>
      <c r="J537" s="1" t="s">
        <v>1387</v>
      </c>
      <c r="K537" s="1" t="s">
        <v>1387</v>
      </c>
      <c r="M537" s="4">
        <v>-8.0</v>
      </c>
      <c r="O537" s="4">
        <v>6.7729</v>
      </c>
    </row>
    <row r="538">
      <c r="A538" s="5">
        <v>45534.0</v>
      </c>
      <c r="B538" s="1" t="s">
        <v>116</v>
      </c>
      <c r="C538" s="1" t="s">
        <v>107</v>
      </c>
      <c r="D538" s="4">
        <v>772.0</v>
      </c>
      <c r="E538" s="4">
        <v>0.0</v>
      </c>
      <c r="F538" s="1" t="s">
        <v>774</v>
      </c>
      <c r="G538" s="1" t="s">
        <v>175</v>
      </c>
      <c r="H538" s="1" t="s">
        <v>92</v>
      </c>
      <c r="I538" s="1" t="s">
        <v>1388</v>
      </c>
      <c r="J538" s="1" t="s">
        <v>1389</v>
      </c>
      <c r="K538" s="1" t="s">
        <v>1390</v>
      </c>
      <c r="L538" s="1" t="s">
        <v>1391</v>
      </c>
      <c r="M538" s="4">
        <v>-24.0</v>
      </c>
      <c r="N538" s="4">
        <v>0.018833333333333334</v>
      </c>
      <c r="O538" s="4">
        <v>9.496133333333333</v>
      </c>
    </row>
    <row r="539">
      <c r="A539" s="5">
        <v>45534.0</v>
      </c>
      <c r="B539" s="1" t="s">
        <v>88</v>
      </c>
      <c r="C539" s="1" t="s">
        <v>107</v>
      </c>
      <c r="D539" s="4">
        <v>528.0</v>
      </c>
      <c r="E539" s="4">
        <v>0.0</v>
      </c>
      <c r="F539" s="1" t="s">
        <v>90</v>
      </c>
      <c r="G539" s="1" t="s">
        <v>91</v>
      </c>
      <c r="H539" s="1" t="s">
        <v>92</v>
      </c>
      <c r="I539" s="1" t="s">
        <v>1392</v>
      </c>
      <c r="J539" s="1" t="s">
        <v>1393</v>
      </c>
      <c r="K539" s="1" t="s">
        <v>1393</v>
      </c>
      <c r="M539" s="4">
        <v>-12.0</v>
      </c>
      <c r="O539" s="4">
        <v>7.396583333333333</v>
      </c>
    </row>
    <row r="540">
      <c r="A540" s="5">
        <v>45534.0</v>
      </c>
      <c r="B540" s="1" t="s">
        <v>88</v>
      </c>
      <c r="C540" s="1" t="s">
        <v>107</v>
      </c>
      <c r="D540" s="4">
        <v>399.0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1394</v>
      </c>
      <c r="J540" s="1" t="s">
        <v>1395</v>
      </c>
      <c r="K540" s="1" t="s">
        <v>1395</v>
      </c>
      <c r="M540" s="4">
        <v>-7.0</v>
      </c>
      <c r="O540" s="4">
        <v>7.59105</v>
      </c>
    </row>
    <row r="541">
      <c r="A541" s="5">
        <v>45534.0</v>
      </c>
      <c r="B541" s="1" t="s">
        <v>95</v>
      </c>
      <c r="C541" s="1" t="s">
        <v>89</v>
      </c>
      <c r="D541" s="4">
        <v>406.0</v>
      </c>
      <c r="E541" s="4">
        <v>0.0</v>
      </c>
      <c r="G541" s="1" t="s">
        <v>91</v>
      </c>
      <c r="H541" s="1" t="s">
        <v>92</v>
      </c>
      <c r="I541" s="1" t="s">
        <v>1396</v>
      </c>
      <c r="J541" s="1" t="s">
        <v>1397</v>
      </c>
      <c r="K541" s="1" t="s">
        <v>1397</v>
      </c>
      <c r="M541" s="4">
        <v>2.0</v>
      </c>
      <c r="O541" s="4">
        <v>11.326483333333334</v>
      </c>
    </row>
    <row r="542">
      <c r="A542" s="5">
        <v>45534.0</v>
      </c>
      <c r="B542" s="1" t="s">
        <v>116</v>
      </c>
      <c r="C542" s="1" t="s">
        <v>107</v>
      </c>
      <c r="D542" s="4">
        <v>279.0</v>
      </c>
      <c r="E542" s="4">
        <v>0.0</v>
      </c>
      <c r="F542" s="1" t="s">
        <v>774</v>
      </c>
      <c r="G542" s="1" t="s">
        <v>175</v>
      </c>
      <c r="H542" s="1" t="s">
        <v>92</v>
      </c>
      <c r="I542" s="1" t="s">
        <v>1398</v>
      </c>
      <c r="J542" s="1" t="s">
        <v>1399</v>
      </c>
      <c r="K542" s="1" t="s">
        <v>1400</v>
      </c>
      <c r="L542" s="1" t="s">
        <v>1401</v>
      </c>
      <c r="M542" s="4">
        <v>-5.0</v>
      </c>
      <c r="N542" s="4">
        <v>0.009866666666666666</v>
      </c>
      <c r="O542" s="4">
        <v>6.064816666666666</v>
      </c>
    </row>
    <row r="543">
      <c r="A543" s="5">
        <v>45534.0</v>
      </c>
      <c r="B543" s="1" t="s">
        <v>95</v>
      </c>
      <c r="C543" s="1" t="s">
        <v>107</v>
      </c>
      <c r="D543" s="4">
        <v>264.0</v>
      </c>
      <c r="E543" s="4">
        <v>0.0</v>
      </c>
      <c r="G543" s="1" t="s">
        <v>91</v>
      </c>
      <c r="H543" s="1" t="s">
        <v>92</v>
      </c>
      <c r="I543" s="1" t="s">
        <v>1402</v>
      </c>
      <c r="J543" s="1" t="s">
        <v>1403</v>
      </c>
      <c r="K543" s="1" t="s">
        <v>1403</v>
      </c>
      <c r="M543" s="4">
        <v>-1.0</v>
      </c>
      <c r="O543" s="4">
        <v>7.6789</v>
      </c>
    </row>
    <row r="544">
      <c r="A544" s="5">
        <v>45534.0</v>
      </c>
      <c r="B544" s="1" t="s">
        <v>95</v>
      </c>
      <c r="C544" s="1" t="s">
        <v>107</v>
      </c>
      <c r="D544" s="4">
        <v>129.0</v>
      </c>
      <c r="E544" s="4">
        <v>0.0</v>
      </c>
      <c r="G544" s="1" t="s">
        <v>91</v>
      </c>
      <c r="H544" s="1" t="s">
        <v>92</v>
      </c>
      <c r="I544" s="1" t="s">
        <v>1404</v>
      </c>
      <c r="J544" s="1" t="s">
        <v>1405</v>
      </c>
      <c r="K544" s="1" t="s">
        <v>1405</v>
      </c>
      <c r="M544" s="4">
        <v>0.0</v>
      </c>
      <c r="O544" s="4">
        <v>6.608316666666667</v>
      </c>
    </row>
    <row r="545">
      <c r="A545" s="5">
        <v>45534.0</v>
      </c>
      <c r="B545" s="1" t="s">
        <v>95</v>
      </c>
      <c r="C545" s="1" t="s">
        <v>107</v>
      </c>
      <c r="D545" s="4">
        <v>348.0</v>
      </c>
      <c r="E545" s="4">
        <v>0.0</v>
      </c>
      <c r="G545" s="1" t="s">
        <v>91</v>
      </c>
      <c r="H545" s="1" t="s">
        <v>92</v>
      </c>
      <c r="I545" s="1" t="s">
        <v>1406</v>
      </c>
      <c r="J545" s="1" t="s">
        <v>1407</v>
      </c>
      <c r="K545" s="1" t="s">
        <v>1407</v>
      </c>
      <c r="M545" s="4">
        <v>-1.0</v>
      </c>
      <c r="O545" s="4">
        <v>7.372533333333333</v>
      </c>
    </row>
    <row r="546">
      <c r="A546" s="5">
        <v>45534.0</v>
      </c>
      <c r="B546" s="1" t="s">
        <v>116</v>
      </c>
      <c r="C546" s="1" t="s">
        <v>107</v>
      </c>
      <c r="D546" s="4">
        <v>558.0</v>
      </c>
      <c r="E546" s="4">
        <v>0.0</v>
      </c>
      <c r="F546" s="1" t="s">
        <v>774</v>
      </c>
      <c r="G546" s="1" t="s">
        <v>175</v>
      </c>
      <c r="H546" s="1" t="s">
        <v>96</v>
      </c>
      <c r="I546" s="1" t="s">
        <v>1408</v>
      </c>
      <c r="J546" s="1" t="s">
        <v>1409</v>
      </c>
      <c r="K546" s="1" t="s">
        <v>1410</v>
      </c>
      <c r="L546" s="1" t="s">
        <v>1411</v>
      </c>
      <c r="M546" s="4">
        <v>-13.0</v>
      </c>
      <c r="N546" s="4">
        <v>0.010066666666666666</v>
      </c>
      <c r="O546" s="4">
        <v>12.24635</v>
      </c>
    </row>
    <row r="547">
      <c r="A547" s="5">
        <v>45534.0</v>
      </c>
      <c r="B547" s="1" t="s">
        <v>95</v>
      </c>
      <c r="C547" s="1" t="s">
        <v>107</v>
      </c>
      <c r="D547" s="4">
        <v>429.0</v>
      </c>
      <c r="E547" s="4">
        <v>0.0</v>
      </c>
      <c r="G547" s="1" t="s">
        <v>91</v>
      </c>
      <c r="H547" s="1" t="s">
        <v>92</v>
      </c>
      <c r="I547" s="1" t="s">
        <v>1412</v>
      </c>
      <c r="J547" s="1" t="s">
        <v>1413</v>
      </c>
      <c r="K547" s="1" t="s">
        <v>1413</v>
      </c>
      <c r="M547" s="4">
        <v>0.0</v>
      </c>
      <c r="O547" s="4">
        <v>9.67</v>
      </c>
    </row>
    <row r="548">
      <c r="A548" s="5">
        <v>45534.0</v>
      </c>
      <c r="B548" s="1" t="s">
        <v>95</v>
      </c>
      <c r="C548" s="1" t="s">
        <v>107</v>
      </c>
      <c r="D548" s="4">
        <v>334.0</v>
      </c>
      <c r="E548" s="4">
        <v>100.0</v>
      </c>
      <c r="G548" s="1" t="s">
        <v>91</v>
      </c>
      <c r="H548" s="1" t="s">
        <v>92</v>
      </c>
      <c r="I548" s="1" t="s">
        <v>1414</v>
      </c>
      <c r="J548" s="1" t="s">
        <v>1415</v>
      </c>
      <c r="K548" s="1" t="s">
        <v>1415</v>
      </c>
      <c r="M548" s="4">
        <v>-1.0</v>
      </c>
      <c r="O548" s="4">
        <v>7.9724</v>
      </c>
    </row>
    <row r="549">
      <c r="A549" s="5">
        <v>45534.0</v>
      </c>
      <c r="B549" s="1" t="s">
        <v>95</v>
      </c>
      <c r="C549" s="1" t="s">
        <v>107</v>
      </c>
      <c r="D549" s="4">
        <v>707.0</v>
      </c>
      <c r="E549" s="4">
        <v>0.0</v>
      </c>
      <c r="G549" s="1" t="s">
        <v>91</v>
      </c>
      <c r="H549" s="1" t="s">
        <v>92</v>
      </c>
      <c r="I549" s="1" t="s">
        <v>1416</v>
      </c>
      <c r="J549" s="1" t="s">
        <v>1417</v>
      </c>
      <c r="K549" s="1" t="s">
        <v>1417</v>
      </c>
      <c r="M549" s="4">
        <v>-1.0</v>
      </c>
      <c r="O549" s="4">
        <v>8.57375</v>
      </c>
    </row>
    <row r="550">
      <c r="A550" s="5">
        <v>45534.0</v>
      </c>
      <c r="B550" s="1" t="s">
        <v>103</v>
      </c>
      <c r="C550" s="1" t="s">
        <v>107</v>
      </c>
      <c r="D550" s="4">
        <v>642.0</v>
      </c>
      <c r="E550" s="4">
        <v>0.0</v>
      </c>
      <c r="F550" s="1" t="s">
        <v>1418</v>
      </c>
      <c r="G550" s="1" t="s">
        <v>91</v>
      </c>
      <c r="H550" s="1" t="s">
        <v>92</v>
      </c>
      <c r="I550" s="1" t="s">
        <v>1419</v>
      </c>
      <c r="J550" s="1" t="s">
        <v>1420</v>
      </c>
      <c r="K550" s="1" t="s">
        <v>1420</v>
      </c>
      <c r="M550" s="4">
        <v>-5.0</v>
      </c>
      <c r="O550" s="4">
        <v>14.607583333333332</v>
      </c>
    </row>
    <row r="551">
      <c r="A551" s="5">
        <v>45534.0</v>
      </c>
      <c r="B551" s="1" t="s">
        <v>88</v>
      </c>
      <c r="C551" s="1" t="s">
        <v>107</v>
      </c>
      <c r="D551" s="4">
        <v>264.0</v>
      </c>
      <c r="E551" s="4">
        <v>0.0</v>
      </c>
      <c r="F551" s="1" t="s">
        <v>90</v>
      </c>
      <c r="G551" s="1" t="s">
        <v>91</v>
      </c>
      <c r="H551" s="1" t="s">
        <v>92</v>
      </c>
      <c r="I551" s="1" t="s">
        <v>1421</v>
      </c>
      <c r="J551" s="1" t="s">
        <v>1422</v>
      </c>
      <c r="K551" s="1" t="s">
        <v>1422</v>
      </c>
      <c r="M551" s="4">
        <v>-9.0</v>
      </c>
      <c r="O551" s="4">
        <v>5.340783333333333</v>
      </c>
    </row>
    <row r="552">
      <c r="A552" s="5">
        <v>45534.0</v>
      </c>
      <c r="B552" s="1" t="s">
        <v>116</v>
      </c>
      <c r="C552" s="1" t="s">
        <v>107</v>
      </c>
      <c r="D552" s="4">
        <v>578.0</v>
      </c>
      <c r="E552" s="4">
        <v>0.0</v>
      </c>
      <c r="F552" s="1" t="s">
        <v>774</v>
      </c>
      <c r="G552" s="1" t="s">
        <v>175</v>
      </c>
      <c r="H552" s="1" t="s">
        <v>92</v>
      </c>
      <c r="I552" s="1" t="s">
        <v>1423</v>
      </c>
      <c r="J552" s="1" t="s">
        <v>1424</v>
      </c>
      <c r="K552" s="1" t="s">
        <v>1425</v>
      </c>
      <c r="L552" s="1" t="s">
        <v>1426</v>
      </c>
      <c r="M552" s="4">
        <v>-9.0</v>
      </c>
      <c r="N552" s="4">
        <v>0.0101</v>
      </c>
      <c r="O552" s="4">
        <v>7.103016666666667</v>
      </c>
    </row>
    <row r="553">
      <c r="A553" s="5">
        <v>45534.0</v>
      </c>
      <c r="B553" s="1" t="s">
        <v>116</v>
      </c>
      <c r="C553" s="1" t="s">
        <v>107</v>
      </c>
      <c r="D553" s="4">
        <v>258.0</v>
      </c>
      <c r="E553" s="4">
        <v>0.0</v>
      </c>
      <c r="G553" s="1" t="s">
        <v>111</v>
      </c>
      <c r="H553" s="1" t="s">
        <v>92</v>
      </c>
      <c r="I553" s="1" t="s">
        <v>1427</v>
      </c>
      <c r="J553" s="1" t="s">
        <v>1428</v>
      </c>
      <c r="K553" s="1" t="s">
        <v>1428</v>
      </c>
      <c r="M553" s="4">
        <v>-14.0</v>
      </c>
      <c r="O553" s="4">
        <v>4.8348</v>
      </c>
    </row>
    <row r="554">
      <c r="A554" s="5">
        <v>45534.0</v>
      </c>
      <c r="B554" s="1" t="s">
        <v>88</v>
      </c>
      <c r="C554" s="1" t="s">
        <v>107</v>
      </c>
      <c r="D554" s="4">
        <v>329.0</v>
      </c>
      <c r="E554" s="4">
        <v>0.0</v>
      </c>
      <c r="F554" s="1" t="s">
        <v>90</v>
      </c>
      <c r="G554" s="1" t="s">
        <v>91</v>
      </c>
      <c r="H554" s="1" t="s">
        <v>92</v>
      </c>
      <c r="I554" s="1" t="s">
        <v>1429</v>
      </c>
      <c r="J554" s="1" t="s">
        <v>1430</v>
      </c>
      <c r="K554" s="1" t="s">
        <v>1430</v>
      </c>
      <c r="M554" s="4">
        <v>-8.0</v>
      </c>
      <c r="O554" s="4">
        <v>6.7577</v>
      </c>
    </row>
    <row r="555">
      <c r="A555" s="5">
        <v>45534.0</v>
      </c>
      <c r="B555" s="1" t="s">
        <v>116</v>
      </c>
      <c r="C555" s="1" t="s">
        <v>107</v>
      </c>
      <c r="D555" s="4">
        <v>387.0</v>
      </c>
      <c r="E555" s="4">
        <v>0.0</v>
      </c>
      <c r="F555" s="1" t="s">
        <v>90</v>
      </c>
      <c r="G555" s="1" t="s">
        <v>175</v>
      </c>
      <c r="H555" s="1" t="s">
        <v>92</v>
      </c>
      <c r="I555" s="1" t="s">
        <v>1431</v>
      </c>
      <c r="J555" s="1" t="s">
        <v>1432</v>
      </c>
      <c r="K555" s="1" t="s">
        <v>1433</v>
      </c>
      <c r="L555" s="1" t="s">
        <v>1434</v>
      </c>
      <c r="M555" s="4">
        <v>-18.0</v>
      </c>
      <c r="N555" s="4">
        <v>4.44795</v>
      </c>
      <c r="O555" s="4">
        <v>7.573733333333333</v>
      </c>
    </row>
    <row r="556">
      <c r="A556" s="5">
        <v>45534.0</v>
      </c>
      <c r="B556" s="1" t="s">
        <v>116</v>
      </c>
      <c r="C556" s="1" t="s">
        <v>107</v>
      </c>
      <c r="D556" s="4">
        <v>299.0</v>
      </c>
      <c r="E556" s="4">
        <v>75.0</v>
      </c>
      <c r="G556" s="1" t="s">
        <v>111</v>
      </c>
      <c r="H556" s="1" t="s">
        <v>92</v>
      </c>
      <c r="I556" s="1" t="s">
        <v>1435</v>
      </c>
      <c r="J556" s="1" t="s">
        <v>1436</v>
      </c>
      <c r="K556" s="1" t="s">
        <v>1436</v>
      </c>
      <c r="M556" s="4">
        <v>-33.0</v>
      </c>
      <c r="O556" s="4">
        <v>8.591733333333334</v>
      </c>
    </row>
    <row r="557">
      <c r="A557" s="5">
        <v>45534.0</v>
      </c>
      <c r="B557" s="1" t="s">
        <v>95</v>
      </c>
      <c r="C557" s="1" t="s">
        <v>89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1437</v>
      </c>
      <c r="J557" s="1" t="s">
        <v>1438</v>
      </c>
      <c r="K557" s="1" t="s">
        <v>1438</v>
      </c>
      <c r="M557" s="4">
        <v>0.0</v>
      </c>
      <c r="O557" s="4">
        <v>7.035716666666667</v>
      </c>
    </row>
    <row r="558">
      <c r="A558" s="5">
        <v>45534.0</v>
      </c>
      <c r="B558" s="1" t="s">
        <v>116</v>
      </c>
      <c r="C558" s="1" t="s">
        <v>107</v>
      </c>
      <c r="D558" s="4">
        <v>284.0</v>
      </c>
      <c r="E558" s="4">
        <v>0.0</v>
      </c>
      <c r="F558" s="1" t="s">
        <v>774</v>
      </c>
      <c r="G558" s="1" t="s">
        <v>175</v>
      </c>
      <c r="H558" s="1" t="s">
        <v>92</v>
      </c>
      <c r="I558" s="1" t="s">
        <v>1439</v>
      </c>
      <c r="J558" s="1" t="s">
        <v>1440</v>
      </c>
      <c r="K558" s="1" t="s">
        <v>1441</v>
      </c>
      <c r="L558" s="1" t="s">
        <v>1442</v>
      </c>
      <c r="M558" s="4">
        <v>6.0</v>
      </c>
      <c r="N558" s="4">
        <v>0.009416666666666667</v>
      </c>
      <c r="O558" s="4">
        <v>9.395516666666667</v>
      </c>
    </row>
    <row r="559">
      <c r="A559" s="5">
        <v>45534.0</v>
      </c>
      <c r="B559" s="1" t="s">
        <v>103</v>
      </c>
      <c r="C559" s="1" t="s">
        <v>89</v>
      </c>
      <c r="D559" s="4">
        <v>593.0</v>
      </c>
      <c r="E559" s="4">
        <v>0.0</v>
      </c>
      <c r="F559" s="1" t="s">
        <v>1443</v>
      </c>
      <c r="G559" s="1" t="s">
        <v>91</v>
      </c>
      <c r="H559" s="1" t="s">
        <v>92</v>
      </c>
      <c r="I559" s="1" t="s">
        <v>1444</v>
      </c>
      <c r="J559" s="1" t="s">
        <v>1445</v>
      </c>
      <c r="K559" s="1" t="s">
        <v>1445</v>
      </c>
      <c r="M559" s="4">
        <v>-12.0</v>
      </c>
      <c r="O559" s="4">
        <v>7.525</v>
      </c>
    </row>
    <row r="560">
      <c r="A560" s="5">
        <v>45534.0</v>
      </c>
      <c r="B560" s="1" t="s">
        <v>116</v>
      </c>
      <c r="C560" s="1" t="s">
        <v>107</v>
      </c>
      <c r="D560" s="4">
        <v>762.0</v>
      </c>
      <c r="E560" s="4">
        <v>0.0</v>
      </c>
      <c r="F560" s="1" t="s">
        <v>774</v>
      </c>
      <c r="G560" s="1" t="s">
        <v>175</v>
      </c>
      <c r="H560" s="1" t="s">
        <v>92</v>
      </c>
      <c r="I560" s="1" t="s">
        <v>1446</v>
      </c>
      <c r="J560" s="1" t="s">
        <v>1447</v>
      </c>
      <c r="K560" s="1" t="s">
        <v>1448</v>
      </c>
      <c r="L560" s="1" t="s">
        <v>1449</v>
      </c>
      <c r="M560" s="4">
        <v>-14.0</v>
      </c>
      <c r="N560" s="4">
        <v>0.011366666666666667</v>
      </c>
      <c r="O560" s="4">
        <v>9.52295</v>
      </c>
    </row>
    <row r="561">
      <c r="A561" s="5">
        <v>45534.0</v>
      </c>
      <c r="B561" s="1" t="s">
        <v>95</v>
      </c>
      <c r="C561" s="1" t="s">
        <v>107</v>
      </c>
      <c r="D561" s="4">
        <v>323.0</v>
      </c>
      <c r="E561" s="4">
        <v>100.0</v>
      </c>
      <c r="G561" s="1" t="s">
        <v>91</v>
      </c>
      <c r="H561" s="1" t="s">
        <v>92</v>
      </c>
      <c r="I561" s="1" t="s">
        <v>1450</v>
      </c>
      <c r="J561" s="1" t="s">
        <v>1451</v>
      </c>
      <c r="K561" s="1" t="s">
        <v>1451</v>
      </c>
      <c r="M561" s="4">
        <v>-1.0</v>
      </c>
      <c r="O561" s="4">
        <v>7.0548166666666665</v>
      </c>
    </row>
    <row r="562">
      <c r="A562" s="5">
        <v>45534.0</v>
      </c>
      <c r="B562" s="1" t="s">
        <v>88</v>
      </c>
      <c r="C562" s="1" t="s">
        <v>107</v>
      </c>
      <c r="D562" s="4">
        <v>263.0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1452</v>
      </c>
      <c r="J562" s="1" t="s">
        <v>1453</v>
      </c>
      <c r="K562" s="1" t="s">
        <v>1453</v>
      </c>
      <c r="M562" s="4">
        <v>-8.0</v>
      </c>
      <c r="O562" s="4">
        <v>6.5994</v>
      </c>
    </row>
    <row r="563">
      <c r="A563" s="5">
        <v>45534.0</v>
      </c>
      <c r="B563" s="1" t="s">
        <v>95</v>
      </c>
      <c r="C563" s="1" t="s">
        <v>107</v>
      </c>
      <c r="D563" s="4">
        <v>418.0</v>
      </c>
      <c r="E563" s="4">
        <v>0.0</v>
      </c>
      <c r="G563" s="1" t="s">
        <v>91</v>
      </c>
      <c r="H563" s="1" t="s">
        <v>92</v>
      </c>
      <c r="I563" s="1" t="s">
        <v>1454</v>
      </c>
      <c r="J563" s="1" t="s">
        <v>1455</v>
      </c>
      <c r="K563" s="1" t="s">
        <v>1455</v>
      </c>
      <c r="M563" s="4">
        <v>0.0</v>
      </c>
      <c r="O563" s="4">
        <v>7.2762166666666666</v>
      </c>
    </row>
    <row r="564">
      <c r="A564" s="5">
        <v>45534.0</v>
      </c>
      <c r="B564" s="1" t="s">
        <v>116</v>
      </c>
      <c r="C564" s="1" t="s">
        <v>107</v>
      </c>
      <c r="D564" s="4">
        <v>398.0</v>
      </c>
      <c r="E564" s="4">
        <v>100.0</v>
      </c>
      <c r="G564" s="1" t="s">
        <v>111</v>
      </c>
      <c r="H564" s="1" t="s">
        <v>194</v>
      </c>
      <c r="I564" s="1" t="s">
        <v>1456</v>
      </c>
      <c r="J564" s="1" t="s">
        <v>1457</v>
      </c>
      <c r="K564" s="1" t="s">
        <v>1457</v>
      </c>
      <c r="M564" s="4">
        <v>-9.0</v>
      </c>
      <c r="O564" s="4">
        <v>9.869666666666667</v>
      </c>
    </row>
    <row r="565">
      <c r="A565" s="5">
        <v>45534.0</v>
      </c>
      <c r="B565" s="1" t="s">
        <v>95</v>
      </c>
      <c r="C565" s="1" t="s">
        <v>107</v>
      </c>
      <c r="D565" s="4">
        <v>382.0</v>
      </c>
      <c r="E565" s="4">
        <v>0.0</v>
      </c>
      <c r="G565" s="1" t="s">
        <v>91</v>
      </c>
      <c r="H565" s="1" t="s">
        <v>92</v>
      </c>
      <c r="I565" s="1" t="s">
        <v>1458</v>
      </c>
      <c r="J565" s="1" t="s">
        <v>1459</v>
      </c>
      <c r="K565" s="1" t="s">
        <v>1459</v>
      </c>
      <c r="M565" s="4">
        <v>-2.0</v>
      </c>
      <c r="O565" s="4">
        <v>6.9763</v>
      </c>
    </row>
    <row r="566">
      <c r="A566" s="5">
        <v>45534.0</v>
      </c>
      <c r="B566" s="1" t="s">
        <v>116</v>
      </c>
      <c r="C566" s="1" t="s">
        <v>107</v>
      </c>
      <c r="D566" s="4">
        <v>319.0</v>
      </c>
      <c r="E566" s="4">
        <v>75.0</v>
      </c>
      <c r="G566" s="1" t="s">
        <v>111</v>
      </c>
      <c r="H566" s="1" t="s">
        <v>194</v>
      </c>
      <c r="I566" s="1" t="s">
        <v>1460</v>
      </c>
      <c r="J566" s="1" t="s">
        <v>1461</v>
      </c>
      <c r="K566" s="1" t="s">
        <v>1461</v>
      </c>
      <c r="M566" s="4">
        <v>-50.0</v>
      </c>
      <c r="O566" s="4">
        <v>8.617566666666667</v>
      </c>
    </row>
    <row r="567">
      <c r="A567" s="5">
        <v>45534.0</v>
      </c>
      <c r="B567" s="1" t="s">
        <v>110</v>
      </c>
      <c r="C567" s="1" t="s">
        <v>107</v>
      </c>
      <c r="D567" s="4">
        <v>249.0</v>
      </c>
      <c r="E567" s="4">
        <v>0.0</v>
      </c>
      <c r="G567" s="1" t="s">
        <v>111</v>
      </c>
      <c r="H567" s="1" t="s">
        <v>96</v>
      </c>
      <c r="I567" s="1" t="s">
        <v>1462</v>
      </c>
      <c r="J567" s="1" t="s">
        <v>1463</v>
      </c>
      <c r="K567" s="1" t="s">
        <v>1463</v>
      </c>
      <c r="M567" s="4">
        <v>2.0</v>
      </c>
      <c r="O567" s="4">
        <v>7.60215</v>
      </c>
    </row>
    <row r="568">
      <c r="A568" s="5">
        <v>45534.0</v>
      </c>
      <c r="B568" s="1" t="s">
        <v>103</v>
      </c>
      <c r="C568" s="1" t="s">
        <v>89</v>
      </c>
      <c r="D568" s="4">
        <v>394.0</v>
      </c>
      <c r="E568" s="4">
        <v>0.0</v>
      </c>
      <c r="F568" s="1" t="s">
        <v>122</v>
      </c>
      <c r="G568" s="1" t="s">
        <v>91</v>
      </c>
      <c r="H568" s="1" t="s">
        <v>92</v>
      </c>
      <c r="I568" s="1" t="s">
        <v>1464</v>
      </c>
      <c r="J568" s="1" t="s">
        <v>1465</v>
      </c>
      <c r="K568" s="1" t="s">
        <v>1465</v>
      </c>
      <c r="M568" s="4">
        <v>-4.0</v>
      </c>
      <c r="O568" s="4">
        <v>10.228966666666667</v>
      </c>
    </row>
    <row r="569">
      <c r="A569" s="5">
        <v>45534.0</v>
      </c>
      <c r="B569" s="1" t="s">
        <v>95</v>
      </c>
      <c r="C569" s="1" t="s">
        <v>89</v>
      </c>
      <c r="D569" s="4">
        <v>613.0</v>
      </c>
      <c r="E569" s="4">
        <v>0.0</v>
      </c>
      <c r="G569" s="1" t="s">
        <v>91</v>
      </c>
      <c r="H569" s="1" t="s">
        <v>92</v>
      </c>
      <c r="I569" s="1" t="s">
        <v>1466</v>
      </c>
      <c r="J569" s="1" t="s">
        <v>1467</v>
      </c>
      <c r="K569" s="1" t="s">
        <v>1467</v>
      </c>
      <c r="M569" s="4">
        <v>1.0</v>
      </c>
      <c r="O569" s="4">
        <v>10.843383333333334</v>
      </c>
    </row>
    <row r="570">
      <c r="A570" s="5">
        <v>45534.0</v>
      </c>
      <c r="B570" s="1" t="s">
        <v>95</v>
      </c>
      <c r="C570" s="1" t="s">
        <v>89</v>
      </c>
      <c r="D570" s="4">
        <v>279.0</v>
      </c>
      <c r="E570" s="4">
        <v>50.0</v>
      </c>
      <c r="G570" s="1" t="s">
        <v>91</v>
      </c>
      <c r="H570" s="1" t="s">
        <v>92</v>
      </c>
      <c r="I570" s="1" t="s">
        <v>1468</v>
      </c>
      <c r="J570" s="1" t="s">
        <v>1469</v>
      </c>
      <c r="K570" s="1" t="s">
        <v>1469</v>
      </c>
      <c r="M570" s="4">
        <v>0.0</v>
      </c>
      <c r="O570" s="4">
        <v>6.1954</v>
      </c>
    </row>
    <row r="571">
      <c r="A571" s="5">
        <v>45534.0</v>
      </c>
      <c r="B571" s="1" t="s">
        <v>103</v>
      </c>
      <c r="C571" s="1" t="s">
        <v>89</v>
      </c>
      <c r="D571" s="4">
        <v>307.0</v>
      </c>
      <c r="E571" s="4">
        <v>0.0</v>
      </c>
      <c r="F571" s="1" t="s">
        <v>1470</v>
      </c>
      <c r="G571" s="1" t="s">
        <v>91</v>
      </c>
      <c r="H571" s="1" t="s">
        <v>92</v>
      </c>
      <c r="I571" s="1" t="s">
        <v>1471</v>
      </c>
      <c r="J571" s="1" t="s">
        <v>1472</v>
      </c>
      <c r="K571" s="1" t="s">
        <v>1472</v>
      </c>
      <c r="M571" s="4">
        <v>-7.0</v>
      </c>
      <c r="O571" s="4">
        <v>7.022283333333333</v>
      </c>
    </row>
    <row r="572">
      <c r="A572" s="5">
        <v>45534.0</v>
      </c>
      <c r="B572" s="1" t="s">
        <v>95</v>
      </c>
      <c r="C572" s="1" t="s">
        <v>89</v>
      </c>
      <c r="D572" s="4">
        <v>393.0</v>
      </c>
      <c r="E572" s="4">
        <v>0.0</v>
      </c>
      <c r="G572" s="1" t="s">
        <v>91</v>
      </c>
      <c r="H572" s="1" t="s">
        <v>92</v>
      </c>
      <c r="I572" s="1" t="s">
        <v>1473</v>
      </c>
      <c r="J572" s="1" t="s">
        <v>1474</v>
      </c>
      <c r="K572" s="1" t="s">
        <v>1474</v>
      </c>
      <c r="M572" s="4">
        <v>-1.0</v>
      </c>
      <c r="O572" s="4">
        <v>6.81115</v>
      </c>
    </row>
    <row r="573">
      <c r="A573" s="5">
        <v>45534.0</v>
      </c>
      <c r="B573" s="1" t="s">
        <v>88</v>
      </c>
      <c r="C573" s="1" t="s">
        <v>107</v>
      </c>
      <c r="D573" s="4">
        <v>356.0</v>
      </c>
      <c r="E573" s="4">
        <v>0.0</v>
      </c>
      <c r="F573" s="1" t="s">
        <v>90</v>
      </c>
      <c r="G573" s="1" t="s">
        <v>91</v>
      </c>
      <c r="H573" s="1" t="s">
        <v>92</v>
      </c>
      <c r="I573" s="1" t="s">
        <v>1475</v>
      </c>
      <c r="J573" s="1" t="s">
        <v>1476</v>
      </c>
      <c r="K573" s="1" t="s">
        <v>1476</v>
      </c>
      <c r="M573" s="4">
        <v>-7.0</v>
      </c>
      <c r="O573" s="4">
        <v>7.191333333333334</v>
      </c>
    </row>
    <row r="574">
      <c r="A574" s="5">
        <v>45534.0</v>
      </c>
      <c r="B574" s="1" t="s">
        <v>116</v>
      </c>
      <c r="C574" s="1" t="s">
        <v>107</v>
      </c>
      <c r="D574" s="4">
        <v>407.0</v>
      </c>
      <c r="E574" s="4">
        <v>0.0</v>
      </c>
      <c r="F574" s="1" t="s">
        <v>774</v>
      </c>
      <c r="G574" s="1" t="s">
        <v>175</v>
      </c>
      <c r="H574" s="1" t="s">
        <v>92</v>
      </c>
      <c r="I574" s="1" t="s">
        <v>1477</v>
      </c>
      <c r="J574" s="1" t="s">
        <v>1478</v>
      </c>
      <c r="K574" s="1" t="s">
        <v>1479</v>
      </c>
      <c r="L574" s="1" t="s">
        <v>1480</v>
      </c>
      <c r="M574" s="4">
        <v>-15.0</v>
      </c>
      <c r="N574" s="4">
        <v>0.0098</v>
      </c>
      <c r="O574" s="4">
        <v>10.979316666666668</v>
      </c>
    </row>
    <row r="575">
      <c r="A575" s="5">
        <v>45534.0</v>
      </c>
      <c r="B575" s="1" t="s">
        <v>116</v>
      </c>
      <c r="C575" s="1" t="s">
        <v>107</v>
      </c>
      <c r="D575" s="4">
        <v>250.0</v>
      </c>
      <c r="E575" s="4">
        <v>0.0</v>
      </c>
      <c r="F575" s="1" t="s">
        <v>90</v>
      </c>
      <c r="G575" s="1" t="s">
        <v>175</v>
      </c>
      <c r="H575" s="1" t="s">
        <v>92</v>
      </c>
      <c r="I575" s="1" t="s">
        <v>1481</v>
      </c>
      <c r="J575" s="1" t="s">
        <v>1482</v>
      </c>
      <c r="K575" s="1" t="s">
        <v>1483</v>
      </c>
      <c r="L575" s="1" t="s">
        <v>1484</v>
      </c>
      <c r="M575" s="4">
        <v>-9.0</v>
      </c>
      <c r="N575" s="4">
        <v>2.1130166666666668</v>
      </c>
      <c r="O575" s="4">
        <v>6.5643</v>
      </c>
    </row>
    <row r="576">
      <c r="A576" s="5">
        <v>45534.0</v>
      </c>
      <c r="B576" s="1" t="s">
        <v>95</v>
      </c>
      <c r="C576" s="1" t="s">
        <v>107</v>
      </c>
      <c r="D576" s="4">
        <v>378.0</v>
      </c>
      <c r="E576" s="4">
        <v>150.0</v>
      </c>
      <c r="G576" s="1" t="s">
        <v>91</v>
      </c>
      <c r="H576" s="1" t="s">
        <v>92</v>
      </c>
      <c r="I576" s="1" t="s">
        <v>1485</v>
      </c>
      <c r="J576" s="1" t="s">
        <v>1486</v>
      </c>
      <c r="K576" s="1" t="s">
        <v>1486</v>
      </c>
      <c r="M576" s="4">
        <v>-1.0</v>
      </c>
      <c r="O576" s="4">
        <v>7.8474</v>
      </c>
    </row>
    <row r="577">
      <c r="A577" s="5">
        <v>45534.0</v>
      </c>
      <c r="B577" s="1" t="s">
        <v>116</v>
      </c>
      <c r="C577" s="1" t="s">
        <v>107</v>
      </c>
      <c r="D577" s="4">
        <v>437.0</v>
      </c>
      <c r="E577" s="4">
        <v>0.0</v>
      </c>
      <c r="F577" s="1" t="s">
        <v>386</v>
      </c>
      <c r="G577" s="1" t="s">
        <v>175</v>
      </c>
      <c r="H577" s="1" t="s">
        <v>92</v>
      </c>
      <c r="I577" s="1" t="s">
        <v>1487</v>
      </c>
      <c r="J577" s="1" t="s">
        <v>1488</v>
      </c>
      <c r="K577" s="1" t="s">
        <v>1489</v>
      </c>
      <c r="L577" s="1" t="s">
        <v>1490</v>
      </c>
      <c r="M577" s="4">
        <v>-21.0</v>
      </c>
      <c r="N577" s="4">
        <v>0.014583333333333334</v>
      </c>
      <c r="O577" s="4">
        <v>7.577016666666666</v>
      </c>
    </row>
    <row r="578">
      <c r="A578" s="5">
        <v>45534.0</v>
      </c>
      <c r="B578" s="1" t="s">
        <v>116</v>
      </c>
      <c r="C578" s="1" t="s">
        <v>107</v>
      </c>
      <c r="D578" s="4">
        <v>603.0</v>
      </c>
      <c r="E578" s="4">
        <v>149.0</v>
      </c>
      <c r="G578" s="1" t="s">
        <v>111</v>
      </c>
      <c r="H578" s="1" t="s">
        <v>92</v>
      </c>
      <c r="I578" s="1" t="s">
        <v>1491</v>
      </c>
      <c r="J578" s="1" t="s">
        <v>1492</v>
      </c>
      <c r="K578" s="1" t="s">
        <v>1492</v>
      </c>
      <c r="M578" s="4">
        <v>-13.0</v>
      </c>
      <c r="O578" s="4">
        <v>9.189666666666668</v>
      </c>
    </row>
    <row r="579">
      <c r="A579" s="5">
        <v>45534.0</v>
      </c>
      <c r="B579" s="1" t="s">
        <v>116</v>
      </c>
      <c r="C579" s="1" t="s">
        <v>107</v>
      </c>
      <c r="D579" s="4">
        <v>200.0</v>
      </c>
      <c r="E579" s="4">
        <v>59.0</v>
      </c>
      <c r="G579" s="1" t="s">
        <v>111</v>
      </c>
      <c r="H579" s="1" t="s">
        <v>92</v>
      </c>
      <c r="I579" s="1" t="s">
        <v>1493</v>
      </c>
      <c r="J579" s="1" t="s">
        <v>1494</v>
      </c>
      <c r="K579" s="1" t="s">
        <v>1494</v>
      </c>
      <c r="M579" s="4">
        <v>-11.0</v>
      </c>
      <c r="O579" s="4">
        <v>4.875133333333333</v>
      </c>
    </row>
    <row r="580">
      <c r="A580" s="5">
        <v>45534.0</v>
      </c>
      <c r="B580" s="1" t="s">
        <v>88</v>
      </c>
      <c r="C580" s="1" t="s">
        <v>107</v>
      </c>
      <c r="D580" s="4">
        <v>642.0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1495</v>
      </c>
      <c r="J580" s="1" t="s">
        <v>1496</v>
      </c>
      <c r="K580" s="1" t="s">
        <v>1496</v>
      </c>
      <c r="M580" s="4">
        <v>-10.0</v>
      </c>
      <c r="O580" s="4">
        <v>9.992216666666666</v>
      </c>
    </row>
    <row r="581">
      <c r="A581" s="5">
        <v>45534.0</v>
      </c>
      <c r="B581" s="1" t="s">
        <v>88</v>
      </c>
      <c r="C581" s="1" t="s">
        <v>107</v>
      </c>
      <c r="D581" s="4">
        <v>822.0</v>
      </c>
      <c r="E581" s="4">
        <v>0.0</v>
      </c>
      <c r="F581" s="1" t="s">
        <v>90</v>
      </c>
      <c r="G581" s="1" t="s">
        <v>91</v>
      </c>
      <c r="H581" s="1" t="s">
        <v>92</v>
      </c>
      <c r="I581" s="1" t="s">
        <v>1497</v>
      </c>
      <c r="J581" s="1" t="s">
        <v>1498</v>
      </c>
      <c r="K581" s="1" t="s">
        <v>1498</v>
      </c>
      <c r="M581" s="4">
        <v>-10.0</v>
      </c>
      <c r="O581" s="4">
        <v>9.447983333333333</v>
      </c>
    </row>
    <row r="582">
      <c r="A582" s="5">
        <v>45534.0</v>
      </c>
      <c r="B582" s="1" t="s">
        <v>116</v>
      </c>
      <c r="C582" s="1" t="s">
        <v>107</v>
      </c>
      <c r="D582" s="4">
        <v>403.0</v>
      </c>
      <c r="E582" s="4">
        <v>61.0</v>
      </c>
      <c r="G582" s="1" t="s">
        <v>111</v>
      </c>
      <c r="H582" s="1" t="s">
        <v>92</v>
      </c>
      <c r="I582" s="1" t="s">
        <v>1499</v>
      </c>
      <c r="J582" s="1" t="s">
        <v>1500</v>
      </c>
      <c r="K582" s="1" t="s">
        <v>1500</v>
      </c>
      <c r="M582" s="4">
        <v>-10.0</v>
      </c>
      <c r="O582" s="4">
        <v>8.146983333333333</v>
      </c>
    </row>
    <row r="583">
      <c r="A583" s="5">
        <v>45534.0</v>
      </c>
      <c r="B583" s="1" t="s">
        <v>95</v>
      </c>
      <c r="C583" s="1" t="s">
        <v>89</v>
      </c>
      <c r="D583" s="4">
        <v>270.0</v>
      </c>
      <c r="E583" s="4">
        <v>100.0</v>
      </c>
      <c r="G583" s="1" t="s">
        <v>91</v>
      </c>
      <c r="H583" s="1" t="s">
        <v>92</v>
      </c>
      <c r="I583" s="1" t="s">
        <v>1501</v>
      </c>
      <c r="J583" s="1" t="s">
        <v>1502</v>
      </c>
      <c r="K583" s="1" t="s">
        <v>1502</v>
      </c>
      <c r="M583" s="4">
        <v>-1.0</v>
      </c>
      <c r="O583" s="4">
        <v>6.533616666666667</v>
      </c>
    </row>
    <row r="584">
      <c r="A584" s="5">
        <v>45534.0</v>
      </c>
      <c r="B584" s="1" t="s">
        <v>116</v>
      </c>
      <c r="C584" s="1" t="s">
        <v>107</v>
      </c>
      <c r="D584" s="4">
        <v>250.0</v>
      </c>
      <c r="E584" s="4">
        <v>0.0</v>
      </c>
      <c r="F584" s="1" t="s">
        <v>386</v>
      </c>
      <c r="G584" s="1" t="s">
        <v>175</v>
      </c>
      <c r="H584" s="1" t="s">
        <v>92</v>
      </c>
      <c r="I584" s="1" t="s">
        <v>1503</v>
      </c>
      <c r="J584" s="1" t="s">
        <v>1504</v>
      </c>
      <c r="K584" s="1" t="s">
        <v>1505</v>
      </c>
      <c r="L584" s="1" t="s">
        <v>1506</v>
      </c>
      <c r="M584" s="4">
        <v>-15.0</v>
      </c>
      <c r="N584" s="4">
        <v>0.010166666666666666</v>
      </c>
      <c r="O584" s="4">
        <v>7.6722166666666665</v>
      </c>
    </row>
    <row r="585">
      <c r="A585" s="5">
        <v>45534.0</v>
      </c>
      <c r="B585" s="1" t="s">
        <v>95</v>
      </c>
      <c r="C585" s="1" t="s">
        <v>89</v>
      </c>
      <c r="D585" s="4">
        <v>645.0</v>
      </c>
      <c r="E585" s="4">
        <v>0.0</v>
      </c>
      <c r="G585" s="1" t="s">
        <v>91</v>
      </c>
      <c r="H585" s="1" t="s">
        <v>92</v>
      </c>
      <c r="I585" s="1" t="s">
        <v>1507</v>
      </c>
      <c r="J585" s="1" t="s">
        <v>1508</v>
      </c>
      <c r="K585" s="1" t="s">
        <v>1508</v>
      </c>
      <c r="M585" s="4">
        <v>1.0</v>
      </c>
      <c r="O585" s="4">
        <v>10.611033333333333</v>
      </c>
    </row>
    <row r="586">
      <c r="A586" s="5">
        <v>45534.0</v>
      </c>
      <c r="B586" s="1" t="s">
        <v>116</v>
      </c>
      <c r="C586" s="1" t="s">
        <v>107</v>
      </c>
      <c r="D586" s="4">
        <v>247.0</v>
      </c>
      <c r="E586" s="4">
        <v>62.0</v>
      </c>
      <c r="G586" s="1" t="s">
        <v>111</v>
      </c>
      <c r="H586" s="1" t="s">
        <v>194</v>
      </c>
      <c r="I586" s="1" t="s">
        <v>1509</v>
      </c>
      <c r="J586" s="1" t="s">
        <v>1510</v>
      </c>
      <c r="K586" s="1" t="s">
        <v>1510</v>
      </c>
      <c r="M586" s="4">
        <v>-12.0</v>
      </c>
      <c r="O586" s="4">
        <v>8.000883333333332</v>
      </c>
    </row>
    <row r="587">
      <c r="A587" s="5">
        <v>45534.0</v>
      </c>
      <c r="B587" s="1" t="s">
        <v>116</v>
      </c>
      <c r="C587" s="1" t="s">
        <v>107</v>
      </c>
      <c r="D587" s="4">
        <v>598.0</v>
      </c>
      <c r="E587" s="4">
        <v>149.0</v>
      </c>
      <c r="G587" s="1" t="s">
        <v>111</v>
      </c>
      <c r="H587" s="1" t="s">
        <v>194</v>
      </c>
      <c r="I587" s="1" t="s">
        <v>1511</v>
      </c>
      <c r="J587" s="1" t="s">
        <v>1512</v>
      </c>
      <c r="K587" s="1" t="s">
        <v>1512</v>
      </c>
      <c r="M587" s="4">
        <v>-15.0</v>
      </c>
      <c r="O587" s="4">
        <v>9.2897</v>
      </c>
    </row>
    <row r="588">
      <c r="A588" s="5">
        <v>45534.0</v>
      </c>
      <c r="B588" s="1" t="s">
        <v>110</v>
      </c>
      <c r="C588" s="1" t="s">
        <v>107</v>
      </c>
      <c r="D588" s="4">
        <v>309.0</v>
      </c>
      <c r="E588" s="4">
        <v>0.0</v>
      </c>
      <c r="G588" s="1" t="s">
        <v>111</v>
      </c>
      <c r="H588" s="1" t="s">
        <v>96</v>
      </c>
      <c r="I588" s="1" t="s">
        <v>1513</v>
      </c>
      <c r="J588" s="1" t="s">
        <v>1514</v>
      </c>
      <c r="K588" s="1" t="s">
        <v>1514</v>
      </c>
      <c r="M588" s="4">
        <v>-4.0</v>
      </c>
      <c r="O588" s="4">
        <v>0.57155</v>
      </c>
    </row>
    <row r="589">
      <c r="A589" s="5">
        <v>45534.0</v>
      </c>
      <c r="B589" s="1" t="s">
        <v>88</v>
      </c>
      <c r="C589" s="1" t="s">
        <v>107</v>
      </c>
      <c r="D589" s="4">
        <v>144.0</v>
      </c>
      <c r="E589" s="4">
        <v>0.0</v>
      </c>
      <c r="F589" s="1" t="s">
        <v>90</v>
      </c>
      <c r="G589" s="1" t="s">
        <v>91</v>
      </c>
      <c r="H589" s="1" t="s">
        <v>92</v>
      </c>
      <c r="I589" s="1" t="s">
        <v>1515</v>
      </c>
      <c r="J589" s="1" t="s">
        <v>1516</v>
      </c>
      <c r="K589" s="1" t="s">
        <v>1516</v>
      </c>
      <c r="M589" s="4">
        <v>-8.0</v>
      </c>
      <c r="O589" s="4">
        <v>6.068366666666667</v>
      </c>
    </row>
    <row r="590">
      <c r="A590" s="5">
        <v>45534.0</v>
      </c>
      <c r="B590" s="1" t="s">
        <v>88</v>
      </c>
      <c r="C590" s="1" t="s">
        <v>107</v>
      </c>
      <c r="D590" s="4">
        <v>364.0</v>
      </c>
      <c r="E590" s="4">
        <v>0.0</v>
      </c>
      <c r="F590" s="1" t="s">
        <v>90</v>
      </c>
      <c r="G590" s="1" t="s">
        <v>91</v>
      </c>
      <c r="H590" s="1" t="s">
        <v>92</v>
      </c>
      <c r="I590" s="1" t="s">
        <v>1517</v>
      </c>
      <c r="J590" s="1" t="s">
        <v>1518</v>
      </c>
      <c r="K590" s="1" t="s">
        <v>1518</v>
      </c>
      <c r="M590" s="4">
        <v>-8.0</v>
      </c>
      <c r="O590" s="4">
        <v>6.478683333333334</v>
      </c>
    </row>
    <row r="591">
      <c r="A591" s="5">
        <v>45534.0</v>
      </c>
      <c r="B591" s="1" t="s">
        <v>116</v>
      </c>
      <c r="C591" s="1" t="s">
        <v>107</v>
      </c>
      <c r="D591" s="4">
        <v>355.0</v>
      </c>
      <c r="E591" s="4">
        <v>0.0</v>
      </c>
      <c r="F591" s="1" t="s">
        <v>386</v>
      </c>
      <c r="G591" s="1" t="s">
        <v>175</v>
      </c>
      <c r="H591" s="1" t="s">
        <v>92</v>
      </c>
      <c r="I591" s="1" t="s">
        <v>1519</v>
      </c>
      <c r="J591" s="1" t="s">
        <v>1520</v>
      </c>
      <c r="K591" s="1" t="s">
        <v>1521</v>
      </c>
      <c r="L591" s="1" t="s">
        <v>1522</v>
      </c>
      <c r="M591" s="4">
        <v>-22.0</v>
      </c>
      <c r="N591" s="4">
        <v>0.013583333333333333</v>
      </c>
      <c r="O591" s="4">
        <v>10.487816666666667</v>
      </c>
    </row>
    <row r="592">
      <c r="A592" s="5">
        <v>45534.0</v>
      </c>
      <c r="B592" s="1" t="s">
        <v>95</v>
      </c>
      <c r="C592" s="1" t="s">
        <v>89</v>
      </c>
      <c r="D592" s="4">
        <v>319.0</v>
      </c>
      <c r="E592" s="4">
        <v>0.0</v>
      </c>
      <c r="G592" s="1" t="s">
        <v>91</v>
      </c>
      <c r="H592" s="1" t="s">
        <v>92</v>
      </c>
      <c r="I592" s="1" t="s">
        <v>1523</v>
      </c>
      <c r="J592" s="1" t="s">
        <v>1524</v>
      </c>
      <c r="K592" s="1" t="s">
        <v>1524</v>
      </c>
      <c r="M592" s="4">
        <v>0.0</v>
      </c>
      <c r="O592" s="4">
        <v>7.2187833333333336</v>
      </c>
    </row>
    <row r="593">
      <c r="A593" s="5">
        <v>45534.0</v>
      </c>
      <c r="B593" s="1" t="s">
        <v>88</v>
      </c>
      <c r="C593" s="1" t="s">
        <v>107</v>
      </c>
      <c r="D593" s="4">
        <v>294.0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1525</v>
      </c>
      <c r="J593" s="1" t="s">
        <v>1526</v>
      </c>
      <c r="K593" s="1" t="s">
        <v>1526</v>
      </c>
      <c r="M593" s="4">
        <v>-7.0</v>
      </c>
      <c r="O593" s="4">
        <v>7.644333333333333</v>
      </c>
    </row>
    <row r="594">
      <c r="A594" s="5">
        <v>45534.0</v>
      </c>
      <c r="B594" s="1" t="s">
        <v>103</v>
      </c>
      <c r="C594" s="1" t="s">
        <v>89</v>
      </c>
      <c r="D594" s="4">
        <v>264.0</v>
      </c>
      <c r="E594" s="4">
        <v>0.0</v>
      </c>
      <c r="F594" s="1" t="s">
        <v>1527</v>
      </c>
      <c r="G594" s="1" t="s">
        <v>91</v>
      </c>
      <c r="H594" s="1" t="s">
        <v>92</v>
      </c>
      <c r="I594" s="1" t="s">
        <v>1528</v>
      </c>
      <c r="J594" s="1" t="s">
        <v>1529</v>
      </c>
      <c r="K594" s="1" t="s">
        <v>1529</v>
      </c>
      <c r="M594" s="4">
        <v>-9.0</v>
      </c>
      <c r="O594" s="4">
        <v>5.4252</v>
      </c>
    </row>
    <row r="595">
      <c r="A595" s="5">
        <v>45534.0</v>
      </c>
      <c r="B595" s="1" t="s">
        <v>95</v>
      </c>
      <c r="C595" s="1" t="s">
        <v>107</v>
      </c>
      <c r="D595" s="4">
        <v>289.0</v>
      </c>
      <c r="E595" s="4">
        <v>0.0</v>
      </c>
      <c r="G595" s="1" t="s">
        <v>91</v>
      </c>
      <c r="H595" s="1" t="s">
        <v>92</v>
      </c>
      <c r="I595" s="1" t="s">
        <v>1530</v>
      </c>
      <c r="J595" s="1" t="s">
        <v>1531</v>
      </c>
      <c r="K595" s="1" t="s">
        <v>1531</v>
      </c>
      <c r="M595" s="4">
        <v>3.0</v>
      </c>
      <c r="O595" s="4">
        <v>10.397283333333334</v>
      </c>
    </row>
    <row r="596">
      <c r="A596" s="5">
        <v>45534.0</v>
      </c>
      <c r="B596" s="1" t="s">
        <v>88</v>
      </c>
      <c r="C596" s="1" t="s">
        <v>107</v>
      </c>
      <c r="D596" s="4">
        <v>354.0</v>
      </c>
      <c r="E596" s="4">
        <v>0.0</v>
      </c>
      <c r="F596" s="1" t="s">
        <v>90</v>
      </c>
      <c r="G596" s="1" t="s">
        <v>91</v>
      </c>
      <c r="H596" s="1" t="s">
        <v>92</v>
      </c>
      <c r="I596" s="1" t="s">
        <v>1532</v>
      </c>
      <c r="J596" s="1" t="s">
        <v>1533</v>
      </c>
      <c r="K596" s="1" t="s">
        <v>1533</v>
      </c>
      <c r="M596" s="4">
        <v>-2.0</v>
      </c>
      <c r="O596" s="4">
        <v>12.733266666666667</v>
      </c>
    </row>
    <row r="597">
      <c r="A597" s="5">
        <v>45534.0</v>
      </c>
      <c r="B597" s="1" t="s">
        <v>88</v>
      </c>
      <c r="C597" s="1" t="s">
        <v>107</v>
      </c>
      <c r="D597" s="4">
        <v>428.0</v>
      </c>
      <c r="E597" s="4">
        <v>0.0</v>
      </c>
      <c r="F597" s="1" t="s">
        <v>90</v>
      </c>
      <c r="G597" s="1" t="s">
        <v>91</v>
      </c>
      <c r="H597" s="1" t="s">
        <v>92</v>
      </c>
      <c r="I597" s="1" t="s">
        <v>1534</v>
      </c>
      <c r="J597" s="1" t="s">
        <v>1535</v>
      </c>
      <c r="K597" s="1" t="s">
        <v>1535</v>
      </c>
      <c r="M597" s="4">
        <v>-1.0</v>
      </c>
      <c r="O597" s="4">
        <v>13.79905</v>
      </c>
    </row>
    <row r="598">
      <c r="A598" s="5">
        <v>45534.0</v>
      </c>
      <c r="B598" s="1" t="s">
        <v>116</v>
      </c>
      <c r="C598" s="1" t="s">
        <v>107</v>
      </c>
      <c r="D598" s="4">
        <v>285.0</v>
      </c>
      <c r="E598" s="4">
        <v>14.0</v>
      </c>
      <c r="F598" s="1" t="s">
        <v>386</v>
      </c>
      <c r="G598" s="1" t="s">
        <v>175</v>
      </c>
      <c r="H598" s="1" t="s">
        <v>92</v>
      </c>
      <c r="I598" s="1" t="s">
        <v>1536</v>
      </c>
      <c r="J598" s="1" t="s">
        <v>1537</v>
      </c>
      <c r="K598" s="1" t="s">
        <v>1538</v>
      </c>
      <c r="L598" s="1" t="s">
        <v>1539</v>
      </c>
      <c r="M598" s="4">
        <v>-21.0</v>
      </c>
      <c r="N598" s="4">
        <v>0.013066666666666667</v>
      </c>
      <c r="O598" s="4">
        <v>20.001733333333334</v>
      </c>
    </row>
    <row r="599">
      <c r="A599" s="5">
        <v>45534.0</v>
      </c>
      <c r="B599" s="1" t="s">
        <v>95</v>
      </c>
      <c r="C599" s="1" t="s">
        <v>107</v>
      </c>
      <c r="D599" s="4">
        <v>324.0</v>
      </c>
      <c r="E599" s="4">
        <v>0.0</v>
      </c>
      <c r="G599" s="1" t="s">
        <v>91</v>
      </c>
      <c r="H599" s="1" t="s">
        <v>92</v>
      </c>
      <c r="I599" s="1" t="s">
        <v>1540</v>
      </c>
      <c r="J599" s="1" t="s">
        <v>1541</v>
      </c>
      <c r="K599" s="1" t="s">
        <v>1541</v>
      </c>
      <c r="M599" s="4">
        <v>0.0</v>
      </c>
      <c r="O599" s="4">
        <v>7.793066666666666</v>
      </c>
    </row>
    <row r="600">
      <c r="A600" s="5">
        <v>45534.0</v>
      </c>
      <c r="B600" s="1" t="s">
        <v>116</v>
      </c>
      <c r="C600" s="1" t="s">
        <v>107</v>
      </c>
      <c r="D600" s="4">
        <v>203.0</v>
      </c>
      <c r="E600" s="4">
        <v>203.0</v>
      </c>
      <c r="F600" s="1" t="s">
        <v>386</v>
      </c>
      <c r="G600" s="1" t="s">
        <v>175</v>
      </c>
      <c r="H600" s="1" t="s">
        <v>92</v>
      </c>
      <c r="I600" s="1" t="s">
        <v>1542</v>
      </c>
      <c r="J600" s="1" t="s">
        <v>1543</v>
      </c>
      <c r="K600" s="1" t="s">
        <v>1544</v>
      </c>
      <c r="L600" s="1" t="s">
        <v>1545</v>
      </c>
      <c r="M600" s="4">
        <v>-19.0</v>
      </c>
      <c r="N600" s="4">
        <v>0.010966666666666666</v>
      </c>
      <c r="O600" s="4">
        <v>11.292</v>
      </c>
    </row>
    <row r="601">
      <c r="A601" s="5">
        <v>45534.0</v>
      </c>
      <c r="B601" s="1" t="s">
        <v>88</v>
      </c>
      <c r="C601" s="1" t="s">
        <v>107</v>
      </c>
      <c r="D601" s="4">
        <v>488.0</v>
      </c>
      <c r="E601" s="4">
        <v>0.0</v>
      </c>
      <c r="F601" s="1" t="s">
        <v>90</v>
      </c>
      <c r="G601" s="1" t="s">
        <v>91</v>
      </c>
      <c r="H601" s="1" t="s">
        <v>92</v>
      </c>
      <c r="I601" s="1" t="s">
        <v>1546</v>
      </c>
      <c r="J601" s="1" t="s">
        <v>1547</v>
      </c>
      <c r="K601" s="1" t="s">
        <v>1547</v>
      </c>
      <c r="M601" s="4">
        <v>0.0</v>
      </c>
      <c r="O601" s="4">
        <v>15.018016666666666</v>
      </c>
    </row>
    <row r="602">
      <c r="A602" s="5">
        <v>45534.0</v>
      </c>
      <c r="B602" s="1" t="s">
        <v>88</v>
      </c>
      <c r="C602" s="1" t="s">
        <v>107</v>
      </c>
      <c r="D602" s="4">
        <v>618.0</v>
      </c>
      <c r="E602" s="4">
        <v>0.0</v>
      </c>
      <c r="F602" s="1" t="s">
        <v>90</v>
      </c>
      <c r="G602" s="1" t="s">
        <v>91</v>
      </c>
      <c r="H602" s="1" t="s">
        <v>92</v>
      </c>
      <c r="I602" s="1" t="s">
        <v>1548</v>
      </c>
      <c r="J602" s="1" t="s">
        <v>1549</v>
      </c>
      <c r="K602" s="1" t="s">
        <v>1549</v>
      </c>
      <c r="M602" s="4">
        <v>-7.0</v>
      </c>
      <c r="O602" s="4">
        <v>12.282166666666667</v>
      </c>
    </row>
    <row r="603">
      <c r="A603" s="5">
        <v>45535.0</v>
      </c>
      <c r="B603" s="1" t="s">
        <v>88</v>
      </c>
      <c r="C603" s="1" t="s">
        <v>107</v>
      </c>
      <c r="D603" s="4">
        <v>264.0</v>
      </c>
      <c r="E603" s="4">
        <v>0.0</v>
      </c>
      <c r="F603" s="1" t="s">
        <v>90</v>
      </c>
      <c r="G603" s="1" t="s">
        <v>91</v>
      </c>
      <c r="H603" s="1" t="s">
        <v>92</v>
      </c>
      <c r="I603" s="1" t="s">
        <v>1550</v>
      </c>
      <c r="J603" s="1" t="s">
        <v>1551</v>
      </c>
      <c r="K603" s="1" t="s">
        <v>1551</v>
      </c>
      <c r="M603" s="4">
        <v>-7.0</v>
      </c>
      <c r="O603" s="4">
        <v>7.762183333333334</v>
      </c>
    </row>
    <row r="604">
      <c r="A604" s="5">
        <v>45535.0</v>
      </c>
      <c r="B604" s="1" t="s">
        <v>116</v>
      </c>
      <c r="C604" s="1" t="s">
        <v>107</v>
      </c>
      <c r="D604" s="4">
        <v>389.0</v>
      </c>
      <c r="E604" s="4">
        <v>109.0</v>
      </c>
      <c r="G604" s="1" t="s">
        <v>111</v>
      </c>
      <c r="H604" s="1" t="s">
        <v>194</v>
      </c>
      <c r="I604" s="1" t="s">
        <v>1552</v>
      </c>
      <c r="J604" s="1" t="s">
        <v>1553</v>
      </c>
      <c r="K604" s="1" t="s">
        <v>1553</v>
      </c>
      <c r="M604" s="4">
        <v>-9.0</v>
      </c>
      <c r="O604" s="4">
        <v>10.280116666666666</v>
      </c>
    </row>
    <row r="605">
      <c r="A605" s="5">
        <v>45535.0</v>
      </c>
      <c r="B605" s="1" t="s">
        <v>88</v>
      </c>
      <c r="C605" s="1" t="s">
        <v>107</v>
      </c>
      <c r="D605" s="4">
        <v>364.0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1554</v>
      </c>
      <c r="J605" s="1" t="s">
        <v>1555</v>
      </c>
      <c r="K605" s="1" t="s">
        <v>1555</v>
      </c>
      <c r="M605" s="4">
        <v>-8.0</v>
      </c>
      <c r="O605" s="4">
        <v>8.3564</v>
      </c>
    </row>
    <row r="606">
      <c r="A606" s="5">
        <v>45535.0</v>
      </c>
      <c r="B606" s="1" t="s">
        <v>103</v>
      </c>
      <c r="C606" s="1" t="s">
        <v>107</v>
      </c>
      <c r="D606" s="4">
        <v>329.0</v>
      </c>
      <c r="E606" s="4">
        <v>0.0</v>
      </c>
      <c r="F606" s="1" t="s">
        <v>1556</v>
      </c>
      <c r="G606" s="1" t="s">
        <v>91</v>
      </c>
      <c r="H606" s="1" t="s">
        <v>92</v>
      </c>
      <c r="I606" s="1" t="s">
        <v>1557</v>
      </c>
      <c r="J606" s="1" t="s">
        <v>1558</v>
      </c>
      <c r="K606" s="1" t="s">
        <v>1558</v>
      </c>
      <c r="M606" s="4">
        <v>-7.0</v>
      </c>
      <c r="O606" s="4">
        <v>7.041133333333334</v>
      </c>
    </row>
    <row r="607">
      <c r="A607" s="5">
        <v>45535.0</v>
      </c>
      <c r="B607" s="1" t="s">
        <v>116</v>
      </c>
      <c r="C607" s="1" t="s">
        <v>107</v>
      </c>
      <c r="D607" s="4">
        <v>139.0</v>
      </c>
      <c r="E607" s="4">
        <v>0.0</v>
      </c>
      <c r="G607" s="1" t="s">
        <v>111</v>
      </c>
      <c r="H607" s="1" t="s">
        <v>96</v>
      </c>
      <c r="I607" s="1" t="s">
        <v>1559</v>
      </c>
      <c r="J607" s="1" t="s">
        <v>1560</v>
      </c>
      <c r="K607" s="1" t="s">
        <v>1560</v>
      </c>
      <c r="M607" s="4">
        <v>-12.0</v>
      </c>
      <c r="O607" s="4">
        <v>6.412583333333333</v>
      </c>
    </row>
    <row r="608">
      <c r="A608" s="5">
        <v>45535.0</v>
      </c>
      <c r="B608" s="1" t="s">
        <v>95</v>
      </c>
      <c r="C608" s="1" t="s">
        <v>107</v>
      </c>
      <c r="D608" s="4">
        <v>294.0</v>
      </c>
      <c r="E608" s="4">
        <v>100.0</v>
      </c>
      <c r="G608" s="1" t="s">
        <v>91</v>
      </c>
      <c r="H608" s="1" t="s">
        <v>96</v>
      </c>
      <c r="I608" s="1" t="s">
        <v>1561</v>
      </c>
      <c r="J608" s="1" t="s">
        <v>1562</v>
      </c>
      <c r="K608" s="1" t="s">
        <v>1562</v>
      </c>
      <c r="M608" s="4">
        <v>0.0</v>
      </c>
      <c r="O608" s="4">
        <v>8.138183333333334</v>
      </c>
    </row>
    <row r="609">
      <c r="A609" s="5">
        <v>45535.0</v>
      </c>
      <c r="B609" s="1" t="s">
        <v>88</v>
      </c>
      <c r="C609" s="1" t="s">
        <v>107</v>
      </c>
      <c r="D609" s="4">
        <v>707.0</v>
      </c>
      <c r="E609" s="4">
        <v>0.0</v>
      </c>
      <c r="F609" s="1" t="s">
        <v>90</v>
      </c>
      <c r="G609" s="1" t="s">
        <v>91</v>
      </c>
      <c r="H609" s="1" t="s">
        <v>92</v>
      </c>
      <c r="I609" s="1" t="s">
        <v>1563</v>
      </c>
      <c r="J609" s="1" t="s">
        <v>1564</v>
      </c>
      <c r="K609" s="1" t="s">
        <v>1564</v>
      </c>
      <c r="M609" s="4">
        <v>-7.0</v>
      </c>
      <c r="O609" s="4">
        <v>12.2552</v>
      </c>
    </row>
    <row r="610">
      <c r="A610" s="5">
        <v>45535.0</v>
      </c>
      <c r="B610" s="1" t="s">
        <v>95</v>
      </c>
      <c r="C610" s="1" t="s">
        <v>107</v>
      </c>
      <c r="D610" s="4">
        <v>269.0</v>
      </c>
      <c r="E610" s="4">
        <v>100.0</v>
      </c>
      <c r="G610" s="1" t="s">
        <v>91</v>
      </c>
      <c r="H610" s="1" t="s">
        <v>96</v>
      </c>
      <c r="I610" s="1" t="s">
        <v>1565</v>
      </c>
      <c r="J610" s="1" t="s">
        <v>1566</v>
      </c>
      <c r="K610" s="1" t="s">
        <v>1566</v>
      </c>
      <c r="M610" s="4">
        <v>0.0</v>
      </c>
      <c r="O610" s="4">
        <v>6.99255</v>
      </c>
    </row>
    <row r="611">
      <c r="A611" s="5">
        <v>45535.0</v>
      </c>
      <c r="B611" s="1" t="s">
        <v>103</v>
      </c>
      <c r="C611" s="1" t="s">
        <v>107</v>
      </c>
      <c r="D611" s="4">
        <v>474.0</v>
      </c>
      <c r="E611" s="4">
        <v>0.0</v>
      </c>
      <c r="F611" s="1" t="s">
        <v>1567</v>
      </c>
      <c r="G611" s="1" t="s">
        <v>91</v>
      </c>
      <c r="H611" s="1" t="s">
        <v>92</v>
      </c>
      <c r="I611" s="1" t="s">
        <v>1568</v>
      </c>
      <c r="J611" s="1" t="s">
        <v>1569</v>
      </c>
      <c r="K611" s="1" t="s">
        <v>1569</v>
      </c>
      <c r="M611" s="4">
        <v>-5.0</v>
      </c>
      <c r="O611" s="4">
        <v>9.130516666666667</v>
      </c>
    </row>
    <row r="612">
      <c r="A612" s="5">
        <v>45535.0</v>
      </c>
      <c r="B612" s="1" t="s">
        <v>95</v>
      </c>
      <c r="C612" s="1" t="s">
        <v>107</v>
      </c>
      <c r="D612" s="4">
        <v>329.0</v>
      </c>
      <c r="E612" s="4">
        <v>0.0</v>
      </c>
      <c r="G612" s="1" t="s">
        <v>91</v>
      </c>
      <c r="H612" s="1" t="s">
        <v>96</v>
      </c>
      <c r="I612" s="1" t="s">
        <v>1570</v>
      </c>
      <c r="J612" s="1" t="s">
        <v>1571</v>
      </c>
      <c r="K612" s="1" t="s">
        <v>1571</v>
      </c>
      <c r="M612" s="4">
        <v>0.0</v>
      </c>
      <c r="O612" s="4">
        <v>8.460083333333333</v>
      </c>
    </row>
    <row r="613">
      <c r="A613" s="5">
        <v>45535.0</v>
      </c>
      <c r="B613" s="1" t="s">
        <v>95</v>
      </c>
      <c r="C613" s="1" t="s">
        <v>107</v>
      </c>
      <c r="D613" s="4">
        <v>658.0</v>
      </c>
      <c r="E613" s="4">
        <v>0.0</v>
      </c>
      <c r="G613" s="1" t="s">
        <v>91</v>
      </c>
      <c r="H613" s="1" t="s">
        <v>92</v>
      </c>
      <c r="I613" s="1" t="s">
        <v>1572</v>
      </c>
      <c r="J613" s="1" t="s">
        <v>1573</v>
      </c>
      <c r="K613" s="1" t="s">
        <v>1573</v>
      </c>
      <c r="M613" s="4">
        <v>-1.0</v>
      </c>
      <c r="O613" s="4">
        <v>9.407666666666668</v>
      </c>
    </row>
    <row r="614">
      <c r="A614" s="5">
        <v>45535.0</v>
      </c>
      <c r="B614" s="1" t="s">
        <v>116</v>
      </c>
      <c r="C614" s="1" t="s">
        <v>107</v>
      </c>
      <c r="D614" s="4">
        <v>494.0</v>
      </c>
      <c r="E614" s="4">
        <v>124.0</v>
      </c>
      <c r="G614" s="1" t="s">
        <v>111</v>
      </c>
      <c r="H614" s="1" t="s">
        <v>194</v>
      </c>
      <c r="I614" s="1" t="s">
        <v>1574</v>
      </c>
      <c r="J614" s="1" t="s">
        <v>1575</v>
      </c>
      <c r="K614" s="1" t="s">
        <v>1575</v>
      </c>
      <c r="M614" s="4">
        <v>-2.0</v>
      </c>
      <c r="O614" s="4">
        <v>16.827583333333333</v>
      </c>
    </row>
    <row r="615">
      <c r="A615" s="5">
        <v>45535.0</v>
      </c>
      <c r="B615" s="1" t="s">
        <v>95</v>
      </c>
      <c r="C615" s="1" t="s">
        <v>107</v>
      </c>
      <c r="D615" s="4">
        <v>321.0</v>
      </c>
      <c r="E615" s="4">
        <v>0.0</v>
      </c>
      <c r="G615" s="1" t="s">
        <v>91</v>
      </c>
      <c r="H615" s="1" t="s">
        <v>96</v>
      </c>
      <c r="I615" s="1" t="s">
        <v>1576</v>
      </c>
      <c r="J615" s="1" t="s">
        <v>1577</v>
      </c>
      <c r="K615" s="1" t="s">
        <v>1577</v>
      </c>
      <c r="M615" s="4">
        <v>2.0</v>
      </c>
      <c r="O615" s="4">
        <v>9.93545</v>
      </c>
    </row>
    <row r="616">
      <c r="A616" s="5">
        <v>45535.0</v>
      </c>
      <c r="B616" s="1" t="s">
        <v>95</v>
      </c>
      <c r="C616" s="1" t="s">
        <v>107</v>
      </c>
      <c r="D616" s="4">
        <v>329.0</v>
      </c>
      <c r="E616" s="4">
        <v>0.0</v>
      </c>
      <c r="G616" s="1" t="s">
        <v>91</v>
      </c>
      <c r="H616" s="1" t="s">
        <v>96</v>
      </c>
      <c r="I616" s="1" t="s">
        <v>1578</v>
      </c>
      <c r="J616" s="1" t="s">
        <v>1579</v>
      </c>
      <c r="K616" s="1" t="s">
        <v>1579</v>
      </c>
      <c r="M616" s="4">
        <v>-1.0</v>
      </c>
      <c r="O616" s="4">
        <v>6.57075</v>
      </c>
    </row>
    <row r="617">
      <c r="A617" s="5">
        <v>45535.0</v>
      </c>
      <c r="B617" s="1" t="s">
        <v>88</v>
      </c>
      <c r="C617" s="1" t="s">
        <v>107</v>
      </c>
      <c r="D617" s="4">
        <v>263.0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1580</v>
      </c>
      <c r="J617" s="1" t="s">
        <v>1581</v>
      </c>
      <c r="K617" s="1" t="s">
        <v>1581</v>
      </c>
      <c r="M617" s="4">
        <v>-10.0</v>
      </c>
      <c r="O617" s="4">
        <v>4.04595</v>
      </c>
    </row>
    <row r="618">
      <c r="A618" s="5">
        <v>45535.0</v>
      </c>
      <c r="B618" s="1" t="s">
        <v>103</v>
      </c>
      <c r="C618" s="1" t="s">
        <v>107</v>
      </c>
      <c r="D618" s="4">
        <v>618.0</v>
      </c>
      <c r="E618" s="4">
        <v>0.0</v>
      </c>
      <c r="F618" s="1" t="s">
        <v>1556</v>
      </c>
      <c r="G618" s="1" t="s">
        <v>91</v>
      </c>
      <c r="H618" s="1" t="s">
        <v>92</v>
      </c>
      <c r="I618" s="1" t="s">
        <v>1582</v>
      </c>
      <c r="J618" s="1" t="s">
        <v>1583</v>
      </c>
      <c r="K618" s="1" t="s">
        <v>1583</v>
      </c>
      <c r="M618" s="4">
        <v>-14.0</v>
      </c>
      <c r="O618" s="4">
        <v>5.59285</v>
      </c>
    </row>
    <row r="619">
      <c r="A619" s="5">
        <v>45535.0</v>
      </c>
      <c r="B619" s="1" t="s">
        <v>103</v>
      </c>
      <c r="C619" s="1" t="s">
        <v>107</v>
      </c>
      <c r="D619" s="4">
        <v>321.0</v>
      </c>
      <c r="E619" s="4">
        <v>0.0</v>
      </c>
      <c r="F619" s="1" t="s">
        <v>1556</v>
      </c>
      <c r="G619" s="1" t="s">
        <v>91</v>
      </c>
      <c r="H619" s="1" t="s">
        <v>92</v>
      </c>
      <c r="I619" s="1" t="s">
        <v>1584</v>
      </c>
      <c r="J619" s="1" t="s">
        <v>1585</v>
      </c>
      <c r="K619" s="1" t="s">
        <v>1585</v>
      </c>
      <c r="M619" s="4">
        <v>-8.0</v>
      </c>
      <c r="O619" s="4">
        <v>6.139316666666667</v>
      </c>
    </row>
    <row r="620">
      <c r="A620" s="5">
        <v>45535.0</v>
      </c>
      <c r="B620" s="1" t="s">
        <v>95</v>
      </c>
      <c r="C620" s="1" t="s">
        <v>107</v>
      </c>
      <c r="D620" s="4">
        <v>381.0</v>
      </c>
      <c r="E620" s="4">
        <v>0.0</v>
      </c>
      <c r="G620" s="1" t="s">
        <v>91</v>
      </c>
      <c r="H620" s="1" t="s">
        <v>92</v>
      </c>
      <c r="I620" s="1" t="s">
        <v>1586</v>
      </c>
      <c r="J620" s="1" t="s">
        <v>1587</v>
      </c>
      <c r="K620" s="1" t="s">
        <v>1587</v>
      </c>
      <c r="M620" s="4">
        <v>0.0</v>
      </c>
      <c r="O620" s="4">
        <v>7.9105</v>
      </c>
    </row>
    <row r="621">
      <c r="A621" s="5">
        <v>45535.0</v>
      </c>
      <c r="B621" s="1" t="s">
        <v>88</v>
      </c>
      <c r="C621" s="1" t="s">
        <v>107</v>
      </c>
      <c r="D621" s="4">
        <v>326.0</v>
      </c>
      <c r="E621" s="4">
        <v>0.0</v>
      </c>
      <c r="F621" s="1" t="s">
        <v>90</v>
      </c>
      <c r="G621" s="1" t="s">
        <v>91</v>
      </c>
      <c r="H621" s="1" t="s">
        <v>92</v>
      </c>
      <c r="I621" s="1" t="s">
        <v>1588</v>
      </c>
      <c r="J621" s="1" t="s">
        <v>1589</v>
      </c>
      <c r="K621" s="1" t="s">
        <v>1589</v>
      </c>
      <c r="M621" s="4">
        <v>-10.0</v>
      </c>
      <c r="O621" s="4">
        <v>4.644666666666667</v>
      </c>
    </row>
    <row r="622">
      <c r="A622" s="5">
        <v>45535.0</v>
      </c>
      <c r="B622" s="1" t="s">
        <v>88</v>
      </c>
      <c r="C622" s="1" t="s">
        <v>107</v>
      </c>
      <c r="D622" s="4">
        <v>324.0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1590</v>
      </c>
      <c r="J622" s="1" t="s">
        <v>1591</v>
      </c>
      <c r="K622" s="1" t="s">
        <v>1591</v>
      </c>
      <c r="M622" s="4">
        <v>-8.0</v>
      </c>
      <c r="O622" s="4">
        <v>6.22515</v>
      </c>
    </row>
    <row r="623">
      <c r="A623" s="5">
        <v>45535.0</v>
      </c>
      <c r="B623" s="1" t="s">
        <v>116</v>
      </c>
      <c r="C623" s="1" t="s">
        <v>107</v>
      </c>
      <c r="D623" s="4">
        <v>119.0</v>
      </c>
      <c r="E623" s="4">
        <v>0.0</v>
      </c>
      <c r="G623" s="1" t="s">
        <v>111</v>
      </c>
      <c r="H623" s="1" t="s">
        <v>96</v>
      </c>
      <c r="I623" s="1" t="s">
        <v>1592</v>
      </c>
      <c r="J623" s="1" t="s">
        <v>1593</v>
      </c>
      <c r="K623" s="1" t="s">
        <v>1593</v>
      </c>
      <c r="M623" s="4">
        <v>-14.0</v>
      </c>
      <c r="O623" s="4">
        <v>5.1471</v>
      </c>
    </row>
    <row r="624">
      <c r="A624" s="5">
        <v>45535.0</v>
      </c>
      <c r="B624" s="1" t="s">
        <v>110</v>
      </c>
      <c r="C624" s="1" t="s">
        <v>107</v>
      </c>
      <c r="D624" s="4">
        <v>49.0</v>
      </c>
      <c r="E624" s="4">
        <v>0.0</v>
      </c>
      <c r="G624" s="1" t="s">
        <v>111</v>
      </c>
      <c r="H624" s="1" t="s">
        <v>96</v>
      </c>
      <c r="I624" s="1" t="s">
        <v>1594</v>
      </c>
      <c r="J624" s="1" t="s">
        <v>1595</v>
      </c>
      <c r="K624" s="1" t="s">
        <v>1595</v>
      </c>
      <c r="M624" s="4">
        <v>-4.0</v>
      </c>
      <c r="O624" s="4">
        <v>0.0539</v>
      </c>
    </row>
    <row r="625">
      <c r="A625" s="5">
        <v>45535.0</v>
      </c>
      <c r="B625" s="1" t="s">
        <v>103</v>
      </c>
      <c r="C625" s="1" t="s">
        <v>107</v>
      </c>
      <c r="D625" s="4">
        <v>329.0</v>
      </c>
      <c r="E625" s="4">
        <v>0.0</v>
      </c>
      <c r="F625" s="1" t="s">
        <v>1556</v>
      </c>
      <c r="G625" s="1" t="s">
        <v>91</v>
      </c>
      <c r="H625" s="1" t="s">
        <v>92</v>
      </c>
      <c r="I625" s="1" t="s">
        <v>1596</v>
      </c>
      <c r="J625" s="1" t="s">
        <v>1597</v>
      </c>
      <c r="K625" s="1" t="s">
        <v>1597</v>
      </c>
      <c r="M625" s="4">
        <v>-9.0</v>
      </c>
      <c r="O625" s="4">
        <v>5.808683333333334</v>
      </c>
    </row>
    <row r="626">
      <c r="A626" s="5">
        <v>45535.0</v>
      </c>
      <c r="B626" s="1" t="s">
        <v>116</v>
      </c>
      <c r="C626" s="1" t="s">
        <v>107</v>
      </c>
      <c r="D626" s="4">
        <v>398.0</v>
      </c>
      <c r="E626" s="4">
        <v>100.0</v>
      </c>
      <c r="G626" s="1" t="s">
        <v>111</v>
      </c>
      <c r="H626" s="1" t="s">
        <v>92</v>
      </c>
      <c r="I626" s="1" t="s">
        <v>1598</v>
      </c>
      <c r="J626" s="1" t="s">
        <v>1599</v>
      </c>
      <c r="K626" s="1" t="s">
        <v>1599</v>
      </c>
      <c r="M626" s="4">
        <v>-12.0</v>
      </c>
      <c r="O626" s="4">
        <v>6.491733333333333</v>
      </c>
    </row>
    <row r="627">
      <c r="A627" s="5">
        <v>45535.0</v>
      </c>
      <c r="B627" s="1" t="s">
        <v>88</v>
      </c>
      <c r="C627" s="1" t="s">
        <v>107</v>
      </c>
      <c r="D627" s="4">
        <v>393.0</v>
      </c>
      <c r="E627" s="4">
        <v>0.0</v>
      </c>
      <c r="F627" s="1" t="s">
        <v>90</v>
      </c>
      <c r="G627" s="1" t="s">
        <v>91</v>
      </c>
      <c r="H627" s="1" t="s">
        <v>92</v>
      </c>
      <c r="I627" s="1" t="s">
        <v>1600</v>
      </c>
      <c r="J627" s="1" t="s">
        <v>1601</v>
      </c>
      <c r="K627" s="1" t="s">
        <v>1601</v>
      </c>
      <c r="M627" s="4">
        <v>-9.0</v>
      </c>
      <c r="O627" s="4">
        <v>5.992233333333333</v>
      </c>
    </row>
    <row r="628">
      <c r="A628" s="5">
        <v>45535.0</v>
      </c>
      <c r="B628" s="1" t="s">
        <v>116</v>
      </c>
      <c r="C628" s="1" t="s">
        <v>107</v>
      </c>
      <c r="D628" s="4">
        <v>368.0</v>
      </c>
      <c r="E628" s="4">
        <v>0.0</v>
      </c>
      <c r="F628" s="1" t="s">
        <v>90</v>
      </c>
      <c r="G628" s="1" t="s">
        <v>175</v>
      </c>
      <c r="H628" s="1" t="s">
        <v>92</v>
      </c>
      <c r="I628" s="1" t="s">
        <v>1602</v>
      </c>
      <c r="J628" s="1" t="s">
        <v>1603</v>
      </c>
      <c r="K628" s="1" t="s">
        <v>1604</v>
      </c>
      <c r="L628" s="1" t="s">
        <v>1605</v>
      </c>
      <c r="M628" s="4">
        <v>-7.0</v>
      </c>
      <c r="N628" s="4">
        <v>2.9238166666666667</v>
      </c>
      <c r="O628" s="4">
        <v>5.866083333333333</v>
      </c>
    </row>
    <row r="629">
      <c r="A629" s="5">
        <v>45535.0</v>
      </c>
      <c r="B629" s="1" t="s">
        <v>110</v>
      </c>
      <c r="C629" s="1" t="s">
        <v>107</v>
      </c>
      <c r="D629" s="4">
        <v>288.0</v>
      </c>
      <c r="E629" s="4">
        <v>0.0</v>
      </c>
      <c r="G629" s="1" t="s">
        <v>111</v>
      </c>
      <c r="H629" s="1" t="s">
        <v>96</v>
      </c>
      <c r="I629" s="1" t="s">
        <v>1606</v>
      </c>
      <c r="J629" s="1" t="s">
        <v>1607</v>
      </c>
      <c r="K629" s="1" t="s">
        <v>1607</v>
      </c>
      <c r="M629" s="4">
        <v>-1.0</v>
      </c>
      <c r="O629" s="4">
        <v>3.375766666666667</v>
      </c>
    </row>
    <row r="630">
      <c r="A630" s="5">
        <v>45535.0</v>
      </c>
      <c r="B630" s="1" t="s">
        <v>116</v>
      </c>
      <c r="C630" s="1" t="s">
        <v>107</v>
      </c>
      <c r="D630" s="4">
        <v>306.0</v>
      </c>
      <c r="E630" s="4">
        <v>0.0</v>
      </c>
      <c r="F630" s="1" t="s">
        <v>90</v>
      </c>
      <c r="G630" s="1" t="s">
        <v>175</v>
      </c>
      <c r="H630" s="1" t="s">
        <v>96</v>
      </c>
      <c r="I630" s="1" t="s">
        <v>1608</v>
      </c>
      <c r="J630" s="1" t="s">
        <v>1609</v>
      </c>
      <c r="K630" s="1" t="s">
        <v>1610</v>
      </c>
      <c r="L630" s="1" t="s">
        <v>1611</v>
      </c>
      <c r="M630" s="4">
        <v>-1.0</v>
      </c>
      <c r="N630" s="4">
        <v>7.0123</v>
      </c>
      <c r="O630" s="4">
        <v>7.558033333333333</v>
      </c>
    </row>
    <row r="631">
      <c r="A631" s="5">
        <v>45535.0</v>
      </c>
      <c r="B631" s="1" t="s">
        <v>88</v>
      </c>
      <c r="C631" s="1" t="s">
        <v>107</v>
      </c>
      <c r="D631" s="4">
        <v>289.0</v>
      </c>
      <c r="E631" s="4">
        <v>0.0</v>
      </c>
      <c r="F631" s="1" t="s">
        <v>90</v>
      </c>
      <c r="G631" s="1" t="s">
        <v>91</v>
      </c>
      <c r="H631" s="1" t="s">
        <v>92</v>
      </c>
      <c r="I631" s="1" t="s">
        <v>1612</v>
      </c>
      <c r="J631" s="1" t="s">
        <v>1613</v>
      </c>
      <c r="K631" s="1" t="s">
        <v>1613</v>
      </c>
      <c r="M631" s="4">
        <v>-7.0</v>
      </c>
      <c r="O631" s="4">
        <v>7.1382666666666665</v>
      </c>
    </row>
    <row r="632">
      <c r="A632" s="5">
        <v>45535.0</v>
      </c>
      <c r="B632" s="1" t="s">
        <v>95</v>
      </c>
      <c r="C632" s="1" t="s">
        <v>107</v>
      </c>
      <c r="D632" s="4">
        <v>611.0</v>
      </c>
      <c r="E632" s="4">
        <v>0.0</v>
      </c>
      <c r="G632" s="1" t="s">
        <v>91</v>
      </c>
      <c r="H632" s="1" t="s">
        <v>92</v>
      </c>
      <c r="I632" s="1" t="s">
        <v>1614</v>
      </c>
      <c r="J632" s="1" t="s">
        <v>1615</v>
      </c>
      <c r="K632" s="1" t="s">
        <v>1615</v>
      </c>
      <c r="M632" s="4">
        <v>-2.0</v>
      </c>
      <c r="O632" s="4">
        <v>8.675016666666666</v>
      </c>
    </row>
    <row r="633">
      <c r="A633" s="5">
        <v>45535.0</v>
      </c>
      <c r="B633" s="1" t="s">
        <v>88</v>
      </c>
      <c r="C633" s="1" t="s">
        <v>107</v>
      </c>
      <c r="D633" s="4">
        <v>264.0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1616</v>
      </c>
      <c r="J633" s="1" t="s">
        <v>1617</v>
      </c>
      <c r="K633" s="1" t="s">
        <v>1617</v>
      </c>
      <c r="M633" s="4">
        <v>-5.0</v>
      </c>
      <c r="O633" s="4">
        <v>9.037183333333333</v>
      </c>
    </row>
    <row r="634">
      <c r="A634" s="5">
        <v>45535.0</v>
      </c>
      <c r="B634" s="1" t="s">
        <v>95</v>
      </c>
      <c r="C634" s="1" t="s">
        <v>107</v>
      </c>
      <c r="D634" s="4">
        <v>289.0</v>
      </c>
      <c r="E634" s="4">
        <v>0.0</v>
      </c>
      <c r="G634" s="1" t="s">
        <v>91</v>
      </c>
      <c r="H634" s="1" t="s">
        <v>92</v>
      </c>
      <c r="I634" s="1" t="s">
        <v>1618</v>
      </c>
      <c r="J634" s="1" t="s">
        <v>1619</v>
      </c>
      <c r="K634" s="1" t="s">
        <v>1619</v>
      </c>
      <c r="M634" s="4">
        <v>0.0</v>
      </c>
      <c r="O634" s="4">
        <v>7.8327</v>
      </c>
    </row>
    <row r="635">
      <c r="A635" s="5">
        <v>45535.0</v>
      </c>
      <c r="B635" s="1" t="s">
        <v>95</v>
      </c>
      <c r="C635" s="1" t="s">
        <v>107</v>
      </c>
      <c r="D635" s="4">
        <v>702.0</v>
      </c>
      <c r="E635" s="4">
        <v>0.0</v>
      </c>
      <c r="G635" s="1" t="s">
        <v>91</v>
      </c>
      <c r="H635" s="1" t="s">
        <v>96</v>
      </c>
      <c r="I635" s="1" t="s">
        <v>1620</v>
      </c>
      <c r="J635" s="1" t="s">
        <v>1621</v>
      </c>
      <c r="K635" s="1" t="s">
        <v>1621</v>
      </c>
      <c r="M635" s="4">
        <v>3.0</v>
      </c>
      <c r="O635" s="4">
        <v>14.2594</v>
      </c>
    </row>
    <row r="636">
      <c r="A636" s="5">
        <v>45535.0</v>
      </c>
      <c r="B636" s="1" t="s">
        <v>110</v>
      </c>
      <c r="C636" s="1" t="s">
        <v>107</v>
      </c>
      <c r="D636" s="4">
        <v>358.0</v>
      </c>
      <c r="E636" s="4">
        <v>0.0</v>
      </c>
      <c r="F636" s="1" t="s">
        <v>174</v>
      </c>
      <c r="G636" s="1" t="s">
        <v>175</v>
      </c>
      <c r="H636" s="1" t="s">
        <v>96</v>
      </c>
      <c r="I636" s="1" t="s">
        <v>1622</v>
      </c>
      <c r="J636" s="1" t="s">
        <v>1623</v>
      </c>
      <c r="K636" s="1" t="s">
        <v>1624</v>
      </c>
      <c r="L636" s="1" t="s">
        <v>1625</v>
      </c>
      <c r="M636" s="4">
        <v>5.0</v>
      </c>
      <c r="N636" s="4">
        <v>0.010666666666666666</v>
      </c>
      <c r="O636" s="4">
        <v>5.17485</v>
      </c>
    </row>
    <row r="637">
      <c r="A637" s="5">
        <v>45535.0</v>
      </c>
      <c r="B637" s="1" t="s">
        <v>95</v>
      </c>
      <c r="C637" s="1" t="s">
        <v>89</v>
      </c>
      <c r="D637" s="4">
        <v>299.0</v>
      </c>
      <c r="E637" s="4">
        <v>0.0</v>
      </c>
      <c r="G637" s="1" t="s">
        <v>91</v>
      </c>
      <c r="H637" s="1" t="s">
        <v>92</v>
      </c>
      <c r="I637" s="1" t="s">
        <v>1626</v>
      </c>
      <c r="J637" s="1" t="s">
        <v>1627</v>
      </c>
      <c r="K637" s="1" t="s">
        <v>1627</v>
      </c>
      <c r="M637" s="4">
        <v>-1.0</v>
      </c>
      <c r="O637" s="4">
        <v>5.736266666666666</v>
      </c>
    </row>
    <row r="638">
      <c r="A638" s="5">
        <v>45535.0</v>
      </c>
      <c r="B638" s="1" t="s">
        <v>103</v>
      </c>
      <c r="C638" s="1" t="s">
        <v>107</v>
      </c>
      <c r="D638" s="4">
        <v>324.0</v>
      </c>
      <c r="E638" s="4">
        <v>0.0</v>
      </c>
      <c r="F638" s="1" t="s">
        <v>1628</v>
      </c>
      <c r="G638" s="1" t="s">
        <v>91</v>
      </c>
      <c r="H638" s="1" t="s">
        <v>92</v>
      </c>
      <c r="I638" s="1" t="s">
        <v>1629</v>
      </c>
      <c r="J638" s="1" t="s">
        <v>1630</v>
      </c>
      <c r="K638" s="1" t="s">
        <v>1630</v>
      </c>
      <c r="M638" s="4">
        <v>-8.0</v>
      </c>
      <c r="O638" s="4">
        <v>6.516366666666666</v>
      </c>
    </row>
    <row r="639">
      <c r="A639" s="5">
        <v>45535.0</v>
      </c>
      <c r="B639" s="1" t="s">
        <v>116</v>
      </c>
      <c r="C639" s="1" t="s">
        <v>107</v>
      </c>
      <c r="D639" s="4">
        <v>468.0</v>
      </c>
      <c r="E639" s="4">
        <v>0.0</v>
      </c>
      <c r="F639" s="1" t="s">
        <v>174</v>
      </c>
      <c r="G639" s="1" t="s">
        <v>175</v>
      </c>
      <c r="H639" s="1" t="s">
        <v>92</v>
      </c>
      <c r="I639" s="1" t="s">
        <v>1631</v>
      </c>
      <c r="J639" s="1" t="s">
        <v>1632</v>
      </c>
      <c r="K639" s="1" t="s">
        <v>1633</v>
      </c>
      <c r="L639" s="1" t="s">
        <v>1634</v>
      </c>
      <c r="M639" s="4">
        <v>-11.0</v>
      </c>
      <c r="N639" s="4">
        <v>0.00885</v>
      </c>
      <c r="O639" s="4">
        <v>6.7374833333333335</v>
      </c>
    </row>
    <row r="640">
      <c r="A640" s="5">
        <v>45535.0</v>
      </c>
      <c r="B640" s="1" t="s">
        <v>88</v>
      </c>
      <c r="C640" s="1" t="s">
        <v>107</v>
      </c>
      <c r="D640" s="4">
        <v>658.0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1635</v>
      </c>
      <c r="J640" s="1" t="s">
        <v>1636</v>
      </c>
      <c r="K640" s="1" t="s">
        <v>1636</v>
      </c>
      <c r="M640" s="4">
        <v>-12.0</v>
      </c>
      <c r="O640" s="4">
        <v>7.883966666666667</v>
      </c>
    </row>
    <row r="641">
      <c r="A641" s="5">
        <v>45535.0</v>
      </c>
      <c r="B641" s="1" t="s">
        <v>88</v>
      </c>
      <c r="C641" s="1" t="s">
        <v>107</v>
      </c>
      <c r="D641" s="4">
        <v>672.0</v>
      </c>
      <c r="E641" s="4">
        <v>0.0</v>
      </c>
      <c r="F641" s="1" t="s">
        <v>90</v>
      </c>
      <c r="G641" s="1" t="s">
        <v>91</v>
      </c>
      <c r="H641" s="1" t="s">
        <v>92</v>
      </c>
      <c r="I641" s="1" t="s">
        <v>1637</v>
      </c>
      <c r="J641" s="1" t="s">
        <v>1638</v>
      </c>
      <c r="K641" s="1" t="s">
        <v>1638</v>
      </c>
      <c r="M641" s="4">
        <v>-13.0</v>
      </c>
      <c r="O641" s="4">
        <v>6.604266666666667</v>
      </c>
    </row>
    <row r="642">
      <c r="A642" s="5">
        <v>45535.0</v>
      </c>
      <c r="B642" s="1" t="s">
        <v>110</v>
      </c>
      <c r="C642" s="1" t="s">
        <v>107</v>
      </c>
      <c r="D642" s="4">
        <v>249.0</v>
      </c>
      <c r="E642" s="4">
        <v>0.0</v>
      </c>
      <c r="G642" s="1" t="s">
        <v>111</v>
      </c>
      <c r="H642" s="1" t="s">
        <v>96</v>
      </c>
      <c r="I642" s="1" t="s">
        <v>1639</v>
      </c>
      <c r="J642" s="1" t="s">
        <v>1640</v>
      </c>
      <c r="K642" s="1" t="s">
        <v>1640</v>
      </c>
      <c r="M642" s="4">
        <v>0.0</v>
      </c>
      <c r="O642" s="4">
        <v>4.93345</v>
      </c>
    </row>
    <row r="643">
      <c r="A643" s="5">
        <v>45535.0</v>
      </c>
      <c r="B643" s="1" t="s">
        <v>116</v>
      </c>
      <c r="C643" s="1" t="s">
        <v>107</v>
      </c>
      <c r="D643" s="4">
        <v>199.0</v>
      </c>
      <c r="E643" s="4">
        <v>50.0</v>
      </c>
      <c r="G643" s="1" t="s">
        <v>111</v>
      </c>
      <c r="H643" s="1" t="s">
        <v>92</v>
      </c>
      <c r="I643" s="1" t="s">
        <v>1641</v>
      </c>
      <c r="J643" s="1" t="s">
        <v>1642</v>
      </c>
      <c r="K643" s="1" t="s">
        <v>1642</v>
      </c>
      <c r="M643" s="4">
        <v>-13.0</v>
      </c>
      <c r="O643" s="4">
        <v>6.3033</v>
      </c>
    </row>
    <row r="644">
      <c r="A644" s="5">
        <v>45535.0</v>
      </c>
      <c r="B644" s="1" t="s">
        <v>95</v>
      </c>
      <c r="C644" s="1" t="s">
        <v>107</v>
      </c>
      <c r="D644" s="4">
        <v>370.0</v>
      </c>
      <c r="E644" s="4">
        <v>0.0</v>
      </c>
      <c r="G644" s="1" t="s">
        <v>91</v>
      </c>
      <c r="H644" s="1" t="s">
        <v>92</v>
      </c>
      <c r="I644" s="1" t="s">
        <v>1643</v>
      </c>
      <c r="J644" s="1" t="s">
        <v>1644</v>
      </c>
      <c r="K644" s="1" t="s">
        <v>1644</v>
      </c>
      <c r="M644" s="4">
        <v>0.0</v>
      </c>
      <c r="O644" s="4">
        <v>7.319733333333334</v>
      </c>
    </row>
    <row r="645">
      <c r="A645" s="5">
        <v>45535.0</v>
      </c>
      <c r="B645" s="1" t="s">
        <v>103</v>
      </c>
      <c r="C645" s="1" t="s">
        <v>107</v>
      </c>
      <c r="D645" s="4">
        <v>329.0</v>
      </c>
      <c r="E645" s="4">
        <v>0.0</v>
      </c>
      <c r="F645" s="1" t="s">
        <v>1224</v>
      </c>
      <c r="G645" s="1" t="s">
        <v>91</v>
      </c>
      <c r="H645" s="1" t="s">
        <v>92</v>
      </c>
      <c r="I645" s="1" t="s">
        <v>1645</v>
      </c>
      <c r="J645" s="1" t="s">
        <v>1646</v>
      </c>
      <c r="K645" s="1" t="s">
        <v>1646</v>
      </c>
      <c r="M645" s="4">
        <v>-7.0</v>
      </c>
      <c r="O645" s="4">
        <v>7.833783333333334</v>
      </c>
    </row>
    <row r="646">
      <c r="A646" s="5">
        <v>45535.0</v>
      </c>
      <c r="B646" s="1" t="s">
        <v>116</v>
      </c>
      <c r="C646" s="1" t="s">
        <v>107</v>
      </c>
      <c r="D646" s="4">
        <v>638.0</v>
      </c>
      <c r="E646" s="4">
        <v>0.0</v>
      </c>
      <c r="F646" s="1" t="s">
        <v>174</v>
      </c>
      <c r="G646" s="1" t="s">
        <v>175</v>
      </c>
      <c r="H646" s="1" t="s">
        <v>92</v>
      </c>
      <c r="I646" s="1" t="s">
        <v>1647</v>
      </c>
      <c r="J646" s="1" t="s">
        <v>1648</v>
      </c>
      <c r="K646" s="1" t="s">
        <v>1649</v>
      </c>
      <c r="L646" s="1" t="s">
        <v>1650</v>
      </c>
      <c r="M646" s="4">
        <v>-20.0</v>
      </c>
      <c r="N646" s="4">
        <v>0.009116666666666667</v>
      </c>
      <c r="O646" s="4">
        <v>7.696883333333333</v>
      </c>
    </row>
    <row r="647">
      <c r="A647" s="5">
        <v>45535.0</v>
      </c>
      <c r="B647" s="1" t="s">
        <v>103</v>
      </c>
      <c r="C647" s="1" t="s">
        <v>107</v>
      </c>
      <c r="D647" s="4">
        <v>364.0</v>
      </c>
      <c r="E647" s="4">
        <v>0.0</v>
      </c>
      <c r="F647" s="1" t="s">
        <v>1651</v>
      </c>
      <c r="G647" s="1" t="s">
        <v>91</v>
      </c>
      <c r="H647" s="1" t="s">
        <v>92</v>
      </c>
      <c r="I647" s="1" t="s">
        <v>1652</v>
      </c>
      <c r="J647" s="1" t="s">
        <v>1653</v>
      </c>
      <c r="K647" s="1" t="s">
        <v>1653</v>
      </c>
      <c r="M647" s="4">
        <v>-6.0</v>
      </c>
      <c r="O647" s="4">
        <v>8.05135</v>
      </c>
    </row>
    <row r="648">
      <c r="A648" s="5">
        <v>45535.0</v>
      </c>
      <c r="B648" s="1" t="s">
        <v>88</v>
      </c>
      <c r="C648" s="1" t="s">
        <v>107</v>
      </c>
      <c r="D648" s="4">
        <v>264.0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1654</v>
      </c>
      <c r="J648" s="1" t="s">
        <v>1655</v>
      </c>
      <c r="K648" s="1" t="s">
        <v>1655</v>
      </c>
      <c r="M648" s="4">
        <v>-5.0</v>
      </c>
      <c r="O648" s="4">
        <v>9.083666666666666</v>
      </c>
    </row>
    <row r="649">
      <c r="A649" s="5">
        <v>45535.0</v>
      </c>
      <c r="B649" s="1" t="s">
        <v>95</v>
      </c>
      <c r="C649" s="1" t="s">
        <v>107</v>
      </c>
      <c r="D649" s="4">
        <v>364.0</v>
      </c>
      <c r="E649" s="4">
        <v>0.0</v>
      </c>
      <c r="G649" s="1" t="s">
        <v>91</v>
      </c>
      <c r="H649" s="1" t="s">
        <v>92</v>
      </c>
      <c r="I649" s="1" t="s">
        <v>1656</v>
      </c>
      <c r="J649" s="1" t="s">
        <v>1657</v>
      </c>
      <c r="K649" s="1" t="s">
        <v>1657</v>
      </c>
      <c r="M649" s="4">
        <v>0.0</v>
      </c>
      <c r="O649" s="4">
        <v>7.680266666666666</v>
      </c>
    </row>
    <row r="650">
      <c r="A650" s="5">
        <v>45535.0</v>
      </c>
      <c r="B650" s="1" t="s">
        <v>103</v>
      </c>
      <c r="C650" s="1" t="s">
        <v>107</v>
      </c>
      <c r="D650" s="4">
        <v>279.0</v>
      </c>
      <c r="E650" s="4">
        <v>0.0</v>
      </c>
      <c r="F650" s="1" t="s">
        <v>1658</v>
      </c>
      <c r="G650" s="1" t="s">
        <v>91</v>
      </c>
      <c r="H650" s="1" t="s">
        <v>92</v>
      </c>
      <c r="I650" s="1" t="s">
        <v>1659</v>
      </c>
      <c r="J650" s="1" t="s">
        <v>1660</v>
      </c>
      <c r="K650" s="1" t="s">
        <v>1660</v>
      </c>
      <c r="M650" s="4">
        <v>-9.0</v>
      </c>
      <c r="O650" s="4">
        <v>5.6390666666666664</v>
      </c>
    </row>
    <row r="651">
      <c r="A651" s="5">
        <v>45535.0</v>
      </c>
      <c r="B651" s="1" t="s">
        <v>95</v>
      </c>
      <c r="C651" s="1" t="s">
        <v>107</v>
      </c>
      <c r="D651" s="4">
        <v>264.0</v>
      </c>
      <c r="E651" s="4">
        <v>0.0</v>
      </c>
      <c r="G651" s="1" t="s">
        <v>91</v>
      </c>
      <c r="H651" s="1" t="s">
        <v>92</v>
      </c>
      <c r="I651" s="1" t="s">
        <v>1661</v>
      </c>
      <c r="J651" s="1" t="s">
        <v>1662</v>
      </c>
      <c r="K651" s="1" t="s">
        <v>1662</v>
      </c>
      <c r="M651" s="4">
        <v>-1.0</v>
      </c>
      <c r="O651" s="4">
        <v>5.949966666666667</v>
      </c>
    </row>
    <row r="652">
      <c r="A652" s="5">
        <v>45535.0</v>
      </c>
      <c r="B652" s="1" t="s">
        <v>88</v>
      </c>
      <c r="C652" s="1" t="s">
        <v>107</v>
      </c>
      <c r="D652" s="4">
        <v>488.0</v>
      </c>
      <c r="E652" s="4">
        <v>0.0</v>
      </c>
      <c r="F652" s="1" t="s">
        <v>90</v>
      </c>
      <c r="G652" s="1" t="s">
        <v>91</v>
      </c>
      <c r="H652" s="1" t="s">
        <v>92</v>
      </c>
      <c r="I652" s="1" t="s">
        <v>1663</v>
      </c>
      <c r="J652" s="1" t="s">
        <v>1664</v>
      </c>
      <c r="K652" s="1" t="s">
        <v>1664</v>
      </c>
      <c r="M652" s="4">
        <v>-8.0</v>
      </c>
      <c r="O652" s="4">
        <v>6.128516666666667</v>
      </c>
    </row>
    <row r="653">
      <c r="A653" s="5">
        <v>45535.0</v>
      </c>
      <c r="B653" s="1" t="s">
        <v>103</v>
      </c>
      <c r="C653" s="1" t="s">
        <v>107</v>
      </c>
      <c r="D653" s="4">
        <v>329.0</v>
      </c>
      <c r="E653" s="4">
        <v>0.0</v>
      </c>
      <c r="F653" s="1" t="s">
        <v>1665</v>
      </c>
      <c r="G653" s="1" t="s">
        <v>91</v>
      </c>
      <c r="H653" s="1" t="s">
        <v>92</v>
      </c>
      <c r="I653" s="1" t="s">
        <v>1666</v>
      </c>
      <c r="J653" s="1" t="s">
        <v>1667</v>
      </c>
      <c r="K653" s="1" t="s">
        <v>1667</v>
      </c>
      <c r="M653" s="4">
        <v>-5.0</v>
      </c>
      <c r="O653" s="4">
        <v>9.73475</v>
      </c>
    </row>
    <row r="654">
      <c r="A654" s="5">
        <v>45535.0</v>
      </c>
      <c r="B654" s="1" t="s">
        <v>95</v>
      </c>
      <c r="C654" s="1" t="s">
        <v>107</v>
      </c>
      <c r="D654" s="4">
        <v>492.0</v>
      </c>
      <c r="E654" s="4">
        <v>0.0</v>
      </c>
      <c r="G654" s="1" t="s">
        <v>91</v>
      </c>
      <c r="H654" s="1" t="s">
        <v>96</v>
      </c>
      <c r="I654" s="1" t="s">
        <v>1668</v>
      </c>
      <c r="J654" s="1" t="s">
        <v>1669</v>
      </c>
      <c r="K654" s="1" t="s">
        <v>1669</v>
      </c>
      <c r="M654" s="4">
        <v>0.0</v>
      </c>
      <c r="O654" s="4">
        <v>9.798083333333333</v>
      </c>
    </row>
    <row r="655">
      <c r="A655" s="5">
        <v>45535.0</v>
      </c>
      <c r="B655" s="1" t="s">
        <v>103</v>
      </c>
      <c r="C655" s="1" t="s">
        <v>107</v>
      </c>
      <c r="D655" s="4">
        <v>642.0</v>
      </c>
      <c r="E655" s="4">
        <v>0.0</v>
      </c>
      <c r="F655" s="1" t="s">
        <v>722</v>
      </c>
      <c r="G655" s="1" t="s">
        <v>91</v>
      </c>
      <c r="H655" s="1" t="s">
        <v>92</v>
      </c>
      <c r="I655" s="1" t="s">
        <v>1670</v>
      </c>
      <c r="J655" s="1" t="s">
        <v>1671</v>
      </c>
      <c r="K655" s="1" t="s">
        <v>1671</v>
      </c>
      <c r="M655" s="4">
        <v>-11.0</v>
      </c>
      <c r="O655" s="4">
        <v>8.453116666666666</v>
      </c>
    </row>
    <row r="656">
      <c r="A656" s="5">
        <v>45535.0</v>
      </c>
      <c r="B656" s="1" t="s">
        <v>103</v>
      </c>
      <c r="C656" s="1" t="s">
        <v>107</v>
      </c>
      <c r="D656" s="4">
        <v>264.0</v>
      </c>
      <c r="E656" s="4">
        <v>0.0</v>
      </c>
      <c r="F656" s="1" t="s">
        <v>1665</v>
      </c>
      <c r="G656" s="1" t="s">
        <v>91</v>
      </c>
      <c r="H656" s="1" t="s">
        <v>92</v>
      </c>
      <c r="I656" s="1" t="s">
        <v>1672</v>
      </c>
      <c r="J656" s="1" t="s">
        <v>1673</v>
      </c>
      <c r="K656" s="1" t="s">
        <v>1673</v>
      </c>
      <c r="M656" s="4">
        <v>-8.0</v>
      </c>
      <c r="O656" s="4">
        <v>6.05255</v>
      </c>
    </row>
    <row r="657">
      <c r="A657" s="5">
        <v>45535.0</v>
      </c>
      <c r="B657" s="1" t="s">
        <v>116</v>
      </c>
      <c r="C657" s="1" t="s">
        <v>107</v>
      </c>
      <c r="D657" s="4">
        <v>250.0</v>
      </c>
      <c r="E657" s="4">
        <v>0.0</v>
      </c>
      <c r="F657" s="1" t="s">
        <v>174</v>
      </c>
      <c r="G657" s="1" t="s">
        <v>175</v>
      </c>
      <c r="H657" s="1" t="s">
        <v>92</v>
      </c>
      <c r="I657" s="1" t="s">
        <v>1674</v>
      </c>
      <c r="J657" s="1" t="s">
        <v>1675</v>
      </c>
      <c r="K657" s="1" t="s">
        <v>1676</v>
      </c>
      <c r="L657" s="1" t="s">
        <v>1677</v>
      </c>
      <c r="M657" s="4">
        <v>-1.0</v>
      </c>
      <c r="N657" s="4">
        <v>0.01</v>
      </c>
      <c r="O657" s="4">
        <v>7.417883333333333</v>
      </c>
    </row>
    <row r="658">
      <c r="A658" s="5">
        <v>45535.0</v>
      </c>
      <c r="B658" s="1" t="s">
        <v>110</v>
      </c>
      <c r="C658" s="1" t="s">
        <v>107</v>
      </c>
      <c r="D658" s="4">
        <v>119.0</v>
      </c>
      <c r="E658" s="4">
        <v>0.0</v>
      </c>
      <c r="G658" s="1" t="s">
        <v>111</v>
      </c>
      <c r="H658" s="1" t="s">
        <v>96</v>
      </c>
      <c r="I658" s="1" t="s">
        <v>1678</v>
      </c>
      <c r="J658" s="1" t="s">
        <v>1679</v>
      </c>
      <c r="K658" s="1" t="s">
        <v>1679</v>
      </c>
      <c r="M658" s="4">
        <v>0.0</v>
      </c>
      <c r="O658" s="4">
        <v>4.230083333333333</v>
      </c>
    </row>
    <row r="659">
      <c r="A659" s="5">
        <v>45535.0</v>
      </c>
      <c r="B659" s="1" t="s">
        <v>95</v>
      </c>
      <c r="C659" s="1" t="s">
        <v>107</v>
      </c>
      <c r="D659" s="4">
        <v>321.0</v>
      </c>
      <c r="E659" s="4">
        <v>0.0</v>
      </c>
      <c r="G659" s="1" t="s">
        <v>91</v>
      </c>
      <c r="H659" s="1" t="s">
        <v>96</v>
      </c>
      <c r="I659" s="1" t="s">
        <v>1680</v>
      </c>
      <c r="J659" s="1" t="s">
        <v>1681</v>
      </c>
      <c r="K659" s="1" t="s">
        <v>1681</v>
      </c>
      <c r="M659" s="4">
        <v>1.0</v>
      </c>
      <c r="O659" s="4">
        <v>8.733466666666667</v>
      </c>
    </row>
    <row r="660">
      <c r="A660" s="5">
        <v>45535.0</v>
      </c>
      <c r="B660" s="1" t="s">
        <v>110</v>
      </c>
      <c r="C660" s="1" t="s">
        <v>107</v>
      </c>
      <c r="D660" s="4">
        <v>347.0</v>
      </c>
      <c r="E660" s="4">
        <v>0.0</v>
      </c>
      <c r="F660" s="1" t="s">
        <v>174</v>
      </c>
      <c r="G660" s="1" t="s">
        <v>175</v>
      </c>
      <c r="H660" s="1" t="s">
        <v>96</v>
      </c>
      <c r="I660" s="1" t="s">
        <v>1682</v>
      </c>
      <c r="J660" s="1" t="s">
        <v>1683</v>
      </c>
      <c r="K660" s="1" t="s">
        <v>1684</v>
      </c>
      <c r="L660" s="1" t="s">
        <v>1685</v>
      </c>
      <c r="M660" s="4">
        <v>-11.0</v>
      </c>
      <c r="N660" s="4">
        <v>0.012466666666666666</v>
      </c>
      <c r="O660" s="4">
        <v>4.511633333333333</v>
      </c>
    </row>
    <row r="661">
      <c r="A661" s="5">
        <v>45535.0</v>
      </c>
      <c r="B661" s="1" t="s">
        <v>88</v>
      </c>
      <c r="C661" s="1" t="s">
        <v>107</v>
      </c>
      <c r="D661" s="4">
        <v>528.0</v>
      </c>
      <c r="E661" s="4">
        <v>0.0</v>
      </c>
      <c r="F661" s="1" t="s">
        <v>90</v>
      </c>
      <c r="G661" s="1" t="s">
        <v>91</v>
      </c>
      <c r="H661" s="1" t="s">
        <v>92</v>
      </c>
      <c r="I661" s="1" t="s">
        <v>1686</v>
      </c>
      <c r="J661" s="1" t="s">
        <v>1687</v>
      </c>
      <c r="K661" s="1" t="s">
        <v>1687</v>
      </c>
      <c r="M661" s="4">
        <v>-12.0</v>
      </c>
      <c r="O661" s="4">
        <v>7.352566666666666</v>
      </c>
    </row>
    <row r="662">
      <c r="A662" s="5">
        <v>45535.0</v>
      </c>
      <c r="B662" s="1" t="s">
        <v>103</v>
      </c>
      <c r="C662" s="1" t="s">
        <v>89</v>
      </c>
      <c r="D662" s="4">
        <v>528.0</v>
      </c>
      <c r="E662" s="4">
        <v>0.0</v>
      </c>
      <c r="F662" s="1" t="s">
        <v>1665</v>
      </c>
      <c r="G662" s="1" t="s">
        <v>91</v>
      </c>
      <c r="H662" s="1" t="s">
        <v>92</v>
      </c>
      <c r="I662" s="1" t="s">
        <v>1688</v>
      </c>
      <c r="J662" s="1" t="s">
        <v>1689</v>
      </c>
      <c r="K662" s="1" t="s">
        <v>1689</v>
      </c>
      <c r="M662" s="4">
        <v>-12.0</v>
      </c>
      <c r="O662" s="4">
        <v>7.738216666666666</v>
      </c>
    </row>
    <row r="663">
      <c r="A663" s="5">
        <v>45535.0</v>
      </c>
      <c r="B663" s="1" t="s">
        <v>103</v>
      </c>
      <c r="C663" s="1" t="s">
        <v>107</v>
      </c>
      <c r="D663" s="4">
        <v>394.0</v>
      </c>
      <c r="E663" s="4">
        <v>0.0</v>
      </c>
      <c r="F663" s="1" t="s">
        <v>483</v>
      </c>
      <c r="G663" s="1" t="s">
        <v>91</v>
      </c>
      <c r="H663" s="1" t="s">
        <v>92</v>
      </c>
      <c r="I663" s="1" t="s">
        <v>1690</v>
      </c>
      <c r="J663" s="1" t="s">
        <v>1691</v>
      </c>
      <c r="K663" s="1" t="s">
        <v>1691</v>
      </c>
      <c r="M663" s="4">
        <v>-6.0</v>
      </c>
      <c r="O663" s="4">
        <v>8.222333333333333</v>
      </c>
    </row>
    <row r="664">
      <c r="A664" s="5">
        <v>45535.0</v>
      </c>
      <c r="B664" s="1" t="s">
        <v>116</v>
      </c>
      <c r="C664" s="1" t="s">
        <v>107</v>
      </c>
      <c r="D664" s="4">
        <v>199.0</v>
      </c>
      <c r="E664" s="4">
        <v>50.0</v>
      </c>
      <c r="G664" s="1" t="s">
        <v>111</v>
      </c>
      <c r="H664" s="1" t="s">
        <v>194</v>
      </c>
      <c r="I664" s="1" t="s">
        <v>1692</v>
      </c>
      <c r="J664" s="1" t="s">
        <v>1693</v>
      </c>
      <c r="K664" s="1" t="s">
        <v>1693</v>
      </c>
      <c r="M664" s="4">
        <v>-12.0</v>
      </c>
      <c r="O664" s="4">
        <v>6.569983333333333</v>
      </c>
    </row>
    <row r="665">
      <c r="A665" s="5">
        <v>45535.0</v>
      </c>
      <c r="B665" s="1" t="s">
        <v>116</v>
      </c>
      <c r="C665" s="1" t="s">
        <v>107</v>
      </c>
      <c r="D665" s="4">
        <v>247.0</v>
      </c>
      <c r="E665" s="4">
        <v>62.0</v>
      </c>
      <c r="G665" s="1" t="s">
        <v>111</v>
      </c>
      <c r="H665" s="1" t="s">
        <v>92</v>
      </c>
      <c r="I665" s="1" t="s">
        <v>1694</v>
      </c>
      <c r="J665" s="1" t="s">
        <v>1695</v>
      </c>
      <c r="K665" s="1" t="s">
        <v>1695</v>
      </c>
      <c r="M665" s="4">
        <v>-12.0</v>
      </c>
      <c r="O665" s="4">
        <v>6.148633333333334</v>
      </c>
    </row>
    <row r="666">
      <c r="A666" s="5">
        <v>45535.0</v>
      </c>
      <c r="B666" s="1" t="s">
        <v>116</v>
      </c>
      <c r="C666" s="1" t="s">
        <v>107</v>
      </c>
      <c r="D666" s="4">
        <v>386.0</v>
      </c>
      <c r="E666" s="4">
        <v>97.0</v>
      </c>
      <c r="G666" s="1" t="s">
        <v>111</v>
      </c>
      <c r="H666" s="1" t="s">
        <v>92</v>
      </c>
      <c r="I666" s="1" t="s">
        <v>1696</v>
      </c>
      <c r="J666" s="1" t="s">
        <v>1697</v>
      </c>
      <c r="K666" s="1" t="s">
        <v>1697</v>
      </c>
      <c r="M666" s="4">
        <v>-13.0</v>
      </c>
      <c r="O666" s="4">
        <v>5.9851833333333335</v>
      </c>
    </row>
    <row r="667">
      <c r="A667" s="5">
        <v>45535.0</v>
      </c>
      <c r="B667" s="1" t="s">
        <v>88</v>
      </c>
      <c r="C667" s="1" t="s">
        <v>107</v>
      </c>
      <c r="D667" s="4">
        <v>499.0</v>
      </c>
      <c r="E667" s="4">
        <v>0.0</v>
      </c>
      <c r="F667" s="1" t="s">
        <v>90</v>
      </c>
      <c r="G667" s="1" t="s">
        <v>91</v>
      </c>
      <c r="H667" s="1" t="s">
        <v>92</v>
      </c>
      <c r="I667" s="1" t="s">
        <v>1698</v>
      </c>
      <c r="J667" s="1" t="s">
        <v>1699</v>
      </c>
      <c r="K667" s="1" t="s">
        <v>1699</v>
      </c>
      <c r="M667" s="4">
        <v>-8.0</v>
      </c>
      <c r="O667" s="4">
        <v>6.204283333333334</v>
      </c>
    </row>
    <row r="668">
      <c r="A668" s="5">
        <v>45535.0</v>
      </c>
      <c r="B668" s="1" t="s">
        <v>95</v>
      </c>
      <c r="C668" s="1" t="s">
        <v>107</v>
      </c>
      <c r="D668" s="4">
        <v>264.0</v>
      </c>
      <c r="E668" s="4">
        <v>0.0</v>
      </c>
      <c r="G668" s="1" t="s">
        <v>91</v>
      </c>
      <c r="H668" s="1" t="s">
        <v>96</v>
      </c>
      <c r="I668" s="1" t="s">
        <v>1700</v>
      </c>
      <c r="J668" s="1" t="s">
        <v>1701</v>
      </c>
      <c r="K668" s="1" t="s">
        <v>1701</v>
      </c>
      <c r="M668" s="4">
        <v>-1.0</v>
      </c>
      <c r="O668" s="4">
        <v>5.81575</v>
      </c>
    </row>
    <row r="669">
      <c r="A669" s="5">
        <v>45535.0</v>
      </c>
      <c r="B669" s="1" t="s">
        <v>88</v>
      </c>
      <c r="C669" s="1" t="s">
        <v>107</v>
      </c>
      <c r="D669" s="4">
        <v>563.0</v>
      </c>
      <c r="E669" s="4">
        <v>0.0</v>
      </c>
      <c r="F669" s="1" t="s">
        <v>90</v>
      </c>
      <c r="G669" s="1" t="s">
        <v>91</v>
      </c>
      <c r="H669" s="1" t="s">
        <v>92</v>
      </c>
      <c r="I669" s="1" t="s">
        <v>1702</v>
      </c>
      <c r="J669" s="1" t="s">
        <v>1703</v>
      </c>
      <c r="K669" s="1" t="s">
        <v>1703</v>
      </c>
      <c r="M669" s="4">
        <v>-11.0</v>
      </c>
      <c r="O669" s="4">
        <v>8.120416666666667</v>
      </c>
    </row>
    <row r="670">
      <c r="A670" s="5">
        <v>45535.0</v>
      </c>
      <c r="B670" s="1" t="s">
        <v>116</v>
      </c>
      <c r="C670" s="1" t="s">
        <v>107</v>
      </c>
      <c r="D670" s="4">
        <v>211.0</v>
      </c>
      <c r="E670" s="4">
        <v>48.0</v>
      </c>
      <c r="G670" s="1" t="s">
        <v>111</v>
      </c>
      <c r="H670" s="1" t="s">
        <v>92</v>
      </c>
      <c r="I670" s="1" t="s">
        <v>1704</v>
      </c>
      <c r="J670" s="1" t="s">
        <v>1705</v>
      </c>
      <c r="K670" s="1" t="s">
        <v>1705</v>
      </c>
      <c r="M670" s="4">
        <v>-14.0</v>
      </c>
      <c r="O670" s="4">
        <v>4.764266666666667</v>
      </c>
    </row>
    <row r="671">
      <c r="A671" s="5">
        <v>45535.0</v>
      </c>
      <c r="B671" s="1" t="s">
        <v>103</v>
      </c>
      <c r="C671" s="1" t="s">
        <v>107</v>
      </c>
      <c r="D671" s="4">
        <v>642.0</v>
      </c>
      <c r="E671" s="4">
        <v>0.0</v>
      </c>
      <c r="F671" s="1" t="s">
        <v>1706</v>
      </c>
      <c r="G671" s="1" t="s">
        <v>91</v>
      </c>
      <c r="H671" s="1" t="s">
        <v>92</v>
      </c>
      <c r="I671" s="1" t="s">
        <v>1707</v>
      </c>
      <c r="J671" s="1" t="s">
        <v>1708</v>
      </c>
      <c r="K671" s="1" t="s">
        <v>1708</v>
      </c>
      <c r="M671" s="4">
        <v>-4.0</v>
      </c>
      <c r="O671" s="4">
        <v>15.17545</v>
      </c>
    </row>
    <row r="672">
      <c r="A672" s="5">
        <v>45535.0</v>
      </c>
      <c r="B672" s="1" t="s">
        <v>95</v>
      </c>
      <c r="C672" s="1" t="s">
        <v>107</v>
      </c>
      <c r="D672" s="4">
        <v>681.0</v>
      </c>
      <c r="E672" s="4">
        <v>0.0</v>
      </c>
      <c r="G672" s="1" t="s">
        <v>91</v>
      </c>
      <c r="H672" s="1" t="s">
        <v>92</v>
      </c>
      <c r="I672" s="1" t="s">
        <v>1709</v>
      </c>
      <c r="J672" s="1" t="s">
        <v>1710</v>
      </c>
      <c r="K672" s="1" t="s">
        <v>1710</v>
      </c>
      <c r="M672" s="4">
        <v>2.0</v>
      </c>
      <c r="O672" s="4">
        <v>12.317766666666667</v>
      </c>
    </row>
    <row r="673">
      <c r="A673" s="5">
        <v>45535.0</v>
      </c>
      <c r="B673" s="1" t="s">
        <v>95</v>
      </c>
      <c r="C673" s="1" t="s">
        <v>107</v>
      </c>
      <c r="D673" s="4">
        <v>394.0</v>
      </c>
      <c r="E673" s="4">
        <v>0.0</v>
      </c>
      <c r="G673" s="1" t="s">
        <v>91</v>
      </c>
      <c r="H673" s="1" t="s">
        <v>92</v>
      </c>
      <c r="I673" s="1" t="s">
        <v>1711</v>
      </c>
      <c r="J673" s="1" t="s">
        <v>1712</v>
      </c>
      <c r="K673" s="1" t="s">
        <v>1712</v>
      </c>
      <c r="M673" s="4">
        <v>0.0</v>
      </c>
      <c r="O673" s="4">
        <v>9.208833333333333</v>
      </c>
    </row>
    <row r="674">
      <c r="A674" s="5">
        <v>45535.0</v>
      </c>
      <c r="B674" s="1" t="s">
        <v>116</v>
      </c>
      <c r="C674" s="1" t="s">
        <v>107</v>
      </c>
      <c r="D674" s="4">
        <v>454.0</v>
      </c>
      <c r="E674" s="4">
        <v>109.0</v>
      </c>
      <c r="G674" s="1" t="s">
        <v>111</v>
      </c>
      <c r="H674" s="1" t="s">
        <v>92</v>
      </c>
      <c r="I674" s="1" t="s">
        <v>1713</v>
      </c>
      <c r="J674" s="1" t="s">
        <v>1714</v>
      </c>
      <c r="K674" s="1" t="s">
        <v>1714</v>
      </c>
      <c r="M674" s="4">
        <v>-30.0</v>
      </c>
      <c r="O674" s="4">
        <v>10.6873</v>
      </c>
    </row>
    <row r="675">
      <c r="A675" s="5">
        <v>45535.0</v>
      </c>
      <c r="B675" s="1" t="s">
        <v>88</v>
      </c>
      <c r="C675" s="1" t="s">
        <v>107</v>
      </c>
      <c r="D675" s="4">
        <v>404.0</v>
      </c>
      <c r="E675" s="4">
        <v>0.0</v>
      </c>
      <c r="F675" s="1" t="s">
        <v>90</v>
      </c>
      <c r="G675" s="1" t="s">
        <v>91</v>
      </c>
      <c r="H675" s="1" t="s">
        <v>92</v>
      </c>
      <c r="I675" s="1" t="s">
        <v>1715</v>
      </c>
      <c r="J675" s="1" t="s">
        <v>1716</v>
      </c>
      <c r="K675" s="1" t="s">
        <v>1716</v>
      </c>
      <c r="M675" s="4">
        <v>-5.0</v>
      </c>
      <c r="O675" s="4">
        <v>9.95085</v>
      </c>
    </row>
    <row r="676">
      <c r="A676" s="5">
        <v>45535.0</v>
      </c>
      <c r="B676" s="1" t="s">
        <v>88</v>
      </c>
      <c r="C676" s="1" t="s">
        <v>107</v>
      </c>
      <c r="D676" s="4">
        <v>258.0</v>
      </c>
      <c r="E676" s="4">
        <v>0.0</v>
      </c>
      <c r="F676" s="1" t="s">
        <v>90</v>
      </c>
      <c r="G676" s="1" t="s">
        <v>91</v>
      </c>
      <c r="H676" s="1" t="s">
        <v>92</v>
      </c>
      <c r="I676" s="1" t="s">
        <v>1717</v>
      </c>
      <c r="J676" s="1" t="s">
        <v>1718</v>
      </c>
      <c r="K676" s="1" t="s">
        <v>1718</v>
      </c>
      <c r="M676" s="4">
        <v>-8.0</v>
      </c>
      <c r="O676" s="4">
        <v>6.039166666666667</v>
      </c>
    </row>
    <row r="677">
      <c r="A677" s="5">
        <v>45535.0</v>
      </c>
      <c r="B677" s="1" t="s">
        <v>95</v>
      </c>
      <c r="C677" s="1" t="s">
        <v>89</v>
      </c>
      <c r="D677" s="4">
        <v>394.0</v>
      </c>
      <c r="E677" s="4">
        <v>0.0</v>
      </c>
      <c r="G677" s="1" t="s">
        <v>91</v>
      </c>
      <c r="H677" s="1" t="s">
        <v>92</v>
      </c>
      <c r="I677" s="1" t="s">
        <v>1719</v>
      </c>
      <c r="J677" s="1" t="s">
        <v>1720</v>
      </c>
      <c r="K677" s="1" t="s">
        <v>1720</v>
      </c>
      <c r="M677" s="4">
        <v>-2.0</v>
      </c>
      <c r="O677" s="4">
        <v>5.907266666666667</v>
      </c>
    </row>
    <row r="678">
      <c r="A678" s="5">
        <v>45535.0</v>
      </c>
      <c r="B678" s="1" t="s">
        <v>116</v>
      </c>
      <c r="C678" s="1" t="s">
        <v>107</v>
      </c>
      <c r="D678" s="4">
        <v>338.0</v>
      </c>
      <c r="E678" s="4">
        <v>0.0</v>
      </c>
      <c r="F678" s="1" t="s">
        <v>174</v>
      </c>
      <c r="G678" s="1" t="s">
        <v>175</v>
      </c>
      <c r="H678" s="1" t="s">
        <v>92</v>
      </c>
      <c r="I678" s="1" t="s">
        <v>1721</v>
      </c>
      <c r="J678" s="1" t="s">
        <v>1722</v>
      </c>
      <c r="K678" s="1" t="s">
        <v>1723</v>
      </c>
      <c r="L678" s="1" t="s">
        <v>1724</v>
      </c>
      <c r="M678" s="4">
        <v>-10.0</v>
      </c>
      <c r="N678" s="4">
        <v>0.011983333333333334</v>
      </c>
      <c r="O678" s="4">
        <v>7.790816666666666</v>
      </c>
    </row>
    <row r="679">
      <c r="A679" s="5">
        <v>45535.0</v>
      </c>
      <c r="B679" s="1" t="s">
        <v>116</v>
      </c>
      <c r="C679" s="1" t="s">
        <v>107</v>
      </c>
      <c r="D679" s="4">
        <v>199.0</v>
      </c>
      <c r="E679" s="4">
        <v>50.0</v>
      </c>
      <c r="G679" s="1" t="s">
        <v>111</v>
      </c>
      <c r="H679" s="1" t="s">
        <v>194</v>
      </c>
      <c r="I679" s="1" t="s">
        <v>1725</v>
      </c>
      <c r="J679" s="1" t="s">
        <v>1726</v>
      </c>
      <c r="K679" s="1" t="s">
        <v>1726</v>
      </c>
      <c r="M679" s="4">
        <v>-13.0</v>
      </c>
      <c r="O679" s="4">
        <v>5.66485</v>
      </c>
    </row>
    <row r="680">
      <c r="A680" s="5">
        <v>45535.0</v>
      </c>
      <c r="B680" s="1" t="s">
        <v>88</v>
      </c>
      <c r="C680" s="1" t="s">
        <v>107</v>
      </c>
      <c r="D680" s="4">
        <v>528.0</v>
      </c>
      <c r="E680" s="4">
        <v>0.0</v>
      </c>
      <c r="F680" s="1" t="s">
        <v>90</v>
      </c>
      <c r="G680" s="1" t="s">
        <v>91</v>
      </c>
      <c r="H680" s="1" t="s">
        <v>92</v>
      </c>
      <c r="I680" s="1" t="s">
        <v>1727</v>
      </c>
      <c r="J680" s="1" t="s">
        <v>1728</v>
      </c>
      <c r="K680" s="1" t="s">
        <v>1728</v>
      </c>
      <c r="M680" s="4">
        <v>-10.0</v>
      </c>
      <c r="O680" s="4">
        <v>9.180616666666667</v>
      </c>
    </row>
    <row r="681">
      <c r="A681" s="5">
        <v>45535.0</v>
      </c>
      <c r="B681" s="1" t="s">
        <v>88</v>
      </c>
      <c r="C681" s="1" t="s">
        <v>107</v>
      </c>
      <c r="D681" s="4">
        <v>356.0</v>
      </c>
      <c r="E681" s="4">
        <v>0.0</v>
      </c>
      <c r="F681" s="1" t="s">
        <v>90</v>
      </c>
      <c r="G681" s="1" t="s">
        <v>91</v>
      </c>
      <c r="H681" s="1" t="s">
        <v>92</v>
      </c>
      <c r="I681" s="1" t="s">
        <v>1729</v>
      </c>
      <c r="J681" s="1" t="s">
        <v>1730</v>
      </c>
      <c r="K681" s="1" t="s">
        <v>1730</v>
      </c>
      <c r="M681" s="4">
        <v>-7.0</v>
      </c>
      <c r="O681" s="4">
        <v>7.92045</v>
      </c>
    </row>
    <row r="682">
      <c r="A682" s="5">
        <v>45535.0</v>
      </c>
      <c r="B682" s="1" t="s">
        <v>116</v>
      </c>
      <c r="C682" s="1" t="s">
        <v>107</v>
      </c>
      <c r="D682" s="4">
        <v>358.0</v>
      </c>
      <c r="E682" s="4">
        <v>0.0</v>
      </c>
      <c r="F682" s="1" t="s">
        <v>174</v>
      </c>
      <c r="G682" s="1" t="s">
        <v>175</v>
      </c>
      <c r="H682" s="1" t="s">
        <v>92</v>
      </c>
      <c r="I682" s="1" t="s">
        <v>1731</v>
      </c>
      <c r="J682" s="1" t="s">
        <v>1732</v>
      </c>
      <c r="K682" s="1" t="s">
        <v>1733</v>
      </c>
      <c r="L682" s="1" t="s">
        <v>1734</v>
      </c>
      <c r="M682" s="4">
        <v>-14.0</v>
      </c>
      <c r="N682" s="4">
        <v>0.008183333333333334</v>
      </c>
      <c r="O682" s="4">
        <v>7.558916666666667</v>
      </c>
    </row>
    <row r="683">
      <c r="A683" s="5">
        <v>45535.0</v>
      </c>
      <c r="B683" s="1" t="s">
        <v>116</v>
      </c>
      <c r="C683" s="1" t="s">
        <v>107</v>
      </c>
      <c r="D683" s="4">
        <v>199.0</v>
      </c>
      <c r="E683" s="4">
        <v>50.0</v>
      </c>
      <c r="G683" s="1" t="s">
        <v>111</v>
      </c>
      <c r="H683" s="1" t="s">
        <v>96</v>
      </c>
      <c r="I683" s="1" t="s">
        <v>1735</v>
      </c>
      <c r="J683" s="1" t="s">
        <v>1736</v>
      </c>
      <c r="K683" s="1" t="s">
        <v>1736</v>
      </c>
      <c r="M683" s="4">
        <v>-4.0</v>
      </c>
      <c r="O683" s="4">
        <v>14.09425</v>
      </c>
    </row>
    <row r="684">
      <c r="A684" s="5">
        <v>45535.0</v>
      </c>
      <c r="B684" s="1" t="s">
        <v>95</v>
      </c>
      <c r="C684" s="1" t="s">
        <v>107</v>
      </c>
      <c r="D684" s="4">
        <v>289.0</v>
      </c>
      <c r="E684" s="4">
        <v>0.0</v>
      </c>
      <c r="G684" s="1" t="s">
        <v>91</v>
      </c>
      <c r="H684" s="1" t="s">
        <v>96</v>
      </c>
      <c r="I684" s="1" t="s">
        <v>1737</v>
      </c>
      <c r="J684" s="1" t="s">
        <v>1738</v>
      </c>
      <c r="K684" s="1" t="s">
        <v>1738</v>
      </c>
      <c r="M684" s="4">
        <v>-2.0</v>
      </c>
      <c r="O684" s="4">
        <v>5.797366666666667</v>
      </c>
    </row>
    <row r="685">
      <c r="A685" s="5">
        <v>45535.0</v>
      </c>
      <c r="B685" s="1" t="s">
        <v>116</v>
      </c>
      <c r="C685" s="1" t="s">
        <v>107</v>
      </c>
      <c r="D685" s="4">
        <v>228.0</v>
      </c>
      <c r="E685" s="4">
        <v>81.0</v>
      </c>
      <c r="G685" s="1" t="s">
        <v>111</v>
      </c>
      <c r="H685" s="1" t="s">
        <v>194</v>
      </c>
      <c r="I685" s="1" t="s">
        <v>1739</v>
      </c>
      <c r="J685" s="1" t="s">
        <v>1740</v>
      </c>
      <c r="K685" s="1" t="s">
        <v>1740</v>
      </c>
      <c r="M685" s="4">
        <v>-11.0</v>
      </c>
      <c r="O685" s="4">
        <v>8.152816666666666</v>
      </c>
    </row>
    <row r="686">
      <c r="A686" s="5">
        <v>45535.0</v>
      </c>
      <c r="B686" s="1" t="s">
        <v>95</v>
      </c>
      <c r="C686" s="1" t="s">
        <v>107</v>
      </c>
      <c r="D686" s="4">
        <v>658.0</v>
      </c>
      <c r="E686" s="4">
        <v>0.0</v>
      </c>
      <c r="G686" s="1" t="s">
        <v>91</v>
      </c>
      <c r="H686" s="1" t="s">
        <v>92</v>
      </c>
      <c r="I686" s="1" t="s">
        <v>1741</v>
      </c>
      <c r="J686" s="1" t="s">
        <v>1742</v>
      </c>
      <c r="K686" s="1" t="s">
        <v>1742</v>
      </c>
      <c r="M686" s="4">
        <v>4.0</v>
      </c>
      <c r="O686" s="4">
        <v>14.055133333333334</v>
      </c>
    </row>
    <row r="687">
      <c r="A687" s="5">
        <v>45535.0</v>
      </c>
      <c r="B687" s="1" t="s">
        <v>95</v>
      </c>
      <c r="C687" s="1" t="s">
        <v>89</v>
      </c>
      <c r="D687" s="4">
        <v>657.0</v>
      </c>
      <c r="E687" s="4">
        <v>0.0</v>
      </c>
      <c r="G687" s="1" t="s">
        <v>91</v>
      </c>
      <c r="H687" s="1" t="s">
        <v>96</v>
      </c>
      <c r="I687" s="1" t="s">
        <v>1743</v>
      </c>
      <c r="J687" s="1" t="s">
        <v>1744</v>
      </c>
      <c r="K687" s="1" t="s">
        <v>1744</v>
      </c>
      <c r="M687" s="4">
        <v>1.0</v>
      </c>
      <c r="O687" s="4">
        <v>11.94185</v>
      </c>
    </row>
    <row r="688">
      <c r="A688" s="5">
        <v>45535.0</v>
      </c>
      <c r="B688" s="1" t="s">
        <v>110</v>
      </c>
      <c r="C688" s="1" t="s">
        <v>107</v>
      </c>
      <c r="D688" s="4">
        <v>1120.5</v>
      </c>
      <c r="E688" s="4">
        <v>1120.5</v>
      </c>
      <c r="G688" s="1" t="s">
        <v>111</v>
      </c>
      <c r="H688" s="1" t="s">
        <v>96</v>
      </c>
      <c r="I688" s="1" t="s">
        <v>1745</v>
      </c>
      <c r="J688" s="1" t="s">
        <v>1746</v>
      </c>
      <c r="K688" s="1" t="s">
        <v>1746</v>
      </c>
      <c r="M688" s="4">
        <v>23.0</v>
      </c>
      <c r="O688" s="4">
        <v>33.296366666666664</v>
      </c>
    </row>
    <row r="689">
      <c r="A689" s="5">
        <v>45535.0</v>
      </c>
      <c r="B689" s="1" t="s">
        <v>116</v>
      </c>
      <c r="C689" s="1" t="s">
        <v>107</v>
      </c>
      <c r="D689" s="4">
        <v>199.0</v>
      </c>
      <c r="E689" s="4">
        <v>50.0</v>
      </c>
      <c r="G689" s="1" t="s">
        <v>111</v>
      </c>
      <c r="H689" s="1" t="s">
        <v>194</v>
      </c>
      <c r="I689" s="1" t="s">
        <v>1747</v>
      </c>
      <c r="J689" s="1" t="s">
        <v>1748</v>
      </c>
      <c r="K689" s="1" t="s">
        <v>1748</v>
      </c>
      <c r="M689" s="4">
        <v>0.0</v>
      </c>
      <c r="O689" s="4">
        <v>19.090116666666667</v>
      </c>
    </row>
    <row r="690">
      <c r="A690" s="5">
        <v>45535.0</v>
      </c>
      <c r="B690" s="1" t="s">
        <v>103</v>
      </c>
      <c r="C690" s="1" t="s">
        <v>89</v>
      </c>
      <c r="D690" s="4">
        <v>264.0</v>
      </c>
      <c r="E690" s="4">
        <v>0.0</v>
      </c>
      <c r="F690" s="1" t="s">
        <v>1470</v>
      </c>
      <c r="G690" s="1" t="s">
        <v>91</v>
      </c>
      <c r="H690" s="1" t="s">
        <v>92</v>
      </c>
      <c r="I690" s="1" t="s">
        <v>1749</v>
      </c>
      <c r="J690" s="1" t="s">
        <v>1750</v>
      </c>
      <c r="K690" s="1" t="s">
        <v>1750</v>
      </c>
      <c r="M690" s="4">
        <v>-9.0</v>
      </c>
      <c r="O690" s="4">
        <v>5.414983333333334</v>
      </c>
    </row>
    <row r="691">
      <c r="A691" s="5">
        <v>45535.0</v>
      </c>
      <c r="B691" s="1" t="s">
        <v>103</v>
      </c>
      <c r="C691" s="1" t="s">
        <v>89</v>
      </c>
      <c r="D691" s="4">
        <v>364.0</v>
      </c>
      <c r="E691" s="4">
        <v>0.0</v>
      </c>
      <c r="F691" s="1" t="s">
        <v>1088</v>
      </c>
      <c r="G691" s="1" t="s">
        <v>91</v>
      </c>
      <c r="H691" s="1" t="s">
        <v>92</v>
      </c>
      <c r="I691" s="1" t="s">
        <v>1751</v>
      </c>
      <c r="J691" s="1" t="s">
        <v>1752</v>
      </c>
      <c r="K691" s="1" t="s">
        <v>1752</v>
      </c>
      <c r="M691" s="4">
        <v>-7.0</v>
      </c>
      <c r="O691" s="4">
        <v>7.429483333333334</v>
      </c>
    </row>
    <row r="692">
      <c r="A692" s="5">
        <v>45535.0</v>
      </c>
      <c r="B692" s="1" t="s">
        <v>116</v>
      </c>
      <c r="C692" s="1" t="s">
        <v>107</v>
      </c>
      <c r="D692" s="4">
        <v>507.0</v>
      </c>
      <c r="E692" s="4">
        <v>110.0</v>
      </c>
      <c r="G692" s="1" t="s">
        <v>111</v>
      </c>
      <c r="H692" s="1" t="s">
        <v>92</v>
      </c>
      <c r="I692" s="1" t="s">
        <v>1753</v>
      </c>
      <c r="J692" s="1" t="s">
        <v>1754</v>
      </c>
      <c r="K692" s="1" t="s">
        <v>1754</v>
      </c>
      <c r="M692" s="4">
        <v>-8.0</v>
      </c>
      <c r="O692" s="4">
        <v>14.62775</v>
      </c>
    </row>
    <row r="693">
      <c r="A693" s="5">
        <v>45535.0</v>
      </c>
      <c r="B693" s="1" t="s">
        <v>116</v>
      </c>
      <c r="C693" s="1" t="s">
        <v>107</v>
      </c>
      <c r="D693" s="4">
        <v>638.0</v>
      </c>
      <c r="E693" s="4">
        <v>154.0</v>
      </c>
      <c r="G693" s="1" t="s">
        <v>111</v>
      </c>
      <c r="H693" s="1" t="s">
        <v>96</v>
      </c>
      <c r="I693" s="1" t="s">
        <v>1755</v>
      </c>
      <c r="J693" s="1" t="s">
        <v>1756</v>
      </c>
      <c r="K693" s="1" t="s">
        <v>1756</v>
      </c>
      <c r="M693" s="4">
        <v>-13.0</v>
      </c>
      <c r="O693" s="4">
        <v>10.854116666666666</v>
      </c>
    </row>
    <row r="694">
      <c r="A694" s="5">
        <v>45535.0</v>
      </c>
      <c r="B694" s="1" t="s">
        <v>88</v>
      </c>
      <c r="C694" s="1" t="s">
        <v>107</v>
      </c>
      <c r="D694" s="4">
        <v>429.0</v>
      </c>
      <c r="E694" s="4">
        <v>0.0</v>
      </c>
      <c r="F694" s="1" t="s">
        <v>90</v>
      </c>
      <c r="G694" s="1" t="s">
        <v>91</v>
      </c>
      <c r="H694" s="1" t="s">
        <v>92</v>
      </c>
      <c r="I694" s="1" t="s">
        <v>1757</v>
      </c>
      <c r="J694" s="1" t="s">
        <v>1758</v>
      </c>
      <c r="K694" s="1" t="s">
        <v>1758</v>
      </c>
      <c r="M694" s="4">
        <v>-6.0</v>
      </c>
      <c r="O694" s="4">
        <v>8.9584</v>
      </c>
    </row>
    <row r="695">
      <c r="A695" s="5">
        <v>45535.0</v>
      </c>
      <c r="B695" s="1" t="s">
        <v>88</v>
      </c>
      <c r="C695" s="1" t="s">
        <v>107</v>
      </c>
      <c r="D695" s="4">
        <v>642.0</v>
      </c>
      <c r="E695" s="4">
        <v>0.0</v>
      </c>
      <c r="F695" s="1" t="s">
        <v>90</v>
      </c>
      <c r="G695" s="1" t="s">
        <v>91</v>
      </c>
      <c r="H695" s="1" t="s">
        <v>92</v>
      </c>
      <c r="I695" s="1" t="s">
        <v>1759</v>
      </c>
      <c r="J695" s="1" t="s">
        <v>1760</v>
      </c>
      <c r="K695" s="1" t="s">
        <v>1760</v>
      </c>
      <c r="M695" s="4">
        <v>-6.0</v>
      </c>
      <c r="O695" s="4">
        <v>13.266866666666667</v>
      </c>
    </row>
    <row r="696">
      <c r="A696" s="5">
        <v>45535.0</v>
      </c>
      <c r="B696" s="1" t="s">
        <v>95</v>
      </c>
      <c r="C696" s="1" t="s">
        <v>89</v>
      </c>
      <c r="D696" s="4">
        <v>364.0</v>
      </c>
      <c r="E696" s="4">
        <v>0.0</v>
      </c>
      <c r="G696" s="1" t="s">
        <v>91</v>
      </c>
      <c r="H696" s="1" t="s">
        <v>92</v>
      </c>
      <c r="I696" s="1" t="s">
        <v>1761</v>
      </c>
      <c r="J696" s="1" t="s">
        <v>1762</v>
      </c>
      <c r="K696" s="1" t="s">
        <v>1762</v>
      </c>
      <c r="M696" s="4">
        <v>1.0</v>
      </c>
      <c r="O696" s="4">
        <v>8.081666666666667</v>
      </c>
    </row>
    <row r="697">
      <c r="A697" s="5">
        <v>45535.0</v>
      </c>
      <c r="B697" s="1" t="s">
        <v>116</v>
      </c>
      <c r="C697" s="1" t="s">
        <v>107</v>
      </c>
      <c r="D697" s="4">
        <v>687.0</v>
      </c>
      <c r="E697" s="4">
        <v>0.0</v>
      </c>
      <c r="F697" s="1" t="s">
        <v>174</v>
      </c>
      <c r="G697" s="1" t="s">
        <v>175</v>
      </c>
      <c r="H697" s="1" t="s">
        <v>92</v>
      </c>
      <c r="I697" s="1" t="s">
        <v>1763</v>
      </c>
      <c r="J697" s="1" t="s">
        <v>1764</v>
      </c>
      <c r="K697" s="1" t="s">
        <v>1765</v>
      </c>
      <c r="L697" s="1" t="s">
        <v>1766</v>
      </c>
      <c r="M697" s="4">
        <v>-4.0</v>
      </c>
      <c r="N697" s="4">
        <v>0.018333333333333333</v>
      </c>
      <c r="O697" s="4">
        <v>31.2312</v>
      </c>
    </row>
    <row r="698">
      <c r="A698" s="5">
        <v>45535.0</v>
      </c>
      <c r="B698" s="1" t="s">
        <v>95</v>
      </c>
      <c r="C698" s="1" t="s">
        <v>89</v>
      </c>
      <c r="D698" s="4">
        <v>378.0</v>
      </c>
      <c r="E698" s="4">
        <v>150.0</v>
      </c>
      <c r="G698" s="1" t="s">
        <v>91</v>
      </c>
      <c r="H698" s="1" t="s">
        <v>92</v>
      </c>
      <c r="I698" s="1" t="s">
        <v>1767</v>
      </c>
      <c r="J698" s="1" t="s">
        <v>1768</v>
      </c>
      <c r="K698" s="1" t="s">
        <v>1768</v>
      </c>
      <c r="M698" s="4">
        <v>0.0</v>
      </c>
      <c r="O698" s="4">
        <v>8.729566666666667</v>
      </c>
    </row>
    <row r="699">
      <c r="A699" s="5">
        <v>45535.0</v>
      </c>
      <c r="B699" s="1" t="s">
        <v>110</v>
      </c>
      <c r="C699" s="1" t="s">
        <v>107</v>
      </c>
      <c r="D699" s="4">
        <v>309.0</v>
      </c>
      <c r="E699" s="4">
        <v>0.0</v>
      </c>
      <c r="G699" s="1" t="s">
        <v>111</v>
      </c>
      <c r="H699" s="1" t="s">
        <v>96</v>
      </c>
      <c r="I699" s="1" t="s">
        <v>1769</v>
      </c>
      <c r="J699" s="1" t="s">
        <v>1770</v>
      </c>
      <c r="K699" s="1" t="s">
        <v>1770</v>
      </c>
      <c r="M699" s="4">
        <v>0.0</v>
      </c>
      <c r="O699" s="4">
        <v>4.143366666666667</v>
      </c>
    </row>
    <row r="700">
      <c r="A700" s="5">
        <v>45535.0</v>
      </c>
      <c r="B700" s="1" t="s">
        <v>103</v>
      </c>
      <c r="C700" s="1" t="s">
        <v>107</v>
      </c>
      <c r="D700" s="4">
        <v>264.0</v>
      </c>
      <c r="E700" s="4">
        <v>0.0</v>
      </c>
      <c r="F700" s="1" t="s">
        <v>1088</v>
      </c>
      <c r="G700" s="1" t="s">
        <v>91</v>
      </c>
      <c r="H700" s="1" t="s">
        <v>92</v>
      </c>
      <c r="I700" s="1" t="s">
        <v>1771</v>
      </c>
      <c r="J700" s="1" t="s">
        <v>1772</v>
      </c>
      <c r="K700" s="1" t="s">
        <v>1772</v>
      </c>
      <c r="M700" s="4">
        <v>-8.0</v>
      </c>
      <c r="O700" s="4">
        <v>6.233416666666667</v>
      </c>
    </row>
    <row r="701">
      <c r="A701" s="5">
        <v>45535.0</v>
      </c>
      <c r="B701" s="1" t="s">
        <v>116</v>
      </c>
      <c r="C701" s="1" t="s">
        <v>107</v>
      </c>
      <c r="D701" s="4">
        <v>298.0</v>
      </c>
      <c r="E701" s="4">
        <v>0.0</v>
      </c>
      <c r="F701" s="1" t="s">
        <v>386</v>
      </c>
      <c r="G701" s="1" t="s">
        <v>175</v>
      </c>
      <c r="H701" s="1" t="s">
        <v>92</v>
      </c>
      <c r="I701" s="1" t="s">
        <v>1773</v>
      </c>
      <c r="J701" s="1" t="s">
        <v>1774</v>
      </c>
      <c r="K701" s="1" t="s">
        <v>1775</v>
      </c>
      <c r="L701" s="1" t="s">
        <v>1776</v>
      </c>
      <c r="M701" s="4">
        <v>-11.0</v>
      </c>
      <c r="N701" s="4">
        <v>0.0083</v>
      </c>
      <c r="O701" s="4">
        <v>6.9416</v>
      </c>
    </row>
    <row r="702">
      <c r="A702" s="5">
        <v>45535.0</v>
      </c>
      <c r="B702" s="1" t="s">
        <v>116</v>
      </c>
      <c r="C702" s="1" t="s">
        <v>107</v>
      </c>
      <c r="D702" s="4">
        <v>428.0</v>
      </c>
      <c r="E702" s="4">
        <v>75.0</v>
      </c>
      <c r="G702" s="1" t="s">
        <v>111</v>
      </c>
      <c r="H702" s="1" t="s">
        <v>96</v>
      </c>
      <c r="I702" s="1" t="s">
        <v>1777</v>
      </c>
      <c r="J702" s="1" t="s">
        <v>1778</v>
      </c>
      <c r="K702" s="1" t="s">
        <v>1778</v>
      </c>
      <c r="M702" s="4">
        <v>-11.0</v>
      </c>
      <c r="O702" s="4">
        <v>7.585766666666666</v>
      </c>
    </row>
    <row r="703">
      <c r="A703" s="5">
        <v>45535.0</v>
      </c>
      <c r="B703" s="1" t="s">
        <v>116</v>
      </c>
      <c r="C703" s="1" t="s">
        <v>107</v>
      </c>
      <c r="D703" s="4">
        <v>267.0</v>
      </c>
      <c r="E703" s="4">
        <v>62.0</v>
      </c>
      <c r="G703" s="1" t="s">
        <v>111</v>
      </c>
      <c r="H703" s="1" t="s">
        <v>92</v>
      </c>
      <c r="I703" s="1" t="s">
        <v>1779</v>
      </c>
      <c r="J703" s="1" t="s">
        <v>1780</v>
      </c>
      <c r="K703" s="1" t="s">
        <v>1780</v>
      </c>
      <c r="M703" s="4">
        <v>-12.0</v>
      </c>
      <c r="O703" s="4">
        <v>6.6064</v>
      </c>
    </row>
    <row r="704">
      <c r="A704" s="5">
        <v>45535.0</v>
      </c>
      <c r="B704" s="1" t="s">
        <v>116</v>
      </c>
      <c r="C704" s="1" t="s">
        <v>107</v>
      </c>
      <c r="D704" s="4">
        <v>479.0</v>
      </c>
      <c r="E704" s="4">
        <v>0.0</v>
      </c>
      <c r="F704" s="1" t="s">
        <v>90</v>
      </c>
      <c r="G704" s="1" t="s">
        <v>175</v>
      </c>
      <c r="H704" s="1" t="s">
        <v>96</v>
      </c>
      <c r="I704" s="1" t="s">
        <v>1781</v>
      </c>
      <c r="J704" s="1" t="s">
        <v>1782</v>
      </c>
      <c r="K704" s="1" t="s">
        <v>1783</v>
      </c>
      <c r="L704" s="1" t="s">
        <v>1784</v>
      </c>
      <c r="M704" s="4">
        <v>-19.0</v>
      </c>
      <c r="N704" s="4">
        <v>2.3726333333333334</v>
      </c>
      <c r="O704" s="4">
        <v>6.190383333333333</v>
      </c>
    </row>
    <row r="705">
      <c r="A705" s="5">
        <v>45535.0</v>
      </c>
      <c r="B705" s="1" t="s">
        <v>88</v>
      </c>
      <c r="C705" s="1" t="s">
        <v>107</v>
      </c>
      <c r="D705" s="4">
        <v>364.0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1785</v>
      </c>
      <c r="J705" s="1" t="s">
        <v>1786</v>
      </c>
      <c r="K705" s="1" t="s">
        <v>1786</v>
      </c>
      <c r="M705" s="4">
        <v>-13.0</v>
      </c>
      <c r="O705" s="4">
        <v>6.741766666666667</v>
      </c>
    </row>
    <row r="706">
      <c r="A706" s="5">
        <v>45535.0</v>
      </c>
      <c r="B706" s="1" t="s">
        <v>110</v>
      </c>
      <c r="C706" s="1" t="s">
        <v>107</v>
      </c>
      <c r="D706" s="4">
        <v>209.0</v>
      </c>
      <c r="E706" s="4">
        <v>0.0</v>
      </c>
      <c r="G706" s="1" t="s">
        <v>111</v>
      </c>
      <c r="H706" s="1" t="s">
        <v>96</v>
      </c>
      <c r="I706" s="1" t="s">
        <v>1787</v>
      </c>
      <c r="J706" s="1" t="s">
        <v>1788</v>
      </c>
      <c r="K706" s="1" t="s">
        <v>1788</v>
      </c>
      <c r="M706" s="4">
        <v>-4.0</v>
      </c>
      <c r="O706" s="4">
        <v>0.88255</v>
      </c>
    </row>
    <row r="707">
      <c r="A707" s="5">
        <v>45535.0</v>
      </c>
      <c r="B707" s="1" t="s">
        <v>116</v>
      </c>
      <c r="C707" s="1" t="s">
        <v>107</v>
      </c>
      <c r="D707" s="4">
        <v>250.0</v>
      </c>
      <c r="E707" s="4">
        <v>0.0</v>
      </c>
      <c r="F707" s="1" t="s">
        <v>386</v>
      </c>
      <c r="G707" s="1" t="s">
        <v>175</v>
      </c>
      <c r="H707" s="1" t="s">
        <v>92</v>
      </c>
      <c r="I707" s="1" t="s">
        <v>1789</v>
      </c>
      <c r="J707" s="1" t="s">
        <v>1790</v>
      </c>
      <c r="K707" s="1" t="s">
        <v>1791</v>
      </c>
      <c r="L707" s="1" t="s">
        <v>1792</v>
      </c>
      <c r="M707" s="4">
        <v>10.0</v>
      </c>
      <c r="N707" s="4">
        <v>0.007683333333333334</v>
      </c>
      <c r="O707" s="4">
        <v>15.296583333333333</v>
      </c>
    </row>
    <row r="708">
      <c r="A708" s="5">
        <v>45535.0</v>
      </c>
      <c r="B708" s="1" t="s">
        <v>110</v>
      </c>
      <c r="C708" s="1" t="s">
        <v>107</v>
      </c>
      <c r="D708" s="4">
        <v>249.0</v>
      </c>
      <c r="E708" s="4">
        <v>0.0</v>
      </c>
      <c r="G708" s="1" t="s">
        <v>111</v>
      </c>
      <c r="H708" s="1" t="s">
        <v>96</v>
      </c>
      <c r="I708" s="1" t="s">
        <v>1793</v>
      </c>
      <c r="J708" s="1" t="s">
        <v>1794</v>
      </c>
      <c r="K708" s="1" t="s">
        <v>1794</v>
      </c>
      <c r="M708" s="4">
        <v>-3.0</v>
      </c>
      <c r="O708" s="4">
        <v>1.8963833333333333</v>
      </c>
    </row>
    <row r="709">
      <c r="A709" s="5">
        <v>45535.0</v>
      </c>
      <c r="B709" s="1" t="s">
        <v>116</v>
      </c>
      <c r="C709" s="1" t="s">
        <v>107</v>
      </c>
      <c r="D709" s="4">
        <v>338.0</v>
      </c>
      <c r="E709" s="4">
        <v>50.0</v>
      </c>
      <c r="G709" s="1" t="s">
        <v>111</v>
      </c>
      <c r="H709" s="1" t="s">
        <v>92</v>
      </c>
      <c r="I709" s="1" t="s">
        <v>1795</v>
      </c>
      <c r="J709" s="1" t="s">
        <v>1796</v>
      </c>
      <c r="K709" s="1" t="s">
        <v>1796</v>
      </c>
      <c r="M709" s="4">
        <v>-12.0</v>
      </c>
      <c r="O709" s="4">
        <v>6.538366666666667</v>
      </c>
    </row>
    <row r="710">
      <c r="A710" s="5">
        <v>45535.0</v>
      </c>
      <c r="B710" s="1" t="s">
        <v>116</v>
      </c>
      <c r="C710" s="1" t="s">
        <v>107</v>
      </c>
      <c r="D710" s="4">
        <v>528.0</v>
      </c>
      <c r="E710" s="4">
        <v>0.0</v>
      </c>
      <c r="F710" s="1" t="s">
        <v>386</v>
      </c>
      <c r="G710" s="1" t="s">
        <v>175</v>
      </c>
      <c r="H710" s="1" t="s">
        <v>92</v>
      </c>
      <c r="I710" s="1" t="s">
        <v>1797</v>
      </c>
      <c r="J710" s="1" t="s">
        <v>1798</v>
      </c>
      <c r="K710" s="1" t="s">
        <v>1799</v>
      </c>
      <c r="L710" s="1" t="s">
        <v>1800</v>
      </c>
      <c r="M710" s="4">
        <v>-24.0</v>
      </c>
      <c r="N710" s="4">
        <v>0.01375</v>
      </c>
      <c r="O710" s="4">
        <v>13.24565</v>
      </c>
    </row>
    <row r="711">
      <c r="A711" s="5">
        <v>45535.0</v>
      </c>
      <c r="B711" s="1" t="s">
        <v>95</v>
      </c>
      <c r="C711" s="1" t="s">
        <v>107</v>
      </c>
      <c r="D711" s="4">
        <v>329.0</v>
      </c>
      <c r="E711" s="4">
        <v>0.0</v>
      </c>
      <c r="G711" s="1" t="s">
        <v>91</v>
      </c>
      <c r="H711" s="1" t="s">
        <v>92</v>
      </c>
      <c r="I711" s="1" t="s">
        <v>1801</v>
      </c>
      <c r="J711" s="1" t="s">
        <v>1802</v>
      </c>
      <c r="K711" s="1" t="s">
        <v>1802</v>
      </c>
      <c r="M711" s="4">
        <v>4.0</v>
      </c>
      <c r="O711" s="4">
        <v>11.945483333333334</v>
      </c>
    </row>
    <row r="712">
      <c r="A712" s="5">
        <v>45535.0</v>
      </c>
      <c r="B712" s="1" t="s">
        <v>116</v>
      </c>
      <c r="C712" s="1" t="s">
        <v>107</v>
      </c>
      <c r="D712" s="4">
        <v>298.0</v>
      </c>
      <c r="E712" s="4">
        <v>0.0</v>
      </c>
      <c r="F712" s="1" t="s">
        <v>386</v>
      </c>
      <c r="G712" s="1" t="s">
        <v>175</v>
      </c>
      <c r="H712" s="1" t="s">
        <v>96</v>
      </c>
      <c r="I712" s="1" t="s">
        <v>1803</v>
      </c>
      <c r="J712" s="1" t="s">
        <v>1804</v>
      </c>
      <c r="K712" s="1" t="s">
        <v>1805</v>
      </c>
      <c r="L712" s="1" t="s">
        <v>1806</v>
      </c>
      <c r="M712" s="4">
        <v>-13.0</v>
      </c>
      <c r="N712" s="4">
        <v>0.008833333333333334</v>
      </c>
      <c r="O712" s="4">
        <v>8.60115</v>
      </c>
    </row>
    <row r="713">
      <c r="A713" s="5">
        <v>45535.0</v>
      </c>
      <c r="B713" s="1" t="s">
        <v>88</v>
      </c>
      <c r="C713" s="1" t="s">
        <v>107</v>
      </c>
      <c r="D713" s="4">
        <v>926.0</v>
      </c>
      <c r="E713" s="4">
        <v>0.0</v>
      </c>
      <c r="F713" s="1" t="s">
        <v>90</v>
      </c>
      <c r="G713" s="1" t="s">
        <v>91</v>
      </c>
      <c r="H713" s="1" t="s">
        <v>92</v>
      </c>
      <c r="I713" s="1" t="s">
        <v>1807</v>
      </c>
      <c r="J713" s="1" t="s">
        <v>1808</v>
      </c>
      <c r="K713" s="1" t="s">
        <v>1808</v>
      </c>
      <c r="M713" s="4">
        <v>-11.0</v>
      </c>
      <c r="O713" s="4">
        <v>8.65445</v>
      </c>
    </row>
    <row r="714">
      <c r="A714" s="5">
        <v>45535.0</v>
      </c>
      <c r="B714" s="1" t="s">
        <v>95</v>
      </c>
      <c r="C714" s="1" t="s">
        <v>89</v>
      </c>
      <c r="D714" s="4">
        <v>403.0</v>
      </c>
      <c r="E714" s="4">
        <v>0.0</v>
      </c>
      <c r="G714" s="1" t="s">
        <v>91</v>
      </c>
      <c r="H714" s="1" t="s">
        <v>92</v>
      </c>
      <c r="I714" s="1" t="s">
        <v>1809</v>
      </c>
      <c r="J714" s="1" t="s">
        <v>1810</v>
      </c>
      <c r="K714" s="1" t="s">
        <v>1810</v>
      </c>
      <c r="M714" s="4">
        <v>0.0</v>
      </c>
      <c r="O714" s="4">
        <v>8.530333333333333</v>
      </c>
    </row>
    <row r="715">
      <c r="A715" s="5">
        <v>45535.0</v>
      </c>
      <c r="B715" s="1" t="s">
        <v>95</v>
      </c>
      <c r="C715" s="1" t="s">
        <v>89</v>
      </c>
      <c r="D715" s="4">
        <v>329.0</v>
      </c>
      <c r="E715" s="4">
        <v>0.0</v>
      </c>
      <c r="G715" s="1" t="s">
        <v>91</v>
      </c>
      <c r="H715" s="1" t="s">
        <v>92</v>
      </c>
      <c r="I715" s="1" t="s">
        <v>1811</v>
      </c>
      <c r="J715" s="1" t="s">
        <v>1812</v>
      </c>
      <c r="K715" s="1" t="s">
        <v>1812</v>
      </c>
      <c r="M715" s="4">
        <v>2.0</v>
      </c>
      <c r="O715" s="4">
        <v>9.705033333333333</v>
      </c>
    </row>
    <row r="716">
      <c r="A716" s="5">
        <v>45535.0</v>
      </c>
      <c r="B716" s="1" t="s">
        <v>95</v>
      </c>
      <c r="C716" s="1" t="s">
        <v>89</v>
      </c>
      <c r="D716" s="4">
        <v>364.0</v>
      </c>
      <c r="E716" s="4">
        <v>0.0</v>
      </c>
      <c r="G716" s="1" t="s">
        <v>91</v>
      </c>
      <c r="H716" s="1" t="s">
        <v>92</v>
      </c>
      <c r="I716" s="1" t="s">
        <v>1813</v>
      </c>
      <c r="J716" s="1" t="s">
        <v>1814</v>
      </c>
      <c r="K716" s="1" t="s">
        <v>1814</v>
      </c>
      <c r="M716" s="4">
        <v>1.0</v>
      </c>
      <c r="O716" s="4">
        <v>8.17835</v>
      </c>
    </row>
    <row r="717">
      <c r="A717" s="5">
        <v>45535.0</v>
      </c>
      <c r="B717" s="1" t="s">
        <v>110</v>
      </c>
      <c r="C717" s="1" t="s">
        <v>107</v>
      </c>
      <c r="D717" s="4">
        <v>249.0</v>
      </c>
      <c r="E717" s="4">
        <v>0.0</v>
      </c>
      <c r="G717" s="1" t="s">
        <v>111</v>
      </c>
      <c r="H717" s="1" t="s">
        <v>96</v>
      </c>
      <c r="I717" s="1" t="s">
        <v>1815</v>
      </c>
      <c r="J717" s="1" t="s">
        <v>1816</v>
      </c>
      <c r="K717" s="1" t="s">
        <v>1816</v>
      </c>
      <c r="M717" s="4">
        <v>0.0</v>
      </c>
      <c r="O717" s="4">
        <v>4.864483333333333</v>
      </c>
    </row>
    <row r="718">
      <c r="A718" s="5">
        <v>45535.0</v>
      </c>
      <c r="B718" s="1" t="s">
        <v>88</v>
      </c>
      <c r="C718" s="1" t="s">
        <v>107</v>
      </c>
      <c r="D718" s="4">
        <v>329.0</v>
      </c>
      <c r="E718" s="4">
        <v>0.0</v>
      </c>
      <c r="F718" s="1" t="s">
        <v>90</v>
      </c>
      <c r="G718" s="1" t="s">
        <v>91</v>
      </c>
      <c r="H718" s="1" t="s">
        <v>92</v>
      </c>
      <c r="I718" s="1" t="s">
        <v>1817</v>
      </c>
      <c r="J718" s="1" t="s">
        <v>1818</v>
      </c>
      <c r="K718" s="1" t="s">
        <v>1818</v>
      </c>
      <c r="M718" s="4">
        <v>-4.0</v>
      </c>
      <c r="O718" s="4">
        <v>10.592483333333334</v>
      </c>
    </row>
    <row r="719">
      <c r="A719" s="5">
        <v>45535.0</v>
      </c>
      <c r="B719" s="1" t="s">
        <v>116</v>
      </c>
      <c r="C719" s="1" t="s">
        <v>107</v>
      </c>
      <c r="D719" s="4">
        <v>289.0</v>
      </c>
      <c r="E719" s="4">
        <v>0.0</v>
      </c>
      <c r="F719" s="1" t="s">
        <v>386</v>
      </c>
      <c r="G719" s="1" t="s">
        <v>175</v>
      </c>
      <c r="H719" s="1" t="s">
        <v>92</v>
      </c>
      <c r="I719" s="1" t="s">
        <v>1819</v>
      </c>
      <c r="J719" s="1" t="s">
        <v>1820</v>
      </c>
      <c r="K719" s="1" t="s">
        <v>1821</v>
      </c>
      <c r="L719" s="1" t="s">
        <v>1822</v>
      </c>
      <c r="M719" s="4">
        <v>-9.0</v>
      </c>
      <c r="N719" s="4">
        <v>0.007533333333333334</v>
      </c>
      <c r="O719" s="4">
        <v>6.2622333333333335</v>
      </c>
    </row>
    <row r="720">
      <c r="A720" s="5">
        <v>45535.0</v>
      </c>
      <c r="B720" s="1" t="s">
        <v>116</v>
      </c>
      <c r="C720" s="1" t="s">
        <v>107</v>
      </c>
      <c r="D720" s="4">
        <v>299.0</v>
      </c>
      <c r="E720" s="4">
        <v>12.0</v>
      </c>
      <c r="F720" s="1" t="s">
        <v>386</v>
      </c>
      <c r="G720" s="1" t="s">
        <v>175</v>
      </c>
      <c r="H720" s="1" t="s">
        <v>92</v>
      </c>
      <c r="I720" s="1" t="s">
        <v>1823</v>
      </c>
      <c r="J720" s="1" t="s">
        <v>1824</v>
      </c>
      <c r="K720" s="1" t="s">
        <v>1825</v>
      </c>
      <c r="L720" s="1" t="s">
        <v>1826</v>
      </c>
      <c r="M720" s="4">
        <v>-9.0</v>
      </c>
      <c r="N720" s="4">
        <v>0.015683333333333334</v>
      </c>
      <c r="O720" s="4">
        <v>4.991416666666667</v>
      </c>
    </row>
    <row r="721">
      <c r="A721" s="5">
        <v>45535.0</v>
      </c>
      <c r="B721" s="1" t="s">
        <v>95</v>
      </c>
      <c r="C721" s="1" t="s">
        <v>89</v>
      </c>
      <c r="D721" s="4">
        <v>408.0</v>
      </c>
      <c r="E721" s="4">
        <v>150.0</v>
      </c>
      <c r="G721" s="1" t="s">
        <v>91</v>
      </c>
      <c r="H721" s="1" t="s">
        <v>92</v>
      </c>
      <c r="I721" s="1" t="s">
        <v>1827</v>
      </c>
      <c r="J721" s="1" t="s">
        <v>1828</v>
      </c>
      <c r="K721" s="1" t="s">
        <v>1828</v>
      </c>
      <c r="M721" s="4">
        <v>0.0</v>
      </c>
      <c r="O721" s="4">
        <v>8.8692</v>
      </c>
    </row>
    <row r="722">
      <c r="A722" s="5">
        <v>45535.0</v>
      </c>
      <c r="B722" s="1" t="s">
        <v>95</v>
      </c>
      <c r="C722" s="1" t="s">
        <v>89</v>
      </c>
      <c r="D722" s="4">
        <v>752.0</v>
      </c>
      <c r="E722" s="4">
        <v>0.0</v>
      </c>
      <c r="G722" s="1" t="s">
        <v>91</v>
      </c>
      <c r="H722" s="1" t="s">
        <v>96</v>
      </c>
      <c r="I722" s="1" t="s">
        <v>1829</v>
      </c>
      <c r="J722" s="1" t="s">
        <v>1830</v>
      </c>
      <c r="K722" s="1" t="s">
        <v>1830</v>
      </c>
      <c r="M722" s="4">
        <v>0.0</v>
      </c>
      <c r="O722" s="4">
        <v>10.5245</v>
      </c>
    </row>
    <row r="723">
      <c r="A723" s="5">
        <v>45535.0</v>
      </c>
      <c r="B723" s="1" t="s">
        <v>88</v>
      </c>
      <c r="C723" s="1" t="s">
        <v>107</v>
      </c>
      <c r="D723" s="4">
        <v>329.0</v>
      </c>
      <c r="E723" s="4">
        <v>0.0</v>
      </c>
      <c r="F723" s="1" t="s">
        <v>90</v>
      </c>
      <c r="G723" s="1" t="s">
        <v>91</v>
      </c>
      <c r="H723" s="1" t="s">
        <v>92</v>
      </c>
      <c r="I723" s="1" t="s">
        <v>1831</v>
      </c>
      <c r="J723" s="1" t="s">
        <v>1832</v>
      </c>
      <c r="K723" s="1" t="s">
        <v>1832</v>
      </c>
      <c r="M723" s="4">
        <v>-8.0</v>
      </c>
      <c r="O723" s="4">
        <v>6.68825</v>
      </c>
    </row>
    <row r="724">
      <c r="A724" s="5">
        <v>45535.0</v>
      </c>
      <c r="B724" s="1" t="s">
        <v>116</v>
      </c>
      <c r="C724" s="1" t="s">
        <v>107</v>
      </c>
      <c r="D724" s="4">
        <v>329.0</v>
      </c>
      <c r="E724" s="4">
        <v>0.0</v>
      </c>
      <c r="F724" s="1" t="s">
        <v>386</v>
      </c>
      <c r="G724" s="1" t="s">
        <v>175</v>
      </c>
      <c r="H724" s="1" t="s">
        <v>92</v>
      </c>
      <c r="I724" s="1" t="s">
        <v>1833</v>
      </c>
      <c r="J724" s="1" t="s">
        <v>1834</v>
      </c>
      <c r="K724" s="1" t="s">
        <v>1835</v>
      </c>
      <c r="L724" s="1" t="s">
        <v>1836</v>
      </c>
      <c r="M724" s="4">
        <v>-10.0</v>
      </c>
      <c r="N724" s="4">
        <v>0.008583333333333333</v>
      </c>
      <c r="O724" s="4">
        <v>8.003716666666667</v>
      </c>
    </row>
    <row r="725">
      <c r="A725" s="5">
        <v>45535.0</v>
      </c>
      <c r="B725" s="1" t="s">
        <v>88</v>
      </c>
      <c r="C725" s="1" t="s">
        <v>107</v>
      </c>
      <c r="D725" s="4">
        <v>264.0</v>
      </c>
      <c r="E725" s="4">
        <v>0.0</v>
      </c>
      <c r="F725" s="1" t="s">
        <v>90</v>
      </c>
      <c r="G725" s="1" t="s">
        <v>91</v>
      </c>
      <c r="H725" s="1" t="s">
        <v>92</v>
      </c>
      <c r="I725" s="1" t="s">
        <v>1837</v>
      </c>
      <c r="J725" s="1" t="s">
        <v>1838</v>
      </c>
      <c r="K725" s="1" t="s">
        <v>1838</v>
      </c>
      <c r="M725" s="4">
        <v>-5.0</v>
      </c>
      <c r="O725" s="4">
        <v>9.447733333333334</v>
      </c>
    </row>
    <row r="726">
      <c r="A726" s="5">
        <v>45535.0</v>
      </c>
      <c r="B726" s="1" t="s">
        <v>88</v>
      </c>
      <c r="C726" s="1" t="s">
        <v>107</v>
      </c>
      <c r="D726" s="4">
        <v>299.0</v>
      </c>
      <c r="E726" s="4">
        <v>0.0</v>
      </c>
      <c r="F726" s="1" t="s">
        <v>90</v>
      </c>
      <c r="G726" s="1" t="s">
        <v>91</v>
      </c>
      <c r="H726" s="1" t="s">
        <v>92</v>
      </c>
      <c r="I726" s="1" t="s">
        <v>1839</v>
      </c>
      <c r="J726" s="1" t="s">
        <v>1840</v>
      </c>
      <c r="K726" s="1" t="s">
        <v>1840</v>
      </c>
      <c r="M726" s="4">
        <v>-9.0</v>
      </c>
      <c r="O726" s="4">
        <v>5.5194833333333335</v>
      </c>
    </row>
    <row r="727">
      <c r="A727" s="5">
        <v>45535.0</v>
      </c>
      <c r="B727" s="1" t="s">
        <v>116</v>
      </c>
      <c r="C727" s="1" t="s">
        <v>107</v>
      </c>
      <c r="D727" s="4">
        <v>309.0</v>
      </c>
      <c r="E727" s="4">
        <v>0.0</v>
      </c>
      <c r="F727" s="1" t="s">
        <v>386</v>
      </c>
      <c r="G727" s="1" t="s">
        <v>175</v>
      </c>
      <c r="H727" s="1" t="s">
        <v>92</v>
      </c>
      <c r="I727" s="1" t="s">
        <v>1841</v>
      </c>
      <c r="J727" s="1" t="s">
        <v>1842</v>
      </c>
      <c r="K727" s="1" t="s">
        <v>1843</v>
      </c>
      <c r="L727" s="1" t="s">
        <v>1844</v>
      </c>
      <c r="M727" s="4">
        <v>-5.0</v>
      </c>
      <c r="N727" s="4">
        <v>0.008983333333333333</v>
      </c>
      <c r="O727" s="4">
        <v>8.453516666666667</v>
      </c>
    </row>
    <row r="728">
      <c r="A728" s="5">
        <v>45535.0</v>
      </c>
      <c r="B728" s="1" t="s">
        <v>116</v>
      </c>
      <c r="C728" s="1" t="s">
        <v>107</v>
      </c>
      <c r="D728" s="4">
        <v>352.0</v>
      </c>
      <c r="E728" s="4">
        <v>61.0</v>
      </c>
      <c r="G728" s="1" t="s">
        <v>111</v>
      </c>
      <c r="H728" s="1" t="s">
        <v>92</v>
      </c>
      <c r="I728" s="1" t="s">
        <v>1845</v>
      </c>
      <c r="J728" s="1" t="s">
        <v>1846</v>
      </c>
      <c r="K728" s="1" t="s">
        <v>1846</v>
      </c>
      <c r="M728" s="4">
        <v>-11.0</v>
      </c>
      <c r="O728" s="4">
        <v>8.1163</v>
      </c>
    </row>
    <row r="729">
      <c r="A729" s="5">
        <v>45535.0</v>
      </c>
      <c r="B729" s="1" t="s">
        <v>95</v>
      </c>
      <c r="C729" s="1" t="s">
        <v>89</v>
      </c>
      <c r="D729" s="4">
        <v>528.0</v>
      </c>
      <c r="E729" s="4">
        <v>0.0</v>
      </c>
      <c r="G729" s="1" t="s">
        <v>91</v>
      </c>
      <c r="H729" s="1" t="s">
        <v>92</v>
      </c>
      <c r="I729" s="1" t="s">
        <v>1847</v>
      </c>
      <c r="J729" s="1" t="s">
        <v>1848</v>
      </c>
      <c r="K729" s="1" t="s">
        <v>1848</v>
      </c>
      <c r="M729" s="4">
        <v>0.0</v>
      </c>
      <c r="O729" s="4">
        <v>8.1233</v>
      </c>
    </row>
    <row r="730">
      <c r="A730" s="5">
        <v>45535.0</v>
      </c>
      <c r="B730" s="1" t="s">
        <v>88</v>
      </c>
      <c r="C730" s="1" t="s">
        <v>107</v>
      </c>
      <c r="D730" s="4">
        <v>658.0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1849</v>
      </c>
      <c r="J730" s="1" t="s">
        <v>1850</v>
      </c>
      <c r="K730" s="1" t="s">
        <v>1850</v>
      </c>
      <c r="M730" s="4">
        <v>-11.0</v>
      </c>
      <c r="O730" s="4">
        <v>8.542183333333334</v>
      </c>
    </row>
    <row r="731">
      <c r="A731" s="5">
        <v>45535.0</v>
      </c>
      <c r="B731" s="1" t="s">
        <v>95</v>
      </c>
      <c r="C731" s="1" t="s">
        <v>89</v>
      </c>
      <c r="D731" s="4">
        <v>321.0</v>
      </c>
      <c r="E731" s="4">
        <v>0.0</v>
      </c>
      <c r="G731" s="1" t="s">
        <v>91</v>
      </c>
      <c r="H731" s="1" t="s">
        <v>92</v>
      </c>
      <c r="I731" s="1" t="s">
        <v>1851</v>
      </c>
      <c r="J731" s="1" t="s">
        <v>1852</v>
      </c>
      <c r="K731" s="1" t="s">
        <v>1852</v>
      </c>
      <c r="M731" s="4">
        <v>0.0</v>
      </c>
      <c r="O731" s="4">
        <v>7.293433333333334</v>
      </c>
    </row>
    <row r="732">
      <c r="A732" s="5">
        <v>45535.0</v>
      </c>
      <c r="B732" s="1" t="s">
        <v>110</v>
      </c>
      <c r="C732" s="1" t="s">
        <v>107</v>
      </c>
      <c r="D732" s="4">
        <v>966.0</v>
      </c>
      <c r="E732" s="4">
        <v>0.0</v>
      </c>
      <c r="G732" s="1" t="s">
        <v>111</v>
      </c>
      <c r="H732" s="1" t="s">
        <v>96</v>
      </c>
      <c r="I732" s="1" t="s">
        <v>1853</v>
      </c>
      <c r="J732" s="1" t="s">
        <v>1854</v>
      </c>
      <c r="K732" s="1" t="s">
        <v>1854</v>
      </c>
      <c r="M732" s="4">
        <v>-1.0</v>
      </c>
      <c r="O732" s="4">
        <v>8.231916666666667</v>
      </c>
    </row>
    <row r="733">
      <c r="A733" s="5">
        <v>45535.0</v>
      </c>
      <c r="B733" s="1" t="s">
        <v>103</v>
      </c>
      <c r="C733" s="1" t="s">
        <v>89</v>
      </c>
      <c r="D733" s="4">
        <v>264.0</v>
      </c>
      <c r="E733" s="4">
        <v>0.0</v>
      </c>
      <c r="F733" s="1" t="s">
        <v>506</v>
      </c>
      <c r="G733" s="1" t="s">
        <v>91</v>
      </c>
      <c r="H733" s="1" t="s">
        <v>92</v>
      </c>
      <c r="I733" s="1" t="s">
        <v>1855</v>
      </c>
      <c r="J733" s="1" t="s">
        <v>1856</v>
      </c>
      <c r="K733" s="1" t="s">
        <v>1856</v>
      </c>
      <c r="M733" s="4">
        <v>1.0</v>
      </c>
      <c r="O733" s="4">
        <v>16.456466666666667</v>
      </c>
    </row>
    <row r="734">
      <c r="A734" s="5">
        <v>45535.0</v>
      </c>
      <c r="B734" s="1" t="s">
        <v>116</v>
      </c>
      <c r="C734" s="1" t="s">
        <v>107</v>
      </c>
      <c r="D734" s="4">
        <v>363.0</v>
      </c>
      <c r="E734" s="4">
        <v>91.0</v>
      </c>
      <c r="G734" s="1" t="s">
        <v>111</v>
      </c>
      <c r="H734" s="1" t="s">
        <v>194</v>
      </c>
      <c r="I734" s="1" t="s">
        <v>1857</v>
      </c>
      <c r="J734" s="1" t="s">
        <v>1858</v>
      </c>
      <c r="K734" s="1" t="s">
        <v>1858</v>
      </c>
      <c r="M734" s="4">
        <v>-11.0</v>
      </c>
      <c r="O734" s="4">
        <v>7.804</v>
      </c>
    </row>
    <row r="735">
      <c r="A735" s="5">
        <v>45535.0</v>
      </c>
      <c r="B735" s="1" t="s">
        <v>110</v>
      </c>
      <c r="C735" s="1" t="s">
        <v>107</v>
      </c>
      <c r="D735" s="4">
        <v>374.0</v>
      </c>
      <c r="E735" s="4">
        <v>0.0</v>
      </c>
      <c r="G735" s="1" t="s">
        <v>111</v>
      </c>
      <c r="H735" s="1" t="s">
        <v>96</v>
      </c>
      <c r="I735" s="1" t="s">
        <v>1859</v>
      </c>
      <c r="J735" s="1" t="s">
        <v>1860</v>
      </c>
      <c r="K735" s="1" t="s">
        <v>1860</v>
      </c>
      <c r="M735" s="4">
        <v>5.0</v>
      </c>
      <c r="O735" s="4">
        <v>10.37845</v>
      </c>
    </row>
    <row r="736">
      <c r="A736" s="5">
        <v>45535.0</v>
      </c>
      <c r="B736" s="1" t="s">
        <v>103</v>
      </c>
      <c r="C736" s="1" t="s">
        <v>89</v>
      </c>
      <c r="D736" s="4">
        <v>585.0</v>
      </c>
      <c r="E736" s="4">
        <v>0.0</v>
      </c>
      <c r="F736" s="1" t="s">
        <v>1224</v>
      </c>
      <c r="G736" s="1" t="s">
        <v>91</v>
      </c>
      <c r="H736" s="1" t="s">
        <v>92</v>
      </c>
      <c r="I736" s="1" t="s">
        <v>1861</v>
      </c>
      <c r="J736" s="1" t="s">
        <v>1862</v>
      </c>
      <c r="K736" s="1" t="s">
        <v>1862</v>
      </c>
      <c r="M736" s="4">
        <v>-1.0</v>
      </c>
      <c r="O736" s="4">
        <v>18.1856</v>
      </c>
    </row>
    <row r="737">
      <c r="A737" s="5">
        <v>45535.0</v>
      </c>
      <c r="B737" s="1" t="s">
        <v>95</v>
      </c>
      <c r="C737" s="1" t="s">
        <v>89</v>
      </c>
      <c r="D737" s="4">
        <v>379.0</v>
      </c>
      <c r="E737" s="4">
        <v>150.0</v>
      </c>
      <c r="G737" s="1" t="s">
        <v>91</v>
      </c>
      <c r="H737" s="1" t="s">
        <v>92</v>
      </c>
      <c r="I737" s="1" t="s">
        <v>1863</v>
      </c>
      <c r="J737" s="1" t="s">
        <v>1864</v>
      </c>
      <c r="K737" s="1" t="s">
        <v>1864</v>
      </c>
      <c r="M737" s="4">
        <v>1.0</v>
      </c>
      <c r="O737" s="4">
        <v>10.013433333333333</v>
      </c>
    </row>
    <row r="738">
      <c r="A738" s="5">
        <v>45535.0</v>
      </c>
      <c r="B738" s="1" t="s">
        <v>116</v>
      </c>
      <c r="C738" s="1" t="s">
        <v>107</v>
      </c>
      <c r="D738" s="4">
        <v>368.0</v>
      </c>
      <c r="E738" s="4">
        <v>0.0</v>
      </c>
      <c r="F738" s="1" t="s">
        <v>386</v>
      </c>
      <c r="G738" s="1" t="s">
        <v>175</v>
      </c>
      <c r="H738" s="1" t="s">
        <v>96</v>
      </c>
      <c r="I738" s="1" t="s">
        <v>1865</v>
      </c>
      <c r="J738" s="1" t="s">
        <v>1866</v>
      </c>
      <c r="K738" s="1" t="s">
        <v>1867</v>
      </c>
      <c r="L738" s="1" t="s">
        <v>1868</v>
      </c>
      <c r="M738" s="4">
        <v>-6.0</v>
      </c>
      <c r="N738" s="4">
        <v>0.009883333333333333</v>
      </c>
      <c r="O738" s="4">
        <v>13.740233333333334</v>
      </c>
    </row>
    <row r="739">
      <c r="A739" s="5">
        <v>45535.0</v>
      </c>
      <c r="B739" s="1" t="s">
        <v>116</v>
      </c>
      <c r="C739" s="1" t="s">
        <v>107</v>
      </c>
      <c r="D739" s="4">
        <v>355.0</v>
      </c>
      <c r="E739" s="4">
        <v>0.0</v>
      </c>
      <c r="F739" s="1" t="s">
        <v>386</v>
      </c>
      <c r="G739" s="1" t="s">
        <v>175</v>
      </c>
      <c r="H739" s="1" t="s">
        <v>92</v>
      </c>
      <c r="I739" s="1" t="s">
        <v>1869</v>
      </c>
      <c r="J739" s="1" t="s">
        <v>1870</v>
      </c>
      <c r="K739" s="1" t="s">
        <v>1871</v>
      </c>
      <c r="L739" s="1" t="s">
        <v>1872</v>
      </c>
      <c r="M739" s="4">
        <v>-13.0</v>
      </c>
      <c r="N739" s="4">
        <v>0.00915</v>
      </c>
      <c r="O739" s="4">
        <v>11.834866666666667</v>
      </c>
    </row>
    <row r="740">
      <c r="A740" s="5">
        <v>45535.0</v>
      </c>
      <c r="B740" s="1" t="s">
        <v>95</v>
      </c>
      <c r="C740" s="1" t="s">
        <v>89</v>
      </c>
      <c r="D740" s="4">
        <v>666.0</v>
      </c>
      <c r="E740" s="4">
        <v>0.0</v>
      </c>
      <c r="G740" s="1" t="s">
        <v>91</v>
      </c>
      <c r="H740" s="1" t="s">
        <v>92</v>
      </c>
      <c r="I740" s="1" t="s">
        <v>1873</v>
      </c>
      <c r="J740" s="1" t="s">
        <v>1874</v>
      </c>
      <c r="K740" s="1" t="s">
        <v>1874</v>
      </c>
      <c r="M740" s="4">
        <v>4.0</v>
      </c>
      <c r="O740" s="4">
        <v>13.423133333333332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0" max="40" width="20.25"/>
    <col customWidth="1" min="47" max="47" width="20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1875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1876</v>
      </c>
      <c r="AP1" s="6" t="s">
        <v>1877</v>
      </c>
      <c r="AQ1" s="6" t="s">
        <v>1878</v>
      </c>
      <c r="AR1" s="6" t="s">
        <v>1879</v>
      </c>
      <c r="AS1" s="6" t="s">
        <v>1880</v>
      </c>
      <c r="AT1" s="6" t="s">
        <v>1881</v>
      </c>
      <c r="AU1" s="6" t="s">
        <v>1882</v>
      </c>
      <c r="AV1" s="6" t="s">
        <v>1883</v>
      </c>
    </row>
    <row r="2">
      <c r="A2" s="2">
        <v>45505.0</v>
      </c>
      <c r="B2" s="1" t="s">
        <v>1884</v>
      </c>
      <c r="C2" s="1" t="s">
        <v>1885</v>
      </c>
      <c r="D2" s="3" t="s">
        <v>41</v>
      </c>
      <c r="E2" s="3" t="s">
        <v>45</v>
      </c>
      <c r="G2" s="3" t="s">
        <v>53</v>
      </c>
    </row>
    <row r="3">
      <c r="A3" s="2">
        <v>45505.0</v>
      </c>
      <c r="B3" s="1" t="s">
        <v>1884</v>
      </c>
      <c r="C3" s="1" t="s">
        <v>1886</v>
      </c>
      <c r="D3" s="3" t="s">
        <v>45</v>
      </c>
      <c r="E3" s="3" t="s">
        <v>1887</v>
      </c>
      <c r="G3" s="3" t="s">
        <v>47</v>
      </c>
    </row>
    <row r="4">
      <c r="A4" s="2">
        <v>45505.0</v>
      </c>
      <c r="B4" s="1" t="s">
        <v>1884</v>
      </c>
      <c r="C4" s="1" t="s">
        <v>1888</v>
      </c>
      <c r="D4" s="3" t="s">
        <v>45</v>
      </c>
      <c r="E4" s="3" t="s">
        <v>1889</v>
      </c>
      <c r="G4" s="3" t="s">
        <v>1890</v>
      </c>
    </row>
    <row r="5">
      <c r="A5" s="2">
        <v>45505.0</v>
      </c>
      <c r="B5" s="1" t="s">
        <v>1884</v>
      </c>
      <c r="C5" s="1"/>
      <c r="D5" s="1"/>
      <c r="E5" s="1"/>
      <c r="G5" s="1"/>
      <c r="H5" s="1" t="s">
        <v>386</v>
      </c>
      <c r="I5" s="3" t="s">
        <v>63</v>
      </c>
      <c r="J5" s="3" t="s">
        <v>1891</v>
      </c>
      <c r="L5" s="3" t="s">
        <v>1892</v>
      </c>
      <c r="M5" s="4">
        <v>2.0</v>
      </c>
    </row>
    <row r="6">
      <c r="A6" s="2">
        <v>45505.0</v>
      </c>
      <c r="B6" s="1" t="s">
        <v>1884</v>
      </c>
      <c r="C6" s="1"/>
      <c r="D6" s="1"/>
      <c r="E6" s="1"/>
      <c r="G6" s="1"/>
      <c r="H6" s="1" t="s">
        <v>174</v>
      </c>
      <c r="I6" s="3" t="s">
        <v>1891</v>
      </c>
      <c r="J6" s="3" t="s">
        <v>56</v>
      </c>
      <c r="L6" s="3" t="s">
        <v>1890</v>
      </c>
      <c r="M6" s="4">
        <v>9.0</v>
      </c>
      <c r="N6" s="1" t="b">
        <v>1</v>
      </c>
      <c r="O6" s="4">
        <v>360.0</v>
      </c>
    </row>
    <row r="7">
      <c r="A7" s="2">
        <v>45505.0</v>
      </c>
      <c r="B7" s="1" t="s">
        <v>1884</v>
      </c>
      <c r="C7" s="1"/>
      <c r="D7" s="1"/>
      <c r="E7" s="1"/>
      <c r="G7" s="1"/>
      <c r="P7" s="4">
        <v>0.0</v>
      </c>
      <c r="Q7" s="1" t="s">
        <v>1885</v>
      </c>
      <c r="R7" s="1" t="s">
        <v>1886</v>
      </c>
      <c r="S7" s="4">
        <v>10710.0</v>
      </c>
      <c r="T7" s="4">
        <v>6368.0</v>
      </c>
      <c r="U7" s="4">
        <v>10463.0</v>
      </c>
      <c r="V7" s="4">
        <v>4405.0</v>
      </c>
      <c r="W7" s="4">
        <v>0.0</v>
      </c>
      <c r="X7" s="4">
        <v>1370.0</v>
      </c>
      <c r="Y7" s="4">
        <v>2882.0</v>
      </c>
      <c r="AA7" s="4">
        <v>4173.0</v>
      </c>
      <c r="AB7" s="4">
        <v>39361.0</v>
      </c>
      <c r="AC7" s="4">
        <v>0.0</v>
      </c>
      <c r="AD7" s="4">
        <v>0.33311029883026516</v>
      </c>
      <c r="AI7" s="4">
        <v>360.0</v>
      </c>
      <c r="AJ7" s="4">
        <v>3.0</v>
      </c>
      <c r="AK7" s="4">
        <v>713.0</v>
      </c>
      <c r="AL7" s="4">
        <v>1.0</v>
      </c>
      <c r="AM7" s="1" t="s">
        <v>1893</v>
      </c>
      <c r="AN7" s="4">
        <v>1.0</v>
      </c>
      <c r="AO7" s="4">
        <v>113.0</v>
      </c>
      <c r="AP7" s="4">
        <v>11.0</v>
      </c>
      <c r="AQ7" s="4">
        <v>0.0</v>
      </c>
      <c r="AR7" s="4">
        <v>0.0</v>
      </c>
      <c r="AS7" s="4">
        <v>0.09090909090909091</v>
      </c>
      <c r="AT7" s="4">
        <v>0.0</v>
      </c>
      <c r="AU7" s="4">
        <v>0.9090909090909091</v>
      </c>
      <c r="AV7" s="4">
        <v>0.0</v>
      </c>
    </row>
    <row r="8">
      <c r="A8" s="2">
        <v>45506.0</v>
      </c>
      <c r="B8" s="1" t="s">
        <v>39</v>
      </c>
      <c r="C8" s="1" t="s">
        <v>1885</v>
      </c>
      <c r="D8" s="3" t="s">
        <v>45</v>
      </c>
      <c r="E8" s="3" t="s">
        <v>1894</v>
      </c>
      <c r="G8" s="3" t="s">
        <v>41</v>
      </c>
    </row>
    <row r="9">
      <c r="A9" s="2">
        <v>45506.0</v>
      </c>
      <c r="B9" s="1" t="s">
        <v>39</v>
      </c>
      <c r="C9" s="1" t="s">
        <v>1886</v>
      </c>
      <c r="D9" s="3" t="s">
        <v>41</v>
      </c>
      <c r="E9" s="3" t="s">
        <v>1895</v>
      </c>
      <c r="G9" s="3" t="s">
        <v>1890</v>
      </c>
    </row>
    <row r="10">
      <c r="A10" s="2">
        <v>45506.0</v>
      </c>
      <c r="B10" s="1" t="s">
        <v>39</v>
      </c>
      <c r="C10" s="1" t="s">
        <v>1896</v>
      </c>
      <c r="D10" s="3" t="s">
        <v>63</v>
      </c>
      <c r="E10" s="3" t="s">
        <v>45</v>
      </c>
      <c r="G10" s="3" t="s">
        <v>64</v>
      </c>
    </row>
    <row r="11">
      <c r="A11" s="2">
        <v>45506.0</v>
      </c>
      <c r="B11" s="1" t="s">
        <v>39</v>
      </c>
      <c r="C11" s="1" t="s">
        <v>51</v>
      </c>
      <c r="D11" s="3" t="s">
        <v>45</v>
      </c>
      <c r="E11" s="3" t="s">
        <v>1894</v>
      </c>
      <c r="G11" s="3" t="s">
        <v>41</v>
      </c>
    </row>
    <row r="12">
      <c r="A12" s="2">
        <v>45506.0</v>
      </c>
      <c r="B12" s="1" t="s">
        <v>39</v>
      </c>
      <c r="H12" s="1" t="s">
        <v>386</v>
      </c>
      <c r="I12" s="3" t="s">
        <v>63</v>
      </c>
      <c r="J12" s="3" t="s">
        <v>1897</v>
      </c>
      <c r="L12" s="3" t="s">
        <v>1898</v>
      </c>
      <c r="M12" s="4">
        <v>3.0</v>
      </c>
    </row>
    <row r="13">
      <c r="A13" s="2">
        <v>45506.0</v>
      </c>
      <c r="B13" s="1" t="s">
        <v>39</v>
      </c>
      <c r="H13" s="1" t="s">
        <v>774</v>
      </c>
      <c r="I13" s="3" t="s">
        <v>1897</v>
      </c>
      <c r="J13" s="3" t="s">
        <v>1894</v>
      </c>
      <c r="L13" s="3" t="s">
        <v>1899</v>
      </c>
      <c r="M13" s="4">
        <v>10.0</v>
      </c>
      <c r="N13" s="1" t="b">
        <v>1</v>
      </c>
      <c r="O13" s="4">
        <v>400.0</v>
      </c>
    </row>
    <row r="14">
      <c r="A14" s="2">
        <v>45506.0</v>
      </c>
      <c r="B14" s="1" t="s">
        <v>39</v>
      </c>
      <c r="P14" s="4">
        <v>7.0</v>
      </c>
      <c r="Q14" s="1" t="s">
        <v>1885</v>
      </c>
      <c r="R14" s="1" t="s">
        <v>1886</v>
      </c>
      <c r="S14" s="4">
        <v>16387.0</v>
      </c>
      <c r="T14" s="4">
        <v>8075.0</v>
      </c>
      <c r="U14" s="4">
        <v>15686.0</v>
      </c>
      <c r="V14" s="4">
        <v>6826.0</v>
      </c>
      <c r="W14" s="4">
        <v>707.0</v>
      </c>
      <c r="X14" s="4">
        <v>4103.0</v>
      </c>
      <c r="Y14" s="4">
        <v>5275.0</v>
      </c>
      <c r="AA14" s="4">
        <v>8394.0</v>
      </c>
      <c r="AB14" s="4">
        <v>61750.0</v>
      </c>
      <c r="AC14" s="4">
        <v>0.0</v>
      </c>
      <c r="AD14" s="4">
        <v>0.29030215112968527</v>
      </c>
      <c r="AI14" s="4">
        <v>400.0</v>
      </c>
      <c r="AJ14" s="4">
        <v>2.0</v>
      </c>
      <c r="AK14" s="4">
        <v>663.0</v>
      </c>
      <c r="AL14" s="4">
        <v>12.0</v>
      </c>
      <c r="AM14" s="1" t="s">
        <v>1900</v>
      </c>
      <c r="AN14" s="4">
        <v>1.0</v>
      </c>
      <c r="AO14" s="4">
        <v>2.0</v>
      </c>
      <c r="AP14" s="4"/>
      <c r="AQ14" s="4"/>
      <c r="AR14" s="4"/>
      <c r="AS14" s="4"/>
      <c r="AT14" s="4"/>
      <c r="AU14" s="4"/>
      <c r="AV14" s="4"/>
    </row>
    <row r="15">
      <c r="A15" s="2">
        <v>45507.0</v>
      </c>
      <c r="B15" s="1" t="s">
        <v>1901</v>
      </c>
      <c r="C15" s="1" t="s">
        <v>1885</v>
      </c>
      <c r="D15" s="3" t="s">
        <v>45</v>
      </c>
      <c r="E15" s="3" t="s">
        <v>1902</v>
      </c>
      <c r="G15" s="3" t="s">
        <v>1899</v>
      </c>
    </row>
    <row r="16">
      <c r="A16" s="2">
        <v>45507.0</v>
      </c>
      <c r="B16" s="1" t="s">
        <v>1901</v>
      </c>
      <c r="C16" s="1" t="s">
        <v>1888</v>
      </c>
      <c r="D16" s="3" t="s">
        <v>45</v>
      </c>
      <c r="E16" s="3" t="s">
        <v>1902</v>
      </c>
      <c r="G16" s="3" t="s">
        <v>1899</v>
      </c>
    </row>
    <row r="17">
      <c r="A17" s="2">
        <v>45507.0</v>
      </c>
      <c r="B17" s="1" t="s">
        <v>1901</v>
      </c>
      <c r="C17" s="1" t="s">
        <v>1903</v>
      </c>
      <c r="D17" s="3" t="s">
        <v>41</v>
      </c>
      <c r="E17" s="3" t="s">
        <v>45</v>
      </c>
      <c r="G17" s="3" t="s">
        <v>53</v>
      </c>
    </row>
    <row r="18">
      <c r="A18" s="2">
        <v>45507.0</v>
      </c>
      <c r="B18" s="1" t="s">
        <v>1901</v>
      </c>
      <c r="H18" s="1" t="s">
        <v>386</v>
      </c>
      <c r="I18" s="3" t="s">
        <v>63</v>
      </c>
      <c r="J18" s="3" t="s">
        <v>1904</v>
      </c>
      <c r="L18" s="3" t="s">
        <v>41</v>
      </c>
      <c r="M18" s="4">
        <v>5.0</v>
      </c>
    </row>
    <row r="19">
      <c r="A19" s="2">
        <v>45507.0</v>
      </c>
      <c r="B19" s="1" t="s">
        <v>1901</v>
      </c>
      <c r="H19" s="1" t="s">
        <v>174</v>
      </c>
      <c r="I19" s="3" t="s">
        <v>1904</v>
      </c>
      <c r="J19" s="3" t="s">
        <v>1894</v>
      </c>
      <c r="L19" s="3" t="s">
        <v>64</v>
      </c>
      <c r="M19" s="4">
        <v>4.0</v>
      </c>
      <c r="N19" s="1" t="b">
        <v>1</v>
      </c>
      <c r="O19" s="4">
        <v>160.0</v>
      </c>
    </row>
    <row r="20">
      <c r="A20" s="2">
        <v>45507.0</v>
      </c>
      <c r="B20" s="1" t="s">
        <v>1901</v>
      </c>
      <c r="P20" s="4">
        <v>0.0</v>
      </c>
      <c r="Q20" s="1" t="s">
        <v>1885</v>
      </c>
      <c r="R20" s="1" t="s">
        <v>1886</v>
      </c>
      <c r="S20" s="4">
        <v>15187.0</v>
      </c>
      <c r="T20" s="4">
        <v>9627.0</v>
      </c>
      <c r="U20" s="4">
        <v>12533.0</v>
      </c>
      <c r="V20" s="4">
        <v>4116.0</v>
      </c>
      <c r="W20" s="4">
        <v>0.0</v>
      </c>
      <c r="X20" s="4">
        <v>4197.0</v>
      </c>
      <c r="Y20" s="4">
        <v>4562.0</v>
      </c>
      <c r="AA20" s="4">
        <v>8437.0</v>
      </c>
      <c r="AB20" s="4">
        <v>55162.0</v>
      </c>
      <c r="AC20" s="4">
        <v>0.0</v>
      </c>
      <c r="AD20" s="4">
        <v>0.20956147913886486</v>
      </c>
      <c r="AE20" s="4">
        <v>500.0</v>
      </c>
      <c r="AH20" s="4">
        <v>40.0</v>
      </c>
      <c r="AI20" s="4">
        <v>160.0</v>
      </c>
      <c r="AJ20" s="4">
        <v>1.0</v>
      </c>
      <c r="AK20" s="4">
        <v>264.0</v>
      </c>
      <c r="AL20" s="4">
        <v>14.0</v>
      </c>
      <c r="AM20" s="1" t="s">
        <v>1905</v>
      </c>
      <c r="AN20" s="4">
        <v>1.0</v>
      </c>
      <c r="AO20" s="4">
        <v>0.0</v>
      </c>
      <c r="AP20" s="4"/>
      <c r="AQ20" s="4"/>
      <c r="AR20" s="4"/>
      <c r="AS20" s="4"/>
      <c r="AT20" s="4"/>
      <c r="AU20" s="4"/>
      <c r="AV20" s="4"/>
    </row>
    <row r="21">
      <c r="A21" s="2">
        <v>45508.0</v>
      </c>
      <c r="B21" s="1" t="s">
        <v>67</v>
      </c>
      <c r="C21" s="1" t="s">
        <v>1903</v>
      </c>
      <c r="D21" s="3" t="s">
        <v>41</v>
      </c>
      <c r="E21" s="3" t="s">
        <v>45</v>
      </c>
      <c r="G21" s="3" t="s">
        <v>53</v>
      </c>
    </row>
    <row r="22">
      <c r="A22" s="2">
        <v>45508.0</v>
      </c>
      <c r="B22" s="1" t="s">
        <v>67</v>
      </c>
      <c r="C22" s="1" t="s">
        <v>1888</v>
      </c>
      <c r="D22" s="3" t="s">
        <v>45</v>
      </c>
      <c r="E22" s="3" t="s">
        <v>57</v>
      </c>
      <c r="G22" s="3" t="s">
        <v>53</v>
      </c>
    </row>
    <row r="23">
      <c r="A23" s="2">
        <v>45508.0</v>
      </c>
      <c r="B23" s="1" t="s">
        <v>67</v>
      </c>
      <c r="C23" s="1" t="s">
        <v>1886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774</v>
      </c>
      <c r="I24" s="3" t="s">
        <v>41</v>
      </c>
      <c r="J24" s="3" t="s">
        <v>45</v>
      </c>
      <c r="L24" s="3" t="s">
        <v>53</v>
      </c>
      <c r="M24" s="4">
        <v>10.0</v>
      </c>
      <c r="N24" s="1" t="b">
        <v>1</v>
      </c>
      <c r="O24" s="4">
        <v>400.0</v>
      </c>
    </row>
    <row r="25">
      <c r="A25" s="2">
        <v>45508.0</v>
      </c>
      <c r="B25" s="1" t="s">
        <v>67</v>
      </c>
      <c r="H25" s="1" t="s">
        <v>174</v>
      </c>
      <c r="I25" s="3" t="s">
        <v>45</v>
      </c>
      <c r="J25" s="3" t="s">
        <v>49</v>
      </c>
      <c r="L25" s="3" t="s">
        <v>64</v>
      </c>
      <c r="M25" s="4">
        <v>5.0</v>
      </c>
      <c r="N25" s="1" t="b">
        <v>1</v>
      </c>
      <c r="O25" s="4">
        <v>200.0</v>
      </c>
    </row>
    <row r="26">
      <c r="A26" s="2">
        <v>45508.0</v>
      </c>
      <c r="B26" s="1" t="s">
        <v>67</v>
      </c>
      <c r="P26" s="4">
        <v>16.0</v>
      </c>
      <c r="Q26" s="1" t="s">
        <v>1885</v>
      </c>
      <c r="R26" s="1" t="s">
        <v>1886</v>
      </c>
      <c r="S26" s="4">
        <v>10961.0</v>
      </c>
      <c r="T26" s="4">
        <v>7550.0</v>
      </c>
      <c r="U26" s="4">
        <v>14196.0</v>
      </c>
      <c r="V26" s="4">
        <v>7557.0</v>
      </c>
      <c r="W26" s="4">
        <v>3607.0</v>
      </c>
      <c r="X26" s="4">
        <v>2303.0</v>
      </c>
      <c r="Y26" s="4">
        <v>2561.0</v>
      </c>
      <c r="Z26" s="4">
        <v>240.0</v>
      </c>
      <c r="AA26" s="4">
        <v>5774.0</v>
      </c>
      <c r="AB26" s="4">
        <v>53246.0</v>
      </c>
      <c r="AC26" s="4">
        <v>1.0</v>
      </c>
      <c r="AD26" s="4">
        <v>0.25599839672948327</v>
      </c>
      <c r="AG26" s="4">
        <v>81.0</v>
      </c>
      <c r="AH26" s="4">
        <v>120.0</v>
      </c>
      <c r="AI26" s="4">
        <v>600.0</v>
      </c>
      <c r="AJ26" s="4">
        <v>0.0</v>
      </c>
      <c r="AK26" s="4">
        <v>0.0</v>
      </c>
      <c r="AL26" s="4">
        <v>15.0</v>
      </c>
      <c r="AM26" s="1" t="s">
        <v>1906</v>
      </c>
      <c r="AN26" s="4">
        <v>2.0</v>
      </c>
      <c r="AO26" s="4">
        <v>8.0</v>
      </c>
      <c r="AP26" s="4"/>
      <c r="AQ26" s="4"/>
      <c r="AR26" s="4"/>
      <c r="AS26" s="4"/>
      <c r="AT26" s="4"/>
      <c r="AU26" s="4"/>
      <c r="AV26" s="4"/>
    </row>
    <row r="27">
      <c r="A27" s="2">
        <v>45509.0</v>
      </c>
      <c r="B27" s="1" t="s">
        <v>69</v>
      </c>
      <c r="C27" s="1" t="s">
        <v>1885</v>
      </c>
      <c r="D27" s="3" t="s">
        <v>41</v>
      </c>
      <c r="E27" s="3" t="s">
        <v>1889</v>
      </c>
      <c r="G27" s="3" t="s">
        <v>1907</v>
      </c>
    </row>
    <row r="28">
      <c r="A28" s="2">
        <v>45509.0</v>
      </c>
      <c r="B28" s="1" t="s">
        <v>69</v>
      </c>
      <c r="C28" s="1" t="s">
        <v>1888</v>
      </c>
      <c r="D28" s="3" t="s">
        <v>70</v>
      </c>
      <c r="E28" s="3" t="s">
        <v>1889</v>
      </c>
      <c r="G28" s="3" t="s">
        <v>1908</v>
      </c>
    </row>
    <row r="29">
      <c r="A29" s="2">
        <v>45509.0</v>
      </c>
      <c r="B29" s="1" t="s">
        <v>69</v>
      </c>
      <c r="H29" s="1" t="s">
        <v>386</v>
      </c>
      <c r="I29" s="3" t="s">
        <v>41</v>
      </c>
      <c r="J29" s="3" t="s">
        <v>70</v>
      </c>
      <c r="L29" s="3" t="s">
        <v>47</v>
      </c>
      <c r="M29" s="4">
        <v>8.0</v>
      </c>
    </row>
    <row r="30">
      <c r="A30" s="2">
        <v>45509.0</v>
      </c>
      <c r="B30" s="1" t="s">
        <v>69</v>
      </c>
      <c r="H30" s="1" t="s">
        <v>174</v>
      </c>
      <c r="I30" s="3" t="s">
        <v>70</v>
      </c>
      <c r="J30" s="3" t="s">
        <v>57</v>
      </c>
      <c r="L30" s="3" t="s">
        <v>64</v>
      </c>
      <c r="M30" s="4">
        <v>3.0</v>
      </c>
      <c r="N30" s="1" t="b">
        <v>1</v>
      </c>
      <c r="O30" s="4">
        <v>120.0</v>
      </c>
    </row>
    <row r="31">
      <c r="A31" s="2">
        <v>45509.0</v>
      </c>
      <c r="B31" s="1" t="s">
        <v>69</v>
      </c>
      <c r="P31" s="4">
        <v>3.0</v>
      </c>
      <c r="Q31" s="1" t="s">
        <v>1885</v>
      </c>
      <c r="R31" s="1" t="s">
        <v>1886</v>
      </c>
      <c r="S31" s="4">
        <v>9277.0</v>
      </c>
      <c r="T31" s="4">
        <v>5550.0</v>
      </c>
      <c r="U31" s="4">
        <v>5997.0</v>
      </c>
      <c r="V31" s="4">
        <v>3848.0</v>
      </c>
      <c r="W31" s="4">
        <v>0.0</v>
      </c>
      <c r="X31" s="4">
        <v>2114.0</v>
      </c>
      <c r="Y31" s="4">
        <v>3868.0</v>
      </c>
      <c r="AA31" s="4">
        <v>6651.0</v>
      </c>
      <c r="AB31" s="4">
        <v>35425.0</v>
      </c>
      <c r="AC31" s="4">
        <v>0.0</v>
      </c>
      <c r="AD31" s="4">
        <v>0.3529628881371366</v>
      </c>
      <c r="AG31" s="4">
        <v>74.0</v>
      </c>
      <c r="AH31" s="4">
        <v>40.0</v>
      </c>
      <c r="AI31" s="4">
        <v>120.0</v>
      </c>
      <c r="AJ31" s="4">
        <v>2.0</v>
      </c>
      <c r="AK31" s="4">
        <v>590.0</v>
      </c>
      <c r="AL31" s="4">
        <v>8.0</v>
      </c>
      <c r="AM31" s="1" t="s">
        <v>1909</v>
      </c>
      <c r="AN31" s="4">
        <v>1.0</v>
      </c>
      <c r="AO31" s="4">
        <v>3.0</v>
      </c>
      <c r="AP31" s="4"/>
      <c r="AQ31" s="4"/>
      <c r="AR31" s="4"/>
      <c r="AS31" s="4"/>
      <c r="AT31" s="4"/>
      <c r="AU31" s="4"/>
      <c r="AV31" s="4"/>
    </row>
    <row r="32">
      <c r="A32" s="2">
        <v>45510.0</v>
      </c>
      <c r="B32" s="1" t="s">
        <v>61</v>
      </c>
      <c r="C32" s="1" t="s">
        <v>1886</v>
      </c>
      <c r="D32" s="3" t="s">
        <v>41</v>
      </c>
      <c r="E32" s="3" t="s">
        <v>1889</v>
      </c>
      <c r="G32" s="3" t="s">
        <v>1907</v>
      </c>
    </row>
    <row r="33">
      <c r="A33" s="2">
        <v>45510.0</v>
      </c>
      <c r="B33" s="1" t="s">
        <v>61</v>
      </c>
      <c r="C33" s="1" t="s">
        <v>1888</v>
      </c>
      <c r="D33" s="3" t="s">
        <v>45</v>
      </c>
      <c r="E33" s="3" t="s">
        <v>57</v>
      </c>
      <c r="G33" s="3" t="s">
        <v>53</v>
      </c>
    </row>
    <row r="34">
      <c r="A34" s="2">
        <v>45510.0</v>
      </c>
      <c r="B34" s="1" t="s">
        <v>61</v>
      </c>
      <c r="H34" s="1" t="s">
        <v>386</v>
      </c>
      <c r="I34" s="3" t="s">
        <v>63</v>
      </c>
      <c r="J34" s="3" t="s">
        <v>1910</v>
      </c>
      <c r="L34" s="3" t="s">
        <v>47</v>
      </c>
      <c r="M34" s="4">
        <v>9.0</v>
      </c>
    </row>
    <row r="35">
      <c r="A35" s="2">
        <v>45510.0</v>
      </c>
      <c r="B35" s="1" t="s">
        <v>61</v>
      </c>
      <c r="H35" s="1" t="s">
        <v>774</v>
      </c>
      <c r="I35" s="3" t="s">
        <v>1910</v>
      </c>
      <c r="J35" s="3" t="s">
        <v>1889</v>
      </c>
      <c r="L35" s="3" t="s">
        <v>1911</v>
      </c>
      <c r="M35" s="4">
        <v>4.0</v>
      </c>
      <c r="N35" s="1" t="b">
        <v>1</v>
      </c>
      <c r="O35" s="4">
        <v>160.0</v>
      </c>
    </row>
    <row r="36">
      <c r="A36" s="2">
        <v>45510.0</v>
      </c>
      <c r="B36" s="1" t="s">
        <v>61</v>
      </c>
      <c r="P36" s="4">
        <v>0.0</v>
      </c>
      <c r="S36" s="4">
        <v>5221.0</v>
      </c>
      <c r="T36" s="4">
        <v>2789.0</v>
      </c>
      <c r="U36" s="4">
        <v>8431.0</v>
      </c>
      <c r="V36" s="4">
        <v>4625.0</v>
      </c>
      <c r="W36" s="4">
        <v>0.0</v>
      </c>
      <c r="X36" s="4">
        <v>3139.0</v>
      </c>
      <c r="Y36" s="4">
        <v>3812.0</v>
      </c>
      <c r="AA36" s="4">
        <v>5201.0</v>
      </c>
      <c r="AB36" s="4">
        <v>30739.0</v>
      </c>
      <c r="AC36" s="4">
        <v>0.0</v>
      </c>
      <c r="AD36" s="4">
        <v>0.41711239247399273</v>
      </c>
      <c r="AE36" s="4">
        <v>500.0</v>
      </c>
      <c r="AI36" s="4">
        <v>160.0</v>
      </c>
      <c r="AJ36" s="4">
        <v>1.0</v>
      </c>
      <c r="AK36" s="4">
        <v>249.0</v>
      </c>
      <c r="AL36" s="4">
        <v>2.0</v>
      </c>
      <c r="AM36" s="1" t="s">
        <v>1912</v>
      </c>
      <c r="AN36" s="4">
        <v>1.0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1886</v>
      </c>
      <c r="D37" s="3" t="s">
        <v>41</v>
      </c>
      <c r="E37" s="3" t="s">
        <v>1889</v>
      </c>
      <c r="G37" s="3" t="s">
        <v>1907</v>
      </c>
    </row>
    <row r="38">
      <c r="A38" s="2">
        <v>45511.0</v>
      </c>
      <c r="B38" s="1" t="s">
        <v>73</v>
      </c>
      <c r="C38" s="1" t="s">
        <v>1888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H39" s="1" t="s">
        <v>174</v>
      </c>
      <c r="I39" s="3" t="s">
        <v>45</v>
      </c>
      <c r="J39" s="3" t="s">
        <v>1887</v>
      </c>
      <c r="L39" s="3" t="s">
        <v>47</v>
      </c>
      <c r="M39" s="4">
        <v>12.0</v>
      </c>
      <c r="N39" s="1" t="b">
        <v>1</v>
      </c>
      <c r="O39" s="4">
        <v>480.0</v>
      </c>
    </row>
    <row r="40">
      <c r="A40" s="2">
        <v>45511.0</v>
      </c>
      <c r="B40" s="1" t="s">
        <v>73</v>
      </c>
      <c r="H40" s="1" t="s">
        <v>774</v>
      </c>
      <c r="I40" s="3" t="s">
        <v>63</v>
      </c>
      <c r="J40" s="3" t="s">
        <v>45</v>
      </c>
      <c r="L40" s="3" t="s">
        <v>64</v>
      </c>
      <c r="M40" s="4">
        <v>2.0</v>
      </c>
      <c r="N40" s="1" t="b">
        <v>1</v>
      </c>
      <c r="O40" s="4">
        <v>80.0</v>
      </c>
    </row>
    <row r="41">
      <c r="A41" s="2">
        <v>45511.0</v>
      </c>
      <c r="B41" s="1" t="s">
        <v>73</v>
      </c>
      <c r="P41" s="4">
        <v>2.0</v>
      </c>
      <c r="S41" s="4">
        <v>12386.0</v>
      </c>
      <c r="T41" s="4">
        <v>5035.0</v>
      </c>
      <c r="U41" s="4">
        <v>7402.0</v>
      </c>
      <c r="V41" s="4">
        <v>5749.0</v>
      </c>
      <c r="W41" s="4">
        <v>279.0</v>
      </c>
      <c r="X41" s="4">
        <v>1207.0</v>
      </c>
      <c r="Y41" s="4">
        <v>4374.0</v>
      </c>
      <c r="AA41" s="4">
        <v>5546.0</v>
      </c>
      <c r="AB41" s="4">
        <v>41370.5</v>
      </c>
      <c r="AC41" s="4">
        <v>0.5</v>
      </c>
      <c r="AD41" s="4">
        <v>0.32072665673023204</v>
      </c>
      <c r="AH41" s="4">
        <v>40.0</v>
      </c>
      <c r="AI41" s="4">
        <v>560.0</v>
      </c>
      <c r="AJ41" s="4">
        <v>2.0</v>
      </c>
      <c r="AK41" s="4">
        <v>617.0</v>
      </c>
      <c r="AL41" s="4">
        <v>2.0</v>
      </c>
      <c r="AM41" s="1" t="s">
        <v>1913</v>
      </c>
      <c r="AN41" s="4">
        <v>2.0</v>
      </c>
      <c r="AO41" s="4">
        <v>2.0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1884</v>
      </c>
      <c r="C42" s="1" t="s">
        <v>1885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1884</v>
      </c>
      <c r="C43" s="1" t="s">
        <v>1888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1884</v>
      </c>
      <c r="C44" s="1" t="s">
        <v>1886</v>
      </c>
      <c r="D44" s="3" t="s">
        <v>45</v>
      </c>
      <c r="E44" s="3" t="s">
        <v>1887</v>
      </c>
      <c r="G44" s="3" t="s">
        <v>47</v>
      </c>
    </row>
    <row r="45">
      <c r="A45" s="2">
        <v>45512.0</v>
      </c>
      <c r="B45" s="1" t="s">
        <v>1884</v>
      </c>
      <c r="H45" s="1" t="s">
        <v>774</v>
      </c>
      <c r="I45" s="3" t="s">
        <v>63</v>
      </c>
      <c r="J45" s="3" t="s">
        <v>45</v>
      </c>
      <c r="L45" s="3" t="s">
        <v>64</v>
      </c>
      <c r="M45" s="4">
        <v>4.0</v>
      </c>
      <c r="N45" s="1" t="b">
        <v>1</v>
      </c>
      <c r="O45" s="4">
        <v>160.0</v>
      </c>
    </row>
    <row r="46">
      <c r="A46" s="2">
        <v>45512.0</v>
      </c>
      <c r="B46" s="1" t="s">
        <v>1884</v>
      </c>
      <c r="P46" s="4">
        <v>21.0</v>
      </c>
      <c r="S46" s="4">
        <v>10160.0</v>
      </c>
      <c r="T46" s="4">
        <v>5128.0</v>
      </c>
      <c r="U46" s="4">
        <v>14822.0</v>
      </c>
      <c r="V46" s="4">
        <v>12129.0</v>
      </c>
      <c r="W46" s="4">
        <v>789.0</v>
      </c>
      <c r="X46" s="4">
        <v>1841.0</v>
      </c>
      <c r="Y46" s="4">
        <v>4283.0</v>
      </c>
      <c r="AA46" s="4">
        <v>4143.0</v>
      </c>
      <c r="AB46" s="4">
        <v>51612.5</v>
      </c>
      <c r="AC46" s="4">
        <v>1.5</v>
      </c>
      <c r="AD46" s="4">
        <v>0.2649640624317378</v>
      </c>
      <c r="AI46" s="4">
        <v>160.0</v>
      </c>
      <c r="AJ46" s="4">
        <v>0.0</v>
      </c>
      <c r="AK46" s="4">
        <v>0.0</v>
      </c>
      <c r="AL46" s="4">
        <v>7.0</v>
      </c>
      <c r="AM46" s="1" t="s">
        <v>1914</v>
      </c>
      <c r="AN46" s="4">
        <v>1.0</v>
      </c>
      <c r="AO46" s="4">
        <v>13.0</v>
      </c>
      <c r="AP46" s="4"/>
      <c r="AQ46" s="4"/>
      <c r="AR46" s="4"/>
      <c r="AS46" s="4"/>
      <c r="AT46" s="4"/>
      <c r="AU46" s="4"/>
      <c r="AV46" s="4"/>
    </row>
    <row r="47">
      <c r="A47" s="2">
        <v>45513.0</v>
      </c>
      <c r="B47" s="1" t="s">
        <v>39</v>
      </c>
      <c r="C47" s="1" t="s">
        <v>48</v>
      </c>
      <c r="D47" s="3" t="s">
        <v>70</v>
      </c>
      <c r="E47" s="3" t="s">
        <v>42</v>
      </c>
      <c r="G47" s="3" t="s">
        <v>1915</v>
      </c>
    </row>
    <row r="48">
      <c r="A48" s="2">
        <v>45513.0</v>
      </c>
      <c r="B48" s="1" t="s">
        <v>39</v>
      </c>
      <c r="C48" s="1" t="s">
        <v>1888</v>
      </c>
      <c r="D48" s="3" t="s">
        <v>70</v>
      </c>
      <c r="E48" s="3" t="s">
        <v>1894</v>
      </c>
      <c r="G48" s="3" t="s">
        <v>1916</v>
      </c>
    </row>
    <row r="49">
      <c r="A49" s="2">
        <v>45513.0</v>
      </c>
      <c r="B49" s="1" t="s">
        <v>39</v>
      </c>
      <c r="C49" s="1" t="s">
        <v>1886</v>
      </c>
      <c r="D49" s="3" t="s">
        <v>45</v>
      </c>
      <c r="E49" s="3" t="s">
        <v>1887</v>
      </c>
      <c r="G49" s="3" t="s">
        <v>47</v>
      </c>
    </row>
    <row r="50">
      <c r="A50" s="2">
        <v>45513.0</v>
      </c>
      <c r="B50" s="1" t="s">
        <v>39</v>
      </c>
      <c r="C50" s="1" t="s">
        <v>1896</v>
      </c>
      <c r="D50" s="3" t="s">
        <v>63</v>
      </c>
      <c r="E50" s="3" t="s">
        <v>45</v>
      </c>
      <c r="G50" s="3" t="s">
        <v>64</v>
      </c>
    </row>
    <row r="51">
      <c r="A51" s="2">
        <v>45513.0</v>
      </c>
      <c r="B51" s="1" t="s">
        <v>39</v>
      </c>
      <c r="H51" s="1" t="s">
        <v>174</v>
      </c>
      <c r="I51" s="3" t="s">
        <v>70</v>
      </c>
      <c r="J51" s="3" t="s">
        <v>1894</v>
      </c>
      <c r="L51" s="3" t="s">
        <v>1916</v>
      </c>
      <c r="M51" s="4">
        <v>9.0</v>
      </c>
      <c r="N51" s="1" t="b">
        <v>1</v>
      </c>
      <c r="O51" s="4">
        <v>360.0</v>
      </c>
    </row>
    <row r="52">
      <c r="A52" s="2">
        <v>45513.0</v>
      </c>
      <c r="B52" s="1" t="s">
        <v>39</v>
      </c>
      <c r="H52" s="1" t="s">
        <v>774</v>
      </c>
      <c r="I52" s="3" t="s">
        <v>63</v>
      </c>
      <c r="J52" s="3" t="s">
        <v>1917</v>
      </c>
      <c r="L52" s="3" t="s">
        <v>1911</v>
      </c>
      <c r="M52" s="4">
        <v>6.0</v>
      </c>
      <c r="N52" s="1" t="b">
        <v>1</v>
      </c>
      <c r="O52" s="4">
        <v>240.0</v>
      </c>
    </row>
    <row r="53">
      <c r="A53" s="2">
        <v>45513.0</v>
      </c>
      <c r="B53" s="1" t="s">
        <v>39</v>
      </c>
      <c r="P53" s="4">
        <v>3.0</v>
      </c>
      <c r="S53" s="4">
        <v>16935.0</v>
      </c>
      <c r="T53" s="4">
        <v>7346.0</v>
      </c>
      <c r="U53" s="4">
        <v>19283.0</v>
      </c>
      <c r="V53" s="4">
        <v>6060.0</v>
      </c>
      <c r="W53" s="4">
        <v>853.0</v>
      </c>
      <c r="X53" s="4">
        <v>6144.0</v>
      </c>
      <c r="Y53" s="4">
        <v>8348.0</v>
      </c>
      <c r="AA53" s="4">
        <v>6801.0</v>
      </c>
      <c r="AB53" s="4">
        <v>66345.5</v>
      </c>
      <c r="AC53" s="4">
        <v>-119.5</v>
      </c>
      <c r="AD53" s="4">
        <v>0.20463024971185786</v>
      </c>
      <c r="AI53" s="4">
        <v>600.0</v>
      </c>
      <c r="AJ53" s="4">
        <v>2.0</v>
      </c>
      <c r="AK53" s="4">
        <v>1211.0</v>
      </c>
      <c r="AL53" s="4">
        <v>14.0</v>
      </c>
      <c r="AM53" s="1" t="s">
        <v>1918</v>
      </c>
      <c r="AN53" s="4">
        <v>2.0</v>
      </c>
      <c r="AO53" s="4">
        <v>1.0</v>
      </c>
      <c r="AP53" s="4"/>
      <c r="AQ53" s="4"/>
      <c r="AR53" s="4"/>
      <c r="AS53" s="4"/>
      <c r="AT53" s="4"/>
      <c r="AU53" s="4"/>
      <c r="AV53" s="4"/>
    </row>
    <row r="54">
      <c r="A54" s="2">
        <v>45514.0</v>
      </c>
      <c r="B54" s="1" t="s">
        <v>1901</v>
      </c>
      <c r="C54" s="1" t="s">
        <v>1885</v>
      </c>
      <c r="D54" s="3" t="s">
        <v>41</v>
      </c>
      <c r="E54" s="3" t="s">
        <v>62</v>
      </c>
      <c r="G54" s="3" t="s">
        <v>41</v>
      </c>
    </row>
    <row r="55">
      <c r="A55" s="2">
        <v>45514.0</v>
      </c>
      <c r="B55" s="1" t="s">
        <v>1901</v>
      </c>
      <c r="C55" s="1" t="s">
        <v>1888</v>
      </c>
      <c r="D55" s="3" t="s">
        <v>41</v>
      </c>
      <c r="E55" s="3" t="s">
        <v>62</v>
      </c>
      <c r="G55" s="3" t="s">
        <v>41</v>
      </c>
    </row>
    <row r="56">
      <c r="A56" s="2">
        <v>45514.0</v>
      </c>
      <c r="B56" s="1" t="s">
        <v>1901</v>
      </c>
      <c r="C56" s="1" t="s">
        <v>1886</v>
      </c>
      <c r="D56" s="3" t="s">
        <v>45</v>
      </c>
      <c r="E56" s="3" t="s">
        <v>1887</v>
      </c>
      <c r="G56" s="3" t="s">
        <v>47</v>
      </c>
    </row>
    <row r="57">
      <c r="A57" s="2">
        <v>45514.0</v>
      </c>
      <c r="B57" s="1" t="s">
        <v>1901</v>
      </c>
      <c r="C57" s="1" t="s">
        <v>1896</v>
      </c>
      <c r="D57" s="3" t="s">
        <v>63</v>
      </c>
      <c r="E57" s="3" t="s">
        <v>45</v>
      </c>
      <c r="G57" s="3" t="s">
        <v>64</v>
      </c>
    </row>
    <row r="58">
      <c r="A58" s="2">
        <v>45514.0</v>
      </c>
      <c r="B58" s="1" t="s">
        <v>1901</v>
      </c>
      <c r="C58" s="1" t="s">
        <v>1903</v>
      </c>
      <c r="D58" s="3" t="s">
        <v>41</v>
      </c>
      <c r="E58" s="3" t="s">
        <v>45</v>
      </c>
      <c r="G58" s="3" t="s">
        <v>53</v>
      </c>
    </row>
    <row r="59">
      <c r="A59" s="2">
        <v>45514.0</v>
      </c>
      <c r="B59" s="1" t="s">
        <v>1901</v>
      </c>
      <c r="H59" s="1" t="s">
        <v>774</v>
      </c>
      <c r="I59" s="3" t="s">
        <v>1891</v>
      </c>
      <c r="J59" s="3" t="s">
        <v>1894</v>
      </c>
      <c r="L59" s="3" t="s">
        <v>63</v>
      </c>
      <c r="M59" s="4">
        <v>8.0</v>
      </c>
      <c r="N59" s="1" t="b">
        <v>1</v>
      </c>
      <c r="O59" s="4">
        <v>320.0</v>
      </c>
    </row>
    <row r="60">
      <c r="A60" s="2">
        <v>45514.0</v>
      </c>
      <c r="B60" s="1" t="s">
        <v>1901</v>
      </c>
      <c r="H60" s="1" t="s">
        <v>386</v>
      </c>
      <c r="I60" s="3" t="s">
        <v>63</v>
      </c>
      <c r="J60" s="3" t="s">
        <v>1891</v>
      </c>
      <c r="L60" s="3" t="s">
        <v>1892</v>
      </c>
      <c r="M60" s="4">
        <v>7.0</v>
      </c>
    </row>
    <row r="61">
      <c r="A61" s="2">
        <v>45514.0</v>
      </c>
      <c r="B61" s="1" t="s">
        <v>1901</v>
      </c>
      <c r="P61" s="4">
        <v>4.0</v>
      </c>
      <c r="S61" s="4">
        <v>17859.0</v>
      </c>
      <c r="T61" s="4">
        <v>3394.0</v>
      </c>
      <c r="U61" s="4">
        <v>18623.0</v>
      </c>
      <c r="V61" s="4">
        <v>8403.0</v>
      </c>
      <c r="W61" s="4">
        <v>0.0</v>
      </c>
      <c r="X61" s="4">
        <v>3318.0</v>
      </c>
      <c r="Y61" s="4">
        <v>4589.0</v>
      </c>
      <c r="Z61" s="4">
        <v>280.0</v>
      </c>
      <c r="AA61" s="4">
        <v>7778.0</v>
      </c>
      <c r="AB61" s="4">
        <v>61246.0</v>
      </c>
      <c r="AC61" s="4">
        <v>0.0</v>
      </c>
      <c r="AD61" s="4">
        <v>0.3167541637373554</v>
      </c>
      <c r="AI61" s="4">
        <v>320.0</v>
      </c>
      <c r="AJ61" s="4">
        <v>1.0</v>
      </c>
      <c r="AK61" s="4">
        <v>309.0</v>
      </c>
      <c r="AL61" s="4">
        <v>7.0</v>
      </c>
      <c r="AM61" s="1" t="s">
        <v>1919</v>
      </c>
      <c r="AN61" s="4">
        <v>1.0</v>
      </c>
      <c r="AO61" s="4">
        <v>2.0</v>
      </c>
      <c r="AP61" s="4"/>
      <c r="AQ61" s="4"/>
      <c r="AR61" s="4"/>
      <c r="AS61" s="4"/>
      <c r="AT61" s="4"/>
      <c r="AU61" s="4"/>
      <c r="AV61" s="4"/>
    </row>
    <row r="62">
      <c r="A62" s="2">
        <v>45515.0</v>
      </c>
      <c r="B62" s="1" t="s">
        <v>67</v>
      </c>
      <c r="C62" s="1" t="s">
        <v>1885</v>
      </c>
      <c r="D62" s="3" t="s">
        <v>41</v>
      </c>
      <c r="E62" s="3" t="s">
        <v>45</v>
      </c>
      <c r="G62" s="3" t="s">
        <v>53</v>
      </c>
    </row>
    <row r="63">
      <c r="A63" s="2">
        <v>45515.0</v>
      </c>
      <c r="B63" s="1" t="s">
        <v>67</v>
      </c>
      <c r="C63" s="1" t="s">
        <v>1888</v>
      </c>
      <c r="D63" s="3" t="s">
        <v>41</v>
      </c>
      <c r="E63" s="3" t="s">
        <v>1891</v>
      </c>
      <c r="G63" s="3" t="s">
        <v>64</v>
      </c>
    </row>
    <row r="64">
      <c r="A64" s="2">
        <v>45515.0</v>
      </c>
      <c r="B64" s="1" t="s">
        <v>67</v>
      </c>
      <c r="C64" s="1" t="s">
        <v>1896</v>
      </c>
      <c r="D64" s="3" t="s">
        <v>45</v>
      </c>
      <c r="E64" s="3" t="s">
        <v>49</v>
      </c>
      <c r="G64" s="3" t="s">
        <v>64</v>
      </c>
    </row>
    <row r="65">
      <c r="A65" s="2">
        <v>45515.0</v>
      </c>
      <c r="B65" s="1" t="s">
        <v>67</v>
      </c>
      <c r="C65" s="1" t="s">
        <v>1903</v>
      </c>
      <c r="D65" s="3" t="s">
        <v>41</v>
      </c>
      <c r="E65" s="3" t="s">
        <v>45</v>
      </c>
      <c r="G65" s="3" t="s">
        <v>53</v>
      </c>
    </row>
    <row r="66">
      <c r="A66" s="2">
        <v>45515.0</v>
      </c>
      <c r="B66" s="1" t="s">
        <v>67</v>
      </c>
      <c r="H66" s="1" t="s">
        <v>774</v>
      </c>
      <c r="I66" s="3" t="s">
        <v>63</v>
      </c>
      <c r="J66" s="3" t="s">
        <v>70</v>
      </c>
      <c r="L66" s="3" t="s">
        <v>53</v>
      </c>
      <c r="M66" s="4">
        <v>8.0</v>
      </c>
      <c r="N66" s="1" t="b">
        <v>1</v>
      </c>
      <c r="O66" s="4">
        <v>320.0</v>
      </c>
    </row>
    <row r="67">
      <c r="A67" s="2">
        <v>45515.0</v>
      </c>
      <c r="B67" s="1" t="s">
        <v>67</v>
      </c>
      <c r="H67" s="1" t="s">
        <v>174</v>
      </c>
      <c r="I67" s="3" t="s">
        <v>70</v>
      </c>
      <c r="J67" s="3" t="s">
        <v>58</v>
      </c>
      <c r="L67" s="3" t="s">
        <v>1898</v>
      </c>
      <c r="M67" s="4">
        <v>2.0</v>
      </c>
      <c r="N67" s="1" t="b">
        <v>1</v>
      </c>
      <c r="O67" s="4">
        <v>80.0</v>
      </c>
    </row>
    <row r="68">
      <c r="A68" s="2">
        <v>45515.0</v>
      </c>
      <c r="B68" s="1" t="s">
        <v>67</v>
      </c>
      <c r="P68" s="4">
        <v>9.0</v>
      </c>
      <c r="S68" s="4">
        <v>17293.0</v>
      </c>
      <c r="T68" s="4">
        <v>3759.0</v>
      </c>
      <c r="U68" s="4">
        <v>13259.0</v>
      </c>
      <c r="V68" s="4">
        <v>8512.5</v>
      </c>
      <c r="W68" s="4">
        <v>1189.0</v>
      </c>
      <c r="X68" s="4">
        <v>3416.0</v>
      </c>
      <c r="Y68" s="4">
        <v>4606.0</v>
      </c>
      <c r="AA68" s="4">
        <v>5644.0</v>
      </c>
      <c r="AB68" s="4">
        <v>54563.5</v>
      </c>
      <c r="AC68" s="4">
        <v>99.0</v>
      </c>
      <c r="AD68" s="4">
        <v>0.26893502492065324</v>
      </c>
      <c r="AI68" s="4">
        <v>400.0</v>
      </c>
      <c r="AJ68" s="4">
        <v>3.0</v>
      </c>
      <c r="AK68" s="4">
        <v>1041.0</v>
      </c>
      <c r="AL68" s="4">
        <v>9.0</v>
      </c>
      <c r="AM68" s="1" t="s">
        <v>1920</v>
      </c>
      <c r="AN68" s="4">
        <v>2.0</v>
      </c>
      <c r="AO68" s="4">
        <v>6.0</v>
      </c>
      <c r="AP68" s="4"/>
      <c r="AQ68" s="4"/>
      <c r="AR68" s="4"/>
      <c r="AS68" s="4"/>
      <c r="AT68" s="4"/>
      <c r="AU68" s="4"/>
      <c r="AV68" s="4"/>
    </row>
    <row r="69">
      <c r="A69" s="2">
        <v>45516.0</v>
      </c>
      <c r="B69" s="1" t="s">
        <v>69</v>
      </c>
      <c r="C69" s="1" t="s">
        <v>48</v>
      </c>
      <c r="D69" s="3" t="s">
        <v>41</v>
      </c>
      <c r="E69" s="3" t="s">
        <v>1887</v>
      </c>
      <c r="G69" s="3" t="s">
        <v>1921</v>
      </c>
    </row>
    <row r="70">
      <c r="A70" s="2">
        <v>45516.0</v>
      </c>
      <c r="B70" s="1" t="s">
        <v>69</v>
      </c>
      <c r="C70" s="1" t="s">
        <v>1922</v>
      </c>
      <c r="D70" s="3" t="s">
        <v>45</v>
      </c>
      <c r="E70" s="3" t="s">
        <v>49</v>
      </c>
      <c r="G70" s="3" t="s">
        <v>64</v>
      </c>
    </row>
    <row r="71">
      <c r="A71" s="2">
        <v>45516.0</v>
      </c>
      <c r="B71" s="1" t="s">
        <v>69</v>
      </c>
      <c r="H71" s="1" t="s">
        <v>774</v>
      </c>
      <c r="I71" s="3" t="s">
        <v>63</v>
      </c>
      <c r="J71" s="3" t="s">
        <v>1910</v>
      </c>
      <c r="L71" s="3" t="s">
        <v>47</v>
      </c>
      <c r="M71" s="4">
        <v>10.0</v>
      </c>
      <c r="N71" s="1" t="b">
        <v>1</v>
      </c>
      <c r="O71" s="4">
        <v>400.0</v>
      </c>
    </row>
    <row r="72">
      <c r="A72" s="2">
        <v>45516.0</v>
      </c>
      <c r="B72" s="1" t="s">
        <v>69</v>
      </c>
      <c r="H72" s="1" t="s">
        <v>386</v>
      </c>
      <c r="I72" s="3" t="s">
        <v>41</v>
      </c>
      <c r="J72" s="3" t="s">
        <v>1897</v>
      </c>
      <c r="L72" s="3" t="s">
        <v>1911</v>
      </c>
      <c r="M72" s="4">
        <v>2.0</v>
      </c>
    </row>
    <row r="73">
      <c r="A73" s="2">
        <v>45516.0</v>
      </c>
      <c r="B73" s="1" t="s">
        <v>69</v>
      </c>
      <c r="P73" s="4">
        <v>4.0</v>
      </c>
      <c r="S73" s="4">
        <v>8235.0</v>
      </c>
      <c r="T73" s="4">
        <v>3693.0</v>
      </c>
      <c r="U73" s="4">
        <v>14658.0</v>
      </c>
      <c r="V73" s="4">
        <v>5426.0</v>
      </c>
      <c r="W73" s="4">
        <v>927.0</v>
      </c>
      <c r="X73" s="4">
        <v>626.0</v>
      </c>
      <c r="Y73" s="4">
        <v>2376.0</v>
      </c>
      <c r="AA73" s="4">
        <v>3041.0</v>
      </c>
      <c r="AB73" s="4">
        <v>38756.0</v>
      </c>
      <c r="AC73" s="4">
        <v>0.0</v>
      </c>
      <c r="AD73" s="4">
        <v>0.2332365918117985</v>
      </c>
      <c r="AI73" s="4">
        <v>400.0</v>
      </c>
      <c r="AJ73" s="4">
        <v>1.0</v>
      </c>
      <c r="AK73" s="4">
        <v>792.0</v>
      </c>
      <c r="AL73" s="4">
        <v>1.0</v>
      </c>
      <c r="AM73" s="1" t="s">
        <v>1913</v>
      </c>
      <c r="AN73" s="4">
        <v>1.0</v>
      </c>
      <c r="AO73" s="4">
        <v>2.0</v>
      </c>
      <c r="AP73" s="4"/>
      <c r="AQ73" s="4"/>
      <c r="AR73" s="4"/>
      <c r="AS73" s="4"/>
      <c r="AT73" s="4"/>
      <c r="AU73" s="4"/>
      <c r="AV73" s="4"/>
    </row>
    <row r="74">
      <c r="A74" s="2">
        <v>45517.0</v>
      </c>
      <c r="B74" s="1" t="s">
        <v>61</v>
      </c>
      <c r="C74" s="1" t="s">
        <v>48</v>
      </c>
      <c r="D74" s="3" t="s">
        <v>41</v>
      </c>
      <c r="E74" s="3" t="s">
        <v>1887</v>
      </c>
      <c r="G74" s="3" t="s">
        <v>1921</v>
      </c>
    </row>
    <row r="75">
      <c r="A75" s="2">
        <v>45517.0</v>
      </c>
      <c r="B75" s="1" t="s">
        <v>61</v>
      </c>
      <c r="H75" s="1" t="s">
        <v>774</v>
      </c>
      <c r="I75" s="3" t="s">
        <v>63</v>
      </c>
      <c r="J75" s="3" t="s">
        <v>1910</v>
      </c>
      <c r="L75" s="3" t="s">
        <v>47</v>
      </c>
      <c r="M75" s="4">
        <v>12.0</v>
      </c>
      <c r="N75" s="1" t="b">
        <v>1</v>
      </c>
      <c r="O75" s="4">
        <v>480.0</v>
      </c>
    </row>
    <row r="76">
      <c r="A76" s="2">
        <v>45517.0</v>
      </c>
      <c r="B76" s="1" t="s">
        <v>61</v>
      </c>
      <c r="H76" s="1" t="s">
        <v>1923</v>
      </c>
      <c r="I76" s="3" t="s">
        <v>70</v>
      </c>
      <c r="J76" s="3" t="s">
        <v>1887</v>
      </c>
      <c r="L76" s="3" t="s">
        <v>53</v>
      </c>
    </row>
    <row r="77">
      <c r="A77" s="2">
        <v>45517.0</v>
      </c>
      <c r="B77" s="1" t="s">
        <v>61</v>
      </c>
      <c r="H77" s="1" t="s">
        <v>386</v>
      </c>
      <c r="I77" s="3" t="s">
        <v>41</v>
      </c>
      <c r="J77" s="3" t="s">
        <v>1897</v>
      </c>
      <c r="L77" s="3" t="s">
        <v>1911</v>
      </c>
      <c r="M77" s="4">
        <v>6.0</v>
      </c>
    </row>
    <row r="78">
      <c r="A78" s="2">
        <v>45517.0</v>
      </c>
      <c r="B78" s="1" t="s">
        <v>61</v>
      </c>
      <c r="P78" s="4">
        <v>3.0</v>
      </c>
      <c r="S78" s="4">
        <v>10654.0</v>
      </c>
      <c r="T78" s="4">
        <v>6023.0</v>
      </c>
      <c r="U78" s="4">
        <v>9265.0</v>
      </c>
      <c r="V78" s="4">
        <v>7197.0</v>
      </c>
      <c r="W78" s="4">
        <v>0.0</v>
      </c>
      <c r="X78" s="4">
        <v>3902.0</v>
      </c>
      <c r="Y78" s="4">
        <v>2009.0</v>
      </c>
      <c r="Z78" s="4">
        <v>400.0</v>
      </c>
      <c r="AA78" s="4">
        <v>6541.0</v>
      </c>
      <c r="AB78" s="4">
        <v>42569.0</v>
      </c>
      <c r="AC78" s="4">
        <v>0.0</v>
      </c>
      <c r="AD78" s="4">
        <v>0.20040675402894276</v>
      </c>
      <c r="AI78" s="4">
        <v>480.0</v>
      </c>
      <c r="AJ78" s="4">
        <v>0.0</v>
      </c>
      <c r="AK78" s="4">
        <v>0.0</v>
      </c>
      <c r="AL78" s="4">
        <v>4.0</v>
      </c>
      <c r="AM78" s="1" t="s">
        <v>1905</v>
      </c>
      <c r="AN78" s="4">
        <v>1.0</v>
      </c>
      <c r="AO78" s="4">
        <v>2.0</v>
      </c>
      <c r="AP78" s="4"/>
      <c r="AQ78" s="4"/>
      <c r="AR78" s="4"/>
      <c r="AS78" s="4"/>
      <c r="AT78" s="4"/>
      <c r="AU78" s="4"/>
      <c r="AV78" s="4"/>
    </row>
    <row r="79">
      <c r="A79" s="2">
        <v>45518.0</v>
      </c>
      <c r="B79" s="1" t="s">
        <v>73</v>
      </c>
      <c r="C79" s="1" t="s">
        <v>48</v>
      </c>
      <c r="D79" s="3" t="s">
        <v>41</v>
      </c>
      <c r="E79" s="3" t="s">
        <v>45</v>
      </c>
      <c r="G79" s="3" t="s">
        <v>53</v>
      </c>
    </row>
    <row r="80">
      <c r="A80" s="2">
        <v>45518.0</v>
      </c>
      <c r="B80" s="1" t="s">
        <v>73</v>
      </c>
      <c r="C80" s="1" t="s">
        <v>1924</v>
      </c>
      <c r="D80" s="3" t="s">
        <v>70</v>
      </c>
      <c r="E80" s="3" t="s">
        <v>1887</v>
      </c>
      <c r="G80" s="3" t="s">
        <v>53</v>
      </c>
    </row>
    <row r="81">
      <c r="A81" s="2">
        <v>45518.0</v>
      </c>
      <c r="B81" s="1" t="s">
        <v>73</v>
      </c>
      <c r="C81" s="1" t="s">
        <v>1888</v>
      </c>
      <c r="D81" s="3" t="s">
        <v>45</v>
      </c>
      <c r="E81" s="3" t="s">
        <v>56</v>
      </c>
      <c r="G81" s="3" t="s">
        <v>1908</v>
      </c>
    </row>
    <row r="82">
      <c r="A82" s="2">
        <v>45518.0</v>
      </c>
      <c r="B82" s="1" t="s">
        <v>73</v>
      </c>
      <c r="H82" s="1" t="s">
        <v>774</v>
      </c>
      <c r="I82" s="3" t="s">
        <v>63</v>
      </c>
      <c r="J82" s="3" t="s">
        <v>1925</v>
      </c>
      <c r="L82" s="3" t="s">
        <v>1890</v>
      </c>
      <c r="M82" s="4">
        <v>4.0</v>
      </c>
      <c r="N82" s="1" t="b">
        <v>1</v>
      </c>
      <c r="O82" s="4">
        <v>160.0</v>
      </c>
    </row>
    <row r="83">
      <c r="A83" s="2">
        <v>45518.0</v>
      </c>
      <c r="B83" s="1" t="s">
        <v>73</v>
      </c>
      <c r="H83" s="1" t="s">
        <v>174</v>
      </c>
      <c r="I83" s="3" t="s">
        <v>1895</v>
      </c>
      <c r="J83" s="3" t="s">
        <v>1894</v>
      </c>
      <c r="L83" s="3" t="s">
        <v>1890</v>
      </c>
      <c r="M83" s="4">
        <v>17.0</v>
      </c>
      <c r="N83" s="1" t="b">
        <v>1</v>
      </c>
      <c r="O83" s="4">
        <v>680.0</v>
      </c>
    </row>
    <row r="84">
      <c r="A84" s="2">
        <v>45518.0</v>
      </c>
      <c r="B84" s="1" t="s">
        <v>73</v>
      </c>
      <c r="P84" s="4">
        <v>0.0</v>
      </c>
      <c r="S84" s="4">
        <v>10966.0</v>
      </c>
      <c r="T84" s="4">
        <v>6445.0</v>
      </c>
      <c r="U84" s="4">
        <v>12753.0</v>
      </c>
      <c r="V84" s="4">
        <v>6883.5</v>
      </c>
      <c r="W84" s="4">
        <v>0.0</v>
      </c>
      <c r="X84" s="4">
        <v>1605.0</v>
      </c>
      <c r="Y84" s="4">
        <v>4260.0</v>
      </c>
      <c r="AA84" s="4">
        <v>2388.0</v>
      </c>
      <c r="AB84" s="4">
        <v>44535.5</v>
      </c>
      <c r="AC84" s="4">
        <v>0.0</v>
      </c>
      <c r="AD84" s="4">
        <v>0.2747305657791664</v>
      </c>
      <c r="AI84" s="4">
        <v>840.0</v>
      </c>
      <c r="AJ84" s="4">
        <v>1.0</v>
      </c>
      <c r="AK84" s="4">
        <v>309.0</v>
      </c>
      <c r="AL84" s="4">
        <v>7.0</v>
      </c>
      <c r="AM84" s="1" t="s">
        <v>1909</v>
      </c>
      <c r="AN84" s="4">
        <v>2.0</v>
      </c>
      <c r="AO84" s="4">
        <v>0.0</v>
      </c>
      <c r="AP84" s="4"/>
      <c r="AQ84" s="4"/>
      <c r="AR84" s="4"/>
      <c r="AS84" s="4"/>
      <c r="AT84" s="4"/>
      <c r="AU84" s="4"/>
      <c r="AV84" s="4"/>
    </row>
    <row r="85">
      <c r="A85" s="2">
        <v>45519.0</v>
      </c>
      <c r="B85" s="1" t="s">
        <v>1884</v>
      </c>
      <c r="C85" s="1" t="s">
        <v>48</v>
      </c>
      <c r="D85" s="3" t="s">
        <v>45</v>
      </c>
      <c r="E85" s="3" t="s">
        <v>1887</v>
      </c>
      <c r="G85" s="3" t="s">
        <v>47</v>
      </c>
    </row>
    <row r="86">
      <c r="A86" s="2">
        <v>45519.0</v>
      </c>
      <c r="B86" s="1" t="s">
        <v>1884</v>
      </c>
      <c r="C86" s="1" t="s">
        <v>1885</v>
      </c>
      <c r="D86" s="3" t="s">
        <v>41</v>
      </c>
      <c r="E86" s="3" t="s">
        <v>45</v>
      </c>
      <c r="G86" s="3" t="s">
        <v>53</v>
      </c>
    </row>
    <row r="87">
      <c r="A87" s="2">
        <v>45519.0</v>
      </c>
      <c r="B87" s="1" t="s">
        <v>1884</v>
      </c>
      <c r="C87" s="1" t="s">
        <v>1922</v>
      </c>
      <c r="D87" s="3" t="s">
        <v>70</v>
      </c>
      <c r="E87" s="3" t="s">
        <v>56</v>
      </c>
      <c r="G87" s="3" t="s">
        <v>1911</v>
      </c>
    </row>
    <row r="88">
      <c r="A88" s="2">
        <v>45519.0</v>
      </c>
      <c r="B88" s="1" t="s">
        <v>1884</v>
      </c>
      <c r="H88" s="1" t="s">
        <v>386</v>
      </c>
      <c r="I88" s="3" t="s">
        <v>1899</v>
      </c>
      <c r="J88" s="3" t="s">
        <v>45</v>
      </c>
      <c r="L88" s="3" t="s">
        <v>1911</v>
      </c>
      <c r="M88" s="4">
        <v>5.0</v>
      </c>
    </row>
    <row r="89">
      <c r="A89" s="2">
        <v>45519.0</v>
      </c>
      <c r="B89" s="1" t="s">
        <v>1884</v>
      </c>
      <c r="H89" s="1" t="s">
        <v>174</v>
      </c>
      <c r="I89" s="3" t="s">
        <v>45</v>
      </c>
      <c r="J89" s="3" t="s">
        <v>1887</v>
      </c>
      <c r="L89" s="3" t="s">
        <v>47</v>
      </c>
      <c r="M89" s="4">
        <v>15.0</v>
      </c>
      <c r="N89" s="1" t="b">
        <v>1</v>
      </c>
      <c r="O89" s="4">
        <v>600.0</v>
      </c>
    </row>
    <row r="90">
      <c r="A90" s="2">
        <v>45519.0</v>
      </c>
      <c r="B90" s="1" t="s">
        <v>1884</v>
      </c>
      <c r="P90" s="4">
        <v>4.0</v>
      </c>
      <c r="S90" s="4">
        <v>10457.0</v>
      </c>
      <c r="T90" s="4">
        <v>4299.0</v>
      </c>
      <c r="U90" s="4">
        <v>12406.0</v>
      </c>
      <c r="V90" s="4">
        <v>8640.5</v>
      </c>
      <c r="W90" s="4">
        <v>294.0</v>
      </c>
      <c r="X90" s="4">
        <v>3311.0</v>
      </c>
      <c r="Y90" s="4">
        <v>3857.0</v>
      </c>
      <c r="Z90" s="4">
        <v>145.0</v>
      </c>
      <c r="AA90" s="4">
        <v>5512.0</v>
      </c>
      <c r="AB90" s="4">
        <v>46710.5</v>
      </c>
      <c r="AC90" s="4">
        <v>0.0</v>
      </c>
      <c r="AD90" s="4">
        <v>0.2481525633906309</v>
      </c>
      <c r="AE90" s="4">
        <v>500.0</v>
      </c>
      <c r="AI90" s="4">
        <v>600.0</v>
      </c>
      <c r="AJ90" s="4">
        <v>0.0</v>
      </c>
      <c r="AK90" s="4">
        <v>0.0</v>
      </c>
      <c r="AL90" s="4">
        <v>10.0</v>
      </c>
      <c r="AM90" s="1" t="s">
        <v>1926</v>
      </c>
      <c r="AN90" s="4">
        <v>1.0</v>
      </c>
      <c r="AO90" s="4">
        <v>4.0</v>
      </c>
      <c r="AP90" s="4"/>
      <c r="AQ90" s="4"/>
      <c r="AR90" s="4"/>
      <c r="AS90" s="4"/>
      <c r="AT90" s="4"/>
      <c r="AU90" s="4"/>
      <c r="AV90" s="4"/>
    </row>
    <row r="91">
      <c r="A91" s="2">
        <v>45520.0</v>
      </c>
      <c r="B91" s="1" t="s">
        <v>39</v>
      </c>
      <c r="C91" s="1" t="s">
        <v>48</v>
      </c>
      <c r="D91" s="3" t="s">
        <v>45</v>
      </c>
      <c r="E91" s="3" t="s">
        <v>1887</v>
      </c>
      <c r="G91" s="3" t="s">
        <v>47</v>
      </c>
    </row>
    <row r="92">
      <c r="A92" s="2">
        <v>45520.0</v>
      </c>
      <c r="B92" s="1" t="s">
        <v>39</v>
      </c>
      <c r="C92" s="1" t="s">
        <v>1885</v>
      </c>
      <c r="D92" s="3" t="s">
        <v>41</v>
      </c>
      <c r="E92" s="3" t="s">
        <v>45</v>
      </c>
      <c r="G92" s="3" t="s">
        <v>53</v>
      </c>
    </row>
    <row r="93">
      <c r="A93" s="2">
        <v>45520.0</v>
      </c>
      <c r="B93" s="1" t="s">
        <v>39</v>
      </c>
      <c r="C93" s="1" t="s">
        <v>1922</v>
      </c>
      <c r="D93" s="3" t="s">
        <v>70</v>
      </c>
      <c r="E93" s="3" t="s">
        <v>56</v>
      </c>
      <c r="G93" s="3" t="s">
        <v>1911</v>
      </c>
    </row>
    <row r="94">
      <c r="A94" s="2">
        <v>45520.0</v>
      </c>
      <c r="B94" s="1" t="s">
        <v>39</v>
      </c>
      <c r="H94" s="1" t="s">
        <v>386</v>
      </c>
      <c r="I94" s="3" t="s">
        <v>1899</v>
      </c>
      <c r="J94" s="3" t="s">
        <v>45</v>
      </c>
      <c r="L94" s="3" t="s">
        <v>1911</v>
      </c>
      <c r="M94" s="4">
        <v>8.0</v>
      </c>
    </row>
    <row r="95">
      <c r="A95" s="2">
        <v>45520.0</v>
      </c>
      <c r="B95" s="1" t="s">
        <v>39</v>
      </c>
      <c r="H95" s="1" t="s">
        <v>174</v>
      </c>
      <c r="I95" s="3" t="s">
        <v>45</v>
      </c>
      <c r="J95" s="3" t="s">
        <v>1887</v>
      </c>
      <c r="L95" s="3" t="s">
        <v>47</v>
      </c>
      <c r="N95" s="1" t="b">
        <v>1</v>
      </c>
    </row>
    <row r="96">
      <c r="A96" s="2">
        <v>45520.0</v>
      </c>
      <c r="B96" s="1" t="s">
        <v>39</v>
      </c>
      <c r="P96" s="4">
        <v>1.0</v>
      </c>
      <c r="S96" s="4">
        <v>3239.0</v>
      </c>
      <c r="T96" s="4">
        <v>1670.0</v>
      </c>
      <c r="U96" s="4">
        <v>4658.0</v>
      </c>
      <c r="V96" s="4">
        <v>4236.0</v>
      </c>
      <c r="W96" s="4">
        <v>0.0</v>
      </c>
      <c r="X96" s="4">
        <v>0.0</v>
      </c>
      <c r="AB96" s="4">
        <v>15821.0</v>
      </c>
      <c r="AC96" s="4">
        <v>-2018.0</v>
      </c>
      <c r="AD96" s="4">
        <v>0.6632077815724711</v>
      </c>
      <c r="AI96" s="4">
        <v>0.0</v>
      </c>
      <c r="AJ96" s="4">
        <v>1.0</v>
      </c>
      <c r="AK96" s="4">
        <v>249.0</v>
      </c>
      <c r="AL96" s="4">
        <v>0.0</v>
      </c>
      <c r="AM96" s="1" t="s">
        <v>1927</v>
      </c>
      <c r="AN96" s="4">
        <v>0.0</v>
      </c>
      <c r="AO96" s="4">
        <v>0.0</v>
      </c>
      <c r="AP96" s="4"/>
      <c r="AQ96" s="4"/>
      <c r="AR96" s="4"/>
      <c r="AS96" s="4"/>
      <c r="AT96" s="4"/>
      <c r="AU96" s="4"/>
      <c r="AV96" s="4"/>
    </row>
    <row r="97">
      <c r="A97" s="2">
        <v>45521.0</v>
      </c>
      <c r="B97" s="1" t="s">
        <v>1901</v>
      </c>
      <c r="C97" s="1" t="s">
        <v>1903</v>
      </c>
      <c r="D97" s="3" t="s">
        <v>41</v>
      </c>
      <c r="E97" s="3" t="s">
        <v>45</v>
      </c>
      <c r="G97" s="3" t="s">
        <v>53</v>
      </c>
    </row>
    <row r="98">
      <c r="A98" s="2">
        <v>45521.0</v>
      </c>
      <c r="B98" s="1" t="s">
        <v>1901</v>
      </c>
      <c r="C98" s="1" t="s">
        <v>1885</v>
      </c>
      <c r="D98" s="3" t="s">
        <v>45</v>
      </c>
      <c r="E98" s="3" t="s">
        <v>1894</v>
      </c>
      <c r="G98" s="3" t="s">
        <v>41</v>
      </c>
    </row>
    <row r="99">
      <c r="A99" s="2">
        <v>45521.0</v>
      </c>
      <c r="B99" s="1" t="s">
        <v>1901</v>
      </c>
      <c r="C99" s="1" t="s">
        <v>1888</v>
      </c>
      <c r="D99" s="3" t="s">
        <v>45</v>
      </c>
      <c r="E99" s="3" t="s">
        <v>1894</v>
      </c>
      <c r="G99" s="3" t="s">
        <v>41</v>
      </c>
    </row>
    <row r="100">
      <c r="A100" s="2">
        <v>45521.0</v>
      </c>
      <c r="B100" s="1" t="s">
        <v>1901</v>
      </c>
      <c r="H100" s="1" t="s">
        <v>386</v>
      </c>
      <c r="I100" s="3" t="s">
        <v>1899</v>
      </c>
      <c r="J100" s="3" t="s">
        <v>42</v>
      </c>
      <c r="L100" s="3" t="s">
        <v>1928</v>
      </c>
      <c r="M100" s="4">
        <v>12.0</v>
      </c>
    </row>
    <row r="101">
      <c r="A101" s="2">
        <v>45521.0</v>
      </c>
      <c r="B101" s="1" t="s">
        <v>1901</v>
      </c>
      <c r="P101" s="4">
        <v>8.0</v>
      </c>
      <c r="S101" s="4">
        <v>15110.0</v>
      </c>
      <c r="T101" s="4">
        <v>3877.0</v>
      </c>
      <c r="U101" s="4">
        <v>16058.0</v>
      </c>
      <c r="V101" s="4">
        <v>9383.0</v>
      </c>
      <c r="W101" s="4">
        <v>1627.0</v>
      </c>
      <c r="X101" s="4">
        <v>1341.0</v>
      </c>
      <c r="Y101" s="1">
        <v>3564.0</v>
      </c>
      <c r="AA101" s="4">
        <v>3496.0</v>
      </c>
      <c r="AB101" s="4">
        <v>53615.0</v>
      </c>
      <c r="AC101" s="4">
        <v>0.0</v>
      </c>
      <c r="AD101" s="4">
        <v>0.27245254037597805</v>
      </c>
      <c r="AE101" s="4">
        <v>500.0</v>
      </c>
      <c r="AI101" s="4">
        <v>0.0</v>
      </c>
      <c r="AJ101" s="4">
        <v>0.0</v>
      </c>
      <c r="AK101" s="4">
        <v>0.0</v>
      </c>
      <c r="AL101" s="4">
        <v>7.0</v>
      </c>
      <c r="AM101" s="1" t="s">
        <v>1929</v>
      </c>
      <c r="AN101" s="4">
        <v>0.0</v>
      </c>
      <c r="AO101" s="4">
        <v>4.0</v>
      </c>
      <c r="AP101" s="4"/>
      <c r="AQ101" s="4"/>
      <c r="AR101" s="4"/>
      <c r="AS101" s="4"/>
      <c r="AT101" s="4"/>
      <c r="AU101" s="4"/>
      <c r="AV101" s="4"/>
    </row>
    <row r="102">
      <c r="A102" s="2">
        <v>45522.0</v>
      </c>
      <c r="B102" s="1" t="s">
        <v>67</v>
      </c>
      <c r="C102" s="1" t="s">
        <v>1903</v>
      </c>
      <c r="D102" s="3" t="s">
        <v>41</v>
      </c>
      <c r="E102" s="3" t="s">
        <v>45</v>
      </c>
      <c r="G102" s="3" t="s">
        <v>53</v>
      </c>
    </row>
    <row r="103">
      <c r="A103" s="2">
        <v>45522.0</v>
      </c>
      <c r="B103" s="1" t="s">
        <v>67</v>
      </c>
      <c r="C103" s="1" t="s">
        <v>1885</v>
      </c>
      <c r="D103" s="3" t="s">
        <v>45</v>
      </c>
      <c r="E103" s="3" t="s">
        <v>57</v>
      </c>
      <c r="G103" s="3" t="s">
        <v>53</v>
      </c>
    </row>
    <row r="104">
      <c r="A104" s="2">
        <v>45522.0</v>
      </c>
      <c r="B104" s="1" t="s">
        <v>67</v>
      </c>
      <c r="C104" s="1" t="s">
        <v>1888</v>
      </c>
      <c r="D104" s="3" t="s">
        <v>45</v>
      </c>
      <c r="E104" s="3" t="s">
        <v>57</v>
      </c>
      <c r="G104" s="3" t="s">
        <v>53</v>
      </c>
    </row>
    <row r="105">
      <c r="A105" s="2">
        <v>45522.0</v>
      </c>
      <c r="B105" s="1" t="s">
        <v>67</v>
      </c>
      <c r="C105" s="1" t="s">
        <v>1896</v>
      </c>
      <c r="D105" s="3" t="s">
        <v>63</v>
      </c>
      <c r="E105" s="3" t="s">
        <v>45</v>
      </c>
      <c r="G105" s="3" t="s">
        <v>64</v>
      </c>
    </row>
    <row r="106">
      <c r="A106" s="2">
        <v>45522.0</v>
      </c>
      <c r="B106" s="1" t="s">
        <v>67</v>
      </c>
      <c r="H106" s="1" t="s">
        <v>774</v>
      </c>
      <c r="I106" s="3" t="s">
        <v>63</v>
      </c>
      <c r="J106" s="3" t="s">
        <v>45</v>
      </c>
      <c r="L106" s="3" t="s">
        <v>64</v>
      </c>
      <c r="M106" s="4">
        <v>8.0</v>
      </c>
      <c r="N106" s="1" t="b">
        <v>1</v>
      </c>
      <c r="O106" s="4">
        <v>320.0</v>
      </c>
    </row>
    <row r="107">
      <c r="A107" s="2">
        <v>45522.0</v>
      </c>
      <c r="B107" s="1" t="s">
        <v>67</v>
      </c>
      <c r="H107" s="1" t="s">
        <v>174</v>
      </c>
      <c r="I107" s="3" t="s">
        <v>45</v>
      </c>
      <c r="J107" s="3" t="s">
        <v>57</v>
      </c>
      <c r="L107" s="3" t="s">
        <v>53</v>
      </c>
      <c r="M107" s="4">
        <v>16.0</v>
      </c>
      <c r="N107" s="1" t="b">
        <v>1</v>
      </c>
      <c r="O107" s="4">
        <v>640.0</v>
      </c>
    </row>
    <row r="108">
      <c r="A108" s="2">
        <v>45522.0</v>
      </c>
      <c r="B108" s="1" t="s">
        <v>67</v>
      </c>
      <c r="P108" s="4">
        <v>12.0</v>
      </c>
      <c r="S108" s="4">
        <v>9648.0</v>
      </c>
      <c r="T108" s="4">
        <v>3698.0</v>
      </c>
      <c r="U108" s="4">
        <v>11901.0</v>
      </c>
      <c r="V108" s="4">
        <v>12865.5</v>
      </c>
      <c r="W108" s="4">
        <v>1595.0</v>
      </c>
      <c r="X108" s="4">
        <v>1276.0</v>
      </c>
      <c r="Y108" s="4">
        <v>3741.0</v>
      </c>
      <c r="AA108" s="4">
        <v>4973.0</v>
      </c>
      <c r="AB108" s="4">
        <v>49381.5</v>
      </c>
      <c r="AC108" s="4">
        <v>0.0</v>
      </c>
      <c r="AD108" s="4">
        <v>0.32620698991035235</v>
      </c>
      <c r="AI108" s="4">
        <v>960.0</v>
      </c>
      <c r="AJ108" s="4">
        <v>0.0</v>
      </c>
      <c r="AK108" s="4">
        <v>0.0</v>
      </c>
      <c r="AL108" s="4">
        <v>8.0</v>
      </c>
      <c r="AM108" s="1" t="s">
        <v>1930</v>
      </c>
      <c r="AN108" s="4">
        <v>2.0</v>
      </c>
      <c r="AO108" s="4">
        <v>5.0</v>
      </c>
      <c r="AP108" s="4"/>
      <c r="AQ108" s="4"/>
      <c r="AR108" s="4"/>
      <c r="AS108" s="4"/>
      <c r="AT108" s="4"/>
      <c r="AU108" s="4"/>
      <c r="AV108" s="4"/>
    </row>
    <row r="109">
      <c r="A109" s="2">
        <v>45523.0</v>
      </c>
      <c r="B109" s="1" t="s">
        <v>69</v>
      </c>
      <c r="C109" s="1" t="s">
        <v>1886</v>
      </c>
      <c r="D109" s="3" t="s">
        <v>41</v>
      </c>
      <c r="E109" s="3" t="s">
        <v>45</v>
      </c>
      <c r="G109" s="3" t="s">
        <v>53</v>
      </c>
    </row>
    <row r="110">
      <c r="A110" s="2">
        <v>45523.0</v>
      </c>
      <c r="B110" s="1" t="s">
        <v>69</v>
      </c>
      <c r="C110" s="1" t="s">
        <v>48</v>
      </c>
      <c r="D110" s="3" t="s">
        <v>45</v>
      </c>
      <c r="E110" s="3" t="s">
        <v>46</v>
      </c>
      <c r="G110" s="3" t="s">
        <v>47</v>
      </c>
    </row>
    <row r="111">
      <c r="A111" s="2">
        <v>45523.0</v>
      </c>
      <c r="B111" s="1" t="s">
        <v>69</v>
      </c>
      <c r="C111" s="1" t="s">
        <v>1922</v>
      </c>
      <c r="D111" s="3" t="s">
        <v>45</v>
      </c>
      <c r="E111" s="3" t="s">
        <v>46</v>
      </c>
      <c r="G111" s="3" t="s">
        <v>47</v>
      </c>
    </row>
    <row r="112">
      <c r="A112" s="2">
        <v>45523.0</v>
      </c>
      <c r="B112" s="1" t="s">
        <v>69</v>
      </c>
      <c r="H112" s="1" t="s">
        <v>386</v>
      </c>
      <c r="I112" s="3" t="s">
        <v>63</v>
      </c>
      <c r="J112" s="3" t="s">
        <v>45</v>
      </c>
      <c r="L112" s="3" t="s">
        <v>64</v>
      </c>
      <c r="N112" s="1" t="b">
        <v>1</v>
      </c>
    </row>
    <row r="113">
      <c r="A113" s="2">
        <v>45523.0</v>
      </c>
      <c r="B113" s="1" t="s">
        <v>69</v>
      </c>
      <c r="H113" s="1" t="s">
        <v>774</v>
      </c>
      <c r="I113" s="3" t="s">
        <v>45</v>
      </c>
      <c r="J113" s="3" t="s">
        <v>46</v>
      </c>
      <c r="L113" s="3" t="s">
        <v>47</v>
      </c>
      <c r="N113" s="1" t="b">
        <v>1</v>
      </c>
    </row>
    <row r="114">
      <c r="A114" s="2">
        <v>45523.0</v>
      </c>
      <c r="B114" s="1" t="s">
        <v>69</v>
      </c>
      <c r="P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AB114" s="4">
        <v>0.0</v>
      </c>
      <c r="AC114" s="4">
        <v>0.0</v>
      </c>
      <c r="AD114" s="1" t="s">
        <v>60</v>
      </c>
      <c r="AI114" s="4">
        <v>0.0</v>
      </c>
      <c r="AJ114" s="4">
        <v>0.0</v>
      </c>
      <c r="AK114" s="4">
        <v>0.0</v>
      </c>
      <c r="AL114" s="4">
        <v>0.0</v>
      </c>
      <c r="AM114" s="1" t="e">
        <v>#DIV/0!</v>
      </c>
      <c r="AN114" s="4">
        <v>0.0</v>
      </c>
      <c r="AO114" s="4">
        <v>0.0</v>
      </c>
      <c r="AP114" s="4"/>
      <c r="AQ114" s="4"/>
      <c r="AR114" s="4"/>
      <c r="AS114" s="4"/>
      <c r="AT114" s="4"/>
      <c r="AU114" s="4"/>
      <c r="AV114" s="4"/>
    </row>
    <row r="115">
      <c r="A115" s="2">
        <v>45524.0</v>
      </c>
      <c r="B115" s="1" t="s">
        <v>61</v>
      </c>
      <c r="C115" s="1" t="s">
        <v>1886</v>
      </c>
      <c r="D115" s="3" t="s">
        <v>41</v>
      </c>
      <c r="E115" s="3" t="s">
        <v>46</v>
      </c>
      <c r="G115" s="3" t="s">
        <v>1921</v>
      </c>
    </row>
    <row r="116">
      <c r="A116" s="2">
        <v>45524.0</v>
      </c>
      <c r="B116" s="1" t="s">
        <v>61</v>
      </c>
      <c r="C116" s="1" t="s">
        <v>1922</v>
      </c>
      <c r="D116" s="3" t="s">
        <v>45</v>
      </c>
      <c r="E116" s="3" t="s">
        <v>57</v>
      </c>
      <c r="G116" s="3" t="s">
        <v>53</v>
      </c>
    </row>
    <row r="117">
      <c r="A117" s="2">
        <v>45524.0</v>
      </c>
      <c r="B117" s="1" t="s">
        <v>61</v>
      </c>
      <c r="H117" s="1" t="s">
        <v>774</v>
      </c>
      <c r="I117" s="3" t="s">
        <v>45</v>
      </c>
      <c r="J117" s="3" t="s">
        <v>1887</v>
      </c>
      <c r="L117" s="3" t="s">
        <v>47</v>
      </c>
      <c r="M117" s="4">
        <v>6.0</v>
      </c>
      <c r="N117" s="1" t="b">
        <v>1</v>
      </c>
      <c r="O117" s="4">
        <v>240.0</v>
      </c>
    </row>
    <row r="118">
      <c r="A118" s="2">
        <v>45524.0</v>
      </c>
      <c r="B118" s="1" t="s">
        <v>61</v>
      </c>
      <c r="H118" s="1" t="s">
        <v>174</v>
      </c>
      <c r="I118" s="3" t="s">
        <v>63</v>
      </c>
      <c r="J118" s="3" t="s">
        <v>45</v>
      </c>
      <c r="L118" s="3" t="s">
        <v>64</v>
      </c>
      <c r="M118" s="4">
        <v>4.0</v>
      </c>
      <c r="N118" s="1" t="b">
        <v>1</v>
      </c>
      <c r="O118" s="4">
        <v>160.0</v>
      </c>
    </row>
    <row r="119">
      <c r="A119" s="2">
        <v>45524.0</v>
      </c>
      <c r="B119" s="1" t="s">
        <v>61</v>
      </c>
      <c r="P119" s="4">
        <v>5.0</v>
      </c>
      <c r="Q119" s="1" t="s">
        <v>1885</v>
      </c>
      <c r="R119" s="1" t="s">
        <v>1886</v>
      </c>
      <c r="S119" s="4">
        <v>12548.0</v>
      </c>
      <c r="T119" s="4">
        <v>3216.0</v>
      </c>
      <c r="U119" s="4">
        <v>9303.0</v>
      </c>
      <c r="V119" s="4">
        <v>5277.0</v>
      </c>
      <c r="W119" s="4">
        <v>309.0</v>
      </c>
      <c r="X119" s="4">
        <v>3431.0</v>
      </c>
      <c r="Y119" s="4">
        <v>3774.0</v>
      </c>
      <c r="AA119" s="4">
        <v>6300.0</v>
      </c>
      <c r="AB119" s="4">
        <v>41122.0</v>
      </c>
      <c r="AC119" s="4">
        <v>5.0</v>
      </c>
      <c r="AD119" s="4">
        <v>0.33466042488833386</v>
      </c>
      <c r="AI119" s="4">
        <v>400.0</v>
      </c>
      <c r="AJ119" s="4">
        <v>0.0</v>
      </c>
      <c r="AK119" s="4">
        <v>0.0</v>
      </c>
      <c r="AL119" s="4">
        <v>3.0</v>
      </c>
      <c r="AM119" s="1" t="s">
        <v>1931</v>
      </c>
      <c r="AN119" s="4">
        <v>2.0</v>
      </c>
      <c r="AO119" s="4">
        <v>3.0</v>
      </c>
      <c r="AP119" s="4"/>
      <c r="AQ119" s="4"/>
      <c r="AR119" s="4"/>
      <c r="AS119" s="4"/>
      <c r="AT119" s="4"/>
      <c r="AU119" s="4"/>
      <c r="AV119" s="4"/>
    </row>
    <row r="120">
      <c r="A120" s="2">
        <v>45525.0</v>
      </c>
      <c r="B120" s="1" t="s">
        <v>73</v>
      </c>
      <c r="C120" s="1" t="s">
        <v>1885</v>
      </c>
      <c r="D120" s="3" t="s">
        <v>41</v>
      </c>
      <c r="E120" s="3" t="s">
        <v>45</v>
      </c>
      <c r="G120" s="3" t="s">
        <v>53</v>
      </c>
    </row>
    <row r="121">
      <c r="A121" s="2">
        <v>45525.0</v>
      </c>
      <c r="B121" s="1" t="s">
        <v>73</v>
      </c>
      <c r="C121" s="1" t="s">
        <v>1922</v>
      </c>
      <c r="D121" s="3" t="s">
        <v>45</v>
      </c>
      <c r="E121" s="3" t="s">
        <v>68</v>
      </c>
      <c r="G121" s="3" t="s">
        <v>53</v>
      </c>
    </row>
    <row r="122">
      <c r="A122" s="2">
        <v>45525.0</v>
      </c>
      <c r="B122" s="1" t="s">
        <v>73</v>
      </c>
      <c r="C122" s="1" t="s">
        <v>1886</v>
      </c>
      <c r="D122" s="3" t="s">
        <v>45</v>
      </c>
      <c r="E122" s="3" t="s">
        <v>46</v>
      </c>
      <c r="G122" s="3" t="s">
        <v>47</v>
      </c>
    </row>
    <row r="123">
      <c r="A123" s="2">
        <v>45525.0</v>
      </c>
      <c r="B123" s="1" t="s">
        <v>73</v>
      </c>
      <c r="H123" s="1" t="s">
        <v>386</v>
      </c>
      <c r="I123" s="3" t="s">
        <v>63</v>
      </c>
      <c r="J123" s="3" t="s">
        <v>1910</v>
      </c>
      <c r="L123" s="3" t="s">
        <v>47</v>
      </c>
      <c r="M123" s="4">
        <v>3.0</v>
      </c>
    </row>
    <row r="124">
      <c r="A124" s="2">
        <v>45525.0</v>
      </c>
      <c r="B124" s="1" t="s">
        <v>73</v>
      </c>
      <c r="H124" s="1" t="s">
        <v>174</v>
      </c>
      <c r="I124" s="3" t="s">
        <v>70</v>
      </c>
      <c r="J124" s="3" t="s">
        <v>46</v>
      </c>
      <c r="L124" s="3" t="s">
        <v>53</v>
      </c>
      <c r="M124" s="4">
        <v>13.0</v>
      </c>
      <c r="N124" s="1" t="b">
        <v>1</v>
      </c>
      <c r="O124" s="4">
        <v>520.0</v>
      </c>
    </row>
    <row r="125">
      <c r="A125" s="2">
        <v>45525.0</v>
      </c>
      <c r="B125" s="1" t="s">
        <v>73</v>
      </c>
      <c r="P125" s="4">
        <v>4.0</v>
      </c>
      <c r="Q125" s="1" t="s">
        <v>1885</v>
      </c>
      <c r="R125" s="1" t="s">
        <v>1886</v>
      </c>
      <c r="S125" s="4">
        <v>11847.0</v>
      </c>
      <c r="T125" s="4">
        <v>1385.0</v>
      </c>
      <c r="U125" s="4">
        <v>11294.0</v>
      </c>
      <c r="V125" s="4">
        <v>8727.0</v>
      </c>
      <c r="W125" s="4">
        <v>2799.0</v>
      </c>
      <c r="X125" s="4">
        <v>1080.0</v>
      </c>
      <c r="Y125" s="4">
        <v>548.0</v>
      </c>
      <c r="AA125" s="4">
        <v>3600.0</v>
      </c>
      <c r="AB125" s="4">
        <v>40680.0</v>
      </c>
      <c r="AC125" s="4">
        <v>40.0</v>
      </c>
      <c r="AD125" s="4">
        <v>0.34941307552256795</v>
      </c>
      <c r="AI125" s="4">
        <v>520.0</v>
      </c>
      <c r="AJ125" s="4">
        <v>0.0</v>
      </c>
      <c r="AK125" s="4">
        <v>0.0</v>
      </c>
      <c r="AL125" s="4">
        <v>5.0</v>
      </c>
      <c r="AM125" s="1" t="s">
        <v>1932</v>
      </c>
      <c r="AN125" s="4">
        <v>1.0</v>
      </c>
      <c r="AO125" s="4">
        <v>3.0</v>
      </c>
      <c r="AP125" s="4"/>
      <c r="AQ125" s="4"/>
      <c r="AR125" s="4"/>
      <c r="AS125" s="4"/>
      <c r="AT125" s="4"/>
      <c r="AU125" s="4"/>
      <c r="AV125" s="4"/>
    </row>
    <row r="126">
      <c r="A126" s="2">
        <v>45526.0</v>
      </c>
      <c r="B126" s="1" t="s">
        <v>1884</v>
      </c>
      <c r="C126" s="1" t="s">
        <v>1885</v>
      </c>
      <c r="D126" s="3" t="s">
        <v>45</v>
      </c>
      <c r="E126" s="3" t="s">
        <v>1889</v>
      </c>
      <c r="G126" s="3" t="s">
        <v>1890</v>
      </c>
    </row>
    <row r="127">
      <c r="A127" s="2">
        <v>45526.0</v>
      </c>
      <c r="B127" s="1" t="s">
        <v>1884</v>
      </c>
      <c r="C127" s="1" t="s">
        <v>1888</v>
      </c>
      <c r="D127" s="3" t="s">
        <v>45</v>
      </c>
      <c r="E127" s="3" t="s">
        <v>49</v>
      </c>
      <c r="G127" s="3" t="s">
        <v>64</v>
      </c>
    </row>
    <row r="128">
      <c r="A128" s="2">
        <v>45526.0</v>
      </c>
      <c r="B128" s="1" t="s">
        <v>1884</v>
      </c>
      <c r="C128" s="1" t="s">
        <v>48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1884</v>
      </c>
      <c r="H129" s="1" t="s">
        <v>386</v>
      </c>
      <c r="I129" s="3" t="s">
        <v>63</v>
      </c>
      <c r="J129" s="3" t="s">
        <v>70</v>
      </c>
      <c r="L129" s="3" t="s">
        <v>53</v>
      </c>
      <c r="M129" s="4">
        <v>5.0</v>
      </c>
    </row>
    <row r="130">
      <c r="A130" s="2">
        <v>45526.0</v>
      </c>
      <c r="B130" s="1" t="s">
        <v>1884</v>
      </c>
      <c r="H130" s="1" t="s">
        <v>174</v>
      </c>
      <c r="I130" s="3" t="s">
        <v>70</v>
      </c>
      <c r="J130" s="3" t="s">
        <v>46</v>
      </c>
      <c r="L130" s="3" t="s">
        <v>53</v>
      </c>
      <c r="M130" s="4">
        <v>8.0</v>
      </c>
      <c r="N130" s="1" t="b">
        <v>1</v>
      </c>
      <c r="O130" s="4">
        <v>320.0</v>
      </c>
    </row>
    <row r="131">
      <c r="A131" s="2">
        <v>45526.0</v>
      </c>
      <c r="B131" s="1" t="s">
        <v>1884</v>
      </c>
      <c r="P131" s="4">
        <v>4.0</v>
      </c>
      <c r="Q131" s="1" t="s">
        <v>48</v>
      </c>
      <c r="R131" s="1" t="s">
        <v>1885</v>
      </c>
      <c r="S131" s="4">
        <v>8813.0</v>
      </c>
      <c r="T131" s="4">
        <v>4395.0</v>
      </c>
      <c r="U131" s="4">
        <v>8774.0</v>
      </c>
      <c r="V131" s="4">
        <v>5917.0</v>
      </c>
      <c r="W131" s="4">
        <v>1064.0</v>
      </c>
      <c r="X131" s="4">
        <v>2223.0</v>
      </c>
      <c r="Y131" s="4">
        <v>1459.0</v>
      </c>
      <c r="AA131" s="1">
        <v>6345.0</v>
      </c>
      <c r="AB131" s="4">
        <v>37078.0</v>
      </c>
      <c r="AC131" s="1">
        <v>0.0</v>
      </c>
      <c r="AD131" s="4">
        <v>0.30187878721231093</v>
      </c>
      <c r="AI131" s="4">
        <v>320.0</v>
      </c>
      <c r="AJ131" s="4">
        <v>0.0</v>
      </c>
      <c r="AK131" s="4">
        <v>0.0</v>
      </c>
      <c r="AL131" s="4">
        <v>3.0</v>
      </c>
      <c r="AM131" s="1" t="s">
        <v>1933</v>
      </c>
      <c r="AN131" s="4">
        <v>1.0</v>
      </c>
      <c r="AO131" s="4">
        <v>3.0</v>
      </c>
      <c r="AP131" s="4"/>
      <c r="AQ131" s="4"/>
      <c r="AR131" s="4"/>
      <c r="AS131" s="4"/>
      <c r="AT131" s="4"/>
      <c r="AU131" s="4"/>
      <c r="AV131" s="4"/>
    </row>
    <row r="132">
      <c r="A132" s="2">
        <v>45527.0</v>
      </c>
      <c r="B132" s="1" t="s">
        <v>39</v>
      </c>
      <c r="C132" s="1" t="s">
        <v>1886</v>
      </c>
      <c r="D132" s="3" t="s">
        <v>45</v>
      </c>
      <c r="E132" s="3" t="s">
        <v>49</v>
      </c>
      <c r="G132" s="3" t="s">
        <v>64</v>
      </c>
    </row>
    <row r="133">
      <c r="A133" s="2">
        <v>45527.0</v>
      </c>
      <c r="B133" s="1" t="s">
        <v>39</v>
      </c>
      <c r="C133" s="1" t="s">
        <v>48</v>
      </c>
      <c r="D133" s="3" t="s">
        <v>41</v>
      </c>
      <c r="E133" s="3" t="s">
        <v>45</v>
      </c>
      <c r="G133" s="3" t="s">
        <v>53</v>
      </c>
    </row>
    <row r="134">
      <c r="A134" s="2">
        <v>45527.0</v>
      </c>
      <c r="B134" s="1" t="s">
        <v>39</v>
      </c>
      <c r="C134" s="1" t="s">
        <v>1885</v>
      </c>
      <c r="D134" s="3" t="s">
        <v>45</v>
      </c>
      <c r="E134" s="3" t="s">
        <v>1934</v>
      </c>
      <c r="G134" s="3" t="s">
        <v>41</v>
      </c>
    </row>
    <row r="135">
      <c r="A135" s="2">
        <v>45527.0</v>
      </c>
      <c r="B135" s="1" t="s">
        <v>39</v>
      </c>
      <c r="C135" s="1" t="s">
        <v>1896</v>
      </c>
      <c r="D135" s="3" t="s">
        <v>63</v>
      </c>
      <c r="E135" s="3" t="s">
        <v>1891</v>
      </c>
      <c r="G135" s="3" t="s">
        <v>1892</v>
      </c>
    </row>
    <row r="136">
      <c r="A136" s="2">
        <v>45527.0</v>
      </c>
      <c r="B136" s="1" t="s">
        <v>39</v>
      </c>
      <c r="H136" s="1" t="s">
        <v>386</v>
      </c>
      <c r="I136" s="3" t="s">
        <v>63</v>
      </c>
      <c r="J136" s="3" t="s">
        <v>70</v>
      </c>
      <c r="L136" s="3" t="s">
        <v>53</v>
      </c>
      <c r="M136" s="4">
        <v>4.0</v>
      </c>
    </row>
    <row r="137">
      <c r="A137" s="2">
        <v>45527.0</v>
      </c>
      <c r="B137" s="1" t="s">
        <v>39</v>
      </c>
      <c r="H137" s="1" t="s">
        <v>174</v>
      </c>
      <c r="I137" s="3" t="s">
        <v>70</v>
      </c>
      <c r="J137" s="3" t="s">
        <v>1934</v>
      </c>
      <c r="L137" s="3" t="s">
        <v>1916</v>
      </c>
      <c r="M137" s="4">
        <v>11.0</v>
      </c>
      <c r="N137" s="1" t="b">
        <v>1</v>
      </c>
      <c r="O137" s="4">
        <v>440.0</v>
      </c>
    </row>
    <row r="138">
      <c r="A138" s="2">
        <v>45527.0</v>
      </c>
      <c r="B138" s="1" t="s">
        <v>39</v>
      </c>
      <c r="H138" s="1" t="s">
        <v>774</v>
      </c>
      <c r="I138" s="3" t="s">
        <v>49</v>
      </c>
      <c r="J138" s="3" t="s">
        <v>1894</v>
      </c>
      <c r="L138" s="3" t="s">
        <v>1915</v>
      </c>
    </row>
    <row r="139">
      <c r="A139" s="2">
        <v>45527.0</v>
      </c>
      <c r="B139" s="1" t="s">
        <v>39</v>
      </c>
      <c r="P139" s="4">
        <v>4.0</v>
      </c>
      <c r="S139" s="4">
        <v>16505.0</v>
      </c>
      <c r="T139" s="4">
        <v>6594.0</v>
      </c>
      <c r="U139" s="4">
        <v>15800.0</v>
      </c>
      <c r="V139" s="4">
        <v>6854.0</v>
      </c>
      <c r="W139" s="4">
        <v>0.0</v>
      </c>
      <c r="X139" s="4">
        <v>3304.0</v>
      </c>
      <c r="Y139" s="4">
        <v>3779.0</v>
      </c>
      <c r="Z139" s="4">
        <v>110.0</v>
      </c>
      <c r="AB139" s="4">
        <v>61077.0</v>
      </c>
      <c r="AC139" s="4">
        <v>-10045.0</v>
      </c>
      <c r="AD139" s="4">
        <v>0.23996779003975416</v>
      </c>
      <c r="AE139" s="4">
        <v>500.0</v>
      </c>
      <c r="AH139" s="4">
        <v>450.0</v>
      </c>
      <c r="AI139" s="4">
        <v>440.0</v>
      </c>
      <c r="AJ139" s="4">
        <v>2.0</v>
      </c>
      <c r="AK139" s="4">
        <v>643.0</v>
      </c>
      <c r="AL139" s="4">
        <v>17.0</v>
      </c>
      <c r="AM139" s="1" t="s">
        <v>1935</v>
      </c>
      <c r="AN139" s="4">
        <v>1.0</v>
      </c>
      <c r="AO139" s="4">
        <v>4.0</v>
      </c>
      <c r="AP139" s="4"/>
      <c r="AQ139" s="4"/>
      <c r="AR139" s="4"/>
      <c r="AS139" s="4"/>
      <c r="AT139" s="4"/>
      <c r="AU139" s="4"/>
      <c r="AV139" s="4"/>
    </row>
    <row r="140">
      <c r="A140" s="2">
        <v>45528.0</v>
      </c>
      <c r="B140" s="1" t="s">
        <v>1901</v>
      </c>
      <c r="C140" s="1" t="s">
        <v>1886</v>
      </c>
      <c r="D140" s="3" t="s">
        <v>45</v>
      </c>
      <c r="E140" s="3" t="s">
        <v>1934</v>
      </c>
      <c r="G140" s="3" t="s">
        <v>41</v>
      </c>
    </row>
    <row r="141">
      <c r="A141" s="2">
        <v>45528.0</v>
      </c>
      <c r="B141" s="1" t="s">
        <v>1901</v>
      </c>
      <c r="C141" s="1" t="s">
        <v>1885</v>
      </c>
      <c r="D141" s="3" t="s">
        <v>45</v>
      </c>
      <c r="E141" s="3" t="s">
        <v>1934</v>
      </c>
      <c r="G141" s="3" t="s">
        <v>41</v>
      </c>
    </row>
    <row r="142">
      <c r="A142" s="2">
        <v>45528.0</v>
      </c>
      <c r="B142" s="1" t="s">
        <v>1901</v>
      </c>
      <c r="C142" s="1" t="s">
        <v>1896</v>
      </c>
      <c r="D142" s="3" t="s">
        <v>63</v>
      </c>
      <c r="E142" s="3" t="s">
        <v>45</v>
      </c>
      <c r="G142" s="3" t="s">
        <v>64</v>
      </c>
    </row>
    <row r="143">
      <c r="A143" s="2">
        <v>45528.0</v>
      </c>
      <c r="B143" s="1" t="s">
        <v>1901</v>
      </c>
      <c r="C143" s="1" t="s">
        <v>1903</v>
      </c>
      <c r="D143" s="3" t="s">
        <v>41</v>
      </c>
      <c r="E143" s="3" t="s">
        <v>45</v>
      </c>
      <c r="G143" s="3" t="s">
        <v>53</v>
      </c>
    </row>
    <row r="144">
      <c r="A144" s="2">
        <v>45528.0</v>
      </c>
      <c r="B144" s="1" t="s">
        <v>1901</v>
      </c>
      <c r="H144" s="1" t="s">
        <v>774</v>
      </c>
      <c r="I144" s="3" t="s">
        <v>63</v>
      </c>
      <c r="J144" s="3" t="s">
        <v>1934</v>
      </c>
      <c r="L144" s="3" t="s">
        <v>1891</v>
      </c>
    </row>
    <row r="145">
      <c r="A145" s="2">
        <v>45528.0</v>
      </c>
      <c r="B145" s="1" t="s">
        <v>1901</v>
      </c>
      <c r="P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AB145" s="4">
        <v>0.0</v>
      </c>
      <c r="AC145" s="4">
        <v>0.0</v>
      </c>
      <c r="AD145" s="1" t="s">
        <v>60</v>
      </c>
      <c r="AI145" s="4">
        <v>0.0</v>
      </c>
      <c r="AJ145" s="4">
        <v>0.0</v>
      </c>
      <c r="AK145" s="4">
        <v>0.0</v>
      </c>
      <c r="AL145" s="4">
        <v>0.0</v>
      </c>
      <c r="AM145" s="1" t="e">
        <v>#DIV/0!</v>
      </c>
      <c r="AN145" s="4">
        <v>0.0</v>
      </c>
      <c r="AO145" s="4">
        <v>0.0</v>
      </c>
      <c r="AP145" s="4"/>
      <c r="AQ145" s="4"/>
      <c r="AR145" s="4"/>
      <c r="AS145" s="4"/>
      <c r="AT145" s="4"/>
      <c r="AU145" s="4"/>
      <c r="AV145" s="4"/>
    </row>
    <row r="146">
      <c r="A146" s="2">
        <v>45529.0</v>
      </c>
      <c r="B146" s="1" t="s">
        <v>67</v>
      </c>
      <c r="C146" s="1" t="s">
        <v>1888</v>
      </c>
      <c r="D146" s="3" t="s">
        <v>45</v>
      </c>
      <c r="E146" s="3" t="s">
        <v>57</v>
      </c>
      <c r="G146" s="3" t="s">
        <v>53</v>
      </c>
    </row>
    <row r="147">
      <c r="A147" s="2">
        <v>45529.0</v>
      </c>
      <c r="B147" s="1" t="s">
        <v>67</v>
      </c>
      <c r="C147" s="1" t="s">
        <v>48</v>
      </c>
      <c r="D147" s="3" t="s">
        <v>1891</v>
      </c>
      <c r="E147" s="3" t="s">
        <v>57</v>
      </c>
      <c r="G147" s="3" t="s">
        <v>47</v>
      </c>
    </row>
    <row r="148">
      <c r="A148" s="2">
        <v>45529.0</v>
      </c>
      <c r="B148" s="1" t="s">
        <v>67</v>
      </c>
      <c r="C148" s="1" t="s">
        <v>1896</v>
      </c>
      <c r="D148" s="3" t="s">
        <v>63</v>
      </c>
      <c r="E148" s="3" t="s">
        <v>45</v>
      </c>
      <c r="G148" s="3" t="s">
        <v>64</v>
      </c>
    </row>
    <row r="149">
      <c r="A149" s="2">
        <v>45529.0</v>
      </c>
      <c r="B149" s="1" t="s">
        <v>67</v>
      </c>
      <c r="C149" s="1" t="s">
        <v>1924</v>
      </c>
      <c r="D149" s="3" t="s">
        <v>41</v>
      </c>
      <c r="E149" s="3" t="s">
        <v>1891</v>
      </c>
      <c r="G149" s="3" t="s">
        <v>64</v>
      </c>
    </row>
    <row r="150">
      <c r="A150" s="2">
        <v>45529.0</v>
      </c>
      <c r="B150" s="1" t="s">
        <v>67</v>
      </c>
      <c r="H150" s="1" t="s">
        <v>386</v>
      </c>
      <c r="I150" s="3" t="s">
        <v>63</v>
      </c>
      <c r="J150" s="3" t="s">
        <v>57</v>
      </c>
      <c r="L150" s="3" t="s">
        <v>50</v>
      </c>
      <c r="M150" s="4">
        <v>21.0</v>
      </c>
    </row>
    <row r="151">
      <c r="A151" s="2">
        <v>45529.0</v>
      </c>
      <c r="B151" s="1" t="s">
        <v>67</v>
      </c>
      <c r="P151" s="4">
        <v>4.0</v>
      </c>
      <c r="S151" s="4">
        <v>14474.0</v>
      </c>
      <c r="T151" s="4">
        <v>7124.0</v>
      </c>
      <c r="U151" s="4">
        <v>8398.0</v>
      </c>
      <c r="V151" s="4">
        <v>10952.0</v>
      </c>
      <c r="W151" s="4">
        <v>0.0</v>
      </c>
      <c r="X151" s="4">
        <v>1902.0</v>
      </c>
      <c r="Y151" s="4">
        <v>2038.0</v>
      </c>
      <c r="AA151" s="4">
        <v>5675.0</v>
      </c>
      <c r="AB151" s="4">
        <v>48658.0</v>
      </c>
      <c r="AC151" s="4">
        <v>3.0</v>
      </c>
      <c r="AD151" s="4">
        <v>0.24473632110358146</v>
      </c>
      <c r="AI151" s="4">
        <v>0.0</v>
      </c>
      <c r="AJ151" s="4">
        <v>2.0</v>
      </c>
      <c r="AK151" s="4">
        <v>582.0</v>
      </c>
      <c r="AL151" s="4">
        <v>9.0</v>
      </c>
      <c r="AM151" s="1" t="s">
        <v>1936</v>
      </c>
      <c r="AN151" s="4">
        <v>0.0</v>
      </c>
      <c r="AO151" s="4">
        <v>2.0</v>
      </c>
      <c r="AP151" s="4"/>
      <c r="AQ151" s="4"/>
      <c r="AR151" s="4"/>
      <c r="AS151" s="4"/>
      <c r="AT151" s="4"/>
      <c r="AU151" s="4"/>
      <c r="AV151" s="4"/>
    </row>
    <row r="152">
      <c r="A152" s="2">
        <v>45530.0</v>
      </c>
      <c r="B152" s="1" t="s">
        <v>69</v>
      </c>
      <c r="C152" s="1" t="s">
        <v>1886</v>
      </c>
      <c r="D152" s="3" t="s">
        <v>41</v>
      </c>
      <c r="E152" s="3" t="s">
        <v>45</v>
      </c>
      <c r="G152" s="3" t="s">
        <v>53</v>
      </c>
    </row>
    <row r="153">
      <c r="A153" s="2">
        <v>45530.0</v>
      </c>
      <c r="B153" s="1" t="s">
        <v>69</v>
      </c>
      <c r="C153" s="1" t="s">
        <v>48</v>
      </c>
      <c r="D153" s="3" t="s">
        <v>45</v>
      </c>
      <c r="E153" s="3" t="s">
        <v>46</v>
      </c>
      <c r="G153" s="3" t="s">
        <v>47</v>
      </c>
    </row>
    <row r="154">
      <c r="A154" s="2">
        <v>45530.0</v>
      </c>
      <c r="B154" s="1" t="s">
        <v>69</v>
      </c>
      <c r="C154" s="1" t="s">
        <v>1922</v>
      </c>
      <c r="D154" s="3" t="s">
        <v>45</v>
      </c>
      <c r="E154" s="3" t="s">
        <v>46</v>
      </c>
      <c r="G154" s="3" t="s">
        <v>47</v>
      </c>
    </row>
    <row r="155">
      <c r="A155" s="2">
        <v>45530.0</v>
      </c>
      <c r="B155" s="1" t="s">
        <v>69</v>
      </c>
      <c r="H155" s="1" t="s">
        <v>386</v>
      </c>
      <c r="I155" s="3" t="s">
        <v>63</v>
      </c>
      <c r="J155" s="3" t="s">
        <v>45</v>
      </c>
      <c r="L155" s="3" t="s">
        <v>64</v>
      </c>
    </row>
    <row r="156">
      <c r="A156" s="2">
        <v>45530.0</v>
      </c>
      <c r="B156" s="1" t="s">
        <v>69</v>
      </c>
      <c r="H156" s="1" t="s">
        <v>774</v>
      </c>
      <c r="I156" s="3" t="s">
        <v>45</v>
      </c>
      <c r="J156" s="3" t="s">
        <v>46</v>
      </c>
      <c r="L156" s="3" t="s">
        <v>47</v>
      </c>
    </row>
    <row r="157">
      <c r="A157" s="2">
        <v>45530.0</v>
      </c>
      <c r="B157" s="1" t="s">
        <v>69</v>
      </c>
      <c r="P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AB157" s="4">
        <v>0.0</v>
      </c>
      <c r="AC157" s="4">
        <v>0.0</v>
      </c>
      <c r="AD157" s="1" t="s">
        <v>60</v>
      </c>
      <c r="AI157" s="4">
        <v>0.0</v>
      </c>
      <c r="AJ157" s="4">
        <v>0.0</v>
      </c>
      <c r="AK157" s="4">
        <v>0.0</v>
      </c>
      <c r="AL157" s="4">
        <v>0.0</v>
      </c>
      <c r="AM157" s="1" t="e">
        <v>#DIV/0!</v>
      </c>
      <c r="AN157" s="4">
        <v>0.0</v>
      </c>
      <c r="AO157" s="4">
        <v>0.0</v>
      </c>
      <c r="AP157" s="4">
        <v>0.0</v>
      </c>
      <c r="AQ157" s="4">
        <v>0.0</v>
      </c>
      <c r="AR157" s="4">
        <v>0.0</v>
      </c>
      <c r="AS157" s="1" t="e">
        <v>#DIV/0!</v>
      </c>
      <c r="AT157" s="4">
        <v>0.0</v>
      </c>
      <c r="AU157" s="1" t="e">
        <v>#DIV/0!</v>
      </c>
      <c r="AV157" s="1" t="e">
        <v>#DIV/0!</v>
      </c>
    </row>
    <row r="158">
      <c r="A158" s="2">
        <v>45531.0</v>
      </c>
      <c r="B158" s="1" t="s">
        <v>61</v>
      </c>
      <c r="C158" s="1" t="s">
        <v>1886</v>
      </c>
      <c r="D158" s="3" t="s">
        <v>41</v>
      </c>
      <c r="E158" s="3" t="s">
        <v>45</v>
      </c>
      <c r="G158" s="3" t="s">
        <v>53</v>
      </c>
    </row>
    <row r="159">
      <c r="A159" s="2">
        <v>45531.0</v>
      </c>
      <c r="B159" s="1" t="s">
        <v>61</v>
      </c>
      <c r="C159" s="1" t="s">
        <v>48</v>
      </c>
      <c r="D159" s="3" t="s">
        <v>45</v>
      </c>
      <c r="E159" s="3" t="s">
        <v>46</v>
      </c>
      <c r="G159" s="3" t="s">
        <v>47</v>
      </c>
    </row>
    <row r="160">
      <c r="A160" s="2">
        <v>45531.0</v>
      </c>
      <c r="B160" s="1" t="s">
        <v>61</v>
      </c>
      <c r="C160" s="1" t="s">
        <v>1922</v>
      </c>
      <c r="D160" s="3" t="s">
        <v>45</v>
      </c>
      <c r="E160" s="3" t="s">
        <v>49</v>
      </c>
      <c r="G160" s="3" t="s">
        <v>64</v>
      </c>
    </row>
    <row r="161">
      <c r="A161" s="2">
        <v>45531.0</v>
      </c>
      <c r="B161" s="1" t="s">
        <v>61</v>
      </c>
      <c r="H161" s="1" t="s">
        <v>386</v>
      </c>
      <c r="I161" s="3" t="s">
        <v>63</v>
      </c>
      <c r="J161" s="3" t="s">
        <v>45</v>
      </c>
      <c r="L161" s="3" t="s">
        <v>64</v>
      </c>
      <c r="M161" s="4">
        <v>3.0</v>
      </c>
    </row>
    <row r="162">
      <c r="A162" s="2">
        <v>45531.0</v>
      </c>
      <c r="B162" s="1" t="s">
        <v>61</v>
      </c>
      <c r="H162" s="1" t="s">
        <v>774</v>
      </c>
      <c r="I162" s="3" t="s">
        <v>45</v>
      </c>
      <c r="J162" s="3" t="s">
        <v>46</v>
      </c>
      <c r="L162" s="3" t="s">
        <v>47</v>
      </c>
      <c r="M162" s="4">
        <v>8.0</v>
      </c>
      <c r="N162" s="1" t="b">
        <v>1</v>
      </c>
      <c r="O162" s="4">
        <v>320.0</v>
      </c>
    </row>
    <row r="163">
      <c r="A163" s="2">
        <v>45531.0</v>
      </c>
      <c r="B163" s="1" t="s">
        <v>61</v>
      </c>
      <c r="P163" s="4">
        <v>3.0</v>
      </c>
      <c r="S163" s="4">
        <v>6816.0</v>
      </c>
      <c r="T163" s="4">
        <v>5073.0</v>
      </c>
      <c r="U163" s="4">
        <v>6029.0</v>
      </c>
      <c r="V163" s="4">
        <v>4847.0</v>
      </c>
      <c r="W163" s="4">
        <v>0.0</v>
      </c>
      <c r="X163" s="4">
        <v>2230.0</v>
      </c>
      <c r="Y163" s="4">
        <v>4738.0</v>
      </c>
      <c r="AA163" s="4">
        <v>3970.0</v>
      </c>
      <c r="AB163" s="4">
        <v>32288.0</v>
      </c>
      <c r="AC163" s="4">
        <v>5.0</v>
      </c>
      <c r="AD163" s="4">
        <v>0.333741201445059</v>
      </c>
      <c r="AE163" s="4">
        <v>500.0</v>
      </c>
      <c r="AI163" s="4">
        <v>320.0</v>
      </c>
      <c r="AJ163" s="4">
        <v>0.0</v>
      </c>
      <c r="AK163" s="4">
        <v>0.0</v>
      </c>
      <c r="AL163" s="4">
        <v>0.0</v>
      </c>
      <c r="AM163" s="1" t="s">
        <v>1937</v>
      </c>
      <c r="AN163" s="4">
        <v>1.0</v>
      </c>
      <c r="AO163" s="4">
        <v>95.0</v>
      </c>
      <c r="AP163" s="4">
        <v>14.0</v>
      </c>
      <c r="AQ163" s="4">
        <v>3.0</v>
      </c>
      <c r="AR163" s="4">
        <v>0.0</v>
      </c>
      <c r="AS163" s="4">
        <v>0.0</v>
      </c>
      <c r="AT163" s="4">
        <v>0.0</v>
      </c>
      <c r="AU163" s="4">
        <v>1.0</v>
      </c>
      <c r="AV163" s="4">
        <v>0.0</v>
      </c>
    </row>
    <row r="164">
      <c r="A164" s="2">
        <v>45532.0</v>
      </c>
      <c r="B164" s="1" t="s">
        <v>73</v>
      </c>
      <c r="C164" s="1" t="s">
        <v>1886</v>
      </c>
      <c r="D164" s="3" t="s">
        <v>45</v>
      </c>
      <c r="E164" s="3" t="s">
        <v>46</v>
      </c>
      <c r="G164" s="3" t="s">
        <v>47</v>
      </c>
    </row>
    <row r="165">
      <c r="A165" s="2">
        <v>45532.0</v>
      </c>
      <c r="B165" s="1" t="s">
        <v>73</v>
      </c>
      <c r="C165" s="1" t="s">
        <v>1885</v>
      </c>
      <c r="D165" s="3" t="s">
        <v>41</v>
      </c>
      <c r="E165" s="3" t="s">
        <v>45</v>
      </c>
      <c r="G165" s="3" t="s">
        <v>53</v>
      </c>
    </row>
    <row r="166">
      <c r="A166" s="2">
        <v>45532.0</v>
      </c>
      <c r="B166" s="1" t="s">
        <v>73</v>
      </c>
      <c r="C166" s="1" t="s">
        <v>1888</v>
      </c>
      <c r="D166" s="3" t="s">
        <v>45</v>
      </c>
      <c r="E166" s="3" t="s">
        <v>46</v>
      </c>
      <c r="G166" s="3" t="s">
        <v>47</v>
      </c>
    </row>
    <row r="167">
      <c r="A167" s="2">
        <v>45532.0</v>
      </c>
      <c r="B167" s="1" t="s">
        <v>73</v>
      </c>
      <c r="H167" s="1" t="s">
        <v>386</v>
      </c>
      <c r="I167" s="3" t="s">
        <v>63</v>
      </c>
      <c r="J167" s="3" t="s">
        <v>70</v>
      </c>
      <c r="L167" s="3" t="s">
        <v>53</v>
      </c>
    </row>
    <row r="168">
      <c r="A168" s="2">
        <v>45532.0</v>
      </c>
      <c r="B168" s="1" t="s">
        <v>73</v>
      </c>
      <c r="H168" s="1" t="s">
        <v>174</v>
      </c>
      <c r="I168" s="3" t="s">
        <v>70</v>
      </c>
      <c r="J168" s="3" t="s">
        <v>46</v>
      </c>
      <c r="L168" s="3" t="s">
        <v>53</v>
      </c>
      <c r="N168" s="1" t="b">
        <v>1</v>
      </c>
    </row>
    <row r="169">
      <c r="A169" s="2">
        <v>45532.0</v>
      </c>
      <c r="B169" s="1" t="s">
        <v>73</v>
      </c>
      <c r="P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AB169" s="4">
        <v>0.0</v>
      </c>
      <c r="AC169" s="4">
        <v>0.0</v>
      </c>
      <c r="AD169" s="1" t="s">
        <v>60</v>
      </c>
      <c r="AI169" s="4">
        <v>0.0</v>
      </c>
      <c r="AJ169" s="4">
        <v>0.0</v>
      </c>
      <c r="AK169" s="4">
        <v>0.0</v>
      </c>
      <c r="AL169" s="4">
        <v>0.0</v>
      </c>
      <c r="AM169" s="1" t="e">
        <v>#DIV/0!</v>
      </c>
      <c r="AN169" s="4">
        <v>0.0</v>
      </c>
      <c r="AO169" s="4">
        <v>0.0</v>
      </c>
      <c r="AP169" s="4">
        <v>0.0</v>
      </c>
      <c r="AQ169" s="4">
        <v>0.0</v>
      </c>
      <c r="AR169" s="4">
        <v>0.0</v>
      </c>
      <c r="AS169" s="1" t="e">
        <v>#DIV/0!</v>
      </c>
      <c r="AT169" s="4">
        <v>0.0</v>
      </c>
      <c r="AU169" s="1" t="e">
        <v>#DIV/0!</v>
      </c>
      <c r="AV169" s="1" t="e">
        <v>#DIV/0!</v>
      </c>
    </row>
    <row r="170">
      <c r="A170" s="2">
        <v>45533.0</v>
      </c>
      <c r="B170" s="1" t="s">
        <v>1884</v>
      </c>
      <c r="C170" s="1" t="s">
        <v>1885</v>
      </c>
      <c r="D170" s="3" t="s">
        <v>41</v>
      </c>
      <c r="E170" s="3" t="s">
        <v>45</v>
      </c>
      <c r="G170" s="3" t="s">
        <v>53</v>
      </c>
    </row>
    <row r="171">
      <c r="A171" s="2">
        <v>45533.0</v>
      </c>
      <c r="B171" s="1" t="s">
        <v>1884</v>
      </c>
      <c r="C171" s="1" t="s">
        <v>1888</v>
      </c>
      <c r="D171" s="3" t="s">
        <v>45</v>
      </c>
      <c r="E171" s="3" t="s">
        <v>46</v>
      </c>
      <c r="G171" s="3" t="s">
        <v>47</v>
      </c>
    </row>
    <row r="172">
      <c r="A172" s="2">
        <v>45533.0</v>
      </c>
      <c r="B172" s="1" t="s">
        <v>1884</v>
      </c>
      <c r="C172" s="1" t="s">
        <v>48</v>
      </c>
      <c r="D172" s="3" t="s">
        <v>45</v>
      </c>
      <c r="E172" s="3" t="s">
        <v>1887</v>
      </c>
      <c r="G172" s="3" t="s">
        <v>47</v>
      </c>
    </row>
    <row r="173">
      <c r="A173" s="2">
        <v>45533.0</v>
      </c>
      <c r="B173" s="1" t="s">
        <v>1884</v>
      </c>
      <c r="H173" s="1" t="s">
        <v>774</v>
      </c>
      <c r="I173" s="3" t="s">
        <v>63</v>
      </c>
      <c r="J173" s="3" t="s">
        <v>70</v>
      </c>
      <c r="L173" s="3" t="s">
        <v>53</v>
      </c>
    </row>
    <row r="174">
      <c r="A174" s="2">
        <v>45533.0</v>
      </c>
      <c r="B174" s="1" t="s">
        <v>1884</v>
      </c>
      <c r="H174" s="1" t="s">
        <v>174</v>
      </c>
      <c r="I174" s="3" t="s">
        <v>70</v>
      </c>
      <c r="J174" s="3" t="s">
        <v>46</v>
      </c>
      <c r="L174" s="3" t="s">
        <v>53</v>
      </c>
      <c r="M174" s="4">
        <v>5.0</v>
      </c>
      <c r="N174" s="1" t="b">
        <v>1</v>
      </c>
      <c r="O174" s="4">
        <v>200.0</v>
      </c>
    </row>
    <row r="175">
      <c r="A175" s="2">
        <v>45533.0</v>
      </c>
      <c r="B175" s="1" t="s">
        <v>1884</v>
      </c>
      <c r="P175" s="4">
        <v>1.0</v>
      </c>
      <c r="S175" s="4">
        <v>10348.0</v>
      </c>
      <c r="T175" s="4">
        <v>2573.0</v>
      </c>
      <c r="U175" s="4">
        <v>10521.0</v>
      </c>
      <c r="V175" s="4">
        <v>3517.0</v>
      </c>
      <c r="W175" s="4">
        <v>392.0</v>
      </c>
      <c r="X175" s="4">
        <v>3269.0</v>
      </c>
      <c r="Y175" s="4">
        <v>3592.0</v>
      </c>
      <c r="AA175" s="4">
        <v>5832.0</v>
      </c>
      <c r="AB175" s="4">
        <v>36975.0</v>
      </c>
      <c r="AC175" s="4">
        <v>0.0</v>
      </c>
      <c r="AD175" s="4">
        <v>0.2892665442125238</v>
      </c>
      <c r="AI175" s="4">
        <v>200.0</v>
      </c>
      <c r="AJ175" s="4">
        <v>0.0</v>
      </c>
      <c r="AK175" s="4">
        <v>0.0</v>
      </c>
      <c r="AL175" s="4">
        <v>0.0</v>
      </c>
      <c r="AM175" s="1" t="s">
        <v>1938</v>
      </c>
      <c r="AN175" s="4">
        <v>1.0</v>
      </c>
      <c r="AO175" s="4">
        <v>107.0</v>
      </c>
      <c r="AP175" s="4">
        <v>13.0</v>
      </c>
      <c r="AQ175" s="4">
        <v>0.0</v>
      </c>
      <c r="AR175" s="4">
        <v>0.0</v>
      </c>
      <c r="AS175" s="4">
        <v>0.0</v>
      </c>
      <c r="AT175" s="4">
        <v>0.0</v>
      </c>
      <c r="AU175" s="4">
        <v>1.0</v>
      </c>
      <c r="AV175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1939</v>
      </c>
      <c r="C1" s="9" t="s">
        <v>0</v>
      </c>
      <c r="D1" s="10">
        <v>46178.0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1940</v>
      </c>
      <c r="M1" s="16"/>
    </row>
    <row r="2" ht="19.5" customHeight="1">
      <c r="A2" s="7"/>
      <c r="B2" s="17"/>
      <c r="C2" s="17"/>
      <c r="D2" s="18"/>
      <c r="E2" s="19"/>
      <c r="F2" s="20">
        <f>IFERROR(__xludf.DUMMYFUNCTION("IF(I2&gt;0, 
    100 / (I2 / 112 * 100 / ((SUM(A12:A21, A25:A31) + (M17 + I32) + IFERROR(SUM(FILTER(HR!W5:W48, LEN(HR!A5:A48) &gt; 0)), 0)) / 100)), 
    ""Zadej tržbu"")
"),0.17100726841457214)</f>
        <v>0.1710072684</v>
      </c>
      <c r="H2" s="21"/>
      <c r="I2" s="22">
        <f>SUM(RestiaCSV!C:C) - SUMIFS(RestiaCSV!C:C, RestiaCSV!B:B, "canceled")</f>
        <v>65329.24</v>
      </c>
      <c r="K2" s="21"/>
      <c r="L2" s="23" t="s">
        <v>1941</v>
      </c>
      <c r="M2" s="24">
        <f>SUMIFS(RestiaCSV!C:C, RestiaCSV!A:A, Report!L2, RestiaCSV!B:B, "&lt;&gt;canceled")</f>
        <v>20267.8</v>
      </c>
    </row>
    <row r="3">
      <c r="A3" s="25"/>
      <c r="B3" s="26" t="str">
        <f>CHOOSE(WEEKDAY(D1), "Neděle", "Pondělí", "Úterý", "Středa", "Čtvrtek", "Pátek", "Sobota")</f>
        <v>Pátek</v>
      </c>
      <c r="C3" s="27"/>
      <c r="D3" s="27"/>
      <c r="E3" s="11"/>
      <c r="H3" s="21"/>
      <c r="K3" s="21"/>
      <c r="L3" s="23" t="s">
        <v>1942</v>
      </c>
      <c r="M3" s="24">
        <f>SUMIFS(RestiaCSV!C:C, RestiaCSV!A:A, Report!L3, RestiaCSV!B:B, "&lt;&gt;canceled")</f>
        <v>6720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1943</v>
      </c>
      <c r="M4" s="24">
        <f>SUMIFS(RestiaCSV!C:C, RestiaCSV!A:A, "damejidlo", RestiaCSV!G:G, "online", RestiaCSV!B:B, "&lt;&gt;canceled")</f>
        <v>13881.94</v>
      </c>
    </row>
    <row r="5">
      <c r="A5" s="25"/>
      <c r="B5" s="29" t="s">
        <v>1944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1945</v>
      </c>
      <c r="M5" s="24">
        <f>SUMIFS(RestiaCSV!C:C, RestiaCSV!A:A, "generic", RestiaCSV!G:G, "online", RestiaCSV!B:B, "&lt;&gt;canceled") </f>
        <v>13703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1946</v>
      </c>
      <c r="M6" s="24">
        <f>SUMIFS(RestiaCSV!C:C, RestiaCSV!E:E, "wolt kurýr", RestiaCSV!A:A, "&lt;&gt;wolt", RestiaCSV!G:G, "cash", RestiaCSV!B:B, "&lt;&gt;canceled")</f>
        <v>1232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1947</v>
      </c>
      <c r="M7" s="35">
        <f>SUMIFS(RestiaCSV!C:C, RestiaCSV!A:A, "damejidlo", RestiaCSV!G:G, "cash", RestiaCSV!B:B, "&lt;&gt;canceled") </f>
        <v>1625</v>
      </c>
    </row>
    <row r="8">
      <c r="A8" s="25"/>
      <c r="B8" s="36"/>
      <c r="E8" s="21"/>
      <c r="J8" s="36"/>
      <c r="K8" s="21"/>
      <c r="L8" s="37" t="s">
        <v>25</v>
      </c>
      <c r="M8" s="14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23" t="s">
        <v>23</v>
      </c>
      <c r="M9" s="38">
        <v>3982.0</v>
      </c>
    </row>
    <row r="10">
      <c r="A10" s="25"/>
      <c r="B10" s="39" t="s">
        <v>1948</v>
      </c>
      <c r="C10" s="28"/>
      <c r="D10" s="28"/>
      <c r="E10" s="28"/>
      <c r="F10" s="19"/>
      <c r="G10" s="40" t="s">
        <v>15</v>
      </c>
      <c r="H10" s="28"/>
      <c r="I10" s="19"/>
      <c r="J10" s="41" t="s">
        <v>1949</v>
      </c>
      <c r="K10" s="19"/>
      <c r="L10" s="23" t="s">
        <v>24</v>
      </c>
      <c r="M10" s="42"/>
    </row>
    <row r="11">
      <c r="A11" s="25"/>
      <c r="B11" s="43" t="s">
        <v>1950</v>
      </c>
      <c r="C11" s="44" t="s">
        <v>1951</v>
      </c>
      <c r="D11" s="44" t="s">
        <v>1952</v>
      </c>
      <c r="E11" s="44" t="s">
        <v>1953</v>
      </c>
      <c r="F11" s="45" t="s">
        <v>1954</v>
      </c>
      <c r="G11" s="46" t="s">
        <v>1885</v>
      </c>
      <c r="I11" s="21"/>
      <c r="J11" s="47">
        <f>M2+M3+M4+M5+M6+M13+M14+M15+M16+M17+M9+M10+M11-I2</f>
        <v>-0.5</v>
      </c>
      <c r="K11" s="11"/>
      <c r="L11" s="48" t="s">
        <v>25</v>
      </c>
      <c r="M11" s="49">
        <v>5542.0</v>
      </c>
    </row>
    <row r="12">
      <c r="A12" s="50">
        <f t="array" ref="A12">IF(ISBLANK(B12), 0, IF(ISNUMBER(MATCH(B12, HR!A:A, 0)), 0, IF(ISNUMBER(MATCH(B12, HR!B:B, 0)), INDEX(HR!V:V, MATCH(B12, HR!B:B, 0)) * (F12 * 24), 0)))</f>
        <v>0</v>
      </c>
      <c r="B12" s="51" t="s">
        <v>1885</v>
      </c>
      <c r="C12" s="52" t="s">
        <v>41</v>
      </c>
      <c r="D12" s="52" t="s">
        <v>46</v>
      </c>
      <c r="E12" s="53"/>
      <c r="F12" s="54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15:00</v>
      </c>
      <c r="I12" s="21"/>
      <c r="J12" s="36"/>
      <c r="K12" s="21"/>
      <c r="L12" s="55" t="s">
        <v>1955</v>
      </c>
      <c r="M12" s="19"/>
    </row>
    <row r="13">
      <c r="A13" s="50">
        <f t="array" ref="A13">IF(ISBLANK(B13), 0, IF(ISNUMBER(MATCH(B13, HR!A:A, 0)), 0, IF(ISNUMBER(MATCH(B13, HR!B:B, 0)), INDEX(HR!V:V, MATCH(B13, HR!B:B, 0)) * (F13 * 24), 0)))</f>
        <v>2809.8</v>
      </c>
      <c r="B13" s="51" t="s">
        <v>1956</v>
      </c>
      <c r="C13" s="52" t="s">
        <v>45</v>
      </c>
      <c r="D13" s="52" t="s">
        <v>1902</v>
      </c>
      <c r="E13" s="53"/>
      <c r="F13" s="54" t="str">
        <f t="shared" si="1"/>
        <v>10:30</v>
      </c>
      <c r="G13" s="28"/>
      <c r="H13" s="28"/>
      <c r="I13" s="19"/>
      <c r="J13" s="36"/>
      <c r="K13" s="21"/>
      <c r="L13" s="23" t="s">
        <v>29</v>
      </c>
      <c r="M13" s="38"/>
    </row>
    <row r="14">
      <c r="A14" s="50">
        <f t="array" ref="A14">IF(ISBLANK(B14), 0, IF(ISNUMBER(MATCH(B14, HR!A:A, 0)), 0, IF(ISNUMBER(MATCH(B14, HR!B:B, 0)), INDEX(HR!V:V, MATCH(B14, HR!B:B, 0)) * (F14 * 24), 0)))</f>
        <v>0</v>
      </c>
      <c r="B14" s="51"/>
      <c r="C14" s="52"/>
      <c r="D14" s="52"/>
      <c r="E14" s="53"/>
      <c r="F14" s="54" t="str">
        <f t="shared" si="1"/>
        <v>0:00</v>
      </c>
      <c r="G14" s="56"/>
      <c r="I14" s="21"/>
      <c r="J14" s="36"/>
      <c r="K14" s="21"/>
      <c r="L14" s="57" t="s">
        <v>30</v>
      </c>
      <c r="M14" s="38"/>
    </row>
    <row r="15">
      <c r="A15" s="50">
        <f t="array" ref="A15">IF(ISBLANK(B15), 0, IF(ISNUMBER(MATCH(B15, HR!A:A, 0)), 0, IF(ISNUMBER(MATCH(B15, HR!B:B, 0)), INDEX(HR!V:V, MATCH(B15, HR!B:B, 0)) * (F15 * 24), 0)))</f>
        <v>0</v>
      </c>
      <c r="B15" s="51"/>
      <c r="C15" s="52"/>
      <c r="D15" s="52"/>
      <c r="E15" s="53"/>
      <c r="F15" s="54" t="str">
        <f t="shared" si="1"/>
        <v>0:00</v>
      </c>
      <c r="I15" s="21"/>
      <c r="J15" s="36"/>
      <c r="K15" s="21"/>
      <c r="L15" s="57" t="s">
        <v>31</v>
      </c>
      <c r="M15" s="38"/>
    </row>
    <row r="16">
      <c r="A16" s="50">
        <f t="array" ref="A16">IF(ISBLANK(B16), 0, IF(ISNUMBER(MATCH(B16, HR!A:A, 0)), 0, IF(ISNUMBER(MATCH(B16, HR!B:B, 0)), INDEX(HR!V:V, MATCH(B16, HR!B:B, 0)) * (F16 * 24), 0)))</f>
        <v>0</v>
      </c>
      <c r="B16" s="51"/>
      <c r="C16" s="52"/>
      <c r="D16" s="52"/>
      <c r="E16" s="58"/>
      <c r="F16" s="54" t="str">
        <f t="shared" si="1"/>
        <v>0:00</v>
      </c>
      <c r="I16" s="21"/>
      <c r="J16" s="36"/>
      <c r="K16" s="21"/>
      <c r="L16" s="57" t="s">
        <v>32</v>
      </c>
      <c r="M16" s="38"/>
    </row>
    <row r="17">
      <c r="A17" s="50">
        <f t="array" ref="A17">IF(ISBLANK(B17), 0, IF(ISNUMBER(MATCH(B17, HR!A:A, 0)), 0, IF(ISNUMBER(MATCH(B17, HR!B:B, 0)), INDEX(HR!V:V, MATCH(B17, HR!B:B, 0)) * (F17 * 24), 0)))</f>
        <v>0</v>
      </c>
      <c r="B17" s="51"/>
      <c r="C17" s="52"/>
      <c r="D17" s="52"/>
      <c r="E17" s="53"/>
      <c r="F17" s="54" t="str">
        <f t="shared" si="1"/>
        <v>0:00</v>
      </c>
      <c r="G17" s="28"/>
      <c r="H17" s="28"/>
      <c r="I17" s="19"/>
      <c r="J17" s="18"/>
      <c r="K17" s="19"/>
      <c r="L17" s="59" t="s">
        <v>33</v>
      </c>
      <c r="M17" s="60">
        <f>sum(I25:I31)</f>
        <v>0</v>
      </c>
    </row>
    <row r="18" ht="21.75" customHeight="1">
      <c r="A18" s="50">
        <f t="array" ref="A18">IF(ISBLANK(B18), 0, IF(ISNUMBER(MATCH(B18, HR!A:A, 0)), 0, IF(ISNUMBER(MATCH(B18, HR!B:B, 0)), INDEX(HR!V:V, MATCH(B18, HR!B:B, 0)) * (F18 * 24), 0)))</f>
        <v>0</v>
      </c>
      <c r="B18" s="51"/>
      <c r="C18" s="52"/>
      <c r="D18" s="52"/>
      <c r="E18" s="58"/>
      <c r="F18" s="54" t="str">
        <f t="shared" si="1"/>
        <v>0:00</v>
      </c>
      <c r="G18" s="55" t="s">
        <v>16</v>
      </c>
      <c r="H18" s="28"/>
      <c r="I18" s="19"/>
      <c r="J18" s="61"/>
      <c r="M18" s="62"/>
    </row>
    <row r="19">
      <c r="A19" s="50">
        <f t="array" ref="A19">IF(ISBLANK(B19), 0, IF(ISNUMBER(MATCH(B19, HR!A:A, 0)), 0, IF(ISNUMBER(MATCH(B19, HR!B:B, 0)), INDEX(HR!V:V, MATCH(B19, HR!B:B, 0)) * (F19 * 24), 0)))</f>
        <v>0</v>
      </c>
      <c r="B19" s="51"/>
      <c r="C19" s="52"/>
      <c r="D19" s="52"/>
      <c r="E19" s="58"/>
      <c r="F19" s="54" t="str">
        <f t="shared" si="1"/>
        <v>0:00</v>
      </c>
      <c r="G19" s="46" t="s">
        <v>1956</v>
      </c>
      <c r="I19" s="21"/>
      <c r="M19" s="62"/>
    </row>
    <row r="20">
      <c r="A20" s="50">
        <f t="array" ref="A20">IF(ISBLANK(B20), 0, IF(ISNUMBER(MATCH(B20, HR!A:A, 0)), 0, IF(ISNUMBER(MATCH(B20, HR!B:B, 0)), INDEX(HR!V:V, MATCH(B20, HR!B:B, 0)) * (F20 * 24), 0)))</f>
        <v>0</v>
      </c>
      <c r="B20" s="51"/>
      <c r="C20" s="63"/>
      <c r="D20" s="64"/>
      <c r="E20" s="58"/>
      <c r="F20" s="54" t="str">
        <f t="shared" si="1"/>
        <v>0:00</v>
      </c>
      <c r="I20" s="21"/>
      <c r="M20" s="62"/>
    </row>
    <row r="21" ht="23.25" customHeight="1">
      <c r="A21" s="50">
        <f t="array" ref="A21">IF(ISBLANK(B21), 0, IF(ISNUMBER(MATCH(B21, HR!A:A, 0)), 0, IF(ISNUMBER(MATCH(B21, HR!B:B, 0)), INDEX(HR!V:V, MATCH(B21, HR!B:B, 0)) * (F21 * 24), 0)))</f>
        <v>0</v>
      </c>
      <c r="B21" s="65"/>
      <c r="C21" s="66"/>
      <c r="D21" s="67"/>
      <c r="E21" s="68"/>
      <c r="F21" s="69" t="str">
        <f t="shared" si="1"/>
        <v>0:00</v>
      </c>
      <c r="G21" s="28"/>
      <c r="H21" s="28"/>
      <c r="I21" s="19"/>
      <c r="M21" s="62"/>
    </row>
    <row r="22">
      <c r="A22" s="70"/>
      <c r="B22" s="71"/>
      <c r="C22" s="28"/>
      <c r="D22" s="28"/>
      <c r="E22" s="28"/>
      <c r="F22" s="28"/>
      <c r="G22" s="28"/>
      <c r="H22" s="28"/>
      <c r="I22" s="19"/>
      <c r="J22" s="72" t="s">
        <v>34</v>
      </c>
      <c r="K22" s="72" t="s">
        <v>35</v>
      </c>
      <c r="L22" s="73" t="s">
        <v>1957</v>
      </c>
      <c r="M22" s="73" t="s">
        <v>37</v>
      </c>
    </row>
    <row r="23">
      <c r="A23" s="70"/>
      <c r="B23" s="74" t="s">
        <v>78</v>
      </c>
      <c r="I23" s="21"/>
      <c r="J23" s="75">
        <f>COUNTIF(RestiaCSV!B:B, "canceled")</f>
        <v>1</v>
      </c>
      <c r="K23" s="76">
        <f>SUMIF(RestiaCSV!B:B, "canceled", RestiaCSV!C:C)</f>
        <v>617</v>
      </c>
      <c r="L23" s="77">
        <f>COUNTIFS(RestiaCSV!L:L, "&gt;5", RestiaCSV!F:F, "delivery")</f>
        <v>9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13 min 24 s</v>
      </c>
    </row>
    <row r="24" ht="21.75" customHeight="1">
      <c r="A24" s="70"/>
      <c r="B24" s="78" t="s">
        <v>1950</v>
      </c>
      <c r="C24" s="79" t="s">
        <v>1951</v>
      </c>
      <c r="D24" s="79" t="s">
        <v>1952</v>
      </c>
      <c r="E24" s="79" t="s">
        <v>1953</v>
      </c>
      <c r="F24" s="80" t="s">
        <v>1954</v>
      </c>
      <c r="G24" s="80" t="s">
        <v>1958</v>
      </c>
      <c r="H24" s="80" t="s">
        <v>1959</v>
      </c>
      <c r="I24" s="81" t="s">
        <v>13</v>
      </c>
      <c r="J24" s="82" t="s">
        <v>1960</v>
      </c>
      <c r="K24" s="83" t="s">
        <v>1876</v>
      </c>
      <c r="L24" s="82" t="s">
        <v>1877</v>
      </c>
      <c r="M24" s="83" t="s">
        <v>1878</v>
      </c>
    </row>
    <row r="25">
      <c r="A25" s="50">
        <f t="array" ref="A25">IF(ISBLANK(B25), 0, IF(ISNUMBER(MATCH(B25, HR!A:A, 0)), 0, IF(ISNUMBER(MATCH(B25, HR!B:B, 0)), INDEX(HR!V:V, MATCH(B25, HR!B:B, 0)) * (F25 * 24), 0)))</f>
        <v>4128.399</v>
      </c>
      <c r="B25" s="51" t="s">
        <v>1961</v>
      </c>
      <c r="C25" s="66" t="s">
        <v>63</v>
      </c>
      <c r="D25" s="66" t="s">
        <v>1902</v>
      </c>
      <c r="E25" s="66"/>
      <c r="F25" s="54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16:30</v>
      </c>
      <c r="G25" s="84">
        <f>COUNTIF(RestiaCSV!E:E, B25)</f>
        <v>24</v>
      </c>
      <c r="H25" s="85" t="b">
        <v>0</v>
      </c>
      <c r="I25" s="86">
        <f t="shared" ref="I25:I31" si="3">IF(H25,G25*45, 0)</f>
        <v>0</v>
      </c>
      <c r="J25" s="87"/>
      <c r="K25" s="87"/>
      <c r="L25" s="87"/>
      <c r="M25" s="87"/>
    </row>
    <row r="26">
      <c r="A26" s="50">
        <f t="array" ref="A26">IF(ISBLANK(B26), 0, IF(ISNUMBER(MATCH(B26, HR!A:A, 0)), 0, IF(ISNUMBER(MATCH(B26, HR!B:B, 0)), INDEX(HR!V:V, MATCH(B26, HR!B:B, 0)) * (F26 * 24), 0)))</f>
        <v>0</v>
      </c>
      <c r="B26" s="51"/>
      <c r="C26" s="66"/>
      <c r="D26" s="66"/>
      <c r="E26" s="88"/>
      <c r="F26" s="54" t="str">
        <f t="shared" si="2"/>
        <v>0:00</v>
      </c>
      <c r="G26" s="84">
        <f>COUNTIF(RestiaCSV!E:E, B26)</f>
        <v>0</v>
      </c>
      <c r="H26" s="85" t="b">
        <v>0</v>
      </c>
      <c r="I26" s="86">
        <f t="shared" si="3"/>
        <v>0</v>
      </c>
      <c r="J26" s="89">
        <f>COUNTIF(I25:I31, "&gt;0")</f>
        <v>0</v>
      </c>
      <c r="K26" s="77">
        <f>IFERROR(__xludf.DUMMYFUNCTION("COUNTA(FILTER(RestiaCSV!B2:B32, RestiaCSV!B2:B32 &lt;&gt; ""canceled""))"),151.0)</f>
        <v>151</v>
      </c>
      <c r="L26" s="77">
        <f>COUNTIF(RestiaCSV!F1:F32, "delivery")</f>
        <v>31</v>
      </c>
      <c r="M26" s="90">
        <f>COUNTIFS(RestiaCSV!M:M, "&gt;5",RestiaCSV!A:A, "&lt;&gt;wolt")</f>
        <v>1</v>
      </c>
    </row>
    <row r="27">
      <c r="A27" s="50">
        <f t="array" ref="A27">IF(ISBLANK(B27), 0, IF(ISNUMBER(MATCH(B27, HR!A:A, 0)), 0, IF(ISNUMBER(MATCH(B27, HR!B:B, 0)), INDEX(HR!V:V, MATCH(B27, HR!B:B, 0)) * (F27 * 24), 0)))</f>
        <v>0</v>
      </c>
      <c r="B27" s="51"/>
      <c r="C27" s="66"/>
      <c r="D27" s="66"/>
      <c r="E27" s="91"/>
      <c r="F27" s="54" t="str">
        <f t="shared" si="2"/>
        <v>0:00</v>
      </c>
      <c r="G27" s="84">
        <f>COUNTIF(RestiaCSV!E:E, B27)</f>
        <v>0</v>
      </c>
      <c r="H27" s="85" t="b">
        <v>0</v>
      </c>
      <c r="I27" s="86">
        <f t="shared" si="3"/>
        <v>0</v>
      </c>
      <c r="J27" s="92" t="s">
        <v>1962</v>
      </c>
      <c r="K27" s="93"/>
      <c r="L27" s="82" t="s">
        <v>1880</v>
      </c>
      <c r="M27" s="83" t="s">
        <v>1881</v>
      </c>
    </row>
    <row r="28" ht="21.75" customHeight="1">
      <c r="A28" s="50">
        <f t="array" ref="A28">IF(ISBLANK(B28), 0, IF(ISNUMBER(MATCH(B28, HR!A:A, 0)), 0, IF(ISNUMBER(MATCH(B28, HR!B:B, 0)), INDEX(HR!V:V, MATCH(B28, HR!B:B, 0)) * (F28 * 24), 0)))</f>
        <v>0</v>
      </c>
      <c r="B28" s="51"/>
      <c r="C28" s="66"/>
      <c r="D28" s="66"/>
      <c r="E28" s="91"/>
      <c r="F28" s="54" t="str">
        <f t="shared" si="2"/>
        <v>0:00</v>
      </c>
      <c r="G28" s="84">
        <f>COUNTIF(RestiaCSV!E:E, B28)</f>
        <v>0</v>
      </c>
      <c r="H28" s="85" t="b">
        <v>0</v>
      </c>
      <c r="I28" s="86">
        <f t="shared" si="3"/>
        <v>0</v>
      </c>
      <c r="J28" s="94"/>
      <c r="K28" s="95"/>
      <c r="L28" s="87"/>
      <c r="M28" s="87"/>
    </row>
    <row r="29">
      <c r="A29" s="50">
        <f t="array" ref="A29">IF(ISBLANK(B29), 0, IF(ISNUMBER(MATCH(B29, HR!A:A, 0)), 0, IF(ISNUMBER(MATCH(B29, HR!B:B, 0)), INDEX(HR!V:V, MATCH(B29, HR!B:B, 0)) * (F29 * 24), 0)))</f>
        <v>0</v>
      </c>
      <c r="B29" s="51"/>
      <c r="C29" s="66"/>
      <c r="D29" s="96"/>
      <c r="E29" s="91"/>
      <c r="F29" s="54" t="str">
        <f t="shared" si="2"/>
        <v>0:00</v>
      </c>
      <c r="G29" s="84">
        <f>COUNTIF(RestiaCSV!E:E, B29)</f>
        <v>0</v>
      </c>
      <c r="H29" s="85" t="b">
        <v>0</v>
      </c>
      <c r="I29" s="86">
        <f t="shared" si="3"/>
        <v>0</v>
      </c>
      <c r="J29" s="97">
        <f>COUNTIFS(RestiaCSV!M:M, "&gt;5", RestiaCSV!L:L, "&gt;5")</f>
        <v>1</v>
      </c>
      <c r="K29" s="98"/>
      <c r="L29" s="99">
        <f>L23/L26</f>
        <v>0.2903225806</v>
      </c>
      <c r="M29" s="77">
        <f>COUNTIFS(RestiaCSV!L:L, "&gt;5", RestiaCSV!F:F, "delivery", RestiaCSV!E:E, "Wolt Kurýr")</f>
        <v>1</v>
      </c>
    </row>
    <row r="30">
      <c r="A30" s="50">
        <f t="array" ref="A30">IF(ISBLANK(B30), 0, IF(ISNUMBER(MATCH(B30, HR!A:A, 0)), 0, IF(ISNUMBER(MATCH(B30, HR!B:B, 0)), INDEX(HR!V:V, MATCH(B30, HR!B:B, 0)) * (F30 * 24), 0)))</f>
        <v>0</v>
      </c>
      <c r="B30" s="51"/>
      <c r="C30" s="100"/>
      <c r="D30" s="100"/>
      <c r="E30" s="91"/>
      <c r="F30" s="54" t="str">
        <f t="shared" si="2"/>
        <v>0:00</v>
      </c>
      <c r="G30" s="84">
        <f>COUNTIF(RestiaCSV!E:E, B30)</f>
        <v>0</v>
      </c>
      <c r="H30" s="85" t="b">
        <v>0</v>
      </c>
      <c r="I30" s="86">
        <f t="shared" si="3"/>
        <v>0</v>
      </c>
      <c r="J30" s="101"/>
      <c r="K30" s="101"/>
      <c r="L30" s="83" t="s">
        <v>1882</v>
      </c>
      <c r="M30" s="83" t="s">
        <v>1883</v>
      </c>
    </row>
    <row r="31">
      <c r="A31" s="50">
        <f t="array" ref="A31">IF(ISBLANK(B31), 0, IF(ISNUMBER(MATCH(B31, HR!A:A, 0)), 0, IF(ISNUMBER(MATCH(B31, HR!B:B, 0)), INDEX(HR!V:V, MATCH(B31, HR!B:B, 0)) * (F31 * 24), 0)))</f>
        <v>0</v>
      </c>
      <c r="B31" s="102"/>
      <c r="C31" s="91"/>
      <c r="D31" s="91"/>
      <c r="E31" s="91"/>
      <c r="F31" s="54" t="str">
        <f t="shared" si="2"/>
        <v>0:00</v>
      </c>
      <c r="G31" s="84">
        <f>COUNTIF(RestiaCSV!E:E, B31)</f>
        <v>0</v>
      </c>
      <c r="H31" s="85" t="b">
        <v>0</v>
      </c>
      <c r="I31" s="86">
        <f t="shared" si="3"/>
        <v>0</v>
      </c>
      <c r="J31" s="101"/>
      <c r="K31" s="101"/>
      <c r="L31" s="87"/>
      <c r="M31" s="87"/>
    </row>
    <row r="32">
      <c r="A32" s="103"/>
      <c r="B32" s="104" t="s">
        <v>90</v>
      </c>
      <c r="C32" s="105" t="s">
        <v>14</v>
      </c>
      <c r="D32" s="28"/>
      <c r="E32" s="28"/>
      <c r="F32" s="106"/>
      <c r="G32" s="107">
        <f>COUNTIFS(RestiaCSV!E:E, "wolt kurýr", RestiaCSV!A:A, "&lt;&gt;wolt")</f>
        <v>6</v>
      </c>
      <c r="H32" s="108" t="b">
        <v>1</v>
      </c>
      <c r="I32" s="109">
        <f>G32*127</f>
        <v>762</v>
      </c>
      <c r="J32" s="110"/>
      <c r="K32" s="110"/>
      <c r="L32" s="99">
        <f>100%-L29</f>
        <v>0.7096774194</v>
      </c>
      <c r="M32" s="99">
        <f>M29/L26</f>
        <v>0.03225806452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B12:B21">
      <formula1>"Nedbal Michal,Ahurieva Viktoriia,Šebesta Tomáš,Veselý Ondřej,Coufal Jakub,Kinkorová Petra,Nováková Adéla,Hegedüs Erik,Bubník Martin,Mirga Simon,Yarushynskyi Vladyslav,Gorol Patrik,Kopic Jakub"</formula1>
    </dataValidation>
    <dataValidation type="list" allowBlank="1" sqref="G11 G19">
      <formula1>"Kinkorová Petra,Yarushynskyi Vladyslav"</formula1>
    </dataValidation>
    <dataValidation type="list" allowBlank="1" sqref="B25:B31">
      <formula1>"Jurkovič Martin,Hanibal Filip,Novák Jakub,Lažek Jaroslav,Vychivskyi Volodymyr,Reischl Jan,Kalina Filip,Dušek Sam,Richterová Monika,Serin David,Hendrych Rostislav"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1"/>
      <c r="B1" s="112" t="str">
        <f>Report!B1</f>
        <v>Malešice</v>
      </c>
      <c r="C1" s="113">
        <v>46177.0</v>
      </c>
      <c r="D1" s="114" t="s">
        <v>1963</v>
      </c>
      <c r="E1" s="115">
        <v>46177.0</v>
      </c>
      <c r="F1" s="116" t="s">
        <v>28</v>
      </c>
      <c r="G1" s="13"/>
      <c r="H1" s="14"/>
      <c r="I1" s="116" t="s">
        <v>26</v>
      </c>
      <c r="J1" s="13"/>
      <c r="K1" s="14"/>
      <c r="L1" s="117" t="s">
        <v>1940</v>
      </c>
      <c r="M1" s="21"/>
      <c r="N1" s="117"/>
    </row>
    <row r="2" ht="19.5" customHeight="1">
      <c r="A2" s="111"/>
      <c r="B2" s="17"/>
      <c r="C2" s="28"/>
      <c r="D2" s="17"/>
      <c r="E2" s="19"/>
      <c r="F2" s="118">
        <v>0.41555646814614</v>
      </c>
      <c r="H2" s="21"/>
      <c r="I2" s="119">
        <v>37493.39</v>
      </c>
      <c r="K2" s="21"/>
      <c r="L2" s="120" t="s">
        <v>1941</v>
      </c>
      <c r="M2" s="121">
        <v>6807.5</v>
      </c>
      <c r="N2" s="122"/>
    </row>
    <row r="3">
      <c r="A3" s="123"/>
      <c r="B3" s="124" t="str">
        <f>CHOOSE(WEEKDAY(C1), "Neděle", "Pondělí", "Úterý", "Středa", "Čtvrtek", "Pátek", "Sobota")</f>
        <v>Čtvrtek</v>
      </c>
      <c r="C3" s="27"/>
      <c r="D3" s="124" t="str">
        <f>CHOOSE(WEEKDAY(E1), "Neděle", "Pondělí", "Úterý", "Středa", "Čtvrtek", "Pátek", "Sobota")</f>
        <v>Čtvrtek</v>
      </c>
      <c r="E3" s="11"/>
      <c r="H3" s="21"/>
      <c r="K3" s="21"/>
      <c r="L3" s="125" t="s">
        <v>1942</v>
      </c>
      <c r="M3" s="126">
        <v>6522.0</v>
      </c>
      <c r="N3" s="122"/>
    </row>
    <row r="4">
      <c r="A4" s="123"/>
      <c r="B4" s="18"/>
      <c r="C4" s="28"/>
      <c r="D4" s="18"/>
      <c r="E4" s="19"/>
      <c r="F4" s="28"/>
      <c r="G4" s="28"/>
      <c r="H4" s="19"/>
      <c r="I4" s="28"/>
      <c r="J4" s="28"/>
      <c r="K4" s="19"/>
      <c r="L4" s="125" t="s">
        <v>1943</v>
      </c>
      <c r="M4" s="126">
        <v>10002.39</v>
      </c>
      <c r="N4" s="122"/>
    </row>
    <row r="5">
      <c r="A5" s="127"/>
      <c r="B5" s="128" t="s">
        <v>1964</v>
      </c>
      <c r="C5" s="27"/>
      <c r="D5" s="27"/>
      <c r="E5" s="11"/>
      <c r="F5" s="129" t="s">
        <v>1965</v>
      </c>
      <c r="G5" s="27"/>
      <c r="H5" s="27"/>
      <c r="I5" s="27"/>
      <c r="J5" s="27"/>
      <c r="K5" s="11"/>
      <c r="L5" s="130" t="s">
        <v>1945</v>
      </c>
      <c r="M5" s="126">
        <v>6909.0</v>
      </c>
      <c r="N5" s="122"/>
    </row>
    <row r="6">
      <c r="A6" s="127"/>
      <c r="B6" s="18"/>
      <c r="C6" s="28"/>
      <c r="D6" s="28"/>
      <c r="E6" s="19"/>
      <c r="F6" s="28"/>
      <c r="G6" s="28"/>
      <c r="H6" s="28"/>
      <c r="I6" s="28"/>
      <c r="J6" s="28"/>
      <c r="K6" s="19"/>
      <c r="L6" s="130" t="s">
        <v>1946</v>
      </c>
      <c r="M6" s="126">
        <v>706.0</v>
      </c>
      <c r="N6" s="122"/>
    </row>
    <row r="7">
      <c r="A7" s="131"/>
      <c r="B7" s="132">
        <f>TEXT(SUMPRODUCT((IFERROR(LEFT(D11:D30, FIND(":", D11:D30) - 1) * 60, 0) + IFERROR(MID(D11:D30, FIND(":", D11:D30) + 1, LEN(D11:D30) - FIND(":", D11:D30)), 0))), "[h]:mm")/60</f>
        <v>9</v>
      </c>
      <c r="C7" s="28"/>
      <c r="D7" s="28"/>
      <c r="E7" s="19"/>
      <c r="F7" s="133">
        <f>TEXT(SUMPRODUCT((IFERROR(LEFT(H10:H30, FIND(":", H10:H30) - 1) * 60, 0) + IFERROR(MID(H10:H30, FIND(":", H10:H30) + 1, LEN(H10:H30) - FIND(":", H10:H30)), 0))), "[h]:mm")/60</f>
        <v>16</v>
      </c>
      <c r="G7" s="13"/>
      <c r="H7" s="13"/>
      <c r="I7" s="13"/>
      <c r="J7" s="134"/>
      <c r="K7" s="134"/>
      <c r="L7" s="135" t="s">
        <v>1947</v>
      </c>
      <c r="M7" s="136">
        <v>976.0</v>
      </c>
      <c r="N7" s="122"/>
    </row>
    <row r="8">
      <c r="A8" s="137"/>
      <c r="B8" s="138" t="s">
        <v>1948</v>
      </c>
      <c r="C8" s="13"/>
      <c r="D8" s="13"/>
      <c r="E8" s="14"/>
      <c r="F8" s="139" t="s">
        <v>78</v>
      </c>
      <c r="G8" s="13"/>
      <c r="H8" s="13"/>
      <c r="I8" s="14"/>
      <c r="J8" s="140" t="s">
        <v>1949</v>
      </c>
      <c r="K8" s="11"/>
      <c r="L8" s="141" t="s">
        <v>25</v>
      </c>
      <c r="M8" s="14"/>
      <c r="N8" s="117"/>
    </row>
    <row r="9">
      <c r="A9" s="142"/>
      <c r="B9" s="143" t="s">
        <v>1950</v>
      </c>
      <c r="C9" s="144" t="s">
        <v>1966</v>
      </c>
      <c r="D9" s="144" t="s">
        <v>1954</v>
      </c>
      <c r="E9" s="145"/>
      <c r="F9" s="143" t="s">
        <v>1950</v>
      </c>
      <c r="G9" s="144" t="s">
        <v>1966</v>
      </c>
      <c r="H9" s="144" t="s">
        <v>1954</v>
      </c>
      <c r="I9" s="146" t="s">
        <v>1958</v>
      </c>
      <c r="J9" s="147">
        <v>7223.5</v>
      </c>
      <c r="K9" s="11"/>
      <c r="L9" s="148" t="s">
        <v>23</v>
      </c>
      <c r="M9" s="126">
        <v>11861.0</v>
      </c>
      <c r="N9" s="122"/>
    </row>
    <row r="10" ht="18.75" customHeight="1">
      <c r="A10" s="149"/>
      <c r="B10" s="150" t="s">
        <v>1956</v>
      </c>
      <c r="C10" s="151">
        <v>1.0</v>
      </c>
      <c r="D10" s="152" t="s">
        <v>1897</v>
      </c>
      <c r="E10" s="153" t="s">
        <v>1967</v>
      </c>
      <c r="F10" s="150" t="s">
        <v>1968</v>
      </c>
      <c r="G10" s="151">
        <v>1.0</v>
      </c>
      <c r="H10" s="151" t="s">
        <v>63</v>
      </c>
      <c r="I10" s="154">
        <v>4.0</v>
      </c>
      <c r="J10" s="36"/>
      <c r="K10" s="21"/>
      <c r="L10" s="148" t="s">
        <v>24</v>
      </c>
      <c r="M10" s="126">
        <v>0.0</v>
      </c>
      <c r="N10" s="122"/>
    </row>
    <row r="11" ht="18.75" customHeight="1">
      <c r="A11" s="149"/>
      <c r="B11" s="150" t="s">
        <v>1969</v>
      </c>
      <c r="C11" s="151">
        <v>1.0</v>
      </c>
      <c r="D11" s="155" t="s">
        <v>1970</v>
      </c>
      <c r="E11" s="153" t="s">
        <v>49</v>
      </c>
      <c r="F11" s="150" t="s">
        <v>1971</v>
      </c>
      <c r="G11" s="151">
        <v>1.0</v>
      </c>
      <c r="H11" s="151" t="s">
        <v>1972</v>
      </c>
      <c r="I11" s="154">
        <v>5.0</v>
      </c>
      <c r="J11" s="36"/>
      <c r="K11" s="21"/>
      <c r="L11" s="156" t="s">
        <v>25</v>
      </c>
      <c r="M11" s="157">
        <v>684.0</v>
      </c>
      <c r="N11" s="122"/>
    </row>
    <row r="12" ht="18.75" customHeight="1">
      <c r="A12" s="149"/>
      <c r="B12" s="150" t="s">
        <v>1924</v>
      </c>
      <c r="C12" s="151">
        <v>1.0</v>
      </c>
      <c r="D12" s="155" t="s">
        <v>1973</v>
      </c>
      <c r="E12" s="153" t="s">
        <v>50</v>
      </c>
      <c r="F12" s="150"/>
      <c r="G12" s="151"/>
      <c r="H12" s="151"/>
      <c r="I12" s="154"/>
      <c r="J12" s="36"/>
      <c r="K12" s="21"/>
      <c r="L12" s="158" t="s">
        <v>1955</v>
      </c>
      <c r="M12" s="19"/>
      <c r="N12" s="117"/>
    </row>
    <row r="13" ht="18.75" customHeight="1">
      <c r="A13" s="149"/>
      <c r="B13" s="150"/>
      <c r="C13" s="151"/>
      <c r="D13" s="155"/>
      <c r="E13" s="153" t="s">
        <v>50</v>
      </c>
      <c r="F13" s="150"/>
      <c r="G13" s="151"/>
      <c r="H13" s="151"/>
      <c r="I13" s="154"/>
      <c r="J13" s="36"/>
      <c r="K13" s="21"/>
      <c r="L13" s="148" t="s">
        <v>29</v>
      </c>
      <c r="M13" s="126">
        <v>1000.0</v>
      </c>
      <c r="N13" s="122"/>
    </row>
    <row r="14" ht="18.75" customHeight="1">
      <c r="A14" s="149"/>
      <c r="B14" s="150"/>
      <c r="C14" s="151"/>
      <c r="D14" s="151"/>
      <c r="E14" s="153" t="s">
        <v>1974</v>
      </c>
      <c r="F14" s="150"/>
      <c r="G14" s="151"/>
      <c r="H14" s="151"/>
      <c r="I14" s="154"/>
      <c r="J14" s="36"/>
      <c r="K14" s="21"/>
      <c r="L14" s="159" t="s">
        <v>30</v>
      </c>
      <c r="M14" s="126">
        <v>0.0</v>
      </c>
      <c r="N14" s="122"/>
    </row>
    <row r="15" ht="18.75" customHeight="1">
      <c r="A15" s="149"/>
      <c r="B15" s="150"/>
      <c r="C15" s="151"/>
      <c r="D15" s="151"/>
      <c r="E15" s="153" t="s">
        <v>1974</v>
      </c>
      <c r="F15" s="150"/>
      <c r="G15" s="151"/>
      <c r="H15" s="151"/>
      <c r="I15" s="154"/>
      <c r="J15" s="36"/>
      <c r="K15" s="21"/>
      <c r="L15" s="159" t="s">
        <v>31</v>
      </c>
      <c r="M15" s="126">
        <v>0.0</v>
      </c>
      <c r="N15" s="122"/>
    </row>
    <row r="16" ht="18.75" customHeight="1">
      <c r="A16" s="149"/>
      <c r="B16" s="150"/>
      <c r="C16" s="151"/>
      <c r="D16" s="151"/>
      <c r="E16" s="160"/>
      <c r="F16" s="150"/>
      <c r="G16" s="151"/>
      <c r="H16" s="151"/>
      <c r="I16" s="154"/>
      <c r="J16" s="36"/>
      <c r="K16" s="21"/>
      <c r="L16" s="159" t="s">
        <v>32</v>
      </c>
      <c r="M16" s="126">
        <v>0.0</v>
      </c>
      <c r="N16" s="122"/>
    </row>
    <row r="17" ht="18.75" customHeight="1">
      <c r="A17" s="149"/>
      <c r="B17" s="150"/>
      <c r="C17" s="151"/>
      <c r="D17" s="151"/>
      <c r="E17" s="160"/>
      <c r="F17" s="150"/>
      <c r="G17" s="151"/>
      <c r="H17" s="151"/>
      <c r="I17" s="154"/>
      <c r="J17" s="18"/>
      <c r="K17" s="19"/>
      <c r="L17" s="161" t="s">
        <v>33</v>
      </c>
      <c r="M17" s="162">
        <v>225.0</v>
      </c>
      <c r="N17" s="122"/>
    </row>
    <row r="18" ht="18.75" customHeight="1">
      <c r="A18" s="149"/>
      <c r="B18" s="150"/>
      <c r="C18" s="151"/>
      <c r="D18" s="151"/>
      <c r="E18" s="160"/>
      <c r="F18" s="150"/>
      <c r="G18" s="151"/>
      <c r="H18" s="151"/>
      <c r="I18" s="154"/>
      <c r="J18" s="163"/>
      <c r="K18" s="13"/>
      <c r="L18" s="13"/>
      <c r="M18" s="14"/>
      <c r="N18" s="164"/>
    </row>
    <row r="19" ht="18.75" customHeight="1">
      <c r="A19" s="149"/>
      <c r="B19" s="150"/>
      <c r="C19" s="151"/>
      <c r="D19" s="151"/>
      <c r="E19" s="160"/>
      <c r="F19" s="150"/>
      <c r="G19" s="151"/>
      <c r="H19" s="151"/>
      <c r="I19" s="154"/>
      <c r="J19" s="165" t="s">
        <v>34</v>
      </c>
      <c r="K19" s="166" t="s">
        <v>35</v>
      </c>
      <c r="L19" s="167" t="s">
        <v>1957</v>
      </c>
      <c r="M19" s="168" t="s">
        <v>37</v>
      </c>
    </row>
    <row r="20" ht="18.75" customHeight="1">
      <c r="A20" s="149"/>
      <c r="B20" s="150"/>
      <c r="C20" s="151"/>
      <c r="D20" s="151"/>
      <c r="E20" s="160"/>
      <c r="F20" s="150"/>
      <c r="G20" s="169"/>
      <c r="H20" s="151"/>
      <c r="I20" s="154"/>
      <c r="J20" s="170"/>
      <c r="K20" s="87"/>
      <c r="L20" s="87"/>
      <c r="M20" s="171"/>
    </row>
    <row r="21" ht="18.75" customHeight="1">
      <c r="A21" s="149"/>
      <c r="B21" s="150"/>
      <c r="C21" s="151"/>
      <c r="D21" s="151"/>
      <c r="E21" s="160"/>
      <c r="F21" s="150"/>
      <c r="G21" s="151"/>
      <c r="H21" s="151"/>
      <c r="I21" s="154"/>
      <c r="J21" s="172">
        <v>0.0</v>
      </c>
      <c r="K21" s="173">
        <v>0.0</v>
      </c>
      <c r="L21" s="174">
        <v>0.0</v>
      </c>
      <c r="M21" s="175" t="s">
        <v>1975</v>
      </c>
      <c r="N21" s="164"/>
    </row>
    <row r="22" ht="18.75" customHeight="1">
      <c r="A22" s="149"/>
      <c r="B22" s="150"/>
      <c r="C22" s="151"/>
      <c r="D22" s="151"/>
      <c r="E22" s="160"/>
      <c r="F22" s="150"/>
      <c r="G22" s="151"/>
      <c r="H22" s="151"/>
      <c r="I22" s="154"/>
      <c r="J22" s="176" t="s">
        <v>1960</v>
      </c>
      <c r="K22" s="83" t="s">
        <v>1876</v>
      </c>
      <c r="L22" s="82" t="s">
        <v>1877</v>
      </c>
      <c r="M22" s="177" t="s">
        <v>1878</v>
      </c>
      <c r="N22" s="164"/>
    </row>
    <row r="23" ht="18.75" customHeight="1">
      <c r="A23" s="149"/>
      <c r="B23" s="150"/>
      <c r="C23" s="151"/>
      <c r="D23" s="151"/>
      <c r="E23" s="160"/>
      <c r="F23" s="150"/>
      <c r="G23" s="151"/>
      <c r="H23" s="151"/>
      <c r="I23" s="154"/>
      <c r="J23" s="170"/>
      <c r="K23" s="87"/>
      <c r="L23" s="87"/>
      <c r="M23" s="171"/>
      <c r="N23" s="164"/>
    </row>
    <row r="24" ht="18.75" customHeight="1">
      <c r="A24" s="149"/>
      <c r="B24" s="150"/>
      <c r="C24" s="151"/>
      <c r="D24" s="151"/>
      <c r="E24" s="160"/>
      <c r="F24" s="150"/>
      <c r="G24" s="151"/>
      <c r="H24" s="151"/>
      <c r="I24" s="154"/>
      <c r="J24" s="178">
        <v>1.0</v>
      </c>
      <c r="K24" s="174">
        <v>99.0</v>
      </c>
      <c r="L24" s="174">
        <v>14.0</v>
      </c>
      <c r="M24" s="179">
        <v>1.0</v>
      </c>
      <c r="N24" s="164"/>
    </row>
    <row r="25" ht="18.75" customHeight="1">
      <c r="A25" s="149"/>
      <c r="B25" s="150"/>
      <c r="C25" s="151"/>
      <c r="D25" s="151"/>
      <c r="E25" s="160"/>
      <c r="F25" s="150"/>
      <c r="G25" s="151"/>
      <c r="H25" s="151"/>
      <c r="I25" s="154"/>
      <c r="J25" s="180" t="s">
        <v>1962</v>
      </c>
      <c r="K25" s="93"/>
      <c r="L25" s="181" t="s">
        <v>1880</v>
      </c>
      <c r="M25" s="182" t="s">
        <v>1881</v>
      </c>
      <c r="N25" s="164"/>
    </row>
    <row r="26" ht="18.75" customHeight="1">
      <c r="A26" s="149"/>
      <c r="B26" s="150"/>
      <c r="C26" s="151"/>
      <c r="D26" s="151"/>
      <c r="E26" s="160"/>
      <c r="F26" s="150"/>
      <c r="G26" s="151"/>
      <c r="H26" s="151"/>
      <c r="I26" s="154"/>
      <c r="J26" s="183"/>
      <c r="K26" s="95"/>
      <c r="L26" s="87"/>
      <c r="M26" s="171"/>
      <c r="N26" s="164"/>
    </row>
    <row r="27" ht="18.75" customHeight="1">
      <c r="A27" s="149"/>
      <c r="B27" s="150"/>
      <c r="C27" s="151"/>
      <c r="D27" s="151"/>
      <c r="E27" s="160"/>
      <c r="F27" s="150"/>
      <c r="G27" s="151"/>
      <c r="H27" s="151"/>
      <c r="I27" s="154"/>
      <c r="J27" s="184">
        <v>0.0</v>
      </c>
      <c r="K27" s="98"/>
      <c r="L27" s="185">
        <v>0.0</v>
      </c>
      <c r="M27" s="186">
        <v>0.0</v>
      </c>
      <c r="N27" s="164"/>
    </row>
    <row r="28" ht="18.75" customHeight="1">
      <c r="A28" s="149"/>
      <c r="B28" s="150"/>
      <c r="C28" s="151"/>
      <c r="D28" s="151"/>
      <c r="E28" s="160"/>
      <c r="F28" s="150"/>
      <c r="G28" s="151"/>
      <c r="H28" s="151"/>
      <c r="I28" s="154"/>
      <c r="J28" s="187"/>
      <c r="L28" s="188" t="s">
        <v>1882</v>
      </c>
      <c r="M28" s="182" t="s">
        <v>1883</v>
      </c>
      <c r="N28" s="164"/>
    </row>
    <row r="29" ht="18.75" customHeight="1">
      <c r="A29" s="149"/>
      <c r="B29" s="150"/>
      <c r="C29" s="151"/>
      <c r="D29" s="151"/>
      <c r="E29" s="160"/>
      <c r="F29" s="150"/>
      <c r="G29" s="151"/>
      <c r="H29" s="151"/>
      <c r="I29" s="154"/>
      <c r="J29" s="36"/>
      <c r="L29" s="87"/>
      <c r="M29" s="171"/>
      <c r="N29" s="164"/>
    </row>
    <row r="30" ht="18.75" customHeight="1">
      <c r="A30" s="149"/>
      <c r="B30" s="150"/>
      <c r="C30" s="151"/>
      <c r="D30" s="151"/>
      <c r="E30" s="160"/>
      <c r="F30" s="150"/>
      <c r="G30" s="151"/>
      <c r="H30" s="151"/>
      <c r="I30" s="154"/>
      <c r="J30" s="18"/>
      <c r="K30" s="28"/>
      <c r="L30" s="189">
        <v>1.0</v>
      </c>
      <c r="M30" s="190">
        <v>0.0</v>
      </c>
      <c r="N30" s="164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38"/>
    <col customWidth="1" min="3" max="4" width="16.5"/>
    <col customWidth="1" min="5" max="5" width="15.63"/>
    <col customWidth="1" min="6" max="7" width="16.5"/>
    <col customWidth="1" min="8" max="8" width="16.25"/>
    <col customWidth="1" min="9" max="27" width="18.13"/>
    <col customWidth="1" min="28" max="28" width="1.88"/>
  </cols>
  <sheetData>
    <row r="1">
      <c r="A1" s="191" t="s">
        <v>1976</v>
      </c>
      <c r="B1" s="13"/>
      <c r="C1" s="13"/>
      <c r="D1" s="13"/>
      <c r="E1" s="13"/>
      <c r="F1" s="13"/>
      <c r="G1" s="13"/>
      <c r="H1" s="14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>
      <c r="A2" s="1" t="s">
        <v>1977</v>
      </c>
      <c r="B2" s="1" t="s">
        <v>69</v>
      </c>
      <c r="C2" s="1" t="s">
        <v>61</v>
      </c>
      <c r="D2" s="1" t="s">
        <v>73</v>
      </c>
      <c r="E2" s="1" t="s">
        <v>1884</v>
      </c>
      <c r="F2" s="1" t="s">
        <v>39</v>
      </c>
      <c r="G2" s="1" t="s">
        <v>1901</v>
      </c>
      <c r="H2" s="1" t="s">
        <v>67</v>
      </c>
    </row>
    <row r="3">
      <c r="A3" s="1" t="s">
        <v>1885</v>
      </c>
      <c r="B3" s="1" t="s">
        <v>1978</v>
      </c>
      <c r="C3" s="1" t="s">
        <v>1979</v>
      </c>
      <c r="D3" s="193"/>
      <c r="E3" s="193"/>
      <c r="F3" s="1" t="s">
        <v>1979</v>
      </c>
      <c r="G3" s="1" t="s">
        <v>1978</v>
      </c>
      <c r="H3" s="193"/>
    </row>
    <row r="4">
      <c r="A4" s="1" t="s">
        <v>1956</v>
      </c>
      <c r="B4" s="1" t="s">
        <v>1980</v>
      </c>
      <c r="C4" s="1" t="s">
        <v>1981</v>
      </c>
      <c r="D4" s="193"/>
      <c r="E4" s="1" t="s">
        <v>1979</v>
      </c>
      <c r="F4" s="1" t="s">
        <v>1982</v>
      </c>
      <c r="G4" s="193"/>
      <c r="H4" s="1" t="s">
        <v>1983</v>
      </c>
    </row>
    <row r="5">
      <c r="A5" s="1" t="s">
        <v>1984</v>
      </c>
      <c r="B5" s="1" t="s">
        <v>1985</v>
      </c>
      <c r="C5" s="193"/>
      <c r="D5" s="193"/>
      <c r="E5" s="193"/>
      <c r="F5" s="193"/>
      <c r="G5" s="193"/>
      <c r="H5" s="193"/>
    </row>
    <row r="6">
      <c r="A6" s="1" t="s">
        <v>1961</v>
      </c>
      <c r="B6" s="1" t="s">
        <v>1986</v>
      </c>
      <c r="C6" s="1" t="s">
        <v>1987</v>
      </c>
      <c r="D6" s="193"/>
      <c r="E6" s="193"/>
      <c r="F6" s="1" t="s">
        <v>1987</v>
      </c>
      <c r="G6" s="1" t="s">
        <v>1988</v>
      </c>
      <c r="H6" s="193"/>
    </row>
    <row r="7">
      <c r="A7" s="1" t="s">
        <v>1312</v>
      </c>
      <c r="B7" s="1" t="s">
        <v>1989</v>
      </c>
      <c r="C7" s="193"/>
      <c r="D7" s="193"/>
      <c r="E7" s="193"/>
      <c r="F7" s="193"/>
      <c r="G7" s="193"/>
      <c r="H7" s="1" t="s">
        <v>1990</v>
      </c>
    </row>
    <row r="8">
      <c r="A8" s="1" t="s">
        <v>1969</v>
      </c>
      <c r="B8" s="193"/>
      <c r="C8" s="193"/>
      <c r="D8" s="1" t="s">
        <v>1979</v>
      </c>
      <c r="E8" s="1" t="s">
        <v>1981</v>
      </c>
      <c r="F8" s="193"/>
      <c r="G8" s="1" t="s">
        <v>1982</v>
      </c>
      <c r="H8" s="1" t="s">
        <v>1983</v>
      </c>
    </row>
    <row r="9">
      <c r="A9" s="1" t="s">
        <v>1968</v>
      </c>
      <c r="B9" s="193"/>
      <c r="C9" s="193"/>
      <c r="D9" s="1" t="s">
        <v>1991</v>
      </c>
      <c r="E9" s="1" t="s">
        <v>1987</v>
      </c>
      <c r="F9" s="1" t="s">
        <v>1992</v>
      </c>
      <c r="G9" s="1" t="s">
        <v>1993</v>
      </c>
      <c r="H9" s="1" t="s">
        <v>1991</v>
      </c>
    </row>
    <row r="10">
      <c r="A10" s="1" t="s">
        <v>1924</v>
      </c>
      <c r="B10" s="193"/>
      <c r="C10" s="193"/>
      <c r="D10" s="1" t="s">
        <v>1981</v>
      </c>
      <c r="E10" s="193"/>
      <c r="F10" s="193"/>
      <c r="G10" s="1" t="s">
        <v>1982</v>
      </c>
      <c r="H10" s="1" t="s">
        <v>1978</v>
      </c>
    </row>
    <row r="11">
      <c r="A11" s="1" t="s">
        <v>1994</v>
      </c>
      <c r="B11" s="193"/>
      <c r="C11" s="193"/>
      <c r="D11" s="1" t="s">
        <v>1986</v>
      </c>
      <c r="E11" s="193"/>
      <c r="F11" s="193"/>
      <c r="G11" s="193"/>
      <c r="H11" s="193"/>
    </row>
    <row r="12">
      <c r="A12" s="1" t="s">
        <v>1971</v>
      </c>
      <c r="B12" s="193"/>
      <c r="D12" s="193"/>
      <c r="E12" s="1" t="s">
        <v>1995</v>
      </c>
      <c r="F12" s="193"/>
      <c r="G12" s="193"/>
      <c r="H12" s="1" t="s">
        <v>1996</v>
      </c>
    </row>
    <row r="13">
      <c r="A13" s="1" t="s">
        <v>1997</v>
      </c>
      <c r="B13" s="193"/>
      <c r="D13" s="193"/>
      <c r="E13" s="193"/>
      <c r="F13" s="193"/>
      <c r="G13" s="1" t="s">
        <v>1995</v>
      </c>
      <c r="H13" s="193"/>
    </row>
    <row r="14">
      <c r="A14" s="193"/>
      <c r="B14" s="193"/>
      <c r="F14" s="193"/>
      <c r="G14" s="193"/>
      <c r="H14" s="193"/>
    </row>
    <row r="15">
      <c r="A15" s="193"/>
      <c r="G15" s="193"/>
      <c r="H15" s="193"/>
    </row>
    <row r="16">
      <c r="A16" s="193"/>
      <c r="H16" s="193"/>
    </row>
    <row r="17">
      <c r="A17" s="193"/>
      <c r="C17" s="193"/>
      <c r="D17" s="193"/>
      <c r="E17" s="193"/>
      <c r="F17" s="193"/>
      <c r="G17" s="193"/>
    </row>
    <row r="19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"/>
      <c r="AB19" s="1"/>
    </row>
    <row r="20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O20" s="193"/>
      <c r="P20" s="193"/>
      <c r="Q20" s="193"/>
      <c r="S20" s="193"/>
      <c r="T20" s="193"/>
      <c r="U20" s="193"/>
      <c r="V20" s="193"/>
      <c r="W20" s="193"/>
      <c r="X20" s="193"/>
      <c r="Y20" s="193"/>
      <c r="Z20" s="193"/>
      <c r="AB20" s="1">
        <v>0.0</v>
      </c>
    </row>
    <row r="21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O21" s="193"/>
      <c r="P21" s="193"/>
      <c r="Q21" s="193"/>
      <c r="S21" s="193"/>
      <c r="T21" s="193"/>
      <c r="U21" s="193"/>
      <c r="V21" s="193"/>
      <c r="W21" s="193"/>
      <c r="X21" s="193"/>
      <c r="Y21" s="193"/>
      <c r="Z21" s="193"/>
      <c r="AB21" s="1"/>
    </row>
    <row r="22">
      <c r="A22" s="193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T22" s="193"/>
      <c r="U22" s="193"/>
      <c r="V22" s="193"/>
      <c r="W22" s="193"/>
      <c r="X22" s="193"/>
      <c r="Y22" s="193"/>
      <c r="Z22" s="193"/>
      <c r="AB22" s="1"/>
    </row>
    <row r="23">
      <c r="A23" s="193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O23" s="193"/>
      <c r="P23" s="193"/>
      <c r="Q23" s="193"/>
      <c r="S23" s="193"/>
      <c r="T23" s="193"/>
      <c r="U23" s="193"/>
      <c r="V23" s="193"/>
      <c r="W23" s="193"/>
      <c r="X23" s="193"/>
      <c r="Y23" s="193"/>
      <c r="Z23" s="193"/>
      <c r="AB23" s="1"/>
    </row>
    <row r="24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O24" s="193"/>
      <c r="P24" s="193"/>
      <c r="Q24" s="193"/>
      <c r="S24" s="193"/>
      <c r="T24" s="193"/>
      <c r="U24" s="193"/>
      <c r="V24" s="193"/>
      <c r="W24" s="193"/>
      <c r="X24" s="193"/>
      <c r="Y24" s="193"/>
      <c r="Z24" s="193"/>
      <c r="AB24" s="1"/>
    </row>
    <row r="25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O25" s="193"/>
      <c r="P25" s="193"/>
      <c r="Q25" s="193"/>
      <c r="S25" s="193"/>
      <c r="T25" s="193"/>
      <c r="U25" s="193"/>
      <c r="V25" s="193"/>
      <c r="W25" s="193"/>
      <c r="X25" s="193"/>
      <c r="Y25" s="193"/>
      <c r="Z25" s="193"/>
      <c r="AB25" s="1"/>
    </row>
    <row r="26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O26" s="193"/>
      <c r="P26" s="193"/>
      <c r="Q26" s="193"/>
      <c r="S26" s="193"/>
      <c r="T26" s="193"/>
      <c r="U26" s="193"/>
      <c r="V26" s="193"/>
      <c r="W26" s="193"/>
      <c r="X26" s="193"/>
      <c r="Y26" s="193"/>
      <c r="Z26" s="193"/>
      <c r="AB26" s="1">
        <v>0.0</v>
      </c>
    </row>
    <row r="27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S27" s="193"/>
      <c r="T27" s="193"/>
      <c r="U27" s="193"/>
      <c r="V27" s="193"/>
      <c r="W27" s="193"/>
      <c r="X27" s="193"/>
      <c r="Y27" s="193"/>
      <c r="Z27" s="193"/>
      <c r="AB27" s="1"/>
    </row>
    <row r="28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O28" s="193"/>
      <c r="P28" s="193"/>
      <c r="Q28" s="193"/>
      <c r="S28" s="193"/>
      <c r="T28" s="193"/>
      <c r="U28" s="193"/>
      <c r="V28" s="193"/>
      <c r="W28" s="193"/>
      <c r="X28" s="193"/>
      <c r="Y28" s="193"/>
      <c r="Z28" s="193"/>
      <c r="AB28" s="1"/>
    </row>
    <row r="29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O29" s="193"/>
      <c r="P29" s="193"/>
      <c r="Q29" s="193"/>
      <c r="S29" s="193"/>
      <c r="T29" s="193"/>
      <c r="U29" s="193"/>
      <c r="V29" s="193"/>
      <c r="W29" s="193"/>
      <c r="X29" s="193"/>
      <c r="Y29" s="193"/>
      <c r="Z29" s="193"/>
      <c r="AB29" s="1">
        <v>0.0</v>
      </c>
    </row>
    <row r="30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"/>
      <c r="AB30" s="1"/>
    </row>
    <row r="3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T31" s="193"/>
      <c r="U31" s="193"/>
      <c r="V31" s="193"/>
      <c r="W31" s="193"/>
      <c r="X31" s="193"/>
      <c r="Y31" s="193"/>
      <c r="Z31" s="193"/>
      <c r="AB31" s="1"/>
    </row>
    <row r="32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O32" s="193"/>
      <c r="P32" s="193"/>
      <c r="Q32" s="193"/>
      <c r="S32" s="193"/>
      <c r="T32" s="193"/>
      <c r="U32" s="193"/>
      <c r="V32" s="193"/>
      <c r="W32" s="193"/>
      <c r="X32" s="193"/>
      <c r="Y32" s="193"/>
      <c r="Z32" s="193"/>
      <c r="AB32" s="1"/>
    </row>
    <row r="33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T33" s="193"/>
      <c r="U33" s="193"/>
      <c r="V33" s="193"/>
      <c r="W33" s="193"/>
      <c r="X33" s="193"/>
      <c r="Y33" s="193"/>
      <c r="Z33" s="193"/>
      <c r="AB33" s="1"/>
    </row>
    <row r="34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"/>
      <c r="AB34" s="1"/>
    </row>
    <row r="3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O35" s="193"/>
      <c r="P35" s="193"/>
      <c r="Q35" s="193"/>
      <c r="S35" s="193"/>
      <c r="T35" s="193"/>
      <c r="U35" s="193"/>
      <c r="V35" s="193"/>
      <c r="W35" s="193"/>
      <c r="X35" s="193"/>
      <c r="Y35" s="193"/>
      <c r="Z35" s="193"/>
      <c r="AB35" s="1"/>
    </row>
    <row r="36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O36" s="193"/>
      <c r="P36" s="193"/>
      <c r="Q36" s="193"/>
      <c r="S36" s="193"/>
      <c r="T36" s="193"/>
      <c r="U36" s="193"/>
      <c r="V36" s="193"/>
      <c r="Y36" s="193"/>
      <c r="Z36" s="193"/>
      <c r="AB36" s="1">
        <v>0.0</v>
      </c>
    </row>
    <row r="37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O37" s="193"/>
      <c r="P37" s="193"/>
      <c r="Q37" s="193"/>
      <c r="S37" s="193"/>
      <c r="T37" s="193"/>
      <c r="U37" s="193"/>
      <c r="V37" s="193"/>
      <c r="W37" s="193"/>
      <c r="X37" s="193"/>
      <c r="Y37" s="193"/>
      <c r="Z37" s="193"/>
      <c r="AB37" s="1"/>
    </row>
    <row r="38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"/>
      <c r="AB38" s="1"/>
    </row>
    <row r="39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"/>
      <c r="AB39" s="1"/>
    </row>
    <row r="40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O40" s="193"/>
      <c r="P40" s="193"/>
      <c r="Q40" s="193"/>
      <c r="S40" s="193"/>
      <c r="T40" s="193"/>
      <c r="U40" s="193"/>
      <c r="V40" s="193"/>
      <c r="W40" s="193"/>
      <c r="X40" s="193"/>
      <c r="Y40" s="193"/>
      <c r="Z40" s="193"/>
      <c r="AB40" s="1"/>
    </row>
    <row r="4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O41" s="193"/>
      <c r="P41" s="193"/>
      <c r="Q41" s="193"/>
      <c r="S41" s="193"/>
      <c r="T41" s="193"/>
      <c r="U41" s="193"/>
      <c r="V41" s="193"/>
      <c r="W41" s="193"/>
      <c r="X41" s="193"/>
      <c r="Y41" s="193"/>
      <c r="Z41" s="193"/>
      <c r="AB41" s="1"/>
    </row>
    <row r="42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"/>
      <c r="AB42" s="1"/>
    </row>
    <row r="43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T43" s="193"/>
      <c r="U43" s="193"/>
      <c r="V43" s="193"/>
      <c r="W43" s="193"/>
      <c r="X43" s="193"/>
      <c r="Y43" s="193"/>
      <c r="Z43" s="193"/>
      <c r="AB43" s="1"/>
    </row>
    <row r="44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O44" s="193"/>
      <c r="P44" s="193"/>
      <c r="Q44" s="193"/>
      <c r="S44" s="193"/>
      <c r="T44" s="193"/>
      <c r="U44" s="193"/>
      <c r="V44" s="193"/>
      <c r="W44" s="193"/>
      <c r="X44" s="193"/>
      <c r="Y44" s="193"/>
      <c r="Z44" s="193"/>
      <c r="AB44" s="1"/>
    </row>
    <row r="45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O45" s="193"/>
      <c r="P45" s="193"/>
      <c r="Q45" s="193"/>
      <c r="S45" s="193"/>
      <c r="T45" s="193"/>
      <c r="U45" s="193"/>
      <c r="V45" s="193"/>
      <c r="W45" s="193"/>
      <c r="X45" s="193"/>
      <c r="Y45" s="193"/>
      <c r="Z45" s="193"/>
      <c r="AB45" s="1">
        <v>0.0</v>
      </c>
    </row>
    <row r="46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T46" s="193"/>
      <c r="U46" s="193"/>
      <c r="V46" s="193"/>
      <c r="W46" s="193"/>
      <c r="X46" s="193"/>
      <c r="Y46" s="193"/>
      <c r="Z46" s="193"/>
      <c r="AB46" s="1"/>
    </row>
    <row r="47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O47" s="193"/>
      <c r="P47" s="193"/>
      <c r="Q47" s="193"/>
      <c r="S47" s="193"/>
      <c r="T47" s="193"/>
      <c r="U47" s="193"/>
      <c r="V47" s="193"/>
      <c r="W47" s="193"/>
      <c r="X47" s="193"/>
      <c r="Y47" s="193"/>
      <c r="Z47" s="193"/>
      <c r="AB47" s="1">
        <v>0.0</v>
      </c>
    </row>
    <row r="48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"/>
      <c r="AB48" s="1"/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T49" s="193"/>
      <c r="U49" s="193"/>
      <c r="V49" s="193"/>
      <c r="W49" s="193"/>
      <c r="X49" s="193"/>
      <c r="Y49" s="193"/>
      <c r="Z49" s="193"/>
      <c r="AB49" s="1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O50" s="193"/>
      <c r="P50" s="193"/>
      <c r="Q50" s="193"/>
      <c r="S50" s="193"/>
      <c r="T50" s="193"/>
      <c r="U50" s="193"/>
      <c r="V50" s="193"/>
      <c r="W50" s="193"/>
      <c r="X50" s="193"/>
      <c r="Y50" s="193"/>
      <c r="Z50" s="193"/>
      <c r="AB50" s="1">
        <v>0.0</v>
      </c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O51" s="193"/>
      <c r="P51" s="193"/>
      <c r="Q51" s="193"/>
      <c r="S51" s="193"/>
      <c r="T51" s="193"/>
      <c r="U51" s="193"/>
      <c r="V51" s="193"/>
      <c r="W51" s="193"/>
      <c r="X51" s="193"/>
      <c r="Y51" s="193"/>
      <c r="Z51" s="193"/>
      <c r="AB51" s="1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"/>
      <c r="AB52" s="1"/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O53" s="193"/>
      <c r="P53" s="193"/>
      <c r="Q53" s="193"/>
      <c r="S53" s="193"/>
      <c r="T53" s="193"/>
      <c r="U53" s="193"/>
      <c r="V53" s="193"/>
      <c r="W53" s="193"/>
      <c r="X53" s="193"/>
      <c r="Y53" s="193"/>
      <c r="Z53" s="193"/>
      <c r="AB53" s="1">
        <v>0.0</v>
      </c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O54" s="193"/>
      <c r="P54" s="193"/>
      <c r="Q54" s="193"/>
      <c r="S54" s="193"/>
      <c r="T54" s="193"/>
      <c r="U54" s="193"/>
      <c r="V54" s="193"/>
      <c r="W54" s="193"/>
      <c r="X54" s="193"/>
      <c r="Y54" s="193"/>
      <c r="Z54" s="193"/>
      <c r="AB54" s="1">
        <v>0.0</v>
      </c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T55" s="193"/>
      <c r="U55" s="193"/>
      <c r="V55" s="193"/>
      <c r="W55" s="193"/>
      <c r="X55" s="193"/>
      <c r="Y55" s="193"/>
      <c r="Z55" s="193"/>
      <c r="AB55" s="1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T56" s="193"/>
      <c r="U56" s="193"/>
      <c r="V56" s="193"/>
      <c r="W56" s="193"/>
      <c r="X56" s="193"/>
      <c r="Y56" s="193"/>
      <c r="Z56" s="193"/>
      <c r="AB56" s="1"/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T57" s="193"/>
      <c r="U57" s="193"/>
      <c r="V57" s="193"/>
      <c r="W57" s="193"/>
      <c r="X57" s="193"/>
      <c r="Y57" s="193"/>
      <c r="Z57" s="193"/>
      <c r="AB57" s="1"/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O58" s="193"/>
      <c r="P58" s="193"/>
      <c r="Q58" s="193"/>
      <c r="S58" s="193"/>
      <c r="T58" s="193"/>
      <c r="U58" s="193"/>
      <c r="V58" s="193"/>
      <c r="W58" s="193"/>
      <c r="X58" s="193"/>
      <c r="Y58" s="193"/>
      <c r="Z58" s="193"/>
      <c r="AB58" s="1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"/>
      <c r="AB59" s="1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T60" s="193"/>
      <c r="U60" s="193"/>
      <c r="V60" s="193"/>
      <c r="W60" s="193"/>
      <c r="X60" s="193"/>
      <c r="Y60" s="193"/>
      <c r="Z60" s="193"/>
      <c r="AB60" s="1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O61" s="193"/>
      <c r="P61" s="193"/>
      <c r="Q61" s="193"/>
      <c r="S61" s="193"/>
      <c r="T61" s="193"/>
      <c r="U61" s="193"/>
      <c r="V61" s="193"/>
      <c r="W61" s="193"/>
      <c r="X61" s="193"/>
      <c r="Y61" s="193"/>
      <c r="Z61" s="193"/>
      <c r="AB61" s="1"/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T62" s="193"/>
      <c r="U62" s="193"/>
      <c r="V62" s="193"/>
      <c r="W62" s="193"/>
      <c r="X62" s="193"/>
      <c r="Y62" s="193"/>
      <c r="Z62" s="193"/>
      <c r="AB62" s="1"/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"/>
      <c r="AB63" s="1"/>
    </row>
    <row r="64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O64" s="193"/>
      <c r="P64" s="193"/>
      <c r="Q64" s="193"/>
      <c r="S64" s="193"/>
      <c r="T64" s="193"/>
      <c r="U64" s="193"/>
      <c r="V64" s="193"/>
      <c r="W64" s="193"/>
      <c r="X64" s="193"/>
      <c r="Y64" s="193"/>
      <c r="Z64" s="193"/>
      <c r="AB64" s="1"/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T65" s="193"/>
      <c r="U65" s="193"/>
      <c r="V65" s="193"/>
      <c r="W65" s="193"/>
      <c r="X65" s="193"/>
      <c r="Y65" s="193"/>
      <c r="Z65" s="193"/>
      <c r="AB65" s="1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T66" s="193"/>
      <c r="U66" s="193"/>
      <c r="V66" s="193"/>
      <c r="W66" s="193"/>
      <c r="X66" s="193"/>
      <c r="Y66" s="193"/>
      <c r="Z66" s="193"/>
      <c r="AB66" s="1"/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O67" s="193"/>
      <c r="P67" s="193"/>
      <c r="Q67" s="193"/>
      <c r="S67" s="193"/>
      <c r="T67" s="193"/>
      <c r="U67" s="193"/>
      <c r="V67" s="193"/>
      <c r="W67" s="193"/>
      <c r="X67" s="193"/>
      <c r="Y67" s="193"/>
      <c r="Z67" s="193"/>
      <c r="AB67" s="1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O68" s="193"/>
      <c r="P68" s="193"/>
      <c r="Q68" s="193"/>
      <c r="S68" s="193"/>
      <c r="T68" s="193"/>
      <c r="U68" s="193"/>
      <c r="V68" s="193"/>
      <c r="W68" s="193"/>
      <c r="X68" s="193"/>
      <c r="Y68" s="193"/>
      <c r="Z68" s="193"/>
      <c r="AB68" s="1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O69" s="193"/>
      <c r="P69" s="193"/>
      <c r="Q69" s="193"/>
      <c r="S69" s="193"/>
      <c r="T69" s="193"/>
      <c r="U69" s="193"/>
      <c r="V69" s="193"/>
      <c r="W69" s="193"/>
      <c r="X69" s="193"/>
      <c r="Y69" s="193"/>
      <c r="Z69" s="193"/>
      <c r="AB69" s="1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"/>
      <c r="AB70" s="1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O71" s="193"/>
      <c r="P71" s="193"/>
      <c r="Q71" s="193"/>
      <c r="S71" s="193"/>
      <c r="T71" s="193"/>
      <c r="U71" s="193"/>
      <c r="V71" s="193"/>
      <c r="W71" s="193"/>
      <c r="X71" s="193"/>
      <c r="Y71" s="193"/>
      <c r="Z71" s="193"/>
      <c r="AB71" s="1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O72" s="193"/>
      <c r="P72" s="193"/>
      <c r="Q72" s="193"/>
      <c r="S72" s="193"/>
      <c r="T72" s="193"/>
      <c r="U72" s="193"/>
      <c r="V72" s="193"/>
      <c r="W72" s="193"/>
      <c r="X72" s="193"/>
      <c r="Y72" s="193"/>
      <c r="Z72" s="193"/>
      <c r="AB72" s="1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O73" s="193"/>
      <c r="P73" s="193"/>
      <c r="Q73" s="193"/>
      <c r="S73" s="193"/>
      <c r="T73" s="193"/>
      <c r="U73" s="193"/>
      <c r="V73" s="193"/>
      <c r="W73" s="193"/>
      <c r="X73" s="193"/>
      <c r="Y73" s="193"/>
      <c r="Z73" s="193"/>
      <c r="AB73" s="1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O74" s="193"/>
      <c r="P74" s="193"/>
      <c r="Q74" s="193"/>
      <c r="S74" s="193"/>
      <c r="T74" s="193"/>
      <c r="U74" s="193"/>
      <c r="V74" s="193"/>
      <c r="W74" s="193"/>
      <c r="X74" s="193"/>
      <c r="Y74" s="193"/>
      <c r="Z74" s="193"/>
      <c r="AB74" s="1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T75" s="193"/>
      <c r="U75" s="193"/>
      <c r="V75" s="193"/>
      <c r="W75" s="193"/>
      <c r="X75" s="193"/>
      <c r="Y75" s="193"/>
      <c r="Z75" s="193"/>
      <c r="AB75" s="1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O76" s="193"/>
      <c r="P76" s="193"/>
      <c r="Q76" s="193"/>
      <c r="S76" s="193"/>
      <c r="T76" s="193"/>
      <c r="U76" s="193"/>
      <c r="V76" s="193"/>
      <c r="W76" s="193"/>
      <c r="X76" s="193"/>
      <c r="Y76" s="193"/>
      <c r="Z76" s="193"/>
      <c r="AB76" s="1">
        <v>0.0</v>
      </c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T77" s="193"/>
      <c r="U77" s="193"/>
      <c r="V77" s="193"/>
      <c r="W77" s="193"/>
      <c r="X77" s="193"/>
      <c r="Y77" s="193"/>
      <c r="Z77" s="193"/>
      <c r="AB77" s="1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O78" s="193"/>
      <c r="P78" s="193"/>
      <c r="Q78" s="193"/>
      <c r="S78" s="193"/>
      <c r="T78" s="193"/>
      <c r="U78" s="193"/>
      <c r="V78" s="193"/>
      <c r="W78" s="193"/>
      <c r="X78" s="193"/>
      <c r="Y78" s="193"/>
      <c r="Z78" s="193"/>
      <c r="AB78" s="1">
        <v>0.0</v>
      </c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T79" s="193"/>
      <c r="U79" s="193"/>
      <c r="V79" s="193"/>
      <c r="W79" s="193"/>
      <c r="X79" s="193"/>
      <c r="Y79" s="193"/>
      <c r="Z79" s="193"/>
      <c r="AB79" s="1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O80" s="193"/>
      <c r="P80" s="193"/>
      <c r="Q80" s="193"/>
      <c r="S80" s="193"/>
      <c r="T80" s="193"/>
      <c r="U80" s="193"/>
      <c r="V80" s="193"/>
      <c r="W80" s="193"/>
      <c r="X80" s="193"/>
      <c r="Y80" s="193"/>
      <c r="Z80" s="193"/>
      <c r="AB80" s="1">
        <v>0.0</v>
      </c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O81" s="193"/>
      <c r="P81" s="193"/>
      <c r="Q81" s="193"/>
      <c r="S81" s="193"/>
      <c r="T81" s="193"/>
      <c r="U81" s="193"/>
      <c r="V81" s="193"/>
      <c r="W81" s="193"/>
      <c r="X81" s="193"/>
      <c r="Y81" s="193"/>
      <c r="Z81" s="193"/>
      <c r="AB81" s="1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T82" s="193"/>
      <c r="U82" s="193"/>
      <c r="V82" s="193"/>
      <c r="W82" s="193"/>
      <c r="X82" s="193"/>
      <c r="Y82" s="193"/>
      <c r="Z82" s="193"/>
      <c r="AB82" s="1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O83" s="193"/>
      <c r="P83" s="193"/>
      <c r="Q83" s="193"/>
      <c r="S83" s="193"/>
      <c r="T83" s="193"/>
      <c r="U83" s="193"/>
      <c r="V83" s="193"/>
      <c r="W83" s="193"/>
      <c r="X83" s="193"/>
      <c r="Y83" s="193"/>
      <c r="Z83" s="193"/>
      <c r="AB83" s="1">
        <v>0.0</v>
      </c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O84" s="193"/>
      <c r="P84" s="193"/>
      <c r="Q84" s="193"/>
      <c r="S84" s="193"/>
      <c r="T84" s="193"/>
      <c r="U84" s="193"/>
      <c r="V84" s="193"/>
      <c r="W84" s="193"/>
      <c r="X84" s="193"/>
      <c r="Y84" s="193"/>
      <c r="Z84" s="193"/>
      <c r="AB84" s="1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O85" s="193"/>
      <c r="P85" s="193"/>
      <c r="Q85" s="193"/>
      <c r="S85" s="193"/>
      <c r="T85" s="193"/>
      <c r="U85" s="193"/>
      <c r="V85" s="193"/>
      <c r="W85" s="193"/>
      <c r="X85" s="193"/>
      <c r="Y85" s="193"/>
      <c r="Z85" s="193"/>
      <c r="AB85" s="1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"/>
      <c r="AB86" s="1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"/>
      <c r="AB87" s="1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"/>
      <c r="AB88" s="1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"/>
      <c r="AB89" s="1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S90" s="193"/>
      <c r="T90" s="193"/>
      <c r="U90" s="193"/>
      <c r="V90" s="193"/>
      <c r="W90" s="193"/>
      <c r="X90" s="193"/>
      <c r="Y90" s="193"/>
      <c r="Z90" s="193"/>
      <c r="AB90" s="1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O91" s="193"/>
      <c r="P91" s="193"/>
      <c r="Q91" s="193"/>
      <c r="S91" s="193"/>
      <c r="T91" s="193"/>
      <c r="U91" s="193"/>
      <c r="V91" s="193"/>
      <c r="W91" s="193"/>
      <c r="X91" s="193"/>
      <c r="Y91" s="193"/>
      <c r="Z91" s="193"/>
      <c r="AB91" s="1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"/>
      <c r="AB92" s="1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O93" s="193"/>
      <c r="P93" s="193"/>
      <c r="Q93" s="193"/>
      <c r="S93" s="193"/>
      <c r="T93" s="193"/>
      <c r="U93" s="193"/>
      <c r="V93" s="193"/>
      <c r="W93" s="193"/>
      <c r="X93" s="193"/>
      <c r="Y93" s="193"/>
      <c r="Z93" s="193"/>
      <c r="AB93" s="1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T94" s="193"/>
      <c r="U94" s="193"/>
      <c r="V94" s="193"/>
      <c r="W94" s="193"/>
      <c r="X94" s="193"/>
      <c r="Y94" s="193"/>
      <c r="Z94" s="193"/>
      <c r="AB94" s="1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T95" s="193"/>
      <c r="U95" s="193"/>
      <c r="V95" s="193"/>
      <c r="W95" s="193"/>
      <c r="X95" s="193"/>
      <c r="Y95" s="193"/>
      <c r="Z95" s="193"/>
      <c r="AB95" s="1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O96" s="193"/>
      <c r="P96" s="193"/>
      <c r="Q96" s="193"/>
      <c r="S96" s="193"/>
      <c r="T96" s="193"/>
      <c r="U96" s="193"/>
      <c r="V96" s="193"/>
      <c r="W96" s="193"/>
      <c r="X96" s="193"/>
      <c r="Y96" s="193"/>
      <c r="Z96" s="193"/>
      <c r="AB96" s="1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O97" s="193"/>
      <c r="P97" s="193"/>
      <c r="Q97" s="193"/>
      <c r="S97" s="193"/>
      <c r="T97" s="193"/>
      <c r="U97" s="193"/>
      <c r="V97" s="193"/>
      <c r="W97" s="193"/>
      <c r="X97" s="193"/>
      <c r="Y97" s="193"/>
      <c r="Z97" s="193"/>
      <c r="AB97" s="1">
        <v>0.0</v>
      </c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T98" s="193"/>
      <c r="U98" s="193"/>
      <c r="V98" s="193"/>
      <c r="W98" s="193"/>
      <c r="X98" s="193"/>
      <c r="Y98" s="193"/>
      <c r="Z98" s="193"/>
      <c r="AB98" s="1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O99" s="193"/>
      <c r="P99" s="193"/>
      <c r="Q99" s="193"/>
      <c r="S99" s="193"/>
      <c r="T99" s="193"/>
      <c r="U99" s="193"/>
      <c r="V99" s="193"/>
      <c r="W99" s="193"/>
      <c r="X99" s="193"/>
      <c r="Y99" s="193"/>
      <c r="Z99" s="193"/>
      <c r="AB99" s="1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T100" s="193"/>
      <c r="U100" s="193"/>
      <c r="V100" s="193"/>
      <c r="W100" s="193"/>
      <c r="X100" s="193"/>
      <c r="Y100" s="193"/>
      <c r="Z100" s="193"/>
      <c r="AB100" s="1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"/>
      <c r="AB101" s="1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"/>
      <c r="AB102" s="1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O103" s="193"/>
      <c r="P103" s="193"/>
      <c r="Q103" s="193"/>
      <c r="S103" s="193"/>
      <c r="T103" s="193"/>
      <c r="U103" s="193"/>
      <c r="V103" s="193"/>
      <c r="W103" s="193"/>
      <c r="X103" s="193"/>
      <c r="Y103" s="193"/>
      <c r="Z103" s="193"/>
      <c r="AB103" s="1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T104" s="193"/>
      <c r="U104" s="193"/>
      <c r="V104" s="193"/>
      <c r="W104" s="193"/>
      <c r="X104" s="193"/>
      <c r="Y104" s="193"/>
      <c r="Z104" s="193"/>
      <c r="AB104" s="1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"/>
      <c r="AB105" s="1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O106" s="193"/>
      <c r="P106" s="193"/>
      <c r="Q106" s="193"/>
      <c r="S106" s="193"/>
      <c r="T106" s="193"/>
      <c r="U106" s="193"/>
      <c r="V106" s="193"/>
      <c r="W106" s="193"/>
      <c r="X106" s="193"/>
      <c r="Y106" s="193"/>
      <c r="Z106" s="193"/>
      <c r="AB106" s="1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"/>
      <c r="AB107" s="1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O108" s="193"/>
      <c r="P108" s="193"/>
      <c r="Q108" s="193"/>
      <c r="S108" s="193"/>
      <c r="T108" s="193"/>
      <c r="U108" s="193"/>
      <c r="V108" s="193"/>
      <c r="W108" s="193"/>
      <c r="X108" s="193"/>
      <c r="Y108" s="193"/>
      <c r="Z108" s="193"/>
      <c r="AB108" s="1">
        <v>0.0</v>
      </c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O109" s="193"/>
      <c r="P109" s="193"/>
      <c r="Q109" s="193"/>
      <c r="S109" s="193"/>
      <c r="T109" s="193"/>
      <c r="U109" s="193"/>
      <c r="V109" s="193"/>
      <c r="W109" s="193"/>
      <c r="X109" s="193"/>
      <c r="Y109" s="193"/>
      <c r="Z109" s="193"/>
      <c r="AB109" s="1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"/>
      <c r="AB110" s="1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"/>
      <c r="AB111" s="1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"/>
      <c r="AB112" s="1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T113" s="193"/>
      <c r="U113" s="193"/>
      <c r="V113" s="193"/>
      <c r="W113" s="193"/>
      <c r="X113" s="193"/>
      <c r="Y113" s="193"/>
      <c r="Z113" s="193"/>
      <c r="AB113" s="1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"/>
      <c r="AB114" s="1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O115" s="193"/>
      <c r="P115" s="193"/>
      <c r="Q115" s="193"/>
      <c r="S115" s="193"/>
      <c r="T115" s="193"/>
      <c r="U115" s="193"/>
      <c r="V115" s="193"/>
      <c r="W115" s="193"/>
      <c r="X115" s="193"/>
      <c r="Y115" s="193"/>
      <c r="Z115" s="193"/>
      <c r="AB115" s="1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O116" s="193"/>
      <c r="P116" s="193"/>
      <c r="Q116" s="193"/>
      <c r="S116" s="193"/>
      <c r="T116" s="193"/>
      <c r="U116" s="193"/>
      <c r="V116" s="193"/>
      <c r="W116" s="193"/>
      <c r="X116" s="193"/>
      <c r="Y116" s="193"/>
      <c r="Z116" s="193"/>
      <c r="AB116" s="1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"/>
      <c r="AB117" s="1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O118" s="193"/>
      <c r="P118" s="193"/>
      <c r="Q118" s="193"/>
      <c r="S118" s="193"/>
      <c r="T118" s="193"/>
      <c r="U118" s="193"/>
      <c r="V118" s="193"/>
      <c r="W118" s="193"/>
      <c r="X118" s="193"/>
      <c r="Y118" s="193"/>
      <c r="Z118" s="193"/>
      <c r="AB118" s="1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"/>
      <c r="AB119" s="1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T120" s="193"/>
      <c r="U120" s="193"/>
      <c r="V120" s="193"/>
      <c r="W120" s="193"/>
      <c r="X120" s="193"/>
      <c r="Y120" s="193"/>
      <c r="Z120" s="193"/>
      <c r="AB120" s="1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T121" s="193"/>
      <c r="U121" s="193"/>
      <c r="V121" s="193"/>
      <c r="W121" s="193"/>
      <c r="X121" s="193"/>
      <c r="Y121" s="193"/>
      <c r="Z121" s="193"/>
      <c r="AB121" s="1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T122" s="193"/>
      <c r="U122" s="193"/>
      <c r="V122" s="193"/>
      <c r="W122" s="193"/>
      <c r="X122" s="193"/>
      <c r="Y122" s="193"/>
      <c r="Z122" s="193"/>
      <c r="AB122" s="1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"/>
      <c r="AB123" s="1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S124" s="193"/>
      <c r="T124" s="193"/>
      <c r="U124" s="193"/>
      <c r="V124" s="193"/>
      <c r="W124" s="193"/>
      <c r="X124" s="193"/>
      <c r="Y124" s="193"/>
      <c r="Z124" s="193"/>
      <c r="AB124" s="1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O125" s="193"/>
      <c r="P125" s="193"/>
      <c r="Q125" s="193"/>
      <c r="S125" s="193"/>
      <c r="T125" s="193"/>
      <c r="U125" s="193"/>
      <c r="V125" s="193"/>
      <c r="W125" s="193"/>
      <c r="X125" s="193"/>
      <c r="Y125" s="193"/>
      <c r="Z125" s="193"/>
      <c r="AB125" s="1">
        <v>0.0</v>
      </c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O126" s="193"/>
      <c r="P126" s="193"/>
      <c r="Q126" s="193"/>
      <c r="S126" s="193"/>
      <c r="T126" s="193"/>
      <c r="U126" s="193"/>
      <c r="V126" s="193"/>
      <c r="W126" s="193"/>
      <c r="X126" s="193"/>
      <c r="Y126" s="193"/>
      <c r="Z126" s="193"/>
      <c r="AB126" s="1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O127" s="193"/>
      <c r="P127" s="193"/>
      <c r="Q127" s="193"/>
      <c r="S127" s="193"/>
      <c r="T127" s="193"/>
      <c r="U127" s="193"/>
      <c r="V127" s="193"/>
      <c r="W127" s="193"/>
      <c r="X127" s="193"/>
      <c r="Y127" s="193"/>
      <c r="Z127" s="193"/>
      <c r="AB127" s="1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"/>
      <c r="AB128" s="1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T129" s="193"/>
      <c r="U129" s="193"/>
      <c r="V129" s="193"/>
      <c r="W129" s="193"/>
      <c r="X129" s="193"/>
      <c r="Y129" s="193"/>
      <c r="Z129" s="193"/>
      <c r="AB129" s="1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T130" s="193"/>
      <c r="U130" s="193"/>
      <c r="V130" s="193"/>
      <c r="W130" s="193"/>
      <c r="X130" s="193"/>
      <c r="Y130" s="193"/>
      <c r="Z130" s="193"/>
      <c r="AB130" s="1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O131" s="193"/>
      <c r="P131" s="193"/>
      <c r="Q131" s="193"/>
      <c r="S131" s="193"/>
      <c r="T131" s="193"/>
      <c r="U131" s="193"/>
      <c r="V131" s="193"/>
      <c r="W131" s="193"/>
      <c r="X131" s="193"/>
      <c r="Y131" s="193"/>
      <c r="Z131" s="193"/>
      <c r="AB131" s="1">
        <v>0.0</v>
      </c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O132" s="193"/>
      <c r="P132" s="193"/>
      <c r="Q132" s="193"/>
      <c r="S132" s="193"/>
      <c r="T132" s="193"/>
      <c r="U132" s="193"/>
      <c r="V132" s="193"/>
      <c r="W132" s="193"/>
      <c r="X132" s="193"/>
      <c r="Y132" s="193"/>
      <c r="Z132" s="193"/>
      <c r="AB132" s="1">
        <v>0.0</v>
      </c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O133" s="193"/>
      <c r="P133" s="193"/>
      <c r="Q133" s="193"/>
      <c r="S133" s="193"/>
      <c r="T133" s="193"/>
      <c r="U133" s="193"/>
      <c r="V133" s="193"/>
      <c r="W133" s="193"/>
      <c r="X133" s="193"/>
      <c r="Y133" s="193"/>
      <c r="Z133" s="193"/>
      <c r="AB133" s="1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S134" s="193"/>
      <c r="T134" s="193"/>
      <c r="U134" s="193"/>
      <c r="V134" s="193"/>
      <c r="W134" s="193"/>
      <c r="X134" s="193"/>
      <c r="Y134" s="193"/>
      <c r="Z134" s="193"/>
      <c r="AB134" s="1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S135" s="193"/>
      <c r="T135" s="193"/>
      <c r="U135" s="193"/>
      <c r="V135" s="193"/>
      <c r="W135" s="193"/>
      <c r="X135" s="193"/>
      <c r="Y135" s="193"/>
      <c r="Z135" s="193"/>
      <c r="AB135" s="1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O136" s="193"/>
      <c r="P136" s="193"/>
      <c r="Q136" s="193"/>
      <c r="S136" s="193"/>
      <c r="T136" s="193"/>
      <c r="U136" s="193"/>
      <c r="V136" s="193"/>
      <c r="W136" s="193"/>
      <c r="X136" s="193"/>
      <c r="Y136" s="193"/>
      <c r="Z136" s="193"/>
      <c r="AB136" s="1">
        <v>0.0</v>
      </c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T137" s="193"/>
      <c r="U137" s="193"/>
      <c r="V137" s="193"/>
      <c r="W137" s="193"/>
      <c r="X137" s="193"/>
      <c r="Y137" s="193"/>
      <c r="Z137" s="193"/>
      <c r="AB137" s="1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O138" s="193"/>
      <c r="P138" s="193"/>
      <c r="Q138" s="193"/>
      <c r="S138" s="193"/>
      <c r="T138" s="193"/>
      <c r="U138" s="193"/>
      <c r="V138" s="193"/>
      <c r="W138" s="193"/>
      <c r="X138" s="193"/>
      <c r="Y138" s="193"/>
      <c r="Z138" s="193"/>
      <c r="AB138" s="1">
        <v>0.0</v>
      </c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S139" s="193"/>
      <c r="T139" s="193"/>
      <c r="U139" s="193"/>
      <c r="V139" s="193"/>
      <c r="W139" s="193"/>
      <c r="X139" s="193"/>
      <c r="Y139" s="193"/>
      <c r="Z139" s="193"/>
      <c r="AB139" s="1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O140" s="193"/>
      <c r="P140" s="193"/>
      <c r="Q140" s="193"/>
      <c r="S140" s="193"/>
      <c r="T140" s="193"/>
      <c r="U140" s="193"/>
      <c r="V140" s="193"/>
      <c r="W140" s="193"/>
      <c r="X140" s="193"/>
      <c r="Y140" s="193"/>
      <c r="Z140" s="193"/>
      <c r="AB140" s="1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"/>
      <c r="AB141" s="1"/>
    </row>
  </sheetData>
  <mergeCells count="1">
    <mergeCell ref="A1: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1998</v>
      </c>
      <c r="P1" s="1" t="s">
        <v>1999</v>
      </c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</row>
    <row r="2">
      <c r="A2" s="1" t="s">
        <v>110</v>
      </c>
      <c r="B2" s="1" t="s">
        <v>89</v>
      </c>
      <c r="C2" s="194">
        <v>65.0</v>
      </c>
      <c r="D2" s="1">
        <v>0.0</v>
      </c>
      <c r="E2" s="193"/>
      <c r="F2" s="1" t="s">
        <v>111</v>
      </c>
      <c r="G2" s="1" t="s">
        <v>96</v>
      </c>
      <c r="H2" s="1" t="s">
        <v>2000</v>
      </c>
      <c r="I2" s="1" t="s">
        <v>2001</v>
      </c>
      <c r="J2" s="1" t="s">
        <v>2001</v>
      </c>
      <c r="K2" s="193"/>
      <c r="L2" s="1">
        <v>-5.0</v>
      </c>
      <c r="M2" s="1"/>
      <c r="N2" s="1">
        <v>0.03241666666666667</v>
      </c>
      <c r="O2" s="1" t="s">
        <v>2002</v>
      </c>
      <c r="P2" s="1" t="s">
        <v>2003</v>
      </c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</row>
    <row r="3" hidden="1">
      <c r="A3" s="1" t="s">
        <v>95</v>
      </c>
      <c r="B3" s="194" t="s">
        <v>89</v>
      </c>
      <c r="C3" s="194">
        <v>204.6</v>
      </c>
      <c r="D3" s="1">
        <v>59.4</v>
      </c>
      <c r="E3" s="193"/>
      <c r="F3" s="1" t="s">
        <v>91</v>
      </c>
      <c r="G3" s="1" t="s">
        <v>92</v>
      </c>
      <c r="H3" s="1" t="s">
        <v>2004</v>
      </c>
      <c r="I3" s="1" t="s">
        <v>2005</v>
      </c>
      <c r="J3" s="1" t="s">
        <v>2005</v>
      </c>
      <c r="K3" s="193"/>
      <c r="L3" s="1">
        <v>-5.0</v>
      </c>
      <c r="M3" s="1"/>
      <c r="N3" s="1">
        <v>9.6743</v>
      </c>
      <c r="O3" s="1" t="s">
        <v>2006</v>
      </c>
      <c r="P3" s="1" t="s">
        <v>2007</v>
      </c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</row>
    <row r="4" hidden="1">
      <c r="A4" s="1" t="s">
        <v>95</v>
      </c>
      <c r="B4" s="1" t="s">
        <v>89</v>
      </c>
      <c r="C4" s="194">
        <v>329.0</v>
      </c>
      <c r="D4" s="1">
        <v>0.0</v>
      </c>
      <c r="E4" s="193"/>
      <c r="F4" s="1" t="s">
        <v>91</v>
      </c>
      <c r="G4" s="1" t="s">
        <v>92</v>
      </c>
      <c r="H4" s="1" t="s">
        <v>2008</v>
      </c>
      <c r="I4" s="1" t="s">
        <v>2009</v>
      </c>
      <c r="J4" s="1" t="s">
        <v>2009</v>
      </c>
      <c r="K4" s="193"/>
      <c r="L4" s="1">
        <v>-3.0</v>
      </c>
      <c r="M4" s="1"/>
      <c r="N4" s="1">
        <v>11.27905</v>
      </c>
      <c r="O4" s="1" t="s">
        <v>2006</v>
      </c>
      <c r="P4" s="1" t="s">
        <v>2010</v>
      </c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</row>
    <row r="5" hidden="1">
      <c r="A5" s="1" t="s">
        <v>103</v>
      </c>
      <c r="B5" s="1" t="s">
        <v>89</v>
      </c>
      <c r="C5" s="194">
        <v>264.0</v>
      </c>
      <c r="D5" s="1">
        <v>0.0</v>
      </c>
      <c r="E5" s="1" t="s">
        <v>483</v>
      </c>
      <c r="F5" s="1" t="s">
        <v>91</v>
      </c>
      <c r="G5" s="1" t="s">
        <v>92</v>
      </c>
      <c r="H5" s="1" t="s">
        <v>2011</v>
      </c>
      <c r="I5" s="1" t="s">
        <v>2012</v>
      </c>
      <c r="J5" s="1" t="s">
        <v>2012</v>
      </c>
      <c r="K5" s="193"/>
      <c r="L5" s="1">
        <v>0.0</v>
      </c>
      <c r="M5" s="1"/>
      <c r="N5" s="1">
        <v>14.591716666666667</v>
      </c>
      <c r="O5" s="1" t="s">
        <v>2006</v>
      </c>
      <c r="P5" s="1" t="s">
        <v>2013</v>
      </c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</row>
    <row r="6" hidden="1">
      <c r="A6" s="1" t="s">
        <v>88</v>
      </c>
      <c r="B6" s="1" t="s">
        <v>107</v>
      </c>
      <c r="C6" s="194">
        <v>388.0</v>
      </c>
      <c r="D6" s="1">
        <v>0.0</v>
      </c>
      <c r="E6" s="1" t="s">
        <v>90</v>
      </c>
      <c r="F6" s="1" t="s">
        <v>91</v>
      </c>
      <c r="G6" s="1" t="s">
        <v>92</v>
      </c>
      <c r="H6" s="1" t="s">
        <v>2014</v>
      </c>
      <c r="I6" s="1" t="s">
        <v>2015</v>
      </c>
      <c r="J6" s="1" t="s">
        <v>2015</v>
      </c>
      <c r="K6" s="193"/>
      <c r="L6" s="1">
        <v>-6.0</v>
      </c>
      <c r="M6" s="1"/>
      <c r="N6" s="1">
        <v>8.1091</v>
      </c>
      <c r="O6" s="1" t="s">
        <v>2016</v>
      </c>
      <c r="P6" s="1" t="s">
        <v>2017</v>
      </c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</row>
    <row r="7" hidden="1">
      <c r="A7" s="1" t="s">
        <v>116</v>
      </c>
      <c r="B7" s="1" t="s">
        <v>89</v>
      </c>
      <c r="C7" s="194">
        <v>249.0</v>
      </c>
      <c r="D7" s="1">
        <v>77.0</v>
      </c>
      <c r="E7" s="193"/>
      <c r="F7" s="1" t="s">
        <v>111</v>
      </c>
      <c r="G7" s="1" t="s">
        <v>194</v>
      </c>
      <c r="H7" s="1" t="s">
        <v>2018</v>
      </c>
      <c r="I7" s="1" t="s">
        <v>2019</v>
      </c>
      <c r="J7" s="1" t="s">
        <v>2019</v>
      </c>
      <c r="K7" s="193"/>
      <c r="L7" s="1">
        <v>-12.0</v>
      </c>
      <c r="M7" s="1"/>
      <c r="N7" s="1">
        <v>6.871933333333334</v>
      </c>
      <c r="O7" s="1" t="s">
        <v>2020</v>
      </c>
      <c r="P7" s="1" t="s">
        <v>2021</v>
      </c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</row>
    <row r="8" hidden="1">
      <c r="A8" s="1" t="s">
        <v>88</v>
      </c>
      <c r="B8" s="1" t="s">
        <v>107</v>
      </c>
      <c r="C8" s="194">
        <v>329.0</v>
      </c>
      <c r="D8" s="1">
        <v>0.0</v>
      </c>
      <c r="E8" s="1" t="s">
        <v>90</v>
      </c>
      <c r="F8" s="1" t="s">
        <v>91</v>
      </c>
      <c r="G8" s="1" t="s">
        <v>92</v>
      </c>
      <c r="H8" s="1" t="s">
        <v>2022</v>
      </c>
      <c r="I8" s="1" t="s">
        <v>2023</v>
      </c>
      <c r="J8" s="1" t="s">
        <v>2023</v>
      </c>
      <c r="K8" s="193"/>
      <c r="L8" s="1">
        <v>-9.0</v>
      </c>
      <c r="M8" s="1"/>
      <c r="N8" s="1">
        <v>5.666516666666666</v>
      </c>
      <c r="O8" s="1" t="s">
        <v>2016</v>
      </c>
      <c r="P8" s="1" t="s">
        <v>2024</v>
      </c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</row>
    <row r="9" hidden="1">
      <c r="A9" s="1" t="s">
        <v>95</v>
      </c>
      <c r="B9" s="194" t="s">
        <v>107</v>
      </c>
      <c r="C9" s="194">
        <v>409.2</v>
      </c>
      <c r="D9" s="1">
        <v>118.8</v>
      </c>
      <c r="E9" s="193"/>
      <c r="F9" s="1" t="s">
        <v>91</v>
      </c>
      <c r="G9" s="1" t="s">
        <v>92</v>
      </c>
      <c r="H9" s="1" t="s">
        <v>2025</v>
      </c>
      <c r="I9" s="1" t="s">
        <v>2026</v>
      </c>
      <c r="J9" s="1" t="s">
        <v>2026</v>
      </c>
      <c r="K9" s="193"/>
      <c r="L9" s="1">
        <v>-7.0</v>
      </c>
      <c r="M9" s="1"/>
      <c r="N9" s="1">
        <v>7.837816666666667</v>
      </c>
      <c r="O9" s="1" t="s">
        <v>2006</v>
      </c>
      <c r="P9" s="1" t="s">
        <v>2027</v>
      </c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</row>
    <row r="10" hidden="1">
      <c r="A10" s="1" t="s">
        <v>88</v>
      </c>
      <c r="B10" s="1" t="s">
        <v>107</v>
      </c>
      <c r="C10" s="194">
        <v>264.0</v>
      </c>
      <c r="D10" s="1">
        <v>0.0</v>
      </c>
      <c r="E10" s="1" t="s">
        <v>90</v>
      </c>
      <c r="F10" s="1" t="s">
        <v>91</v>
      </c>
      <c r="G10" s="1" t="s">
        <v>92</v>
      </c>
      <c r="H10" s="1" t="s">
        <v>2028</v>
      </c>
      <c r="I10" s="1" t="s">
        <v>2029</v>
      </c>
      <c r="J10" s="1" t="s">
        <v>2029</v>
      </c>
      <c r="K10" s="193"/>
      <c r="L10" s="1">
        <v>-11.0</v>
      </c>
      <c r="M10" s="1"/>
      <c r="N10" s="1">
        <v>3.705983333333333</v>
      </c>
      <c r="O10" s="1" t="s">
        <v>2016</v>
      </c>
      <c r="P10" s="1" t="s">
        <v>2030</v>
      </c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</row>
    <row r="11" hidden="1">
      <c r="A11" s="1" t="s">
        <v>88</v>
      </c>
      <c r="B11" s="1" t="s">
        <v>107</v>
      </c>
      <c r="C11" s="194">
        <v>299.0</v>
      </c>
      <c r="D11" s="1">
        <v>0.0</v>
      </c>
      <c r="E11" s="1" t="s">
        <v>90</v>
      </c>
      <c r="F11" s="1" t="s">
        <v>91</v>
      </c>
      <c r="G11" s="1" t="s">
        <v>92</v>
      </c>
      <c r="H11" s="1" t="s">
        <v>2031</v>
      </c>
      <c r="I11" s="1" t="s">
        <v>2032</v>
      </c>
      <c r="J11" s="1" t="s">
        <v>2032</v>
      </c>
      <c r="K11" s="193"/>
      <c r="L11" s="1">
        <v>-8.0</v>
      </c>
      <c r="M11" s="1"/>
      <c r="N11" s="1">
        <v>6.846383333333334</v>
      </c>
      <c r="O11" s="1" t="s">
        <v>2016</v>
      </c>
      <c r="P11" s="1" t="s">
        <v>2033</v>
      </c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</row>
    <row r="12" hidden="1">
      <c r="A12" s="1" t="s">
        <v>95</v>
      </c>
      <c r="B12" s="1" t="s">
        <v>107</v>
      </c>
      <c r="C12" s="194">
        <v>379.0</v>
      </c>
      <c r="D12" s="1">
        <v>0.0</v>
      </c>
      <c r="E12" s="193"/>
      <c r="F12" s="1" t="s">
        <v>91</v>
      </c>
      <c r="G12" s="1" t="s">
        <v>92</v>
      </c>
      <c r="H12" s="1" t="s">
        <v>2034</v>
      </c>
      <c r="I12" s="1" t="s">
        <v>2035</v>
      </c>
      <c r="J12" s="1" t="s">
        <v>2035</v>
      </c>
      <c r="K12" s="193"/>
      <c r="L12" s="1">
        <v>-4.0</v>
      </c>
      <c r="M12" s="1"/>
      <c r="N12" s="1">
        <v>10.964516666666666</v>
      </c>
      <c r="O12" s="1" t="s">
        <v>2006</v>
      </c>
      <c r="P12" s="1" t="s">
        <v>2036</v>
      </c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</row>
    <row r="13" hidden="1">
      <c r="A13" s="1" t="s">
        <v>88</v>
      </c>
      <c r="B13" s="1" t="s">
        <v>107</v>
      </c>
      <c r="C13" s="1">
        <v>433.0</v>
      </c>
      <c r="D13" s="1">
        <v>0.0</v>
      </c>
      <c r="E13" s="1" t="s">
        <v>90</v>
      </c>
      <c r="F13" s="1" t="s">
        <v>91</v>
      </c>
      <c r="G13" s="1" t="s">
        <v>92</v>
      </c>
      <c r="H13" s="1" t="s">
        <v>2037</v>
      </c>
      <c r="I13" s="1" t="s">
        <v>2038</v>
      </c>
      <c r="J13" s="1" t="s">
        <v>2038</v>
      </c>
      <c r="K13" s="193"/>
      <c r="L13" s="1">
        <v>-7.0</v>
      </c>
      <c r="M13" s="1"/>
      <c r="N13" s="1">
        <v>7.85045</v>
      </c>
      <c r="O13" s="1" t="s">
        <v>2016</v>
      </c>
      <c r="P13" s="1" t="s">
        <v>2039</v>
      </c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</row>
    <row r="14" hidden="1">
      <c r="A14" s="1" t="s">
        <v>103</v>
      </c>
      <c r="B14" s="1" t="s">
        <v>107</v>
      </c>
      <c r="C14" s="194">
        <v>702.0</v>
      </c>
      <c r="D14" s="1">
        <v>0.0</v>
      </c>
      <c r="E14" s="1" t="s">
        <v>2040</v>
      </c>
      <c r="F14" s="1" t="s">
        <v>91</v>
      </c>
      <c r="G14" s="1" t="s">
        <v>92</v>
      </c>
      <c r="H14" s="1" t="s">
        <v>2041</v>
      </c>
      <c r="I14" s="1" t="s">
        <v>2042</v>
      </c>
      <c r="J14" s="1" t="s">
        <v>2042</v>
      </c>
      <c r="K14" s="193"/>
      <c r="L14" s="1">
        <v>-2.0</v>
      </c>
      <c r="M14" s="1"/>
      <c r="N14" s="1">
        <v>17.59335</v>
      </c>
      <c r="O14" s="1" t="s">
        <v>2006</v>
      </c>
      <c r="P14" s="1" t="s">
        <v>2043</v>
      </c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</row>
    <row r="15" hidden="1">
      <c r="A15" s="1" t="s">
        <v>103</v>
      </c>
      <c r="B15" s="1" t="s">
        <v>107</v>
      </c>
      <c r="C15" s="1">
        <v>329.0</v>
      </c>
      <c r="D15" s="1">
        <v>0.0</v>
      </c>
      <c r="E15" s="1" t="s">
        <v>1984</v>
      </c>
      <c r="F15" s="1" t="s">
        <v>91</v>
      </c>
      <c r="G15" s="1" t="s">
        <v>92</v>
      </c>
      <c r="H15" s="1" t="s">
        <v>2044</v>
      </c>
      <c r="I15" s="1" t="s">
        <v>2045</v>
      </c>
      <c r="J15" s="1" t="s">
        <v>2045</v>
      </c>
      <c r="K15" s="193"/>
      <c r="L15" s="1">
        <v>-8.0</v>
      </c>
      <c r="M15" s="1"/>
      <c r="N15" s="1">
        <v>6.84245</v>
      </c>
      <c r="O15" s="1" t="s">
        <v>2006</v>
      </c>
      <c r="P15" s="1" t="s">
        <v>2046</v>
      </c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</row>
    <row r="16" hidden="1">
      <c r="A16" s="1" t="s">
        <v>110</v>
      </c>
      <c r="B16" s="194" t="s">
        <v>107</v>
      </c>
      <c r="C16" s="194">
        <v>298.0</v>
      </c>
      <c r="D16" s="1">
        <v>0.0</v>
      </c>
      <c r="E16" s="193"/>
      <c r="F16" s="1" t="s">
        <v>111</v>
      </c>
      <c r="G16" s="1" t="s">
        <v>96</v>
      </c>
      <c r="H16" s="1" t="s">
        <v>2047</v>
      </c>
      <c r="I16" s="1" t="s">
        <v>2048</v>
      </c>
      <c r="J16" s="1" t="s">
        <v>2048</v>
      </c>
      <c r="K16" s="193"/>
      <c r="L16" s="1">
        <v>0.0</v>
      </c>
      <c r="M16" s="1"/>
      <c r="N16" s="1">
        <v>6.47245</v>
      </c>
      <c r="O16" s="1" t="s">
        <v>2002</v>
      </c>
      <c r="P16" s="1" t="s">
        <v>2049</v>
      </c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</row>
    <row r="17" hidden="1">
      <c r="A17" s="1" t="s">
        <v>116</v>
      </c>
      <c r="B17" s="1" t="s">
        <v>107</v>
      </c>
      <c r="C17" s="194">
        <v>397.0</v>
      </c>
      <c r="D17" s="1">
        <v>0.0</v>
      </c>
      <c r="E17" s="193"/>
      <c r="F17" s="1" t="s">
        <v>111</v>
      </c>
      <c r="G17" s="1" t="s">
        <v>92</v>
      </c>
      <c r="H17" s="1" t="s">
        <v>2050</v>
      </c>
      <c r="I17" s="1" t="s">
        <v>2051</v>
      </c>
      <c r="J17" s="1" t="s">
        <v>2051</v>
      </c>
      <c r="K17" s="193"/>
      <c r="L17" s="1">
        <v>-10.0</v>
      </c>
      <c r="M17" s="1"/>
      <c r="N17" s="1">
        <v>7.85785</v>
      </c>
      <c r="O17" s="1" t="s">
        <v>2020</v>
      </c>
      <c r="P17" s="1" t="s">
        <v>2052</v>
      </c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</row>
    <row r="18" hidden="1">
      <c r="A18" s="1" t="s">
        <v>88</v>
      </c>
      <c r="B18" s="1" t="s">
        <v>107</v>
      </c>
      <c r="C18" s="194">
        <v>324.0</v>
      </c>
      <c r="D18" s="1">
        <v>0.0</v>
      </c>
      <c r="E18" s="1" t="s">
        <v>90</v>
      </c>
      <c r="F18" s="1" t="s">
        <v>91</v>
      </c>
      <c r="G18" s="1" t="s">
        <v>92</v>
      </c>
      <c r="H18" s="1" t="s">
        <v>2053</v>
      </c>
      <c r="I18" s="1" t="s">
        <v>2054</v>
      </c>
      <c r="J18" s="1" t="s">
        <v>2054</v>
      </c>
      <c r="K18" s="193"/>
      <c r="L18" s="1">
        <v>-9.0</v>
      </c>
      <c r="M18" s="1"/>
      <c r="N18" s="1">
        <v>5.562033333333333</v>
      </c>
      <c r="O18" s="1" t="s">
        <v>2016</v>
      </c>
      <c r="P18" s="1" t="s">
        <v>2055</v>
      </c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</row>
    <row r="19" hidden="1">
      <c r="A19" s="1" t="s">
        <v>88</v>
      </c>
      <c r="B19" s="1" t="s">
        <v>107</v>
      </c>
      <c r="C19" s="194">
        <v>321.0</v>
      </c>
      <c r="D19" s="1">
        <v>0.0</v>
      </c>
      <c r="E19" s="1" t="s">
        <v>90</v>
      </c>
      <c r="F19" s="1" t="s">
        <v>91</v>
      </c>
      <c r="G19" s="1" t="s">
        <v>92</v>
      </c>
      <c r="H19" s="1" t="s">
        <v>2056</v>
      </c>
      <c r="I19" s="1" t="s">
        <v>2057</v>
      </c>
      <c r="J19" s="1" t="s">
        <v>2057</v>
      </c>
      <c r="K19" s="193"/>
      <c r="L19" s="1">
        <v>0.0</v>
      </c>
      <c r="M19" s="1"/>
      <c r="N19" s="1">
        <v>15.97045</v>
      </c>
      <c r="O19" s="1" t="s">
        <v>2016</v>
      </c>
      <c r="P19" s="1" t="s">
        <v>2058</v>
      </c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</row>
    <row r="20" hidden="1">
      <c r="A20" s="1" t="s">
        <v>88</v>
      </c>
      <c r="B20" s="1" t="s">
        <v>107</v>
      </c>
      <c r="C20" s="194">
        <v>593.0</v>
      </c>
      <c r="D20" s="1">
        <v>0.0</v>
      </c>
      <c r="E20" s="1" t="s">
        <v>90</v>
      </c>
      <c r="F20" s="1" t="s">
        <v>91</v>
      </c>
      <c r="G20" s="1" t="s">
        <v>92</v>
      </c>
      <c r="H20" s="1" t="s">
        <v>2059</v>
      </c>
      <c r="I20" s="1" t="s">
        <v>2060</v>
      </c>
      <c r="J20" s="1" t="s">
        <v>2060</v>
      </c>
      <c r="K20" s="193"/>
      <c r="L20" s="1">
        <v>-2.0</v>
      </c>
      <c r="M20" s="1"/>
      <c r="N20" s="1">
        <v>17.71765</v>
      </c>
      <c r="O20" s="1" t="s">
        <v>2016</v>
      </c>
      <c r="P20" s="1" t="s">
        <v>2061</v>
      </c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</row>
    <row r="21" hidden="1">
      <c r="A21" s="1" t="s">
        <v>116</v>
      </c>
      <c r="B21" s="1" t="s">
        <v>107</v>
      </c>
      <c r="C21" s="194">
        <v>250.0</v>
      </c>
      <c r="D21" s="1">
        <v>0.0</v>
      </c>
      <c r="E21" s="1" t="s">
        <v>1961</v>
      </c>
      <c r="F21" s="1" t="s">
        <v>175</v>
      </c>
      <c r="G21" s="1" t="s">
        <v>96</v>
      </c>
      <c r="H21" s="1" t="s">
        <v>2062</v>
      </c>
      <c r="I21" s="1" t="s">
        <v>2063</v>
      </c>
      <c r="J21" s="1" t="s">
        <v>2064</v>
      </c>
      <c r="K21" s="1" t="s">
        <v>2065</v>
      </c>
      <c r="L21" s="1">
        <v>20.0</v>
      </c>
      <c r="M21" s="1">
        <v>0.010766666666666667</v>
      </c>
      <c r="N21" s="1">
        <v>27.540983333333333</v>
      </c>
      <c r="O21" s="1" t="s">
        <v>2020</v>
      </c>
      <c r="P21" s="1" t="s">
        <v>2066</v>
      </c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</row>
    <row r="22" hidden="1">
      <c r="A22" s="1" t="s">
        <v>110</v>
      </c>
      <c r="B22" s="1" t="s">
        <v>107</v>
      </c>
      <c r="C22" s="194">
        <v>119.0</v>
      </c>
      <c r="D22" s="1">
        <v>0.0</v>
      </c>
      <c r="E22" s="193"/>
      <c r="F22" s="1" t="s">
        <v>111</v>
      </c>
      <c r="G22" s="1" t="s">
        <v>96</v>
      </c>
      <c r="H22" s="1" t="s">
        <v>2067</v>
      </c>
      <c r="I22" s="1" t="s">
        <v>2068</v>
      </c>
      <c r="J22" s="1" t="s">
        <v>2068</v>
      </c>
      <c r="K22" s="193"/>
      <c r="L22" s="1">
        <v>5.0</v>
      </c>
      <c r="M22" s="1"/>
      <c r="N22" s="1">
        <v>11.378216666666667</v>
      </c>
      <c r="O22" s="1" t="s">
        <v>2002</v>
      </c>
      <c r="P22" s="1" t="s">
        <v>2069</v>
      </c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</row>
    <row r="23" hidden="1">
      <c r="A23" s="1" t="s">
        <v>110</v>
      </c>
      <c r="B23" s="1" t="s">
        <v>107</v>
      </c>
      <c r="C23" s="194">
        <v>249.0</v>
      </c>
      <c r="D23" s="1">
        <v>0.0</v>
      </c>
      <c r="E23" s="193"/>
      <c r="F23" s="1" t="s">
        <v>111</v>
      </c>
      <c r="G23" s="1" t="s">
        <v>96</v>
      </c>
      <c r="H23" s="1" t="s">
        <v>2070</v>
      </c>
      <c r="I23" s="1" t="s">
        <v>2071</v>
      </c>
      <c r="J23" s="1" t="s">
        <v>2071</v>
      </c>
      <c r="K23" s="193"/>
      <c r="L23" s="1">
        <v>5.0</v>
      </c>
      <c r="M23" s="1"/>
      <c r="N23" s="1">
        <v>11.723233333333333</v>
      </c>
      <c r="O23" s="1" t="s">
        <v>2002</v>
      </c>
      <c r="P23" s="1" t="s">
        <v>2072</v>
      </c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</row>
    <row r="24" hidden="1">
      <c r="A24" s="1" t="s">
        <v>110</v>
      </c>
      <c r="B24" s="1" t="s">
        <v>107</v>
      </c>
      <c r="C24" s="1">
        <v>249.0</v>
      </c>
      <c r="D24" s="1">
        <v>0.0</v>
      </c>
      <c r="E24" s="193"/>
      <c r="F24" s="1" t="s">
        <v>111</v>
      </c>
      <c r="G24" s="1" t="s">
        <v>96</v>
      </c>
      <c r="H24" s="1" t="s">
        <v>2073</v>
      </c>
      <c r="I24" s="1" t="s">
        <v>2074</v>
      </c>
      <c r="J24" s="1" t="s">
        <v>2074</v>
      </c>
      <c r="K24" s="193"/>
      <c r="L24" s="1">
        <v>5.0</v>
      </c>
      <c r="M24" s="1"/>
      <c r="N24" s="1">
        <v>11.153266666666667</v>
      </c>
      <c r="O24" s="1" t="s">
        <v>2002</v>
      </c>
      <c r="P24" s="1" t="s">
        <v>2075</v>
      </c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</row>
    <row r="25" hidden="1">
      <c r="A25" s="1" t="s">
        <v>110</v>
      </c>
      <c r="B25" s="1" t="s">
        <v>107</v>
      </c>
      <c r="C25" s="194">
        <v>249.0</v>
      </c>
      <c r="D25" s="1">
        <v>0.0</v>
      </c>
      <c r="E25" s="193"/>
      <c r="F25" s="1" t="s">
        <v>111</v>
      </c>
      <c r="G25" s="1" t="s">
        <v>96</v>
      </c>
      <c r="H25" s="1" t="s">
        <v>2076</v>
      </c>
      <c r="I25" s="1" t="s">
        <v>2077</v>
      </c>
      <c r="J25" s="1" t="s">
        <v>2077</v>
      </c>
      <c r="K25" s="193"/>
      <c r="L25" s="1">
        <v>6.0</v>
      </c>
      <c r="M25" s="1"/>
      <c r="N25" s="1">
        <v>12.63625</v>
      </c>
      <c r="O25" s="1" t="s">
        <v>2002</v>
      </c>
      <c r="P25" s="1" t="s">
        <v>2078</v>
      </c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</row>
    <row r="26" hidden="1">
      <c r="A26" s="1" t="s">
        <v>88</v>
      </c>
      <c r="B26" s="194" t="s">
        <v>107</v>
      </c>
      <c r="C26" s="194">
        <v>368.0</v>
      </c>
      <c r="D26" s="1">
        <v>0.0</v>
      </c>
      <c r="E26" s="1" t="s">
        <v>90</v>
      </c>
      <c r="F26" s="1" t="s">
        <v>91</v>
      </c>
      <c r="G26" s="1" t="s">
        <v>92</v>
      </c>
      <c r="H26" s="1" t="s">
        <v>2079</v>
      </c>
      <c r="I26" s="1" t="s">
        <v>2080</v>
      </c>
      <c r="J26" s="1" t="s">
        <v>2080</v>
      </c>
      <c r="K26" s="193"/>
      <c r="L26" s="1">
        <v>-3.0</v>
      </c>
      <c r="M26" s="1"/>
      <c r="N26" s="1">
        <v>11.009816666666667</v>
      </c>
      <c r="O26" s="1" t="s">
        <v>2016</v>
      </c>
      <c r="P26" s="1" t="s">
        <v>2081</v>
      </c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</row>
    <row r="27" hidden="1">
      <c r="A27" s="1" t="s">
        <v>116</v>
      </c>
      <c r="B27" s="1" t="s">
        <v>107</v>
      </c>
      <c r="C27" s="194">
        <v>257.0</v>
      </c>
      <c r="D27" s="1">
        <v>0.0</v>
      </c>
      <c r="E27" s="193"/>
      <c r="F27" s="1" t="s">
        <v>111</v>
      </c>
      <c r="G27" s="1" t="s">
        <v>194</v>
      </c>
      <c r="H27" s="1" t="s">
        <v>2082</v>
      </c>
      <c r="I27" s="1" t="s">
        <v>2083</v>
      </c>
      <c r="J27" s="1" t="s">
        <v>2083</v>
      </c>
      <c r="K27" s="193"/>
      <c r="L27" s="1">
        <v>-4.0</v>
      </c>
      <c r="M27" s="1"/>
      <c r="N27" s="1">
        <v>15.0117</v>
      </c>
      <c r="O27" s="1" t="s">
        <v>2020</v>
      </c>
      <c r="P27" s="1" t="s">
        <v>2084</v>
      </c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</row>
    <row r="28" hidden="1">
      <c r="A28" s="1" t="s">
        <v>103</v>
      </c>
      <c r="B28" s="1" t="s">
        <v>89</v>
      </c>
      <c r="C28" s="194">
        <v>323.0</v>
      </c>
      <c r="D28" s="1">
        <v>0.0</v>
      </c>
      <c r="E28" s="1" t="s">
        <v>2085</v>
      </c>
      <c r="F28" s="1" t="s">
        <v>91</v>
      </c>
      <c r="G28" s="1" t="s">
        <v>92</v>
      </c>
      <c r="H28" s="1" t="s">
        <v>2086</v>
      </c>
      <c r="I28" s="1" t="s">
        <v>2087</v>
      </c>
      <c r="J28" s="1" t="s">
        <v>2087</v>
      </c>
      <c r="K28" s="193"/>
      <c r="L28" s="1">
        <v>-10.0</v>
      </c>
      <c r="M28" s="1"/>
      <c r="N28" s="1">
        <v>4.7744333333333335</v>
      </c>
      <c r="O28" s="1" t="s">
        <v>2006</v>
      </c>
      <c r="P28" s="1" t="s">
        <v>2088</v>
      </c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</row>
    <row r="29" hidden="1">
      <c r="A29" s="1" t="s">
        <v>95</v>
      </c>
      <c r="B29" s="194" t="s">
        <v>107</v>
      </c>
      <c r="C29" s="194">
        <v>817.0</v>
      </c>
      <c r="D29" s="1">
        <v>0.0</v>
      </c>
      <c r="E29" s="193"/>
      <c r="F29" s="1" t="s">
        <v>91</v>
      </c>
      <c r="G29" s="1" t="s">
        <v>96</v>
      </c>
      <c r="H29" s="1" t="s">
        <v>2089</v>
      </c>
      <c r="I29" s="1" t="s">
        <v>2090</v>
      </c>
      <c r="J29" s="1" t="s">
        <v>2090</v>
      </c>
      <c r="K29" s="193"/>
      <c r="L29" s="1">
        <v>4.0</v>
      </c>
      <c r="M29" s="1"/>
      <c r="N29" s="1">
        <v>24.854116666666666</v>
      </c>
      <c r="O29" s="1" t="s">
        <v>2006</v>
      </c>
      <c r="P29" s="1" t="s">
        <v>2091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</row>
    <row r="30" hidden="1">
      <c r="A30" s="1" t="s">
        <v>110</v>
      </c>
      <c r="B30" s="1" t="s">
        <v>107</v>
      </c>
      <c r="C30" s="1">
        <v>617.0</v>
      </c>
      <c r="D30" s="1">
        <v>0.0</v>
      </c>
      <c r="E30" s="1" t="s">
        <v>1961</v>
      </c>
      <c r="F30" s="1" t="s">
        <v>175</v>
      </c>
      <c r="G30" s="1" t="s">
        <v>96</v>
      </c>
      <c r="H30" s="1" t="s">
        <v>2092</v>
      </c>
      <c r="I30" s="1" t="s">
        <v>2093</v>
      </c>
      <c r="J30" s="1" t="s">
        <v>2094</v>
      </c>
      <c r="K30" s="1" t="s">
        <v>2095</v>
      </c>
      <c r="L30" s="1">
        <v>10.0</v>
      </c>
      <c r="M30" s="1">
        <v>0.0119</v>
      </c>
      <c r="N30" s="1">
        <v>15.063483333333334</v>
      </c>
      <c r="O30" s="1" t="s">
        <v>2002</v>
      </c>
      <c r="P30" s="1" t="s">
        <v>2096</v>
      </c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</row>
    <row r="31" hidden="1">
      <c r="A31" s="1" t="s">
        <v>116</v>
      </c>
      <c r="B31" s="1" t="s">
        <v>107</v>
      </c>
      <c r="C31" s="194">
        <v>534.0</v>
      </c>
      <c r="D31" s="1">
        <v>124.0</v>
      </c>
      <c r="E31" s="193"/>
      <c r="F31" s="1" t="s">
        <v>111</v>
      </c>
      <c r="G31" s="1" t="s">
        <v>194</v>
      </c>
      <c r="H31" s="1" t="s">
        <v>2097</v>
      </c>
      <c r="I31" s="1" t="s">
        <v>2098</v>
      </c>
      <c r="J31" s="1" t="s">
        <v>2098</v>
      </c>
      <c r="K31" s="193"/>
      <c r="L31" s="1">
        <v>-5.0</v>
      </c>
      <c r="M31" s="1"/>
      <c r="N31" s="1">
        <v>18.600033333333332</v>
      </c>
      <c r="O31" s="1" t="s">
        <v>2020</v>
      </c>
      <c r="P31" s="1" t="s">
        <v>2099</v>
      </c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</row>
    <row r="32" hidden="1">
      <c r="A32" s="1" t="s">
        <v>116</v>
      </c>
      <c r="B32" s="1" t="s">
        <v>242</v>
      </c>
      <c r="C32" s="194">
        <v>617.0</v>
      </c>
      <c r="D32" s="1">
        <v>0.0</v>
      </c>
      <c r="E32" s="1" t="s">
        <v>1961</v>
      </c>
      <c r="F32" s="1" t="s">
        <v>175</v>
      </c>
      <c r="G32" s="1" t="s">
        <v>96</v>
      </c>
      <c r="H32" s="1" t="s">
        <v>2100</v>
      </c>
      <c r="I32" s="1" t="s">
        <v>2101</v>
      </c>
      <c r="J32" s="193"/>
      <c r="K32" s="1" t="s">
        <v>2102</v>
      </c>
      <c r="L32" s="1">
        <v>0.0</v>
      </c>
      <c r="M32" s="1">
        <v>0.040516666666666666</v>
      </c>
      <c r="N32" s="1">
        <v>10.726566666666667</v>
      </c>
      <c r="O32" s="1" t="s">
        <v>2020</v>
      </c>
      <c r="P32" s="1" t="s">
        <v>2103</v>
      </c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</row>
    <row r="33" hidden="1">
      <c r="A33" s="1" t="s">
        <v>110</v>
      </c>
      <c r="B33" s="1" t="s">
        <v>107</v>
      </c>
      <c r="C33" s="194">
        <v>249.0</v>
      </c>
      <c r="D33" s="1">
        <v>0.0</v>
      </c>
      <c r="E33" s="193"/>
      <c r="F33" s="1" t="s">
        <v>111</v>
      </c>
      <c r="G33" s="1" t="s">
        <v>96</v>
      </c>
      <c r="H33" s="1" t="s">
        <v>2104</v>
      </c>
      <c r="I33" s="1" t="s">
        <v>2105</v>
      </c>
      <c r="J33" s="1" t="s">
        <v>2105</v>
      </c>
      <c r="K33" s="193"/>
      <c r="L33" s="1">
        <v>-5.0</v>
      </c>
      <c r="M33" s="1"/>
      <c r="N33" s="1">
        <v>0.13785</v>
      </c>
      <c r="O33" s="1" t="s">
        <v>2002</v>
      </c>
      <c r="P33" s="1" t="s">
        <v>2106</v>
      </c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</row>
    <row r="34" hidden="1">
      <c r="A34" s="1" t="s">
        <v>110</v>
      </c>
      <c r="B34" s="1" t="s">
        <v>107</v>
      </c>
      <c r="C34" s="1">
        <v>124.5</v>
      </c>
      <c r="D34" s="1">
        <v>124.5</v>
      </c>
      <c r="E34" s="193"/>
      <c r="F34" s="1" t="s">
        <v>111</v>
      </c>
      <c r="G34" s="1" t="s">
        <v>96</v>
      </c>
      <c r="H34" s="1" t="s">
        <v>2107</v>
      </c>
      <c r="I34" s="1" t="s">
        <v>2108</v>
      </c>
      <c r="J34" s="1" t="s">
        <v>2108</v>
      </c>
      <c r="K34" s="193"/>
      <c r="L34" s="1">
        <v>-5.0</v>
      </c>
      <c r="M34" s="1"/>
      <c r="N34" s="1">
        <v>0.0518</v>
      </c>
      <c r="O34" s="1" t="s">
        <v>2002</v>
      </c>
      <c r="P34" s="1" t="s">
        <v>2109</v>
      </c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</row>
    <row r="35" hidden="1">
      <c r="A35" s="1" t="s">
        <v>88</v>
      </c>
      <c r="B35" s="1" t="s">
        <v>107</v>
      </c>
      <c r="C35" s="194">
        <v>348.0</v>
      </c>
      <c r="D35" s="1">
        <v>0.0</v>
      </c>
      <c r="E35" s="1" t="s">
        <v>90</v>
      </c>
      <c r="F35" s="1" t="s">
        <v>91</v>
      </c>
      <c r="G35" s="1" t="s">
        <v>92</v>
      </c>
      <c r="H35" s="1" t="s">
        <v>2110</v>
      </c>
      <c r="I35" s="1" t="s">
        <v>2111</v>
      </c>
      <c r="J35" s="1" t="s">
        <v>2111</v>
      </c>
      <c r="K35" s="193"/>
      <c r="L35" s="1">
        <v>-3.0</v>
      </c>
      <c r="M35" s="1"/>
      <c r="N35" s="1">
        <v>11.33655</v>
      </c>
      <c r="O35" s="1" t="s">
        <v>2016</v>
      </c>
      <c r="P35" s="1" t="s">
        <v>2112</v>
      </c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</row>
    <row r="36" hidden="1">
      <c r="A36" s="1" t="s">
        <v>103</v>
      </c>
      <c r="B36" s="1" t="s">
        <v>89</v>
      </c>
      <c r="C36" s="194">
        <v>667.0</v>
      </c>
      <c r="D36" s="1">
        <v>0.0</v>
      </c>
      <c r="E36" s="1" t="s">
        <v>2113</v>
      </c>
      <c r="F36" s="1" t="s">
        <v>91</v>
      </c>
      <c r="G36" s="1" t="s">
        <v>92</v>
      </c>
      <c r="H36" s="1" t="s">
        <v>2114</v>
      </c>
      <c r="I36" s="1" t="s">
        <v>2115</v>
      </c>
      <c r="J36" s="1" t="s">
        <v>2115</v>
      </c>
      <c r="K36" s="193"/>
      <c r="L36" s="1">
        <v>-5.0</v>
      </c>
      <c r="M36" s="1"/>
      <c r="N36" s="1">
        <v>14.251933333333334</v>
      </c>
      <c r="O36" s="1" t="s">
        <v>2006</v>
      </c>
      <c r="P36" s="1" t="s">
        <v>2116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</row>
    <row r="37" hidden="1">
      <c r="A37" s="1" t="s">
        <v>116</v>
      </c>
      <c r="B37" s="1" t="s">
        <v>107</v>
      </c>
      <c r="C37" s="194">
        <v>257.0</v>
      </c>
      <c r="D37" s="1">
        <v>0.0</v>
      </c>
      <c r="E37" s="193"/>
      <c r="F37" s="1" t="s">
        <v>111</v>
      </c>
      <c r="G37" s="1" t="s">
        <v>92</v>
      </c>
      <c r="H37" s="1" t="s">
        <v>2117</v>
      </c>
      <c r="I37" s="1" t="s">
        <v>2118</v>
      </c>
      <c r="J37" s="1" t="s">
        <v>2118</v>
      </c>
      <c r="K37" s="193"/>
      <c r="L37" s="1">
        <v>-9.0</v>
      </c>
      <c r="M37" s="1"/>
      <c r="N37" s="1">
        <v>9.055633333333333</v>
      </c>
      <c r="O37" s="1" t="s">
        <v>2020</v>
      </c>
      <c r="P37" s="1" t="s">
        <v>2119</v>
      </c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</row>
    <row r="38" hidden="1">
      <c r="A38" s="1" t="s">
        <v>88</v>
      </c>
      <c r="B38" s="194" t="s">
        <v>107</v>
      </c>
      <c r="C38" s="194">
        <v>388.0</v>
      </c>
      <c r="D38" s="1">
        <v>0.0</v>
      </c>
      <c r="E38" s="1" t="s">
        <v>90</v>
      </c>
      <c r="F38" s="1" t="s">
        <v>91</v>
      </c>
      <c r="G38" s="1" t="s">
        <v>92</v>
      </c>
      <c r="H38" s="1" t="s">
        <v>2120</v>
      </c>
      <c r="I38" s="1" t="s">
        <v>2121</v>
      </c>
      <c r="J38" s="1" t="s">
        <v>2121</v>
      </c>
      <c r="K38" s="193"/>
      <c r="L38" s="1">
        <v>-6.0</v>
      </c>
      <c r="M38" s="1"/>
      <c r="N38" s="1">
        <v>8.528433333333334</v>
      </c>
      <c r="O38" s="1" t="s">
        <v>2016</v>
      </c>
      <c r="P38" s="1" t="s">
        <v>2122</v>
      </c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</row>
    <row r="39" hidden="1">
      <c r="A39" s="1" t="s">
        <v>88</v>
      </c>
      <c r="B39" s="1" t="s">
        <v>107</v>
      </c>
      <c r="C39" s="194">
        <v>264.0</v>
      </c>
      <c r="D39" s="1">
        <v>0.0</v>
      </c>
      <c r="E39" s="1" t="s">
        <v>90</v>
      </c>
      <c r="F39" s="1" t="s">
        <v>91</v>
      </c>
      <c r="G39" s="1" t="s">
        <v>92</v>
      </c>
      <c r="H39" s="1" t="s">
        <v>2123</v>
      </c>
      <c r="I39" s="1" t="s">
        <v>2124</v>
      </c>
      <c r="J39" s="1" t="s">
        <v>2124</v>
      </c>
      <c r="K39" s="193"/>
      <c r="L39" s="1">
        <v>-7.0</v>
      </c>
      <c r="M39" s="1"/>
      <c r="N39" s="1">
        <v>7.8632</v>
      </c>
      <c r="O39" s="1" t="s">
        <v>2016</v>
      </c>
      <c r="P39" s="1" t="s">
        <v>2125</v>
      </c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</row>
    <row r="40" hidden="1">
      <c r="A40" s="1" t="s">
        <v>116</v>
      </c>
      <c r="B40" s="1" t="s">
        <v>107</v>
      </c>
      <c r="C40" s="194">
        <v>223.0</v>
      </c>
      <c r="D40" s="1">
        <v>56.0</v>
      </c>
      <c r="E40" s="193"/>
      <c r="F40" s="1" t="s">
        <v>111</v>
      </c>
      <c r="G40" s="1" t="s">
        <v>96</v>
      </c>
      <c r="H40" s="1" t="s">
        <v>2126</v>
      </c>
      <c r="I40" s="1" t="s">
        <v>2127</v>
      </c>
      <c r="J40" s="1" t="s">
        <v>2127</v>
      </c>
      <c r="K40" s="193"/>
      <c r="L40" s="1">
        <v>-7.0</v>
      </c>
      <c r="M40" s="1"/>
      <c r="N40" s="1">
        <v>11.9703</v>
      </c>
      <c r="O40" s="1" t="s">
        <v>2020</v>
      </c>
      <c r="P40" s="1" t="s">
        <v>2128</v>
      </c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</row>
    <row r="41" hidden="1">
      <c r="A41" s="1" t="s">
        <v>88</v>
      </c>
      <c r="B41" s="1" t="s">
        <v>107</v>
      </c>
      <c r="C41" s="194">
        <v>371.0</v>
      </c>
      <c r="D41" s="1">
        <v>0.0</v>
      </c>
      <c r="E41" s="1" t="s">
        <v>90</v>
      </c>
      <c r="F41" s="1" t="s">
        <v>91</v>
      </c>
      <c r="G41" s="1" t="s">
        <v>92</v>
      </c>
      <c r="H41" s="1" t="s">
        <v>2129</v>
      </c>
      <c r="I41" s="1" t="s">
        <v>2130</v>
      </c>
      <c r="J41" s="1" t="s">
        <v>2130</v>
      </c>
      <c r="K41" s="193"/>
      <c r="L41" s="1">
        <v>-2.0</v>
      </c>
      <c r="M41" s="1"/>
      <c r="N41" s="1">
        <v>12.918866666666666</v>
      </c>
      <c r="O41" s="1" t="s">
        <v>2016</v>
      </c>
      <c r="P41" s="1" t="s">
        <v>2131</v>
      </c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</row>
    <row r="42" hidden="1">
      <c r="A42" s="1" t="s">
        <v>88</v>
      </c>
      <c r="B42" s="194" t="s">
        <v>107</v>
      </c>
      <c r="C42" s="194">
        <v>264.0</v>
      </c>
      <c r="D42" s="1">
        <v>0.0</v>
      </c>
      <c r="E42" s="1" t="s">
        <v>90</v>
      </c>
      <c r="F42" s="1" t="s">
        <v>91</v>
      </c>
      <c r="G42" s="1" t="s">
        <v>92</v>
      </c>
      <c r="H42" s="1" t="s">
        <v>2132</v>
      </c>
      <c r="I42" s="1" t="s">
        <v>2133</v>
      </c>
      <c r="J42" s="1" t="s">
        <v>2133</v>
      </c>
      <c r="K42" s="193"/>
      <c r="L42" s="1">
        <v>2.0</v>
      </c>
      <c r="M42" s="1"/>
      <c r="N42" s="1">
        <v>17.032033333333334</v>
      </c>
      <c r="O42" s="1" t="s">
        <v>2016</v>
      </c>
      <c r="P42" s="1" t="s">
        <v>2134</v>
      </c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</row>
    <row r="43" hidden="1">
      <c r="A43" s="1" t="s">
        <v>95</v>
      </c>
      <c r="B43" s="194" t="s">
        <v>89</v>
      </c>
      <c r="C43" s="1">
        <v>478.6</v>
      </c>
      <c r="D43" s="1">
        <v>59.4</v>
      </c>
      <c r="E43" s="193"/>
      <c r="F43" s="1" t="s">
        <v>91</v>
      </c>
      <c r="G43" s="1" t="s">
        <v>92</v>
      </c>
      <c r="H43" s="1" t="s">
        <v>2135</v>
      </c>
      <c r="I43" s="1" t="s">
        <v>2136</v>
      </c>
      <c r="J43" s="1" t="s">
        <v>2136</v>
      </c>
      <c r="K43" s="193"/>
      <c r="L43" s="1">
        <v>2.0</v>
      </c>
      <c r="M43" s="1"/>
      <c r="N43" s="1">
        <v>17.300233333333335</v>
      </c>
      <c r="O43" s="1" t="s">
        <v>2006</v>
      </c>
      <c r="P43" s="1" t="s">
        <v>2137</v>
      </c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</row>
    <row r="44" hidden="1">
      <c r="A44" s="1" t="s">
        <v>110</v>
      </c>
      <c r="B44" s="1" t="s">
        <v>107</v>
      </c>
      <c r="C44" s="194">
        <v>327.0</v>
      </c>
      <c r="D44" s="1">
        <v>0.0</v>
      </c>
      <c r="E44" s="193"/>
      <c r="F44" s="1" t="s">
        <v>111</v>
      </c>
      <c r="G44" s="1" t="s">
        <v>96</v>
      </c>
      <c r="H44" s="1" t="s">
        <v>2138</v>
      </c>
      <c r="I44" s="1" t="s">
        <v>2139</v>
      </c>
      <c r="J44" s="1" t="s">
        <v>2139</v>
      </c>
      <c r="K44" s="193"/>
      <c r="L44" s="1">
        <v>-4.0</v>
      </c>
      <c r="M44" s="1"/>
      <c r="N44" s="1">
        <v>1.7934333333333334</v>
      </c>
      <c r="O44" s="1" t="s">
        <v>2002</v>
      </c>
      <c r="P44" s="1" t="s">
        <v>2140</v>
      </c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</row>
    <row r="45" hidden="1">
      <c r="A45" s="1" t="s">
        <v>95</v>
      </c>
      <c r="B45" s="194" t="s">
        <v>89</v>
      </c>
      <c r="C45" s="194">
        <v>658.0</v>
      </c>
      <c r="D45" s="1">
        <v>0.0</v>
      </c>
      <c r="E45" s="193"/>
      <c r="F45" s="1" t="s">
        <v>91</v>
      </c>
      <c r="G45" s="1" t="s">
        <v>92</v>
      </c>
      <c r="H45" s="1" t="s">
        <v>2141</v>
      </c>
      <c r="I45" s="1" t="s">
        <v>2142</v>
      </c>
      <c r="J45" s="1" t="s">
        <v>2142</v>
      </c>
      <c r="K45" s="193"/>
      <c r="L45" s="1">
        <v>0.0</v>
      </c>
      <c r="M45" s="1"/>
      <c r="N45" s="1">
        <v>19.0825</v>
      </c>
      <c r="O45" s="1" t="s">
        <v>2006</v>
      </c>
      <c r="P45" s="1" t="s">
        <v>2143</v>
      </c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</row>
    <row r="46" hidden="1">
      <c r="A46" s="1" t="s">
        <v>88</v>
      </c>
      <c r="B46" s="1" t="s">
        <v>107</v>
      </c>
      <c r="C46" s="194">
        <v>289.0</v>
      </c>
      <c r="D46" s="1">
        <v>0.0</v>
      </c>
      <c r="E46" s="1" t="s">
        <v>90</v>
      </c>
      <c r="F46" s="1" t="s">
        <v>91</v>
      </c>
      <c r="G46" s="1" t="s">
        <v>92</v>
      </c>
      <c r="H46" s="1" t="s">
        <v>2144</v>
      </c>
      <c r="I46" s="1" t="s">
        <v>2145</v>
      </c>
      <c r="J46" s="1" t="s">
        <v>2145</v>
      </c>
      <c r="K46" s="193"/>
      <c r="L46" s="1">
        <v>-7.0</v>
      </c>
      <c r="M46" s="1"/>
      <c r="N46" s="1">
        <v>7.08275</v>
      </c>
      <c r="O46" s="1" t="s">
        <v>2016</v>
      </c>
      <c r="P46" s="1" t="s">
        <v>2146</v>
      </c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</row>
    <row r="47" hidden="1">
      <c r="A47" s="1" t="s">
        <v>116</v>
      </c>
      <c r="B47" s="1" t="s">
        <v>107</v>
      </c>
      <c r="C47" s="1">
        <v>309.0</v>
      </c>
      <c r="D47" s="1">
        <v>0.0</v>
      </c>
      <c r="E47" s="1" t="s">
        <v>1961</v>
      </c>
      <c r="F47" s="1" t="s">
        <v>175</v>
      </c>
      <c r="G47" s="1" t="s">
        <v>96</v>
      </c>
      <c r="H47" s="1" t="s">
        <v>2147</v>
      </c>
      <c r="I47" s="1" t="s">
        <v>2148</v>
      </c>
      <c r="J47" s="1" t="s">
        <v>2149</v>
      </c>
      <c r="K47" s="1" t="s">
        <v>2150</v>
      </c>
      <c r="L47" s="1">
        <v>-1.0</v>
      </c>
      <c r="M47" s="1">
        <v>0.0218</v>
      </c>
      <c r="N47" s="1">
        <v>16.586733333333335</v>
      </c>
      <c r="O47" s="1" t="s">
        <v>2020</v>
      </c>
      <c r="P47" s="1" t="s">
        <v>2151</v>
      </c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</row>
    <row r="48" hidden="1">
      <c r="A48" s="1" t="s">
        <v>116</v>
      </c>
      <c r="B48" s="1" t="s">
        <v>107</v>
      </c>
      <c r="C48" s="194">
        <v>306.0</v>
      </c>
      <c r="D48" s="1">
        <v>23.0</v>
      </c>
      <c r="E48" s="1" t="s">
        <v>1961</v>
      </c>
      <c r="F48" s="1" t="s">
        <v>175</v>
      </c>
      <c r="G48" s="1" t="s">
        <v>92</v>
      </c>
      <c r="H48" s="1" t="s">
        <v>2152</v>
      </c>
      <c r="I48" s="1" t="s">
        <v>2153</v>
      </c>
      <c r="J48" s="1" t="s">
        <v>2154</v>
      </c>
      <c r="K48" s="1" t="s">
        <v>2155</v>
      </c>
      <c r="L48" s="1">
        <v>7.0</v>
      </c>
      <c r="M48" s="1">
        <v>0.024616666666666665</v>
      </c>
      <c r="N48" s="1">
        <v>20.214333333333332</v>
      </c>
      <c r="O48" s="1" t="s">
        <v>2020</v>
      </c>
      <c r="P48" s="1" t="s">
        <v>2156</v>
      </c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</row>
    <row r="49" hidden="1">
      <c r="A49" s="1" t="s">
        <v>103</v>
      </c>
      <c r="B49" s="194" t="s">
        <v>89</v>
      </c>
      <c r="C49" s="194">
        <v>661.0</v>
      </c>
      <c r="D49" s="1">
        <v>0.0</v>
      </c>
      <c r="E49" s="1" t="s">
        <v>2157</v>
      </c>
      <c r="F49" s="1" t="s">
        <v>91</v>
      </c>
      <c r="G49" s="1" t="s">
        <v>92</v>
      </c>
      <c r="H49" s="1" t="s">
        <v>2158</v>
      </c>
      <c r="I49" s="1" t="s">
        <v>2159</v>
      </c>
      <c r="J49" s="1" t="s">
        <v>2159</v>
      </c>
      <c r="K49" s="193"/>
      <c r="L49" s="1">
        <v>-1.0</v>
      </c>
      <c r="M49" s="1"/>
      <c r="N49" s="1">
        <v>18.59325</v>
      </c>
      <c r="O49" s="1" t="s">
        <v>2006</v>
      </c>
      <c r="P49" s="1" t="s">
        <v>2160</v>
      </c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</row>
    <row r="50" hidden="1">
      <c r="A50" s="1" t="s">
        <v>103</v>
      </c>
      <c r="B50" s="1" t="s">
        <v>89</v>
      </c>
      <c r="C50" s="194">
        <v>907.0</v>
      </c>
      <c r="D50" s="1">
        <v>0.0</v>
      </c>
      <c r="E50" s="1" t="s">
        <v>2161</v>
      </c>
      <c r="F50" s="1" t="s">
        <v>91</v>
      </c>
      <c r="G50" s="1" t="s">
        <v>92</v>
      </c>
      <c r="H50" s="1" t="s">
        <v>2162</v>
      </c>
      <c r="I50" s="1" t="s">
        <v>2163</v>
      </c>
      <c r="J50" s="1" t="s">
        <v>2163</v>
      </c>
      <c r="K50" s="193"/>
      <c r="L50" s="1">
        <v>1.0</v>
      </c>
      <c r="M50" s="1"/>
      <c r="N50" s="1">
        <v>21.503183333333332</v>
      </c>
      <c r="O50" s="1" t="s">
        <v>2006</v>
      </c>
      <c r="P50" s="1" t="s">
        <v>2164</v>
      </c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</row>
    <row r="51" hidden="1">
      <c r="A51" s="1" t="s">
        <v>116</v>
      </c>
      <c r="B51" s="1" t="s">
        <v>107</v>
      </c>
      <c r="C51" s="194">
        <v>485.0</v>
      </c>
      <c r="D51" s="1">
        <v>0.0</v>
      </c>
      <c r="E51" s="1" t="s">
        <v>90</v>
      </c>
      <c r="F51" s="1" t="s">
        <v>175</v>
      </c>
      <c r="G51" s="1" t="s">
        <v>96</v>
      </c>
      <c r="H51" s="1" t="s">
        <v>2165</v>
      </c>
      <c r="I51" s="1" t="s">
        <v>2166</v>
      </c>
      <c r="J51" s="1" t="s">
        <v>2167</v>
      </c>
      <c r="K51" s="1" t="s">
        <v>2168</v>
      </c>
      <c r="L51" s="1">
        <v>13.0</v>
      </c>
      <c r="M51" s="1">
        <v>2.5582333333333334</v>
      </c>
      <c r="N51" s="1">
        <v>26.947033333333334</v>
      </c>
      <c r="O51" s="1" t="s">
        <v>2020</v>
      </c>
      <c r="P51" s="1" t="s">
        <v>2169</v>
      </c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</row>
    <row r="52" hidden="1">
      <c r="A52" s="1" t="s">
        <v>88</v>
      </c>
      <c r="B52" s="1" t="s">
        <v>107</v>
      </c>
      <c r="C52" s="194">
        <v>658.0</v>
      </c>
      <c r="D52" s="1">
        <v>0.0</v>
      </c>
      <c r="E52" s="1" t="s">
        <v>90</v>
      </c>
      <c r="F52" s="1" t="s">
        <v>91</v>
      </c>
      <c r="G52" s="1" t="s">
        <v>92</v>
      </c>
      <c r="H52" s="1" t="s">
        <v>2170</v>
      </c>
      <c r="I52" s="1" t="s">
        <v>2171</v>
      </c>
      <c r="J52" s="1" t="s">
        <v>2171</v>
      </c>
      <c r="K52" s="193"/>
      <c r="L52" s="1">
        <v>5.0</v>
      </c>
      <c r="M52" s="1"/>
      <c r="N52" s="1">
        <v>25.137583333333332</v>
      </c>
      <c r="O52" s="1" t="s">
        <v>2016</v>
      </c>
      <c r="P52" s="1" t="s">
        <v>2172</v>
      </c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</row>
    <row r="53" hidden="1">
      <c r="A53" s="1" t="s">
        <v>95</v>
      </c>
      <c r="B53" s="1" t="s">
        <v>89</v>
      </c>
      <c r="C53" s="194">
        <v>498.0</v>
      </c>
      <c r="D53" s="1">
        <v>0.0</v>
      </c>
      <c r="E53" s="193"/>
      <c r="F53" s="1" t="s">
        <v>91</v>
      </c>
      <c r="G53" s="1" t="s">
        <v>92</v>
      </c>
      <c r="H53" s="1" t="s">
        <v>2173</v>
      </c>
      <c r="I53" s="1" t="s">
        <v>2174</v>
      </c>
      <c r="J53" s="1" t="s">
        <v>2174</v>
      </c>
      <c r="K53" s="193"/>
      <c r="L53" s="1">
        <v>5.0</v>
      </c>
      <c r="M53" s="1"/>
      <c r="N53" s="1">
        <v>20.63135</v>
      </c>
      <c r="O53" s="1" t="s">
        <v>2006</v>
      </c>
      <c r="P53" s="1" t="s">
        <v>2175</v>
      </c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</row>
    <row r="54" hidden="1">
      <c r="A54" s="1" t="s">
        <v>103</v>
      </c>
      <c r="B54" s="1" t="s">
        <v>89</v>
      </c>
      <c r="C54" s="194">
        <v>381.0</v>
      </c>
      <c r="D54" s="1">
        <v>0.0</v>
      </c>
      <c r="E54" s="1" t="s">
        <v>2176</v>
      </c>
      <c r="F54" s="1" t="s">
        <v>91</v>
      </c>
      <c r="G54" s="1" t="s">
        <v>92</v>
      </c>
      <c r="H54" s="1" t="s">
        <v>2177</v>
      </c>
      <c r="I54" s="1" t="s">
        <v>2178</v>
      </c>
      <c r="J54" s="1" t="s">
        <v>2178</v>
      </c>
      <c r="K54" s="193"/>
      <c r="L54" s="1">
        <v>4.0</v>
      </c>
      <c r="M54" s="1"/>
      <c r="N54" s="1">
        <v>19.429316666666665</v>
      </c>
      <c r="O54" s="1" t="s">
        <v>2006</v>
      </c>
      <c r="P54" s="1" t="s">
        <v>2179</v>
      </c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</row>
    <row r="55" hidden="1">
      <c r="A55" s="1" t="s">
        <v>88</v>
      </c>
      <c r="B55" s="1" t="s">
        <v>107</v>
      </c>
      <c r="C55" s="1">
        <v>796.0</v>
      </c>
      <c r="D55" s="1">
        <v>0.0</v>
      </c>
      <c r="E55" s="1" t="s">
        <v>90</v>
      </c>
      <c r="F55" s="1" t="s">
        <v>91</v>
      </c>
      <c r="G55" s="1" t="s">
        <v>92</v>
      </c>
      <c r="H55" s="1" t="s">
        <v>2180</v>
      </c>
      <c r="I55" s="1" t="s">
        <v>2181</v>
      </c>
      <c r="J55" s="1" t="s">
        <v>2181</v>
      </c>
      <c r="K55" s="193"/>
      <c r="L55" s="1">
        <v>3.0</v>
      </c>
      <c r="M55" s="1"/>
      <c r="N55" s="1">
        <v>23.858316666666667</v>
      </c>
      <c r="O55" s="1" t="s">
        <v>2016</v>
      </c>
      <c r="P55" s="1" t="s">
        <v>2182</v>
      </c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</row>
    <row r="56" hidden="1">
      <c r="A56" s="1" t="s">
        <v>88</v>
      </c>
      <c r="B56" s="1" t="s">
        <v>107</v>
      </c>
      <c r="C56" s="194">
        <v>329.0</v>
      </c>
      <c r="D56" s="1">
        <v>0.0</v>
      </c>
      <c r="E56" s="1" t="s">
        <v>90</v>
      </c>
      <c r="F56" s="1" t="s">
        <v>91</v>
      </c>
      <c r="G56" s="1" t="s">
        <v>92</v>
      </c>
      <c r="H56" s="1" t="s">
        <v>2183</v>
      </c>
      <c r="I56" s="1" t="s">
        <v>2184</v>
      </c>
      <c r="J56" s="1" t="s">
        <v>2184</v>
      </c>
      <c r="K56" s="193"/>
      <c r="L56" s="1">
        <v>0.0</v>
      </c>
      <c r="M56" s="1"/>
      <c r="N56" s="1">
        <v>15.380283333333333</v>
      </c>
      <c r="O56" s="1" t="s">
        <v>2016</v>
      </c>
      <c r="P56" s="1" t="s">
        <v>2185</v>
      </c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</row>
    <row r="57" hidden="1">
      <c r="A57" s="1" t="s">
        <v>88</v>
      </c>
      <c r="B57" s="1" t="s">
        <v>107</v>
      </c>
      <c r="C57" s="194">
        <v>388.0</v>
      </c>
      <c r="D57" s="1">
        <v>0.0</v>
      </c>
      <c r="E57" s="1" t="s">
        <v>90</v>
      </c>
      <c r="F57" s="1" t="s">
        <v>91</v>
      </c>
      <c r="G57" s="1" t="s">
        <v>92</v>
      </c>
      <c r="H57" s="1" t="s">
        <v>2186</v>
      </c>
      <c r="I57" s="1" t="s">
        <v>2187</v>
      </c>
      <c r="J57" s="1" t="s">
        <v>2187</v>
      </c>
      <c r="K57" s="193"/>
      <c r="L57" s="1">
        <v>0.0</v>
      </c>
      <c r="M57" s="1"/>
      <c r="N57" s="1">
        <v>15.419066666666666</v>
      </c>
      <c r="O57" s="1" t="s">
        <v>2016</v>
      </c>
      <c r="P57" s="1" t="s">
        <v>2188</v>
      </c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</row>
    <row r="58" hidden="1">
      <c r="A58" s="1" t="s">
        <v>116</v>
      </c>
      <c r="B58" s="1" t="s">
        <v>107</v>
      </c>
      <c r="C58" s="194">
        <v>236.0</v>
      </c>
      <c r="D58" s="1">
        <v>73.0</v>
      </c>
      <c r="E58" s="193"/>
      <c r="F58" s="1" t="s">
        <v>111</v>
      </c>
      <c r="G58" s="1" t="s">
        <v>194</v>
      </c>
      <c r="H58" s="1" t="s">
        <v>2189</v>
      </c>
      <c r="I58" s="1" t="s">
        <v>2190</v>
      </c>
      <c r="J58" s="1" t="s">
        <v>2190</v>
      </c>
      <c r="K58" s="193"/>
      <c r="L58" s="1">
        <v>0.0</v>
      </c>
      <c r="M58" s="1"/>
      <c r="N58" s="1">
        <v>20.628566666666668</v>
      </c>
      <c r="O58" s="1" t="s">
        <v>2020</v>
      </c>
      <c r="P58" s="1" t="s">
        <v>2191</v>
      </c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</row>
    <row r="59" hidden="1">
      <c r="A59" s="1" t="s">
        <v>95</v>
      </c>
      <c r="B59" s="1" t="s">
        <v>89</v>
      </c>
      <c r="C59" s="194">
        <v>658.0</v>
      </c>
      <c r="D59" s="1">
        <v>0.0</v>
      </c>
      <c r="E59" s="193"/>
      <c r="F59" s="1" t="s">
        <v>91</v>
      </c>
      <c r="G59" s="1" t="s">
        <v>92</v>
      </c>
      <c r="H59" s="1" t="s">
        <v>2192</v>
      </c>
      <c r="I59" s="1" t="s">
        <v>2193</v>
      </c>
      <c r="J59" s="1" t="s">
        <v>2193</v>
      </c>
      <c r="K59" s="193"/>
      <c r="L59" s="1">
        <v>2.0</v>
      </c>
      <c r="M59" s="1"/>
      <c r="N59" s="1">
        <v>22.616483333333335</v>
      </c>
      <c r="O59" s="1" t="s">
        <v>2006</v>
      </c>
      <c r="P59" s="1" t="s">
        <v>2194</v>
      </c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</row>
    <row r="60" hidden="1">
      <c r="A60" s="1" t="s">
        <v>95</v>
      </c>
      <c r="B60" s="194" t="s">
        <v>89</v>
      </c>
      <c r="C60" s="194">
        <v>1204.0</v>
      </c>
      <c r="D60" s="1">
        <v>0.0</v>
      </c>
      <c r="E60" s="193"/>
      <c r="F60" s="1" t="s">
        <v>91</v>
      </c>
      <c r="G60" s="1" t="s">
        <v>92</v>
      </c>
      <c r="H60" s="1" t="s">
        <v>2195</v>
      </c>
      <c r="I60" s="1" t="s">
        <v>2196</v>
      </c>
      <c r="J60" s="1" t="s">
        <v>2196</v>
      </c>
      <c r="K60" s="193"/>
      <c r="L60" s="1">
        <v>0.0</v>
      </c>
      <c r="M60" s="1"/>
      <c r="N60" s="1">
        <v>20.8284</v>
      </c>
      <c r="O60" s="1" t="s">
        <v>2006</v>
      </c>
      <c r="P60" s="1" t="s">
        <v>2197</v>
      </c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</row>
    <row r="61" hidden="1">
      <c r="A61" s="1" t="s">
        <v>88</v>
      </c>
      <c r="B61" s="1" t="s">
        <v>107</v>
      </c>
      <c r="C61" s="194">
        <v>434.0</v>
      </c>
      <c r="D61" s="1">
        <v>0.0</v>
      </c>
      <c r="E61" s="1" t="s">
        <v>90</v>
      </c>
      <c r="F61" s="1" t="s">
        <v>91</v>
      </c>
      <c r="G61" s="1" t="s">
        <v>92</v>
      </c>
      <c r="H61" s="1" t="s">
        <v>2198</v>
      </c>
      <c r="I61" s="1" t="s">
        <v>2199</v>
      </c>
      <c r="J61" s="1" t="s">
        <v>2199</v>
      </c>
      <c r="K61" s="193"/>
      <c r="L61" s="1">
        <v>0.0</v>
      </c>
      <c r="M61" s="1"/>
      <c r="N61" s="1">
        <v>15.896783333333333</v>
      </c>
      <c r="O61" s="1" t="s">
        <v>2016</v>
      </c>
      <c r="P61" s="1" t="s">
        <v>2200</v>
      </c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</row>
    <row r="62" hidden="1">
      <c r="A62" s="1" t="s">
        <v>88</v>
      </c>
      <c r="B62" s="1" t="s">
        <v>107</v>
      </c>
      <c r="C62" s="194">
        <v>425.0</v>
      </c>
      <c r="D62" s="1">
        <v>0.0</v>
      </c>
      <c r="E62" s="1" t="s">
        <v>90</v>
      </c>
      <c r="F62" s="1" t="s">
        <v>91</v>
      </c>
      <c r="G62" s="1" t="s">
        <v>92</v>
      </c>
      <c r="H62" s="1" t="s">
        <v>2201</v>
      </c>
      <c r="I62" s="1" t="s">
        <v>2202</v>
      </c>
      <c r="J62" s="1" t="s">
        <v>2202</v>
      </c>
      <c r="K62" s="193"/>
      <c r="L62" s="1">
        <v>-3.0</v>
      </c>
      <c r="M62" s="1"/>
      <c r="N62" s="1">
        <v>11.232066666666666</v>
      </c>
      <c r="O62" s="1" t="s">
        <v>2016</v>
      </c>
      <c r="P62" s="1" t="s">
        <v>2203</v>
      </c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</row>
    <row r="63" hidden="1">
      <c r="A63" s="1" t="s">
        <v>116</v>
      </c>
      <c r="B63" s="1" t="s">
        <v>107</v>
      </c>
      <c r="C63" s="194">
        <v>266.0</v>
      </c>
      <c r="D63" s="1">
        <v>0.0</v>
      </c>
      <c r="E63" s="1" t="s">
        <v>1961</v>
      </c>
      <c r="F63" s="1" t="s">
        <v>175</v>
      </c>
      <c r="G63" s="1" t="s">
        <v>96</v>
      </c>
      <c r="H63" s="1" t="s">
        <v>2204</v>
      </c>
      <c r="I63" s="1" t="s">
        <v>2205</v>
      </c>
      <c r="J63" s="1" t="s">
        <v>2206</v>
      </c>
      <c r="K63" s="1" t="s">
        <v>2207</v>
      </c>
      <c r="L63" s="1">
        <v>0.0</v>
      </c>
      <c r="M63" s="1">
        <v>0.01775</v>
      </c>
      <c r="N63" s="1">
        <v>13.905366666666668</v>
      </c>
      <c r="O63" s="1" t="s">
        <v>2020</v>
      </c>
      <c r="P63" s="1" t="s">
        <v>2208</v>
      </c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</row>
    <row r="64" hidden="1">
      <c r="A64" s="1" t="s">
        <v>88</v>
      </c>
      <c r="B64" s="1" t="s">
        <v>107</v>
      </c>
      <c r="C64" s="194">
        <v>344.0</v>
      </c>
      <c r="D64" s="1">
        <v>0.0</v>
      </c>
      <c r="E64" s="1" t="s">
        <v>90</v>
      </c>
      <c r="F64" s="1" t="s">
        <v>91</v>
      </c>
      <c r="G64" s="1" t="s">
        <v>92</v>
      </c>
      <c r="H64" s="1" t="s">
        <v>2209</v>
      </c>
      <c r="I64" s="1" t="s">
        <v>2210</v>
      </c>
      <c r="J64" s="1" t="s">
        <v>2210</v>
      </c>
      <c r="K64" s="193"/>
      <c r="L64" s="1">
        <v>-9.0</v>
      </c>
      <c r="M64" s="1"/>
      <c r="N64" s="1">
        <v>5.87725</v>
      </c>
      <c r="O64" s="1" t="s">
        <v>2016</v>
      </c>
      <c r="P64" s="1" t="s">
        <v>2211</v>
      </c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</row>
    <row r="65" hidden="1">
      <c r="A65" s="1" t="s">
        <v>95</v>
      </c>
      <c r="B65" s="1" t="s">
        <v>89</v>
      </c>
      <c r="C65" s="194">
        <v>409.2</v>
      </c>
      <c r="D65" s="1">
        <v>118.8</v>
      </c>
      <c r="E65" s="193"/>
      <c r="F65" s="1" t="s">
        <v>91</v>
      </c>
      <c r="G65" s="1" t="s">
        <v>92</v>
      </c>
      <c r="H65" s="1" t="s">
        <v>2212</v>
      </c>
      <c r="I65" s="1" t="s">
        <v>2213</v>
      </c>
      <c r="J65" s="1" t="s">
        <v>2213</v>
      </c>
      <c r="K65" s="193"/>
      <c r="L65" s="1">
        <v>-4.0</v>
      </c>
      <c r="M65" s="1"/>
      <c r="N65" s="1">
        <v>11.0001</v>
      </c>
      <c r="O65" s="1" t="s">
        <v>2006</v>
      </c>
      <c r="P65" s="1" t="s">
        <v>2214</v>
      </c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</row>
    <row r="66" hidden="1">
      <c r="A66" s="1" t="s">
        <v>116</v>
      </c>
      <c r="B66" s="1" t="s">
        <v>107</v>
      </c>
      <c r="C66" s="194">
        <v>612.0</v>
      </c>
      <c r="D66" s="1">
        <v>0.0</v>
      </c>
      <c r="E66" s="1" t="s">
        <v>1961</v>
      </c>
      <c r="F66" s="1" t="s">
        <v>175</v>
      </c>
      <c r="G66" s="1" t="s">
        <v>92</v>
      </c>
      <c r="H66" s="1" t="s">
        <v>2215</v>
      </c>
      <c r="I66" s="1" t="s">
        <v>2216</v>
      </c>
      <c r="J66" s="1" t="s">
        <v>2217</v>
      </c>
      <c r="K66" s="1" t="s">
        <v>2218</v>
      </c>
      <c r="L66" s="1">
        <v>-3.0</v>
      </c>
      <c r="M66" s="1">
        <v>0.03266666666666666</v>
      </c>
      <c r="N66" s="1">
        <v>23.935566666666666</v>
      </c>
      <c r="O66" s="1" t="s">
        <v>2020</v>
      </c>
      <c r="P66" s="1" t="s">
        <v>2219</v>
      </c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</row>
    <row r="67" hidden="1">
      <c r="A67" s="1" t="s">
        <v>116</v>
      </c>
      <c r="B67" s="1" t="s">
        <v>107</v>
      </c>
      <c r="C67" s="194">
        <v>299.0</v>
      </c>
      <c r="D67" s="1">
        <v>75.0</v>
      </c>
      <c r="E67" s="193"/>
      <c r="F67" s="1" t="s">
        <v>111</v>
      </c>
      <c r="G67" s="1" t="s">
        <v>92</v>
      </c>
      <c r="H67" s="1" t="s">
        <v>2220</v>
      </c>
      <c r="I67" s="1" t="s">
        <v>2221</v>
      </c>
      <c r="J67" s="1" t="s">
        <v>2221</v>
      </c>
      <c r="K67" s="193"/>
      <c r="L67" s="1">
        <v>-6.0</v>
      </c>
      <c r="M67" s="1"/>
      <c r="N67" s="1">
        <v>12.184016666666666</v>
      </c>
      <c r="O67" s="1" t="s">
        <v>2020</v>
      </c>
      <c r="P67" s="1" t="s">
        <v>2222</v>
      </c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</row>
    <row r="68" hidden="1">
      <c r="A68" s="1" t="s">
        <v>95</v>
      </c>
      <c r="B68" s="1" t="s">
        <v>89</v>
      </c>
      <c r="C68" s="1">
        <v>543.0</v>
      </c>
      <c r="D68" s="1">
        <v>0.0</v>
      </c>
      <c r="E68" s="193"/>
      <c r="F68" s="1" t="s">
        <v>91</v>
      </c>
      <c r="G68" s="1" t="s">
        <v>92</v>
      </c>
      <c r="H68" s="1" t="s">
        <v>2223</v>
      </c>
      <c r="I68" s="1" t="s">
        <v>2224</v>
      </c>
      <c r="J68" s="1" t="s">
        <v>2224</v>
      </c>
      <c r="K68" s="193"/>
      <c r="L68" s="1">
        <v>-7.0</v>
      </c>
      <c r="M68" s="1"/>
      <c r="N68" s="1">
        <v>12.460066666666666</v>
      </c>
      <c r="O68" s="1" t="s">
        <v>2006</v>
      </c>
      <c r="P68" s="1" t="s">
        <v>2225</v>
      </c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</row>
    <row r="69" hidden="1">
      <c r="A69" s="1" t="s">
        <v>116</v>
      </c>
      <c r="B69" s="1" t="s">
        <v>107</v>
      </c>
      <c r="C69" s="194">
        <v>523.0</v>
      </c>
      <c r="D69" s="1">
        <v>26.0</v>
      </c>
      <c r="E69" s="1" t="s">
        <v>90</v>
      </c>
      <c r="F69" s="1" t="s">
        <v>175</v>
      </c>
      <c r="G69" s="1" t="s">
        <v>92</v>
      </c>
      <c r="H69" s="1" t="s">
        <v>2226</v>
      </c>
      <c r="I69" s="1" t="s">
        <v>2227</v>
      </c>
      <c r="J69" s="1" t="s">
        <v>2228</v>
      </c>
      <c r="K69" s="1" t="s">
        <v>2229</v>
      </c>
      <c r="L69" s="1">
        <v>-24.0</v>
      </c>
      <c r="M69" s="1">
        <v>1.5747666666666666</v>
      </c>
      <c r="N69" s="1">
        <v>19.423166666666667</v>
      </c>
      <c r="O69" s="1" t="s">
        <v>2020</v>
      </c>
      <c r="P69" s="1" t="s">
        <v>2230</v>
      </c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</row>
    <row r="70" hidden="1">
      <c r="A70" s="1" t="s">
        <v>116</v>
      </c>
      <c r="B70" s="1" t="s">
        <v>107</v>
      </c>
      <c r="C70" s="1">
        <v>797.0</v>
      </c>
      <c r="D70" s="1">
        <v>0.0</v>
      </c>
      <c r="E70" s="1" t="s">
        <v>1961</v>
      </c>
      <c r="F70" s="1" t="s">
        <v>175</v>
      </c>
      <c r="G70" s="1" t="s">
        <v>92</v>
      </c>
      <c r="H70" s="1" t="s">
        <v>2231</v>
      </c>
      <c r="I70" s="1" t="s">
        <v>2232</v>
      </c>
      <c r="J70" s="1" t="s">
        <v>2233</v>
      </c>
      <c r="K70" s="1" t="s">
        <v>2234</v>
      </c>
      <c r="L70" s="1">
        <v>15.0</v>
      </c>
      <c r="M70" s="1">
        <v>0.028916666666666667</v>
      </c>
      <c r="N70" s="1">
        <v>16.36691666666667</v>
      </c>
      <c r="O70" s="1" t="s">
        <v>2020</v>
      </c>
      <c r="P70" s="1" t="s">
        <v>2235</v>
      </c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</row>
    <row r="71" hidden="1">
      <c r="A71" s="1" t="s">
        <v>116</v>
      </c>
      <c r="B71" s="1" t="s">
        <v>107</v>
      </c>
      <c r="C71" s="194">
        <v>523.0</v>
      </c>
      <c r="D71" s="1">
        <v>0.0</v>
      </c>
      <c r="E71" s="1" t="s">
        <v>1961</v>
      </c>
      <c r="F71" s="1" t="s">
        <v>175</v>
      </c>
      <c r="G71" s="1" t="s">
        <v>92</v>
      </c>
      <c r="H71" s="1" t="s">
        <v>2236</v>
      </c>
      <c r="I71" s="1" t="s">
        <v>2237</v>
      </c>
      <c r="J71" s="1" t="s">
        <v>2238</v>
      </c>
      <c r="K71" s="1" t="s">
        <v>2239</v>
      </c>
      <c r="L71" s="1">
        <v>29.0</v>
      </c>
      <c r="M71" s="1">
        <v>48.02973333333333</v>
      </c>
      <c r="N71" s="1">
        <v>19.860733333333332</v>
      </c>
      <c r="O71" s="1" t="s">
        <v>2020</v>
      </c>
      <c r="P71" s="1" t="s">
        <v>2240</v>
      </c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</row>
    <row r="72" hidden="1">
      <c r="A72" s="1" t="s">
        <v>88</v>
      </c>
      <c r="B72" s="1" t="s">
        <v>107</v>
      </c>
      <c r="C72" s="194">
        <v>1248.0</v>
      </c>
      <c r="D72" s="1">
        <v>0.0</v>
      </c>
      <c r="E72" s="1" t="s">
        <v>90</v>
      </c>
      <c r="F72" s="1" t="s">
        <v>91</v>
      </c>
      <c r="G72" s="1" t="s">
        <v>92</v>
      </c>
      <c r="H72" s="1" t="s">
        <v>2241</v>
      </c>
      <c r="I72" s="1" t="s">
        <v>2242</v>
      </c>
      <c r="J72" s="1" t="s">
        <v>2242</v>
      </c>
      <c r="K72" s="193"/>
      <c r="L72" s="1">
        <v>-7.0</v>
      </c>
      <c r="M72" s="1"/>
      <c r="N72" s="1">
        <v>12.521183333333333</v>
      </c>
      <c r="O72" s="1" t="s">
        <v>2016</v>
      </c>
      <c r="P72" s="1" t="s">
        <v>2243</v>
      </c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</row>
    <row r="73" hidden="1">
      <c r="A73" s="1" t="s">
        <v>88</v>
      </c>
      <c r="B73" s="194" t="s">
        <v>107</v>
      </c>
      <c r="C73" s="194">
        <v>767.0</v>
      </c>
      <c r="D73" s="1">
        <v>0.0</v>
      </c>
      <c r="E73" s="1" t="s">
        <v>90</v>
      </c>
      <c r="F73" s="1" t="s">
        <v>91</v>
      </c>
      <c r="G73" s="1" t="s">
        <v>92</v>
      </c>
      <c r="H73" s="1" t="s">
        <v>2244</v>
      </c>
      <c r="I73" s="1" t="s">
        <v>2245</v>
      </c>
      <c r="J73" s="1" t="s">
        <v>2245</v>
      </c>
      <c r="K73" s="193"/>
      <c r="L73" s="1">
        <v>-1.0</v>
      </c>
      <c r="M73" s="1"/>
      <c r="N73" s="1">
        <v>18.061966666666667</v>
      </c>
      <c r="O73" s="1" t="s">
        <v>2016</v>
      </c>
      <c r="P73" s="1" t="s">
        <v>2246</v>
      </c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</row>
    <row r="74" hidden="1">
      <c r="A74" s="1" t="s">
        <v>116</v>
      </c>
      <c r="B74" s="1" t="s">
        <v>107</v>
      </c>
      <c r="C74" s="194">
        <v>355.0</v>
      </c>
      <c r="D74" s="1">
        <v>0.0</v>
      </c>
      <c r="E74" s="1" t="s">
        <v>1961</v>
      </c>
      <c r="F74" s="1" t="s">
        <v>175</v>
      </c>
      <c r="G74" s="1" t="s">
        <v>92</v>
      </c>
      <c r="H74" s="1" t="s">
        <v>2247</v>
      </c>
      <c r="I74" s="1" t="s">
        <v>2248</v>
      </c>
      <c r="J74" s="1" t="s">
        <v>2249</v>
      </c>
      <c r="K74" s="1" t="s">
        <v>2250</v>
      </c>
      <c r="L74" s="1">
        <v>6.0</v>
      </c>
      <c r="M74" s="1">
        <v>0.021566666666666668</v>
      </c>
      <c r="N74" s="1">
        <v>31.9226</v>
      </c>
      <c r="O74" s="1" t="s">
        <v>2020</v>
      </c>
      <c r="P74" s="1" t="s">
        <v>2251</v>
      </c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</row>
    <row r="75" hidden="1">
      <c r="A75" s="1" t="s">
        <v>88</v>
      </c>
      <c r="B75" s="1" t="s">
        <v>107</v>
      </c>
      <c r="C75" s="194">
        <v>528.0</v>
      </c>
      <c r="D75" s="1">
        <v>0.0</v>
      </c>
      <c r="E75" s="1" t="s">
        <v>90</v>
      </c>
      <c r="F75" s="1" t="s">
        <v>91</v>
      </c>
      <c r="G75" s="1" t="s">
        <v>92</v>
      </c>
      <c r="H75" s="1" t="s">
        <v>2252</v>
      </c>
      <c r="I75" s="1" t="s">
        <v>2253</v>
      </c>
      <c r="J75" s="1" t="s">
        <v>2253</v>
      </c>
      <c r="K75" s="193"/>
      <c r="L75" s="1">
        <v>-1.0</v>
      </c>
      <c r="M75" s="1"/>
      <c r="N75" s="1">
        <v>18.015333333333334</v>
      </c>
      <c r="O75" s="1" t="s">
        <v>2016</v>
      </c>
      <c r="P75" s="1" t="s">
        <v>2254</v>
      </c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</row>
    <row r="76" hidden="1">
      <c r="A76" s="1" t="s">
        <v>116</v>
      </c>
      <c r="B76" s="1" t="s">
        <v>107</v>
      </c>
      <c r="C76" s="194">
        <v>594.0</v>
      </c>
      <c r="D76" s="1">
        <v>23.0</v>
      </c>
      <c r="E76" s="1" t="s">
        <v>1961</v>
      </c>
      <c r="F76" s="1" t="s">
        <v>175</v>
      </c>
      <c r="G76" s="1" t="s">
        <v>92</v>
      </c>
      <c r="H76" s="1" t="s">
        <v>2255</v>
      </c>
      <c r="I76" s="1" t="s">
        <v>2256</v>
      </c>
      <c r="J76" s="1" t="s">
        <v>2257</v>
      </c>
      <c r="K76" s="1" t="s">
        <v>2258</v>
      </c>
      <c r="L76" s="1">
        <v>0.0</v>
      </c>
      <c r="M76" s="1">
        <v>0.06166666666666667</v>
      </c>
      <c r="N76" s="1">
        <v>14.73935</v>
      </c>
      <c r="O76" s="1" t="s">
        <v>2020</v>
      </c>
      <c r="P76" s="1" t="s">
        <v>2259</v>
      </c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</row>
    <row r="77" hidden="1">
      <c r="A77" s="1" t="s">
        <v>95</v>
      </c>
      <c r="B77" s="1" t="s">
        <v>89</v>
      </c>
      <c r="C77" s="1">
        <v>834.6</v>
      </c>
      <c r="D77" s="1">
        <v>59.4</v>
      </c>
      <c r="E77" s="193"/>
      <c r="F77" s="1" t="s">
        <v>91</v>
      </c>
      <c r="G77" s="1" t="s">
        <v>92</v>
      </c>
      <c r="H77" s="1" t="s">
        <v>2260</v>
      </c>
      <c r="I77" s="1" t="s">
        <v>2261</v>
      </c>
      <c r="J77" s="1" t="s">
        <v>2261</v>
      </c>
      <c r="K77" s="193"/>
      <c r="L77" s="1">
        <v>0.0</v>
      </c>
      <c r="M77" s="1"/>
      <c r="N77" s="1">
        <v>19.058583333333335</v>
      </c>
      <c r="O77" s="1" t="s">
        <v>2006</v>
      </c>
      <c r="P77" s="1" t="s">
        <v>2262</v>
      </c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</row>
    <row r="78" hidden="1">
      <c r="A78" s="1" t="s">
        <v>116</v>
      </c>
      <c r="B78" s="1" t="s">
        <v>107</v>
      </c>
      <c r="C78" s="194">
        <v>317.0</v>
      </c>
      <c r="D78" s="1">
        <v>11.0</v>
      </c>
      <c r="E78" s="1" t="s">
        <v>1961</v>
      </c>
      <c r="F78" s="1" t="s">
        <v>175</v>
      </c>
      <c r="G78" s="1" t="s">
        <v>92</v>
      </c>
      <c r="H78" s="1" t="s">
        <v>2263</v>
      </c>
      <c r="I78" s="1" t="s">
        <v>2264</v>
      </c>
      <c r="J78" s="1" t="s">
        <v>2265</v>
      </c>
      <c r="K78" s="1" t="s">
        <v>2266</v>
      </c>
      <c r="L78" s="1">
        <v>-2.0</v>
      </c>
      <c r="M78" s="1">
        <v>0.018966666666666666</v>
      </c>
      <c r="N78" s="1">
        <v>15.52705</v>
      </c>
      <c r="O78" s="1" t="s">
        <v>2020</v>
      </c>
      <c r="P78" s="1" t="s">
        <v>2267</v>
      </c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</row>
    <row r="79" hidden="1">
      <c r="A79" s="1" t="s">
        <v>95</v>
      </c>
      <c r="B79" s="1" t="s">
        <v>89</v>
      </c>
      <c r="C79" s="1">
        <v>570.0</v>
      </c>
      <c r="D79" s="1">
        <v>0.0</v>
      </c>
      <c r="E79" s="193"/>
      <c r="F79" s="1" t="s">
        <v>91</v>
      </c>
      <c r="G79" s="1" t="s">
        <v>92</v>
      </c>
      <c r="H79" s="1" t="s">
        <v>2268</v>
      </c>
      <c r="I79" s="1" t="s">
        <v>2269</v>
      </c>
      <c r="J79" s="1" t="s">
        <v>2269</v>
      </c>
      <c r="K79" s="193"/>
      <c r="L79" s="1">
        <v>-7.0</v>
      </c>
      <c r="M79" s="1"/>
      <c r="N79" s="1">
        <v>12.632566666666667</v>
      </c>
      <c r="O79" s="1" t="s">
        <v>2006</v>
      </c>
      <c r="P79" s="1" t="s">
        <v>2270</v>
      </c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</row>
    <row r="80" hidden="1">
      <c r="A80" s="1" t="s">
        <v>116</v>
      </c>
      <c r="B80" s="1" t="s">
        <v>107</v>
      </c>
      <c r="C80" s="194">
        <v>247.0</v>
      </c>
      <c r="D80" s="1">
        <v>62.0</v>
      </c>
      <c r="E80" s="193"/>
      <c r="F80" s="1" t="s">
        <v>111</v>
      </c>
      <c r="G80" s="1" t="s">
        <v>194</v>
      </c>
      <c r="H80" s="1" t="s">
        <v>2271</v>
      </c>
      <c r="I80" s="1" t="s">
        <v>2272</v>
      </c>
      <c r="J80" s="1" t="s">
        <v>2272</v>
      </c>
      <c r="K80" s="193"/>
      <c r="L80" s="1">
        <v>-6.0</v>
      </c>
      <c r="M80" s="1"/>
      <c r="N80" s="1">
        <v>12.89555</v>
      </c>
      <c r="O80" s="1" t="s">
        <v>2020</v>
      </c>
      <c r="P80" s="1" t="s">
        <v>2273</v>
      </c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</row>
    <row r="81" hidden="1">
      <c r="A81" s="1" t="s">
        <v>116</v>
      </c>
      <c r="B81" s="1" t="s">
        <v>107</v>
      </c>
      <c r="C81" s="1">
        <v>247.0</v>
      </c>
      <c r="D81" s="1">
        <v>62.0</v>
      </c>
      <c r="E81" s="193"/>
      <c r="F81" s="1" t="s">
        <v>111</v>
      </c>
      <c r="G81" s="1" t="s">
        <v>194</v>
      </c>
      <c r="H81" s="1" t="s">
        <v>2274</v>
      </c>
      <c r="I81" s="1" t="s">
        <v>2275</v>
      </c>
      <c r="J81" s="1" t="s">
        <v>2275</v>
      </c>
      <c r="K81" s="193"/>
      <c r="L81" s="1">
        <v>-9.0</v>
      </c>
      <c r="M81" s="1"/>
      <c r="N81" s="1">
        <v>10.912583333333334</v>
      </c>
      <c r="O81" s="1" t="s">
        <v>2020</v>
      </c>
      <c r="P81" s="1" t="s">
        <v>2276</v>
      </c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</row>
    <row r="82" hidden="1">
      <c r="A82" s="1" t="s">
        <v>95</v>
      </c>
      <c r="B82" s="1" t="s">
        <v>107</v>
      </c>
      <c r="C82" s="194">
        <v>353.0</v>
      </c>
      <c r="D82" s="1">
        <v>0.0</v>
      </c>
      <c r="E82" s="193"/>
      <c r="F82" s="1" t="s">
        <v>91</v>
      </c>
      <c r="G82" s="1" t="s">
        <v>92</v>
      </c>
      <c r="H82" s="1" t="s">
        <v>2277</v>
      </c>
      <c r="I82" s="1" t="s">
        <v>2278</v>
      </c>
      <c r="J82" s="1" t="s">
        <v>2278</v>
      </c>
      <c r="K82" s="193"/>
      <c r="L82" s="1">
        <v>-2.0</v>
      </c>
      <c r="M82" s="1"/>
      <c r="N82" s="1">
        <v>12.6618</v>
      </c>
      <c r="O82" s="1" t="s">
        <v>2006</v>
      </c>
      <c r="P82" s="1" t="s">
        <v>2279</v>
      </c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</row>
    <row r="83" hidden="1">
      <c r="A83" s="1" t="s">
        <v>95</v>
      </c>
      <c r="B83" s="1" t="s">
        <v>107</v>
      </c>
      <c r="C83" s="194">
        <v>264.0</v>
      </c>
      <c r="D83" s="1">
        <v>0.0</v>
      </c>
      <c r="E83" s="193"/>
      <c r="F83" s="1" t="s">
        <v>91</v>
      </c>
      <c r="G83" s="1" t="s">
        <v>92</v>
      </c>
      <c r="H83" s="1" t="s">
        <v>2280</v>
      </c>
      <c r="I83" s="1" t="s">
        <v>2281</v>
      </c>
      <c r="J83" s="1" t="s">
        <v>2281</v>
      </c>
      <c r="K83" s="193"/>
      <c r="L83" s="1">
        <v>-2.0</v>
      </c>
      <c r="M83" s="1"/>
      <c r="N83" s="1">
        <v>12.7521</v>
      </c>
      <c r="O83" s="1" t="s">
        <v>2006</v>
      </c>
      <c r="P83" s="1" t="s">
        <v>2282</v>
      </c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</row>
    <row r="84" hidden="1">
      <c r="A84" s="1" t="s">
        <v>103</v>
      </c>
      <c r="B84" s="1" t="s">
        <v>107</v>
      </c>
      <c r="C84" s="194">
        <v>329.0</v>
      </c>
      <c r="D84" s="1">
        <v>0.0</v>
      </c>
      <c r="E84" s="1" t="s">
        <v>2283</v>
      </c>
      <c r="F84" s="1" t="s">
        <v>91</v>
      </c>
      <c r="G84" s="1" t="s">
        <v>92</v>
      </c>
      <c r="H84" s="1" t="s">
        <v>2284</v>
      </c>
      <c r="I84" s="1" t="s">
        <v>2285</v>
      </c>
      <c r="J84" s="1" t="s">
        <v>2285</v>
      </c>
      <c r="K84" s="193"/>
      <c r="L84" s="1">
        <v>-4.0</v>
      </c>
      <c r="M84" s="1"/>
      <c r="N84" s="1">
        <v>10.373383333333333</v>
      </c>
      <c r="O84" s="1" t="s">
        <v>2006</v>
      </c>
      <c r="P84" s="1" t="s">
        <v>2286</v>
      </c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</row>
    <row r="85" hidden="1">
      <c r="A85" s="1" t="s">
        <v>95</v>
      </c>
      <c r="B85" s="1" t="s">
        <v>107</v>
      </c>
      <c r="C85" s="194">
        <v>204.6</v>
      </c>
      <c r="D85" s="1">
        <v>59.4</v>
      </c>
      <c r="E85" s="193"/>
      <c r="F85" s="1" t="s">
        <v>91</v>
      </c>
      <c r="G85" s="1" t="s">
        <v>92</v>
      </c>
      <c r="H85" s="1" t="s">
        <v>2287</v>
      </c>
      <c r="I85" s="1" t="s">
        <v>2288</v>
      </c>
      <c r="J85" s="1" t="s">
        <v>2288</v>
      </c>
      <c r="K85" s="193"/>
      <c r="L85" s="1">
        <v>-3.0</v>
      </c>
      <c r="M85" s="1"/>
      <c r="N85" s="1">
        <v>11.2527</v>
      </c>
      <c r="O85" s="1" t="s">
        <v>2006</v>
      </c>
      <c r="P85" s="1" t="s">
        <v>2289</v>
      </c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</row>
    <row r="86" hidden="1">
      <c r="A86" s="1" t="s">
        <v>116</v>
      </c>
      <c r="B86" s="1" t="s">
        <v>107</v>
      </c>
      <c r="C86" s="1">
        <v>676.0</v>
      </c>
      <c r="D86" s="1">
        <v>0.0</v>
      </c>
      <c r="E86" s="1" t="s">
        <v>1961</v>
      </c>
      <c r="F86" s="1" t="s">
        <v>175</v>
      </c>
      <c r="G86" s="1" t="s">
        <v>92</v>
      </c>
      <c r="H86" s="1" t="s">
        <v>2290</v>
      </c>
      <c r="I86" s="1" t="s">
        <v>2291</v>
      </c>
      <c r="J86" s="1" t="s">
        <v>2292</v>
      </c>
      <c r="K86" s="1" t="s">
        <v>2293</v>
      </c>
      <c r="L86" s="1">
        <v>-2.0</v>
      </c>
      <c r="M86" s="1">
        <v>0.022116666666666666</v>
      </c>
      <c r="N86" s="1">
        <v>17.095483333333334</v>
      </c>
      <c r="O86" s="1" t="s">
        <v>2020</v>
      </c>
      <c r="P86" s="1" t="s">
        <v>2294</v>
      </c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</row>
    <row r="87" hidden="1">
      <c r="A87" s="1" t="s">
        <v>95</v>
      </c>
      <c r="B87" s="1" t="s">
        <v>107</v>
      </c>
      <c r="C87" s="194">
        <v>264.0</v>
      </c>
      <c r="D87" s="1">
        <v>0.0</v>
      </c>
      <c r="E87" s="193"/>
      <c r="F87" s="1" t="s">
        <v>91</v>
      </c>
      <c r="G87" s="1" t="s">
        <v>92</v>
      </c>
      <c r="H87" s="1" t="s">
        <v>2295</v>
      </c>
      <c r="I87" s="1" t="s">
        <v>2296</v>
      </c>
      <c r="J87" s="1" t="s">
        <v>2296</v>
      </c>
      <c r="K87" s="193"/>
      <c r="L87" s="1">
        <v>-7.0</v>
      </c>
      <c r="M87" s="1"/>
      <c r="N87" s="1">
        <v>7.121866666666667</v>
      </c>
      <c r="O87" s="1" t="s">
        <v>2006</v>
      </c>
      <c r="P87" s="1" t="s">
        <v>2297</v>
      </c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</row>
    <row r="88" hidden="1">
      <c r="A88" s="1" t="s">
        <v>116</v>
      </c>
      <c r="B88" s="1" t="s">
        <v>107</v>
      </c>
      <c r="C88" s="194">
        <v>275.0</v>
      </c>
      <c r="D88" s="1">
        <v>69.0</v>
      </c>
      <c r="E88" s="193"/>
      <c r="F88" s="1" t="s">
        <v>111</v>
      </c>
      <c r="G88" s="1" t="s">
        <v>96</v>
      </c>
      <c r="H88" s="1" t="s">
        <v>2298</v>
      </c>
      <c r="I88" s="1" t="s">
        <v>2299</v>
      </c>
      <c r="J88" s="1" t="s">
        <v>2299</v>
      </c>
      <c r="K88" s="193"/>
      <c r="L88" s="1">
        <v>-4.0</v>
      </c>
      <c r="M88" s="1"/>
      <c r="N88" s="1">
        <v>14.649933333333333</v>
      </c>
      <c r="O88" s="1" t="s">
        <v>2020</v>
      </c>
      <c r="P88" s="1" t="s">
        <v>2300</v>
      </c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</row>
    <row r="89" hidden="1">
      <c r="A89" s="1" t="s">
        <v>95</v>
      </c>
      <c r="B89" s="1" t="s">
        <v>107</v>
      </c>
      <c r="C89" s="1">
        <v>867.0</v>
      </c>
      <c r="D89" s="1">
        <v>0.0</v>
      </c>
      <c r="E89" s="193"/>
      <c r="F89" s="1" t="s">
        <v>91</v>
      </c>
      <c r="G89" s="1" t="s">
        <v>92</v>
      </c>
      <c r="H89" s="1" t="s">
        <v>2301</v>
      </c>
      <c r="I89" s="1" t="s">
        <v>2302</v>
      </c>
      <c r="J89" s="1" t="s">
        <v>2302</v>
      </c>
      <c r="K89" s="193"/>
      <c r="L89" s="1">
        <v>-4.0</v>
      </c>
      <c r="M89" s="1"/>
      <c r="N89" s="1">
        <v>15.357666666666667</v>
      </c>
      <c r="O89" s="1" t="s">
        <v>2006</v>
      </c>
      <c r="P89" s="1" t="s">
        <v>2303</v>
      </c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</row>
    <row r="90" hidden="1">
      <c r="A90" s="1" t="s">
        <v>103</v>
      </c>
      <c r="B90" s="1" t="s">
        <v>107</v>
      </c>
      <c r="C90" s="194">
        <v>607.0</v>
      </c>
      <c r="D90" s="1">
        <v>0.0</v>
      </c>
      <c r="E90" s="1" t="s">
        <v>2304</v>
      </c>
      <c r="F90" s="1" t="s">
        <v>91</v>
      </c>
      <c r="G90" s="1" t="s">
        <v>92</v>
      </c>
      <c r="H90" s="1" t="s">
        <v>2305</v>
      </c>
      <c r="I90" s="1" t="s">
        <v>2306</v>
      </c>
      <c r="J90" s="1" t="s">
        <v>2306</v>
      </c>
      <c r="K90" s="193"/>
      <c r="L90" s="1">
        <v>-5.0</v>
      </c>
      <c r="M90" s="1"/>
      <c r="N90" s="1">
        <v>14.286516666666667</v>
      </c>
      <c r="O90" s="1" t="s">
        <v>2006</v>
      </c>
      <c r="P90" s="1" t="s">
        <v>2307</v>
      </c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</row>
    <row r="91" hidden="1">
      <c r="A91" s="1" t="s">
        <v>116</v>
      </c>
      <c r="B91" s="1" t="s">
        <v>107</v>
      </c>
      <c r="C91" s="194">
        <v>874.0</v>
      </c>
      <c r="D91" s="1">
        <v>0.0</v>
      </c>
      <c r="E91" s="1" t="s">
        <v>90</v>
      </c>
      <c r="F91" s="1" t="s">
        <v>175</v>
      </c>
      <c r="G91" s="1" t="s">
        <v>92</v>
      </c>
      <c r="H91" s="1" t="s">
        <v>2308</v>
      </c>
      <c r="I91" s="1" t="s">
        <v>2309</v>
      </c>
      <c r="J91" s="1" t="s">
        <v>2310</v>
      </c>
      <c r="K91" s="1" t="s">
        <v>2311</v>
      </c>
      <c r="L91" s="1">
        <v>-18.0</v>
      </c>
      <c r="M91" s="1">
        <v>1.2651666666666668</v>
      </c>
      <c r="N91" s="1">
        <v>9.901583333333333</v>
      </c>
      <c r="O91" s="1" t="s">
        <v>2020</v>
      </c>
      <c r="P91" s="1" t="s">
        <v>2312</v>
      </c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</row>
    <row r="92" hidden="1">
      <c r="A92" s="1" t="s">
        <v>88</v>
      </c>
      <c r="B92" s="1" t="s">
        <v>107</v>
      </c>
      <c r="C92" s="1">
        <v>289.0</v>
      </c>
      <c r="D92" s="1">
        <v>0.0</v>
      </c>
      <c r="E92" s="1" t="s">
        <v>90</v>
      </c>
      <c r="F92" s="1" t="s">
        <v>91</v>
      </c>
      <c r="G92" s="1" t="s">
        <v>92</v>
      </c>
      <c r="H92" s="1" t="s">
        <v>2313</v>
      </c>
      <c r="I92" s="1" t="s">
        <v>2314</v>
      </c>
      <c r="J92" s="1" t="s">
        <v>2314</v>
      </c>
      <c r="K92" s="193"/>
      <c r="L92" s="1">
        <v>-7.0</v>
      </c>
      <c r="M92" s="1"/>
      <c r="N92" s="1">
        <v>7.798233333333333</v>
      </c>
      <c r="O92" s="1" t="s">
        <v>2016</v>
      </c>
      <c r="P92" s="1" t="s">
        <v>2315</v>
      </c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</row>
    <row r="93" hidden="1">
      <c r="A93" s="1" t="s">
        <v>116</v>
      </c>
      <c r="B93" s="1" t="s">
        <v>107</v>
      </c>
      <c r="C93" s="194">
        <v>289.0</v>
      </c>
      <c r="D93" s="1">
        <v>0.0</v>
      </c>
      <c r="E93" s="1" t="s">
        <v>90</v>
      </c>
      <c r="F93" s="1" t="s">
        <v>175</v>
      </c>
      <c r="G93" s="1" t="s">
        <v>92</v>
      </c>
      <c r="H93" s="1" t="s">
        <v>2316</v>
      </c>
      <c r="I93" s="1" t="s">
        <v>2317</v>
      </c>
      <c r="J93" s="1" t="s">
        <v>2318</v>
      </c>
      <c r="K93" s="1" t="s">
        <v>2319</v>
      </c>
      <c r="L93" s="1">
        <v>-3.0</v>
      </c>
      <c r="M93" s="1">
        <v>0.4604666666666667</v>
      </c>
      <c r="N93" s="1">
        <v>11.5445</v>
      </c>
      <c r="O93" s="1" t="s">
        <v>2020</v>
      </c>
      <c r="P93" s="1" t="s">
        <v>2320</v>
      </c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</row>
    <row r="94" hidden="1">
      <c r="A94" s="1" t="s">
        <v>110</v>
      </c>
      <c r="B94" s="1" t="s">
        <v>107</v>
      </c>
      <c r="C94" s="194">
        <v>309.0</v>
      </c>
      <c r="D94" s="1">
        <v>0.0</v>
      </c>
      <c r="E94" s="193"/>
      <c r="F94" s="1" t="s">
        <v>111</v>
      </c>
      <c r="G94" s="1" t="s">
        <v>96</v>
      </c>
      <c r="H94" s="1" t="s">
        <v>2321</v>
      </c>
      <c r="I94" s="1" t="s">
        <v>2322</v>
      </c>
      <c r="J94" s="1" t="s">
        <v>2322</v>
      </c>
      <c r="K94" s="193"/>
      <c r="L94" s="1">
        <v>-2.0</v>
      </c>
      <c r="M94" s="1"/>
      <c r="N94" s="1">
        <v>3.9297833333333334</v>
      </c>
      <c r="O94" s="1" t="s">
        <v>2002</v>
      </c>
      <c r="P94" s="1" t="s">
        <v>2323</v>
      </c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</row>
    <row r="95" hidden="1">
      <c r="A95" s="1" t="s">
        <v>88</v>
      </c>
      <c r="B95" s="1" t="s">
        <v>107</v>
      </c>
      <c r="C95" s="1">
        <v>533.0</v>
      </c>
      <c r="D95" s="1">
        <v>0.0</v>
      </c>
      <c r="E95" s="1" t="s">
        <v>90</v>
      </c>
      <c r="F95" s="1" t="s">
        <v>91</v>
      </c>
      <c r="G95" s="1" t="s">
        <v>92</v>
      </c>
      <c r="H95" s="1" t="s">
        <v>2324</v>
      </c>
      <c r="I95" s="1" t="s">
        <v>2325</v>
      </c>
      <c r="J95" s="1" t="s">
        <v>2325</v>
      </c>
      <c r="K95" s="193"/>
      <c r="L95" s="1">
        <v>-8.0</v>
      </c>
      <c r="M95" s="1"/>
      <c r="N95" s="1">
        <v>11.060233333333333</v>
      </c>
      <c r="O95" s="1" t="s">
        <v>2016</v>
      </c>
      <c r="P95" s="1" t="s">
        <v>2326</v>
      </c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</row>
    <row r="96" hidden="1">
      <c r="A96" s="1" t="s">
        <v>116</v>
      </c>
      <c r="B96" s="1" t="s">
        <v>107</v>
      </c>
      <c r="C96" s="194">
        <v>219.0</v>
      </c>
      <c r="D96" s="1">
        <v>50.0</v>
      </c>
      <c r="E96" s="193"/>
      <c r="F96" s="1" t="s">
        <v>111</v>
      </c>
      <c r="G96" s="1" t="s">
        <v>92</v>
      </c>
      <c r="H96" s="1" t="s">
        <v>2327</v>
      </c>
      <c r="I96" s="1" t="s">
        <v>2328</v>
      </c>
      <c r="J96" s="1" t="s">
        <v>2328</v>
      </c>
      <c r="K96" s="193"/>
      <c r="L96" s="1">
        <v>-10.0</v>
      </c>
      <c r="M96" s="1"/>
      <c r="N96" s="1">
        <v>8.596183333333334</v>
      </c>
      <c r="O96" s="1" t="s">
        <v>2020</v>
      </c>
      <c r="P96" s="1" t="s">
        <v>2329</v>
      </c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</row>
    <row r="97" hidden="1">
      <c r="A97" s="1" t="s">
        <v>95</v>
      </c>
      <c r="B97" s="1" t="s">
        <v>107</v>
      </c>
      <c r="C97" s="194">
        <v>248.78</v>
      </c>
      <c r="D97" s="1">
        <v>72.22</v>
      </c>
      <c r="E97" s="193"/>
      <c r="F97" s="1" t="s">
        <v>91</v>
      </c>
      <c r="G97" s="1" t="s">
        <v>92</v>
      </c>
      <c r="H97" s="1" t="s">
        <v>2330</v>
      </c>
      <c r="I97" s="1" t="s">
        <v>2331</v>
      </c>
      <c r="J97" s="1" t="s">
        <v>2331</v>
      </c>
      <c r="K97" s="193"/>
      <c r="L97" s="1">
        <v>-5.0</v>
      </c>
      <c r="M97" s="1"/>
      <c r="N97" s="1">
        <v>9.70725</v>
      </c>
      <c r="O97" s="1" t="s">
        <v>2006</v>
      </c>
      <c r="P97" s="1" t="s">
        <v>2332</v>
      </c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</row>
    <row r="98" hidden="1">
      <c r="A98" s="1" t="s">
        <v>88</v>
      </c>
      <c r="B98" s="1" t="s">
        <v>107</v>
      </c>
      <c r="C98" s="194">
        <v>264.0</v>
      </c>
      <c r="D98" s="1">
        <v>0.0</v>
      </c>
      <c r="E98" s="1" t="s">
        <v>90</v>
      </c>
      <c r="F98" s="1" t="s">
        <v>91</v>
      </c>
      <c r="G98" s="1" t="s">
        <v>92</v>
      </c>
      <c r="H98" s="1" t="s">
        <v>2333</v>
      </c>
      <c r="I98" s="1" t="s">
        <v>2334</v>
      </c>
      <c r="J98" s="1" t="s">
        <v>2334</v>
      </c>
      <c r="K98" s="193"/>
      <c r="L98" s="1">
        <v>-7.0</v>
      </c>
      <c r="M98" s="1"/>
      <c r="N98" s="1">
        <v>7.02125</v>
      </c>
      <c r="O98" s="1" t="s">
        <v>2016</v>
      </c>
      <c r="P98" s="1" t="s">
        <v>2125</v>
      </c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</row>
    <row r="99" hidden="1">
      <c r="A99" s="1" t="s">
        <v>88</v>
      </c>
      <c r="B99" s="1" t="s">
        <v>107</v>
      </c>
      <c r="C99" s="1">
        <v>394.0</v>
      </c>
      <c r="D99" s="1">
        <v>0.0</v>
      </c>
      <c r="E99" s="1" t="s">
        <v>90</v>
      </c>
      <c r="F99" s="1" t="s">
        <v>91</v>
      </c>
      <c r="G99" s="1" t="s">
        <v>92</v>
      </c>
      <c r="H99" s="1" t="s">
        <v>2335</v>
      </c>
      <c r="I99" s="1" t="s">
        <v>2336</v>
      </c>
      <c r="J99" s="1" t="s">
        <v>2336</v>
      </c>
      <c r="K99" s="193"/>
      <c r="L99" s="1">
        <v>-4.0</v>
      </c>
      <c r="M99" s="1"/>
      <c r="N99" s="1">
        <v>10.757716666666667</v>
      </c>
      <c r="O99" s="1" t="s">
        <v>2016</v>
      </c>
      <c r="P99" s="1" t="s">
        <v>2337</v>
      </c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</row>
    <row r="100" hidden="1">
      <c r="A100" s="1" t="s">
        <v>116</v>
      </c>
      <c r="B100" s="194" t="s">
        <v>107</v>
      </c>
      <c r="C100" s="194">
        <v>652.0</v>
      </c>
      <c r="D100" s="1">
        <v>0.0</v>
      </c>
      <c r="E100" s="1" t="s">
        <v>1961</v>
      </c>
      <c r="F100" s="1" t="s">
        <v>175</v>
      </c>
      <c r="G100" s="1" t="s">
        <v>96</v>
      </c>
      <c r="H100" s="1" t="s">
        <v>2338</v>
      </c>
      <c r="I100" s="1" t="s">
        <v>2339</v>
      </c>
      <c r="J100" s="1" t="s">
        <v>2340</v>
      </c>
      <c r="K100" s="1" t="s">
        <v>2341</v>
      </c>
      <c r="L100" s="1">
        <v>0.0</v>
      </c>
      <c r="M100" s="1">
        <v>0.05156666666666666</v>
      </c>
      <c r="N100" s="1">
        <v>7.0503</v>
      </c>
      <c r="O100" s="1" t="s">
        <v>2020</v>
      </c>
      <c r="P100" s="1" t="s">
        <v>2342</v>
      </c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</row>
    <row r="101" hidden="1">
      <c r="A101" s="1" t="s">
        <v>116</v>
      </c>
      <c r="B101" s="1" t="s">
        <v>107</v>
      </c>
      <c r="C101" s="194">
        <v>309.0</v>
      </c>
      <c r="D101" s="1">
        <v>0.0</v>
      </c>
      <c r="E101" s="1" t="s">
        <v>1961</v>
      </c>
      <c r="F101" s="1" t="s">
        <v>175</v>
      </c>
      <c r="G101" s="1" t="s">
        <v>96</v>
      </c>
      <c r="H101" s="1" t="s">
        <v>2343</v>
      </c>
      <c r="I101" s="1" t="s">
        <v>2344</v>
      </c>
      <c r="J101" s="1" t="s">
        <v>2345</v>
      </c>
      <c r="K101" s="1" t="s">
        <v>2346</v>
      </c>
      <c r="L101" s="1">
        <v>4.0</v>
      </c>
      <c r="M101" s="1">
        <v>0.035666666666666666</v>
      </c>
      <c r="N101" s="1">
        <v>7.123516666666666</v>
      </c>
      <c r="O101" s="1" t="s">
        <v>2020</v>
      </c>
      <c r="P101" s="1" t="s">
        <v>2347</v>
      </c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</row>
    <row r="102" hidden="1">
      <c r="A102" s="1" t="s">
        <v>116</v>
      </c>
      <c r="B102" s="1" t="s">
        <v>107</v>
      </c>
      <c r="C102" s="1">
        <v>384.0</v>
      </c>
      <c r="D102" s="1">
        <v>0.0</v>
      </c>
      <c r="E102" s="1" t="s">
        <v>1961</v>
      </c>
      <c r="F102" s="1" t="s">
        <v>175</v>
      </c>
      <c r="G102" s="1" t="s">
        <v>92</v>
      </c>
      <c r="H102" s="1" t="s">
        <v>2348</v>
      </c>
      <c r="I102" s="1" t="s">
        <v>2349</v>
      </c>
      <c r="J102" s="1" t="s">
        <v>2350</v>
      </c>
      <c r="K102" s="1" t="s">
        <v>2351</v>
      </c>
      <c r="L102" s="1">
        <v>0.0</v>
      </c>
      <c r="M102" s="1">
        <v>0.01375</v>
      </c>
      <c r="N102" s="1">
        <v>11.491733333333332</v>
      </c>
      <c r="O102" s="1" t="s">
        <v>2020</v>
      </c>
      <c r="P102" s="1" t="s">
        <v>2352</v>
      </c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</row>
    <row r="103" hidden="1">
      <c r="A103" s="1" t="s">
        <v>95</v>
      </c>
      <c r="B103" s="1" t="s">
        <v>107</v>
      </c>
      <c r="C103" s="194">
        <v>409.2</v>
      </c>
      <c r="D103" s="1">
        <v>118.8</v>
      </c>
      <c r="E103" s="193"/>
      <c r="F103" s="1" t="s">
        <v>91</v>
      </c>
      <c r="G103" s="1" t="s">
        <v>92</v>
      </c>
      <c r="H103" s="1" t="s">
        <v>2353</v>
      </c>
      <c r="I103" s="1" t="s">
        <v>2354</v>
      </c>
      <c r="J103" s="1" t="s">
        <v>2354</v>
      </c>
      <c r="K103" s="193"/>
      <c r="L103" s="1">
        <v>-5.0</v>
      </c>
      <c r="M103" s="1"/>
      <c r="N103" s="1">
        <v>9.5094</v>
      </c>
      <c r="O103" s="1" t="s">
        <v>2006</v>
      </c>
      <c r="P103" s="1" t="s">
        <v>2355</v>
      </c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 hidden="1">
      <c r="A104" s="1" t="s">
        <v>88</v>
      </c>
      <c r="B104" s="1" t="s">
        <v>107</v>
      </c>
      <c r="C104" s="194">
        <v>264.0</v>
      </c>
      <c r="D104" s="1">
        <v>0.0</v>
      </c>
      <c r="E104" s="1" t="s">
        <v>90</v>
      </c>
      <c r="F104" s="1" t="s">
        <v>91</v>
      </c>
      <c r="G104" s="1" t="s">
        <v>92</v>
      </c>
      <c r="H104" s="1" t="s">
        <v>2356</v>
      </c>
      <c r="I104" s="1" t="s">
        <v>2357</v>
      </c>
      <c r="J104" s="1" t="s">
        <v>2357</v>
      </c>
      <c r="K104" s="193"/>
      <c r="L104" s="1">
        <v>-7.0</v>
      </c>
      <c r="M104" s="1"/>
      <c r="N104" s="1">
        <v>7.522566666666667</v>
      </c>
      <c r="O104" s="1" t="s">
        <v>2016</v>
      </c>
      <c r="P104" s="1" t="s">
        <v>2358</v>
      </c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</row>
    <row r="105" hidden="1">
      <c r="A105" s="1" t="s">
        <v>88</v>
      </c>
      <c r="B105" s="1" t="s">
        <v>107</v>
      </c>
      <c r="C105" s="194">
        <v>642.0</v>
      </c>
      <c r="D105" s="1">
        <v>0.0</v>
      </c>
      <c r="E105" s="1" t="s">
        <v>90</v>
      </c>
      <c r="F105" s="1" t="s">
        <v>91</v>
      </c>
      <c r="G105" s="1" t="s">
        <v>92</v>
      </c>
      <c r="H105" s="1" t="s">
        <v>2359</v>
      </c>
      <c r="I105" s="1" t="s">
        <v>2360</v>
      </c>
      <c r="J105" s="1" t="s">
        <v>2360</v>
      </c>
      <c r="K105" s="193"/>
      <c r="L105" s="1">
        <v>-10.0</v>
      </c>
      <c r="M105" s="1"/>
      <c r="N105" s="1">
        <v>9.7119</v>
      </c>
      <c r="O105" s="1" t="s">
        <v>2016</v>
      </c>
      <c r="P105" s="1" t="s">
        <v>2361</v>
      </c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</row>
    <row r="106" hidden="1">
      <c r="A106" s="1" t="s">
        <v>88</v>
      </c>
      <c r="B106" s="1" t="s">
        <v>107</v>
      </c>
      <c r="C106" s="194">
        <v>981.0</v>
      </c>
      <c r="D106" s="1">
        <v>0.0</v>
      </c>
      <c r="E106" s="1" t="s">
        <v>90</v>
      </c>
      <c r="F106" s="1" t="s">
        <v>91</v>
      </c>
      <c r="G106" s="1" t="s">
        <v>92</v>
      </c>
      <c r="H106" s="1" t="s">
        <v>2362</v>
      </c>
      <c r="I106" s="1" t="s">
        <v>2363</v>
      </c>
      <c r="J106" s="1" t="s">
        <v>2363</v>
      </c>
      <c r="K106" s="193"/>
      <c r="L106" s="1">
        <v>-10.0</v>
      </c>
      <c r="M106" s="1"/>
      <c r="N106" s="1">
        <v>9.77065</v>
      </c>
      <c r="O106" s="1" t="s">
        <v>2016</v>
      </c>
      <c r="P106" s="1" t="s">
        <v>2364</v>
      </c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</row>
    <row r="107" hidden="1">
      <c r="A107" s="1" t="s">
        <v>116</v>
      </c>
      <c r="B107" s="1" t="s">
        <v>107</v>
      </c>
      <c r="C107" s="1">
        <v>747.0</v>
      </c>
      <c r="D107" s="1">
        <v>0.0</v>
      </c>
      <c r="E107" s="1" t="s">
        <v>90</v>
      </c>
      <c r="F107" s="1" t="s">
        <v>175</v>
      </c>
      <c r="G107" s="1" t="s">
        <v>96</v>
      </c>
      <c r="H107" s="1" t="s">
        <v>2365</v>
      </c>
      <c r="I107" s="1" t="s">
        <v>2366</v>
      </c>
      <c r="J107" s="1" t="s">
        <v>2367</v>
      </c>
      <c r="K107" s="1" t="s">
        <v>2368</v>
      </c>
      <c r="L107" s="1">
        <v>-13.0</v>
      </c>
      <c r="M107" s="1">
        <v>1.8944166666666666</v>
      </c>
      <c r="N107" s="1">
        <v>14.074483333333333</v>
      </c>
      <c r="O107" s="1" t="s">
        <v>2020</v>
      </c>
      <c r="P107" s="1" t="s">
        <v>2369</v>
      </c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</row>
    <row r="108" hidden="1">
      <c r="A108" s="1" t="s">
        <v>88</v>
      </c>
      <c r="B108" s="1" t="s">
        <v>107</v>
      </c>
      <c r="C108" s="1">
        <v>364.0</v>
      </c>
      <c r="D108" s="1">
        <v>0.0</v>
      </c>
      <c r="E108" s="1" t="s">
        <v>90</v>
      </c>
      <c r="F108" s="1" t="s">
        <v>91</v>
      </c>
      <c r="G108" s="1" t="s">
        <v>92</v>
      </c>
      <c r="H108" s="1" t="s">
        <v>2370</v>
      </c>
      <c r="I108" s="1" t="s">
        <v>2371</v>
      </c>
      <c r="J108" s="1" t="s">
        <v>2371</v>
      </c>
      <c r="K108" s="193"/>
      <c r="L108" s="1">
        <v>-6.0</v>
      </c>
      <c r="M108" s="1"/>
      <c r="N108" s="1">
        <v>8.423416666666666</v>
      </c>
      <c r="O108" s="1" t="s">
        <v>2016</v>
      </c>
      <c r="P108" s="1" t="s">
        <v>2372</v>
      </c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</row>
    <row r="109" hidden="1">
      <c r="A109" s="1" t="s">
        <v>116</v>
      </c>
      <c r="B109" s="1" t="s">
        <v>107</v>
      </c>
      <c r="C109" s="1">
        <v>1026.0</v>
      </c>
      <c r="D109" s="1">
        <v>0.0</v>
      </c>
      <c r="E109" s="1" t="s">
        <v>1961</v>
      </c>
      <c r="F109" s="1" t="s">
        <v>175</v>
      </c>
      <c r="G109" s="1" t="s">
        <v>92</v>
      </c>
      <c r="H109" s="1" t="s">
        <v>2373</v>
      </c>
      <c r="I109" s="1" t="s">
        <v>2374</v>
      </c>
      <c r="J109" s="1" t="s">
        <v>2375</v>
      </c>
      <c r="K109" s="1" t="s">
        <v>2376</v>
      </c>
      <c r="L109" s="1">
        <v>-1.0</v>
      </c>
      <c r="M109" s="1">
        <v>0.010716666666666666</v>
      </c>
      <c r="N109" s="1">
        <v>20.715016666666667</v>
      </c>
      <c r="O109" s="1" t="s">
        <v>2020</v>
      </c>
      <c r="P109" s="1" t="s">
        <v>2377</v>
      </c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</row>
    <row r="110" hidden="1">
      <c r="A110" s="1" t="s">
        <v>95</v>
      </c>
      <c r="B110" s="1" t="s">
        <v>107</v>
      </c>
      <c r="C110" s="194">
        <v>808.0</v>
      </c>
      <c r="D110" s="1">
        <v>0.0</v>
      </c>
      <c r="E110" s="193"/>
      <c r="F110" s="1" t="s">
        <v>91</v>
      </c>
      <c r="G110" s="1" t="s">
        <v>96</v>
      </c>
      <c r="H110" s="1" t="s">
        <v>2378</v>
      </c>
      <c r="I110" s="1" t="s">
        <v>2379</v>
      </c>
      <c r="J110" s="1" t="s">
        <v>2379</v>
      </c>
      <c r="K110" s="193"/>
      <c r="L110" s="1">
        <v>-4.0</v>
      </c>
      <c r="M110" s="1"/>
      <c r="N110" s="1">
        <v>15.594733333333334</v>
      </c>
      <c r="O110" s="1" t="s">
        <v>2006</v>
      </c>
      <c r="P110" s="1" t="s">
        <v>2380</v>
      </c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</row>
    <row r="111" hidden="1">
      <c r="A111" s="1" t="s">
        <v>88</v>
      </c>
      <c r="B111" s="1" t="s">
        <v>107</v>
      </c>
      <c r="C111" s="194">
        <v>401.0</v>
      </c>
      <c r="D111" s="1">
        <v>0.0</v>
      </c>
      <c r="E111" s="1" t="s">
        <v>90</v>
      </c>
      <c r="F111" s="1" t="s">
        <v>91</v>
      </c>
      <c r="G111" s="1" t="s">
        <v>92</v>
      </c>
      <c r="H111" s="1" t="s">
        <v>2381</v>
      </c>
      <c r="I111" s="1" t="s">
        <v>2382</v>
      </c>
      <c r="J111" s="1" t="s">
        <v>2382</v>
      </c>
      <c r="K111" s="193"/>
      <c r="L111" s="1">
        <v>-4.0</v>
      </c>
      <c r="M111" s="1"/>
      <c r="N111" s="1">
        <v>10.574716666666667</v>
      </c>
      <c r="O111" s="1" t="s">
        <v>2016</v>
      </c>
      <c r="P111" s="1" t="s">
        <v>2383</v>
      </c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</row>
    <row r="112" hidden="1">
      <c r="A112" s="1" t="s">
        <v>116</v>
      </c>
      <c r="B112" s="1" t="s">
        <v>107</v>
      </c>
      <c r="C112" s="194">
        <v>329.0</v>
      </c>
      <c r="D112" s="1">
        <v>0.0</v>
      </c>
      <c r="E112" s="1" t="s">
        <v>1961</v>
      </c>
      <c r="F112" s="1" t="s">
        <v>175</v>
      </c>
      <c r="G112" s="1" t="s">
        <v>92</v>
      </c>
      <c r="H112" s="1" t="s">
        <v>2384</v>
      </c>
      <c r="I112" s="1" t="s">
        <v>2385</v>
      </c>
      <c r="J112" s="1" t="s">
        <v>2386</v>
      </c>
      <c r="K112" s="1" t="s">
        <v>2387</v>
      </c>
      <c r="L112" s="1">
        <v>2.0</v>
      </c>
      <c r="M112" s="1">
        <v>0.0162</v>
      </c>
      <c r="N112" s="1">
        <v>7.285983333333333</v>
      </c>
      <c r="O112" s="1" t="s">
        <v>2020</v>
      </c>
      <c r="P112" s="1" t="s">
        <v>2388</v>
      </c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</row>
    <row r="113" hidden="1">
      <c r="A113" s="1" t="s">
        <v>116</v>
      </c>
      <c r="B113" s="1" t="s">
        <v>107</v>
      </c>
      <c r="C113" s="1">
        <v>398.0</v>
      </c>
      <c r="D113" s="1">
        <v>100.0</v>
      </c>
      <c r="E113" s="193"/>
      <c r="F113" s="1" t="s">
        <v>111</v>
      </c>
      <c r="G113" s="1" t="s">
        <v>92</v>
      </c>
      <c r="H113" s="1" t="s">
        <v>2389</v>
      </c>
      <c r="I113" s="1" t="s">
        <v>2390</v>
      </c>
      <c r="J113" s="1" t="s">
        <v>2390</v>
      </c>
      <c r="K113" s="193"/>
      <c r="L113" s="1">
        <v>-8.0</v>
      </c>
      <c r="M113" s="1"/>
      <c r="N113" s="1">
        <v>10.420616666666668</v>
      </c>
      <c r="O113" s="1" t="s">
        <v>2020</v>
      </c>
      <c r="P113" s="1" t="s">
        <v>2391</v>
      </c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</row>
    <row r="114" hidden="1">
      <c r="A114" s="1" t="s">
        <v>116</v>
      </c>
      <c r="B114" s="1" t="s">
        <v>107</v>
      </c>
      <c r="C114" s="194">
        <v>480.0</v>
      </c>
      <c r="D114" s="1">
        <v>138.0</v>
      </c>
      <c r="E114" s="193"/>
      <c r="F114" s="1" t="s">
        <v>111</v>
      </c>
      <c r="G114" s="1" t="s">
        <v>92</v>
      </c>
      <c r="H114" s="1" t="s">
        <v>2392</v>
      </c>
      <c r="I114" s="1" t="s">
        <v>2393</v>
      </c>
      <c r="J114" s="1" t="s">
        <v>2393</v>
      </c>
      <c r="K114" s="193"/>
      <c r="L114" s="1">
        <v>0.0</v>
      </c>
      <c r="M114" s="1"/>
      <c r="N114" s="1">
        <v>13.923583333333333</v>
      </c>
      <c r="O114" s="1" t="s">
        <v>2020</v>
      </c>
      <c r="P114" s="1" t="s">
        <v>2394</v>
      </c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</row>
    <row r="115" hidden="1">
      <c r="A115" s="1" t="s">
        <v>95</v>
      </c>
      <c r="B115" s="1" t="s">
        <v>89</v>
      </c>
      <c r="C115" s="194">
        <v>204.6</v>
      </c>
      <c r="D115" s="1">
        <v>59.4</v>
      </c>
      <c r="E115" s="193"/>
      <c r="F115" s="1" t="s">
        <v>91</v>
      </c>
      <c r="G115" s="1" t="s">
        <v>92</v>
      </c>
      <c r="H115" s="1" t="s">
        <v>2395</v>
      </c>
      <c r="I115" s="1" t="s">
        <v>2396</v>
      </c>
      <c r="J115" s="1" t="s">
        <v>2396</v>
      </c>
      <c r="K115" s="193"/>
      <c r="L115" s="1">
        <v>-6.0</v>
      </c>
      <c r="M115" s="1"/>
      <c r="N115" s="1">
        <v>8.598633333333334</v>
      </c>
      <c r="O115" s="1" t="s">
        <v>2006</v>
      </c>
      <c r="P115" s="1" t="s">
        <v>2397</v>
      </c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</row>
    <row r="116" hidden="1">
      <c r="A116" s="1" t="s">
        <v>95</v>
      </c>
      <c r="B116" s="1" t="s">
        <v>89</v>
      </c>
      <c r="C116" s="1">
        <v>528.0</v>
      </c>
      <c r="D116" s="1">
        <v>0.0</v>
      </c>
      <c r="E116" s="193"/>
      <c r="F116" s="1" t="s">
        <v>91</v>
      </c>
      <c r="G116" s="1" t="s">
        <v>92</v>
      </c>
      <c r="H116" s="1" t="s">
        <v>2398</v>
      </c>
      <c r="I116" s="1" t="s">
        <v>2399</v>
      </c>
      <c r="J116" s="1" t="s">
        <v>2399</v>
      </c>
      <c r="K116" s="193"/>
      <c r="L116" s="1">
        <v>-10.0</v>
      </c>
      <c r="M116" s="1"/>
      <c r="N116" s="1">
        <v>9.6574</v>
      </c>
      <c r="O116" s="1" t="s">
        <v>2006</v>
      </c>
      <c r="P116" s="1" t="s">
        <v>2400</v>
      </c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</row>
    <row r="117" hidden="1">
      <c r="A117" s="1" t="s">
        <v>103</v>
      </c>
      <c r="B117" s="1" t="s">
        <v>89</v>
      </c>
      <c r="C117" s="194">
        <v>528.0</v>
      </c>
      <c r="D117" s="1">
        <v>0.0</v>
      </c>
      <c r="E117" s="1" t="s">
        <v>2401</v>
      </c>
      <c r="F117" s="1" t="s">
        <v>91</v>
      </c>
      <c r="G117" s="1" t="s">
        <v>92</v>
      </c>
      <c r="H117" s="1" t="s">
        <v>2402</v>
      </c>
      <c r="I117" s="1" t="s">
        <v>2403</v>
      </c>
      <c r="J117" s="1" t="s">
        <v>2403</v>
      </c>
      <c r="K117" s="193"/>
      <c r="L117" s="1">
        <v>-8.0</v>
      </c>
      <c r="M117" s="1"/>
      <c r="N117" s="1">
        <v>11.5947</v>
      </c>
      <c r="O117" s="1" t="s">
        <v>2006</v>
      </c>
      <c r="P117" s="1" t="s">
        <v>2404</v>
      </c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</row>
    <row r="118" hidden="1">
      <c r="A118" s="1" t="s">
        <v>88</v>
      </c>
      <c r="B118" s="1" t="s">
        <v>107</v>
      </c>
      <c r="C118" s="194">
        <v>773.0</v>
      </c>
      <c r="D118" s="1">
        <v>0.0</v>
      </c>
      <c r="E118" s="1" t="s">
        <v>90</v>
      </c>
      <c r="F118" s="1" t="s">
        <v>91</v>
      </c>
      <c r="G118" s="1" t="s">
        <v>92</v>
      </c>
      <c r="H118" s="1" t="s">
        <v>2405</v>
      </c>
      <c r="I118" s="1" t="s">
        <v>2406</v>
      </c>
      <c r="J118" s="1" t="s">
        <v>2406</v>
      </c>
      <c r="K118" s="193"/>
      <c r="L118" s="1">
        <v>-7.0</v>
      </c>
      <c r="M118" s="1"/>
      <c r="N118" s="1">
        <v>12.52385</v>
      </c>
      <c r="O118" s="1" t="s">
        <v>2016</v>
      </c>
      <c r="P118" s="1" t="s">
        <v>2407</v>
      </c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</row>
    <row r="119" hidden="1">
      <c r="A119" s="1" t="s">
        <v>88</v>
      </c>
      <c r="B119" s="1" t="s">
        <v>107</v>
      </c>
      <c r="C119" s="1">
        <v>329.0</v>
      </c>
      <c r="D119" s="1">
        <v>0.0</v>
      </c>
      <c r="E119" s="1" t="s">
        <v>90</v>
      </c>
      <c r="F119" s="1" t="s">
        <v>91</v>
      </c>
      <c r="G119" s="1" t="s">
        <v>92</v>
      </c>
      <c r="H119" s="1" t="s">
        <v>2408</v>
      </c>
      <c r="I119" s="1" t="s">
        <v>2409</v>
      </c>
      <c r="J119" s="1" t="s">
        <v>2409</v>
      </c>
      <c r="K119" s="193"/>
      <c r="L119" s="1">
        <v>-3.0</v>
      </c>
      <c r="M119" s="1"/>
      <c r="N119" s="1">
        <v>11.85985</v>
      </c>
      <c r="O119" s="1" t="s">
        <v>2016</v>
      </c>
      <c r="P119" s="1" t="s">
        <v>2410</v>
      </c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</row>
    <row r="120" hidden="1">
      <c r="A120" s="1" t="s">
        <v>88</v>
      </c>
      <c r="B120" s="1" t="s">
        <v>107</v>
      </c>
      <c r="C120" s="1">
        <v>289.0</v>
      </c>
      <c r="D120" s="1">
        <v>0.0</v>
      </c>
      <c r="E120" s="1" t="s">
        <v>90</v>
      </c>
      <c r="F120" s="1" t="s">
        <v>91</v>
      </c>
      <c r="G120" s="1" t="s">
        <v>92</v>
      </c>
      <c r="H120" s="1" t="s">
        <v>2411</v>
      </c>
      <c r="I120" s="1" t="s">
        <v>2412</v>
      </c>
      <c r="J120" s="1" t="s">
        <v>2412</v>
      </c>
      <c r="K120" s="193"/>
      <c r="L120" s="1">
        <v>-7.0</v>
      </c>
      <c r="M120" s="1"/>
      <c r="N120" s="1">
        <v>7.259833333333333</v>
      </c>
      <c r="O120" s="1" t="s">
        <v>2016</v>
      </c>
      <c r="P120" s="1" t="s">
        <v>2315</v>
      </c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</row>
    <row r="121" hidden="1">
      <c r="A121" s="1" t="s">
        <v>95</v>
      </c>
      <c r="B121" s="1" t="s">
        <v>89</v>
      </c>
      <c r="C121" s="1">
        <v>204.6</v>
      </c>
      <c r="D121" s="1">
        <v>59.4</v>
      </c>
      <c r="E121" s="193"/>
      <c r="F121" s="1" t="s">
        <v>91</v>
      </c>
      <c r="G121" s="1" t="s">
        <v>92</v>
      </c>
      <c r="H121" s="1" t="s">
        <v>2413</v>
      </c>
      <c r="I121" s="1" t="s">
        <v>2414</v>
      </c>
      <c r="J121" s="1" t="s">
        <v>2414</v>
      </c>
      <c r="K121" s="193"/>
      <c r="L121" s="1">
        <v>-6.0</v>
      </c>
      <c r="M121" s="1"/>
      <c r="N121" s="1">
        <v>8.508033333333334</v>
      </c>
      <c r="O121" s="1" t="s">
        <v>2006</v>
      </c>
      <c r="P121" s="1" t="s">
        <v>2415</v>
      </c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</row>
    <row r="122" hidden="1">
      <c r="A122" s="1" t="s">
        <v>95</v>
      </c>
      <c r="B122" s="1" t="s">
        <v>89</v>
      </c>
      <c r="C122" s="194">
        <v>264.0</v>
      </c>
      <c r="D122" s="1">
        <v>0.0</v>
      </c>
      <c r="E122" s="193"/>
      <c r="F122" s="1" t="s">
        <v>91</v>
      </c>
      <c r="G122" s="1" t="s">
        <v>92</v>
      </c>
      <c r="H122" s="1" t="s">
        <v>2416</v>
      </c>
      <c r="I122" s="1" t="s">
        <v>2417</v>
      </c>
      <c r="J122" s="1" t="s">
        <v>2417</v>
      </c>
      <c r="K122" s="193"/>
      <c r="L122" s="1">
        <v>-6.0</v>
      </c>
      <c r="M122" s="1"/>
      <c r="N122" s="1">
        <v>8.62905</v>
      </c>
      <c r="O122" s="1" t="s">
        <v>2006</v>
      </c>
      <c r="P122" s="1" t="s">
        <v>2418</v>
      </c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</row>
    <row r="123" hidden="1">
      <c r="A123" s="1" t="s">
        <v>95</v>
      </c>
      <c r="B123" s="1" t="s">
        <v>89</v>
      </c>
      <c r="C123" s="194">
        <v>204.6</v>
      </c>
      <c r="D123" s="1">
        <v>59.4</v>
      </c>
      <c r="E123" s="193"/>
      <c r="F123" s="1" t="s">
        <v>91</v>
      </c>
      <c r="G123" s="1" t="s">
        <v>92</v>
      </c>
      <c r="H123" s="1" t="s">
        <v>2419</v>
      </c>
      <c r="I123" s="1" t="s">
        <v>2420</v>
      </c>
      <c r="J123" s="1" t="s">
        <v>2420</v>
      </c>
      <c r="K123" s="193"/>
      <c r="L123" s="1">
        <v>-6.0</v>
      </c>
      <c r="M123" s="1"/>
      <c r="N123" s="1">
        <v>8.729716666666667</v>
      </c>
      <c r="O123" s="1" t="s">
        <v>2006</v>
      </c>
      <c r="P123" s="1" t="s">
        <v>2418</v>
      </c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</row>
    <row r="124" hidden="1">
      <c r="A124" s="1" t="s">
        <v>116</v>
      </c>
      <c r="B124" s="1" t="s">
        <v>107</v>
      </c>
      <c r="C124" s="1">
        <v>199.0</v>
      </c>
      <c r="D124" s="1">
        <v>50.0</v>
      </c>
      <c r="E124" s="193"/>
      <c r="F124" s="1" t="s">
        <v>111</v>
      </c>
      <c r="G124" s="1" t="s">
        <v>96</v>
      </c>
      <c r="H124" s="1" t="s">
        <v>2421</v>
      </c>
      <c r="I124" s="1" t="s">
        <v>2422</v>
      </c>
      <c r="J124" s="1" t="s">
        <v>2422</v>
      </c>
      <c r="K124" s="193"/>
      <c r="L124" s="1">
        <v>-3.0</v>
      </c>
      <c r="M124" s="1"/>
      <c r="N124" s="1">
        <v>15.312483333333333</v>
      </c>
      <c r="O124" s="1" t="s">
        <v>2020</v>
      </c>
      <c r="P124" s="1" t="s">
        <v>2423</v>
      </c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</row>
    <row r="125" hidden="1">
      <c r="A125" s="1" t="s">
        <v>116</v>
      </c>
      <c r="B125" s="1" t="s">
        <v>107</v>
      </c>
      <c r="C125" s="194">
        <v>1032.0</v>
      </c>
      <c r="D125" s="1">
        <v>0.0</v>
      </c>
      <c r="E125" s="1" t="s">
        <v>1961</v>
      </c>
      <c r="F125" s="1" t="s">
        <v>175</v>
      </c>
      <c r="G125" s="1" t="s">
        <v>92</v>
      </c>
      <c r="H125" s="1" t="s">
        <v>2424</v>
      </c>
      <c r="I125" s="1" t="s">
        <v>2425</v>
      </c>
      <c r="J125" s="1" t="s">
        <v>2426</v>
      </c>
      <c r="K125" s="1" t="s">
        <v>2427</v>
      </c>
      <c r="L125" s="1">
        <v>-13.0</v>
      </c>
      <c r="M125" s="1">
        <v>0.017583333333333333</v>
      </c>
      <c r="N125" s="1">
        <v>20.329716666666666</v>
      </c>
      <c r="O125" s="1" t="s">
        <v>2020</v>
      </c>
      <c r="P125" s="1" t="s">
        <v>2428</v>
      </c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</row>
    <row r="126" hidden="1">
      <c r="A126" s="1" t="s">
        <v>103</v>
      </c>
      <c r="B126" s="1" t="s">
        <v>107</v>
      </c>
      <c r="C126" s="1">
        <v>394.0</v>
      </c>
      <c r="D126" s="1">
        <v>0.0</v>
      </c>
      <c r="E126" s="1" t="s">
        <v>2429</v>
      </c>
      <c r="F126" s="1" t="s">
        <v>91</v>
      </c>
      <c r="G126" s="1" t="s">
        <v>92</v>
      </c>
      <c r="H126" s="1" t="s">
        <v>2430</v>
      </c>
      <c r="I126" s="1" t="s">
        <v>2431</v>
      </c>
      <c r="J126" s="1" t="s">
        <v>2431</v>
      </c>
      <c r="K126" s="193"/>
      <c r="L126" s="1">
        <v>-3.0</v>
      </c>
      <c r="M126" s="1"/>
      <c r="N126" s="1">
        <v>11.735233333333333</v>
      </c>
      <c r="O126" s="1" t="s">
        <v>2006</v>
      </c>
      <c r="P126" s="1" t="s">
        <v>2432</v>
      </c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</row>
    <row r="127" hidden="1">
      <c r="A127" s="1" t="s">
        <v>110</v>
      </c>
      <c r="B127" s="1" t="s">
        <v>107</v>
      </c>
      <c r="C127" s="194">
        <v>119.0</v>
      </c>
      <c r="D127" s="1">
        <v>0.0</v>
      </c>
      <c r="E127" s="193"/>
      <c r="F127" s="1" t="s">
        <v>111</v>
      </c>
      <c r="G127" s="1" t="s">
        <v>96</v>
      </c>
      <c r="H127" s="1" t="s">
        <v>2433</v>
      </c>
      <c r="I127" s="1" t="s">
        <v>2434</v>
      </c>
      <c r="J127" s="1" t="s">
        <v>2434</v>
      </c>
      <c r="K127" s="193"/>
      <c r="L127" s="1">
        <v>0.0</v>
      </c>
      <c r="M127" s="1"/>
      <c r="N127" s="1">
        <v>6.180316666666666</v>
      </c>
      <c r="O127" s="1" t="s">
        <v>2002</v>
      </c>
      <c r="P127" s="1" t="s">
        <v>2435</v>
      </c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</row>
    <row r="128" hidden="1">
      <c r="A128" s="1" t="s">
        <v>88</v>
      </c>
      <c r="B128" s="194" t="s">
        <v>107</v>
      </c>
      <c r="C128" s="194">
        <v>323.0</v>
      </c>
      <c r="D128" s="1">
        <v>0.0</v>
      </c>
      <c r="E128" s="1" t="s">
        <v>90</v>
      </c>
      <c r="F128" s="1" t="s">
        <v>91</v>
      </c>
      <c r="G128" s="1" t="s">
        <v>92</v>
      </c>
      <c r="H128" s="1" t="s">
        <v>2436</v>
      </c>
      <c r="I128" s="1" t="s">
        <v>2437</v>
      </c>
      <c r="J128" s="1" t="s">
        <v>2437</v>
      </c>
      <c r="K128" s="193"/>
      <c r="L128" s="1">
        <v>-2.0</v>
      </c>
      <c r="M128" s="1"/>
      <c r="N128" s="1">
        <v>12.827033333333333</v>
      </c>
      <c r="O128" s="1" t="s">
        <v>2016</v>
      </c>
      <c r="P128" s="1" t="s">
        <v>2438</v>
      </c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</row>
    <row r="129" hidden="1">
      <c r="A129" s="1" t="s">
        <v>116</v>
      </c>
      <c r="B129" s="1" t="s">
        <v>107</v>
      </c>
      <c r="C129" s="1">
        <v>292.0</v>
      </c>
      <c r="D129" s="1">
        <v>19.0</v>
      </c>
      <c r="E129" s="1" t="s">
        <v>1961</v>
      </c>
      <c r="F129" s="1" t="s">
        <v>175</v>
      </c>
      <c r="G129" s="1" t="s">
        <v>92</v>
      </c>
      <c r="H129" s="1" t="s">
        <v>2439</v>
      </c>
      <c r="I129" s="1" t="s">
        <v>2440</v>
      </c>
      <c r="J129" s="1" t="s">
        <v>2441</v>
      </c>
      <c r="K129" s="1" t="s">
        <v>2442</v>
      </c>
      <c r="L129" s="1">
        <v>-5.0</v>
      </c>
      <c r="M129" s="1">
        <v>0.02675</v>
      </c>
      <c r="N129" s="1">
        <v>10.9765</v>
      </c>
      <c r="O129" s="1" t="s">
        <v>2020</v>
      </c>
      <c r="P129" s="1" t="s">
        <v>2443</v>
      </c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</row>
    <row r="130" hidden="1">
      <c r="A130" s="1" t="s">
        <v>95</v>
      </c>
      <c r="B130" s="194" t="s">
        <v>107</v>
      </c>
      <c r="C130" s="1">
        <v>264.0</v>
      </c>
      <c r="D130" s="1">
        <v>0.0</v>
      </c>
      <c r="E130" s="193"/>
      <c r="F130" s="1" t="s">
        <v>91</v>
      </c>
      <c r="G130" s="1" t="s">
        <v>92</v>
      </c>
      <c r="H130" s="1" t="s">
        <v>2444</v>
      </c>
      <c r="I130" s="1" t="s">
        <v>2445</v>
      </c>
      <c r="J130" s="1" t="s">
        <v>2445</v>
      </c>
      <c r="K130" s="193"/>
      <c r="L130" s="1">
        <v>-2.0</v>
      </c>
      <c r="M130" s="1"/>
      <c r="N130" s="1">
        <v>12.4744</v>
      </c>
      <c r="O130" s="1" t="s">
        <v>2006</v>
      </c>
      <c r="P130" s="1" t="s">
        <v>2446</v>
      </c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</row>
    <row r="131" hidden="1">
      <c r="A131" s="1" t="s">
        <v>88</v>
      </c>
      <c r="B131" s="1" t="s">
        <v>107</v>
      </c>
      <c r="C131" s="194">
        <v>677.0</v>
      </c>
      <c r="D131" s="1">
        <v>0.0</v>
      </c>
      <c r="E131" s="1" t="s">
        <v>90</v>
      </c>
      <c r="F131" s="1" t="s">
        <v>91</v>
      </c>
      <c r="G131" s="1" t="s">
        <v>92</v>
      </c>
      <c r="H131" s="1" t="s">
        <v>2447</v>
      </c>
      <c r="I131" s="1" t="s">
        <v>2448</v>
      </c>
      <c r="J131" s="1" t="s">
        <v>2448</v>
      </c>
      <c r="K131" s="193"/>
      <c r="L131" s="1">
        <v>-2.0</v>
      </c>
      <c r="M131" s="1"/>
      <c r="N131" s="1">
        <v>17.86225</v>
      </c>
      <c r="O131" s="1" t="s">
        <v>2016</v>
      </c>
      <c r="P131" s="1" t="s">
        <v>2449</v>
      </c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</row>
    <row r="132" hidden="1">
      <c r="A132" s="1" t="s">
        <v>95</v>
      </c>
      <c r="B132" s="1" t="s">
        <v>107</v>
      </c>
      <c r="C132" s="1">
        <v>204.6</v>
      </c>
      <c r="D132" s="1">
        <v>59.4</v>
      </c>
      <c r="E132" s="193"/>
      <c r="F132" s="1" t="s">
        <v>91</v>
      </c>
      <c r="G132" s="1" t="s">
        <v>92</v>
      </c>
      <c r="H132" s="1" t="s">
        <v>2450</v>
      </c>
      <c r="I132" s="1" t="s">
        <v>2451</v>
      </c>
      <c r="J132" s="1" t="s">
        <v>2451</v>
      </c>
      <c r="K132" s="193"/>
      <c r="L132" s="1">
        <v>-7.0</v>
      </c>
      <c r="M132" s="1"/>
      <c r="N132" s="1">
        <v>7.707933333333333</v>
      </c>
      <c r="O132" s="1" t="s">
        <v>2006</v>
      </c>
      <c r="P132" s="1" t="s">
        <v>2452</v>
      </c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</row>
    <row r="133" hidden="1">
      <c r="A133" s="1" t="s">
        <v>116</v>
      </c>
      <c r="B133" s="1" t="s">
        <v>107</v>
      </c>
      <c r="C133" s="1">
        <v>478.0</v>
      </c>
      <c r="D133" s="1">
        <v>0.0</v>
      </c>
      <c r="E133" s="1" t="s">
        <v>1961</v>
      </c>
      <c r="F133" s="1" t="s">
        <v>175</v>
      </c>
      <c r="G133" s="1" t="s">
        <v>92</v>
      </c>
      <c r="H133" s="1" t="s">
        <v>2453</v>
      </c>
      <c r="I133" s="1" t="s">
        <v>2454</v>
      </c>
      <c r="J133" s="1" t="s">
        <v>2455</v>
      </c>
      <c r="K133" s="1" t="s">
        <v>2456</v>
      </c>
      <c r="L133" s="1">
        <v>-1.0</v>
      </c>
      <c r="M133" s="1">
        <v>0.0367</v>
      </c>
      <c r="N133" s="1">
        <v>25.46555</v>
      </c>
      <c r="O133" s="1" t="s">
        <v>2020</v>
      </c>
      <c r="P133" s="1" t="s">
        <v>2457</v>
      </c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</row>
    <row r="134" hidden="1">
      <c r="A134" s="1" t="s">
        <v>116</v>
      </c>
      <c r="B134" s="1" t="s">
        <v>107</v>
      </c>
      <c r="C134" s="1">
        <v>199.0</v>
      </c>
      <c r="D134" s="1">
        <v>50.0</v>
      </c>
      <c r="E134" s="193"/>
      <c r="F134" s="1" t="s">
        <v>111</v>
      </c>
      <c r="G134" s="1" t="s">
        <v>194</v>
      </c>
      <c r="H134" s="1" t="s">
        <v>2458</v>
      </c>
      <c r="I134" s="1" t="s">
        <v>2459</v>
      </c>
      <c r="J134" s="1" t="s">
        <v>2459</v>
      </c>
      <c r="K134" s="193"/>
      <c r="L134" s="1">
        <v>-5.0</v>
      </c>
      <c r="M134" s="1"/>
      <c r="N134" s="1">
        <v>13.530883333333334</v>
      </c>
      <c r="O134" s="1" t="s">
        <v>2020</v>
      </c>
      <c r="P134" s="1" t="s">
        <v>2460</v>
      </c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</row>
    <row r="135" hidden="1">
      <c r="A135" s="1" t="s">
        <v>88</v>
      </c>
      <c r="B135" s="1" t="s">
        <v>107</v>
      </c>
      <c r="C135" s="194">
        <v>396.0</v>
      </c>
      <c r="D135" s="1">
        <v>0.0</v>
      </c>
      <c r="E135" s="1" t="s">
        <v>90</v>
      </c>
      <c r="F135" s="1" t="s">
        <v>91</v>
      </c>
      <c r="G135" s="1" t="s">
        <v>92</v>
      </c>
      <c r="H135" s="1" t="s">
        <v>2461</v>
      </c>
      <c r="I135" s="1" t="s">
        <v>2462</v>
      </c>
      <c r="J135" s="1" t="s">
        <v>2462</v>
      </c>
      <c r="K135" s="193"/>
      <c r="L135" s="1">
        <v>1.0</v>
      </c>
      <c r="M135" s="1"/>
      <c r="N135" s="1">
        <v>16.164016666666665</v>
      </c>
      <c r="O135" s="1" t="s">
        <v>2016</v>
      </c>
      <c r="P135" s="1" t="s">
        <v>2463</v>
      </c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</row>
    <row r="136" hidden="1">
      <c r="A136" s="1" t="s">
        <v>95</v>
      </c>
      <c r="B136" s="1" t="s">
        <v>107</v>
      </c>
      <c r="C136" s="194">
        <v>204.6</v>
      </c>
      <c r="D136" s="1">
        <v>59.4</v>
      </c>
      <c r="E136" s="193"/>
      <c r="F136" s="1" t="s">
        <v>91</v>
      </c>
      <c r="G136" s="1" t="s">
        <v>92</v>
      </c>
      <c r="H136" s="1" t="s">
        <v>2464</v>
      </c>
      <c r="I136" s="1" t="s">
        <v>2465</v>
      </c>
      <c r="J136" s="1" t="s">
        <v>2465</v>
      </c>
      <c r="K136" s="193"/>
      <c r="L136" s="1">
        <v>-2.0</v>
      </c>
      <c r="M136" s="1"/>
      <c r="N136" s="1">
        <v>12.297633333333334</v>
      </c>
      <c r="O136" s="1" t="s">
        <v>2006</v>
      </c>
      <c r="P136" s="1" t="s">
        <v>2466</v>
      </c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</row>
    <row r="137" hidden="1">
      <c r="A137" s="1" t="s">
        <v>95</v>
      </c>
      <c r="B137" s="1" t="s">
        <v>107</v>
      </c>
      <c r="C137" s="1">
        <v>264.0</v>
      </c>
      <c r="D137" s="1">
        <v>0.0</v>
      </c>
      <c r="E137" s="193"/>
      <c r="F137" s="1" t="s">
        <v>91</v>
      </c>
      <c r="G137" s="1" t="s">
        <v>92</v>
      </c>
      <c r="H137" s="1" t="s">
        <v>2467</v>
      </c>
      <c r="I137" s="1" t="s">
        <v>2468</v>
      </c>
      <c r="J137" s="1" t="s">
        <v>2468</v>
      </c>
      <c r="K137" s="193"/>
      <c r="L137" s="1">
        <v>-4.0</v>
      </c>
      <c r="M137" s="1"/>
      <c r="N137" s="1">
        <v>10.216366666666667</v>
      </c>
      <c r="O137" s="1" t="s">
        <v>2006</v>
      </c>
      <c r="P137" s="1" t="s">
        <v>2469</v>
      </c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</row>
    <row r="138" hidden="1">
      <c r="A138" s="1" t="s">
        <v>116</v>
      </c>
      <c r="B138" s="1" t="s">
        <v>107</v>
      </c>
      <c r="C138" s="1">
        <v>622.0</v>
      </c>
      <c r="D138" s="1">
        <v>0.0</v>
      </c>
      <c r="E138" s="1" t="s">
        <v>90</v>
      </c>
      <c r="F138" s="1" t="s">
        <v>175</v>
      </c>
      <c r="G138" s="1" t="s">
        <v>92</v>
      </c>
      <c r="H138" s="1" t="s">
        <v>2470</v>
      </c>
      <c r="I138" s="1" t="s">
        <v>2471</v>
      </c>
      <c r="J138" s="1" t="s">
        <v>2472</v>
      </c>
      <c r="K138" s="1" t="s">
        <v>2473</v>
      </c>
      <c r="L138" s="1">
        <v>-2.0</v>
      </c>
      <c r="M138" s="1">
        <v>0.76765</v>
      </c>
      <c r="N138" s="1">
        <v>13.187966666666666</v>
      </c>
      <c r="O138" s="1" t="s">
        <v>2020</v>
      </c>
      <c r="P138" s="1" t="s">
        <v>2474</v>
      </c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</row>
    <row r="139" hidden="1">
      <c r="A139" s="1" t="s">
        <v>95</v>
      </c>
      <c r="B139" s="1" t="s">
        <v>107</v>
      </c>
      <c r="C139" s="194">
        <v>303.16</v>
      </c>
      <c r="D139" s="1">
        <v>77.84</v>
      </c>
      <c r="E139" s="193"/>
      <c r="F139" s="1" t="s">
        <v>91</v>
      </c>
      <c r="G139" s="1" t="s">
        <v>92</v>
      </c>
      <c r="H139" s="1" t="s">
        <v>2475</v>
      </c>
      <c r="I139" s="1" t="s">
        <v>2476</v>
      </c>
      <c r="J139" s="1" t="s">
        <v>2476</v>
      </c>
      <c r="K139" s="193"/>
      <c r="L139" s="1">
        <v>-9.0</v>
      </c>
      <c r="M139" s="1"/>
      <c r="N139" s="1">
        <v>5.919833333333333</v>
      </c>
      <c r="O139" s="1" t="s">
        <v>2006</v>
      </c>
      <c r="P139" s="1" t="s">
        <v>2477</v>
      </c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</row>
    <row r="140" hidden="1">
      <c r="A140" s="1" t="s">
        <v>88</v>
      </c>
      <c r="B140" s="1" t="s">
        <v>107</v>
      </c>
      <c r="C140" s="1">
        <v>299.0</v>
      </c>
      <c r="D140" s="1">
        <v>0.0</v>
      </c>
      <c r="E140" s="1" t="s">
        <v>90</v>
      </c>
      <c r="F140" s="1" t="s">
        <v>91</v>
      </c>
      <c r="G140" s="1" t="s">
        <v>92</v>
      </c>
      <c r="H140" s="1" t="s">
        <v>2478</v>
      </c>
      <c r="I140" s="1" t="s">
        <v>2479</v>
      </c>
      <c r="J140" s="1" t="s">
        <v>2479</v>
      </c>
      <c r="K140" s="193"/>
      <c r="L140" s="1">
        <v>0.0</v>
      </c>
      <c r="M140" s="1"/>
      <c r="N140" s="1">
        <v>14.47625</v>
      </c>
      <c r="O140" s="1" t="s">
        <v>2016</v>
      </c>
      <c r="P140" s="1" t="s">
        <v>2480</v>
      </c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</row>
    <row r="141" hidden="1">
      <c r="A141" s="1" t="s">
        <v>88</v>
      </c>
      <c r="B141" s="1" t="s">
        <v>107</v>
      </c>
      <c r="C141" s="194">
        <v>321.0</v>
      </c>
      <c r="D141" s="1">
        <v>0.0</v>
      </c>
      <c r="E141" s="1" t="s">
        <v>90</v>
      </c>
      <c r="F141" s="1" t="s">
        <v>91</v>
      </c>
      <c r="G141" s="1" t="s">
        <v>92</v>
      </c>
      <c r="H141" s="1" t="s">
        <v>2481</v>
      </c>
      <c r="I141" s="1" t="s">
        <v>2482</v>
      </c>
      <c r="J141" s="1" t="s">
        <v>2482</v>
      </c>
      <c r="K141" s="193"/>
      <c r="L141" s="1">
        <v>0.0</v>
      </c>
      <c r="M141" s="1"/>
      <c r="N141" s="1">
        <v>15.9321</v>
      </c>
      <c r="O141" s="1" t="s">
        <v>2016</v>
      </c>
      <c r="P141" s="1" t="s">
        <v>2483</v>
      </c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</row>
    <row r="142" hidden="1">
      <c r="A142" s="1" t="s">
        <v>88</v>
      </c>
      <c r="B142" s="1" t="s">
        <v>107</v>
      </c>
      <c r="C142" s="1">
        <v>184.8</v>
      </c>
      <c r="D142" s="1">
        <v>79.2</v>
      </c>
      <c r="E142" s="1" t="s">
        <v>90</v>
      </c>
      <c r="F142" s="1" t="s">
        <v>91</v>
      </c>
      <c r="G142" s="1" t="s">
        <v>92</v>
      </c>
      <c r="H142" s="1" t="s">
        <v>2484</v>
      </c>
      <c r="I142" s="1" t="s">
        <v>2485</v>
      </c>
      <c r="J142" s="1" t="s">
        <v>2485</v>
      </c>
      <c r="K142" s="193"/>
      <c r="L142" s="1">
        <v>0.0</v>
      </c>
      <c r="M142" s="1"/>
      <c r="N142" s="1">
        <v>14.730333333333334</v>
      </c>
      <c r="O142" s="1" t="s">
        <v>2016</v>
      </c>
      <c r="P142" s="1" t="s">
        <v>2134</v>
      </c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</row>
    <row r="143" hidden="1">
      <c r="A143" s="1" t="s">
        <v>103</v>
      </c>
      <c r="B143" s="1" t="s">
        <v>107</v>
      </c>
      <c r="C143" s="1">
        <v>364.0</v>
      </c>
      <c r="D143" s="1">
        <v>0.0</v>
      </c>
      <c r="E143" s="1" t="s">
        <v>2486</v>
      </c>
      <c r="F143" s="1" t="s">
        <v>91</v>
      </c>
      <c r="G143" s="1" t="s">
        <v>92</v>
      </c>
      <c r="H143" s="1" t="s">
        <v>2487</v>
      </c>
      <c r="I143" s="1" t="s">
        <v>2488</v>
      </c>
      <c r="J143" s="1" t="s">
        <v>2488</v>
      </c>
      <c r="K143" s="193"/>
      <c r="L143" s="1">
        <v>-1.0</v>
      </c>
      <c r="M143" s="1"/>
      <c r="N143" s="1">
        <v>13.851833333333333</v>
      </c>
      <c r="O143" s="1" t="s">
        <v>2006</v>
      </c>
      <c r="P143" s="1" t="s">
        <v>2489</v>
      </c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</row>
    <row r="144" hidden="1">
      <c r="A144" s="1" t="s">
        <v>95</v>
      </c>
      <c r="B144" s="1" t="s">
        <v>107</v>
      </c>
      <c r="C144" s="194">
        <v>1121.0</v>
      </c>
      <c r="D144" s="1">
        <v>0.0</v>
      </c>
      <c r="E144" s="193"/>
      <c r="F144" s="1" t="s">
        <v>91</v>
      </c>
      <c r="G144" s="1" t="s">
        <v>92</v>
      </c>
      <c r="H144" s="1" t="s">
        <v>2490</v>
      </c>
      <c r="I144" s="1" t="s">
        <v>2491</v>
      </c>
      <c r="J144" s="1" t="s">
        <v>2491</v>
      </c>
      <c r="K144" s="193"/>
      <c r="L144" s="1">
        <v>-3.0</v>
      </c>
      <c r="M144" s="1"/>
      <c r="N144" s="1">
        <v>16.2126</v>
      </c>
      <c r="O144" s="1" t="s">
        <v>2006</v>
      </c>
      <c r="P144" s="1" t="s">
        <v>2492</v>
      </c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</row>
    <row r="145" hidden="1">
      <c r="A145" s="1" t="s">
        <v>95</v>
      </c>
      <c r="B145" s="1" t="s">
        <v>107</v>
      </c>
      <c r="C145" s="1">
        <v>329.0</v>
      </c>
      <c r="D145" s="1">
        <v>0.0</v>
      </c>
      <c r="E145" s="193"/>
      <c r="F145" s="1" t="s">
        <v>91</v>
      </c>
      <c r="G145" s="1" t="s">
        <v>92</v>
      </c>
      <c r="H145" s="1" t="s">
        <v>2493</v>
      </c>
      <c r="I145" s="1" t="s">
        <v>2494</v>
      </c>
      <c r="J145" s="1" t="s">
        <v>2494</v>
      </c>
      <c r="K145" s="193"/>
      <c r="L145" s="1">
        <v>-1.0</v>
      </c>
      <c r="M145" s="1"/>
      <c r="N145" s="1">
        <v>13.082633333333334</v>
      </c>
      <c r="O145" s="1" t="s">
        <v>2006</v>
      </c>
      <c r="P145" s="1" t="s">
        <v>2495</v>
      </c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</row>
    <row r="146" hidden="1">
      <c r="A146" s="1" t="s">
        <v>116</v>
      </c>
      <c r="B146" s="1" t="s">
        <v>107</v>
      </c>
      <c r="C146" s="194">
        <v>223.0</v>
      </c>
      <c r="D146" s="1">
        <v>56.0</v>
      </c>
      <c r="E146" s="193"/>
      <c r="F146" s="1" t="s">
        <v>111</v>
      </c>
      <c r="G146" s="1" t="s">
        <v>194</v>
      </c>
      <c r="H146" s="1" t="s">
        <v>2496</v>
      </c>
      <c r="I146" s="1" t="s">
        <v>2497</v>
      </c>
      <c r="J146" s="1" t="s">
        <v>2497</v>
      </c>
      <c r="K146" s="193"/>
      <c r="L146" s="1">
        <v>-2.0</v>
      </c>
      <c r="M146" s="1"/>
      <c r="N146" s="1">
        <v>17.1873</v>
      </c>
      <c r="O146" s="1" t="s">
        <v>2020</v>
      </c>
      <c r="P146" s="1" t="s">
        <v>2498</v>
      </c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</row>
    <row r="147" hidden="1">
      <c r="A147" s="1" t="s">
        <v>88</v>
      </c>
      <c r="B147" s="1" t="s">
        <v>107</v>
      </c>
      <c r="C147" s="1">
        <v>856.0</v>
      </c>
      <c r="D147" s="1">
        <v>0.0</v>
      </c>
      <c r="E147" s="1" t="s">
        <v>90</v>
      </c>
      <c r="F147" s="1" t="s">
        <v>91</v>
      </c>
      <c r="G147" s="1" t="s">
        <v>92</v>
      </c>
      <c r="H147" s="1" t="s">
        <v>2499</v>
      </c>
      <c r="I147" s="1" t="s">
        <v>2500</v>
      </c>
      <c r="J147" s="1" t="s">
        <v>2500</v>
      </c>
      <c r="K147" s="193"/>
      <c r="L147" s="1">
        <v>-5.0</v>
      </c>
      <c r="M147" s="1"/>
      <c r="N147" s="1">
        <v>14.113216666666666</v>
      </c>
      <c r="O147" s="1" t="s">
        <v>2016</v>
      </c>
      <c r="P147" s="1" t="s">
        <v>2501</v>
      </c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</row>
    <row r="148" hidden="1">
      <c r="A148" s="1" t="s">
        <v>88</v>
      </c>
      <c r="B148" s="1" t="s">
        <v>107</v>
      </c>
      <c r="C148" s="1">
        <v>528.0</v>
      </c>
      <c r="D148" s="1">
        <v>0.0</v>
      </c>
      <c r="E148" s="1" t="s">
        <v>90</v>
      </c>
      <c r="F148" s="1" t="s">
        <v>91</v>
      </c>
      <c r="G148" s="1" t="s">
        <v>92</v>
      </c>
      <c r="H148" s="1" t="s">
        <v>2502</v>
      </c>
      <c r="I148" s="1" t="s">
        <v>2503</v>
      </c>
      <c r="J148" s="1" t="s">
        <v>2503</v>
      </c>
      <c r="K148" s="193"/>
      <c r="L148" s="1">
        <v>-8.0</v>
      </c>
      <c r="M148" s="1"/>
      <c r="N148" s="1">
        <v>11.057416666666667</v>
      </c>
      <c r="O148" s="1" t="s">
        <v>2016</v>
      </c>
      <c r="P148" s="1" t="s">
        <v>2504</v>
      </c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</row>
    <row r="149" hidden="1">
      <c r="A149" s="1" t="s">
        <v>116</v>
      </c>
      <c r="B149" s="1" t="s">
        <v>107</v>
      </c>
      <c r="C149" s="194">
        <v>358.0</v>
      </c>
      <c r="D149" s="1">
        <v>0.0</v>
      </c>
      <c r="E149" s="1" t="s">
        <v>1961</v>
      </c>
      <c r="F149" s="1" t="s">
        <v>175</v>
      </c>
      <c r="G149" s="1" t="s">
        <v>92</v>
      </c>
      <c r="H149" s="1" t="s">
        <v>2505</v>
      </c>
      <c r="I149" s="1" t="s">
        <v>2506</v>
      </c>
      <c r="J149" s="1" t="s">
        <v>2507</v>
      </c>
      <c r="K149" s="1" t="s">
        <v>2508</v>
      </c>
      <c r="L149" s="1">
        <v>7.0</v>
      </c>
      <c r="M149" s="1">
        <v>0.008983333333333333</v>
      </c>
      <c r="N149" s="1">
        <v>49.83181666666667</v>
      </c>
      <c r="O149" s="1" t="s">
        <v>2020</v>
      </c>
      <c r="P149" s="1" t="s">
        <v>2509</v>
      </c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</row>
    <row r="150" hidden="1">
      <c r="A150" s="1" t="s">
        <v>103</v>
      </c>
      <c r="B150" s="1" t="s">
        <v>107</v>
      </c>
      <c r="C150" s="1">
        <v>264.0</v>
      </c>
      <c r="D150" s="1">
        <v>0.0</v>
      </c>
      <c r="E150" s="1" t="s">
        <v>2510</v>
      </c>
      <c r="F150" s="1" t="s">
        <v>91</v>
      </c>
      <c r="G150" s="1" t="s">
        <v>92</v>
      </c>
      <c r="H150" s="1" t="s">
        <v>2511</v>
      </c>
      <c r="I150" s="1" t="s">
        <v>2512</v>
      </c>
      <c r="J150" s="1" t="s">
        <v>2512</v>
      </c>
      <c r="K150" s="193"/>
      <c r="L150" s="1">
        <v>0.0</v>
      </c>
      <c r="M150" s="1"/>
      <c r="N150" s="1">
        <v>14.353416666666666</v>
      </c>
      <c r="O150" s="1" t="s">
        <v>2006</v>
      </c>
      <c r="P150" s="1" t="s">
        <v>2513</v>
      </c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</row>
    <row r="151" hidden="1">
      <c r="A151" s="1" t="s">
        <v>116</v>
      </c>
      <c r="B151" s="1" t="s">
        <v>107</v>
      </c>
      <c r="C151" s="194">
        <v>250.0</v>
      </c>
      <c r="D151" s="1">
        <v>0.0</v>
      </c>
      <c r="E151" s="1" t="s">
        <v>1961</v>
      </c>
      <c r="F151" s="1" t="s">
        <v>175</v>
      </c>
      <c r="G151" s="1" t="s">
        <v>96</v>
      </c>
      <c r="H151" s="1" t="s">
        <v>2514</v>
      </c>
      <c r="I151" s="1" t="s">
        <v>2515</v>
      </c>
      <c r="J151" s="1" t="s">
        <v>2516</v>
      </c>
      <c r="K151" s="1" t="s">
        <v>2517</v>
      </c>
      <c r="L151" s="1">
        <v>0.0</v>
      </c>
      <c r="M151" s="1">
        <v>0.014783333333333334</v>
      </c>
      <c r="N151" s="1">
        <v>18.977166666666665</v>
      </c>
      <c r="O151" s="1" t="s">
        <v>2020</v>
      </c>
      <c r="P151" s="1" t="s">
        <v>2518</v>
      </c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</row>
    <row r="152" hidden="1">
      <c r="A152" s="1" t="s">
        <v>116</v>
      </c>
      <c r="B152" s="1" t="s">
        <v>107</v>
      </c>
      <c r="C152" s="1">
        <v>250.0</v>
      </c>
      <c r="D152" s="1">
        <v>0.0</v>
      </c>
      <c r="E152" s="1" t="s">
        <v>1961</v>
      </c>
      <c r="F152" s="1" t="s">
        <v>175</v>
      </c>
      <c r="G152" s="1" t="s">
        <v>92</v>
      </c>
      <c r="H152" s="1" t="s">
        <v>2519</v>
      </c>
      <c r="I152" s="1" t="s">
        <v>2520</v>
      </c>
      <c r="J152" s="1" t="s">
        <v>2521</v>
      </c>
      <c r="K152" s="1" t="s">
        <v>2522</v>
      </c>
      <c r="L152" s="1">
        <v>7.0</v>
      </c>
      <c r="M152" s="1">
        <v>0.008983333333333333</v>
      </c>
      <c r="N152" s="1">
        <v>26.579833333333333</v>
      </c>
      <c r="O152" s="1" t="s">
        <v>2020</v>
      </c>
      <c r="P152" s="1" t="s">
        <v>2518</v>
      </c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</row>
    <row r="153" hidden="1">
      <c r="A153" s="1" t="s">
        <v>116</v>
      </c>
      <c r="B153" s="1" t="s">
        <v>107</v>
      </c>
      <c r="C153" s="194">
        <v>1016.0</v>
      </c>
      <c r="D153" s="1">
        <v>0.0</v>
      </c>
      <c r="E153" s="193"/>
      <c r="F153" s="1" t="s">
        <v>175</v>
      </c>
      <c r="G153" s="1" t="s">
        <v>92</v>
      </c>
      <c r="H153" s="1" t="s">
        <v>2523</v>
      </c>
      <c r="I153" s="1" t="s">
        <v>2524</v>
      </c>
      <c r="J153" s="1" t="s">
        <v>2525</v>
      </c>
      <c r="K153" s="1" t="s">
        <v>2526</v>
      </c>
      <c r="L153" s="1">
        <v>-5.0</v>
      </c>
      <c r="M153" s="1">
        <v>0.01575</v>
      </c>
      <c r="N153" s="1">
        <v>74.758</v>
      </c>
      <c r="O153" s="1" t="s">
        <v>2020</v>
      </c>
      <c r="P153" s="1" t="s">
        <v>2527</v>
      </c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</row>
    <row r="154" hidden="1">
      <c r="A154" s="193"/>
      <c r="B154" s="195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</row>
    <row r="155" hidden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</row>
    <row r="156" hidden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</row>
    <row r="157" hidden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</row>
    <row r="158" hidden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</row>
    <row r="159" hidden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</row>
    <row r="160" hidden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</row>
    <row r="161" hidden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</row>
    <row r="162" hidden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</row>
    <row r="163" hidden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</row>
    <row r="164" hidden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</row>
    <row r="165" hidden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</row>
    <row r="166" hidden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</row>
    <row r="167" hidden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</row>
    <row r="168" hidden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</row>
    <row r="169" hidden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</row>
    <row r="170" hidden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</row>
    <row r="171" hidden="1">
      <c r="A171" s="193"/>
      <c r="B171" s="193"/>
      <c r="C171" s="195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</row>
    <row r="172" hidden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</row>
    <row r="173" hidden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</row>
    <row r="174" hidden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</row>
    <row r="175" hidden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</row>
    <row r="176" hidden="1">
      <c r="A176" s="193"/>
      <c r="B176" s="193"/>
      <c r="C176" s="195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</row>
    <row r="177" hidden="1">
      <c r="A177" s="193"/>
      <c r="B177" s="193"/>
      <c r="C177" s="195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</row>
    <row r="178" hidden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</row>
    <row r="179" hidden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</row>
    <row r="180" hidden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</row>
    <row r="181" hidden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</row>
    <row r="182" hidden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</row>
    <row r="183" hidden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</row>
    <row r="184" hidden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</row>
    <row r="185" hidden="1">
      <c r="A185" s="193"/>
      <c r="B185" s="193"/>
      <c r="C185" s="195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</row>
    <row r="186" hidden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</row>
    <row r="187" hidden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</row>
    <row r="188" hidden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</row>
    <row r="189" hidden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</row>
    <row r="190" hidden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</row>
    <row r="191" hidden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</row>
    <row r="192" hidden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</row>
    <row r="193" hidden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</row>
    <row r="194" hidden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</row>
    <row r="195" hidden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</row>
    <row r="196" hidden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</row>
    <row r="197" hidden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</row>
    <row r="198" hidden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</row>
    <row r="199" hidden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</row>
    <row r="200" hidden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</row>
    <row r="201" hidden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</row>
    <row r="202" hidden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</row>
    <row r="203" hidden="1">
      <c r="A203" s="193"/>
      <c r="B203" s="193"/>
      <c r="C203" s="195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</row>
    <row r="204" hidden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</row>
    <row r="205" hidden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</row>
    <row r="206" hidden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</row>
    <row r="207" hidden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</row>
    <row r="208" hidden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</row>
    <row r="209" hidden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</row>
    <row r="210" hidden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</row>
    <row r="211" hidden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</row>
    <row r="212" hidden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</row>
    <row r="213" hidden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</row>
    <row r="214" hidden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</row>
    <row r="215" hidden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</row>
    <row r="216" hidden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</row>
    <row r="217" hidden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</row>
    <row r="218" hidden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</row>
    <row r="219" hidden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</row>
    <row r="220" hidden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</row>
    <row r="221" hidden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</row>
    <row r="222" hidden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</row>
    <row r="223" hidden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</row>
    <row r="224" hidden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</row>
    <row r="225" hidden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</row>
    <row r="226" hidden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</row>
    <row r="227" hidden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</row>
    <row r="228" hidden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S228" s="193"/>
      <c r="T228" s="193"/>
      <c r="U228" s="193"/>
      <c r="V228" s="193"/>
      <c r="W228" s="193"/>
      <c r="X228" s="193"/>
      <c r="Y228" s="193"/>
      <c r="Z228" s="193"/>
      <c r="AB228" s="193"/>
      <c r="AC228" s="193"/>
      <c r="AD228" s="193"/>
      <c r="AE228" s="193"/>
      <c r="AF228" s="193"/>
    </row>
    <row r="229" hidden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S229" s="193"/>
      <c r="T229" s="193"/>
      <c r="U229" s="193"/>
      <c r="V229" s="193"/>
      <c r="W229" s="193"/>
      <c r="X229" s="193"/>
      <c r="Y229" s="193"/>
      <c r="Z229" s="193"/>
      <c r="AB229" s="193"/>
      <c r="AC229" s="193"/>
      <c r="AD229" s="193"/>
      <c r="AE229" s="193"/>
      <c r="AF229" s="193"/>
    </row>
    <row r="230" hidden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</row>
    <row r="231" hidden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</row>
    <row r="232" hidden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</row>
    <row r="233" hidden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</row>
    <row r="234" hidden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</row>
    <row r="235" hidden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</row>
    <row r="236" hidden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S236" s="193"/>
      <c r="T236" s="193"/>
      <c r="U236" s="193"/>
      <c r="V236" s="193"/>
      <c r="W236" s="193"/>
      <c r="X236" s="193"/>
      <c r="Y236" s="193"/>
      <c r="Z236" s="193"/>
      <c r="AB236" s="193"/>
      <c r="AC236" s="193"/>
      <c r="AD236" s="193"/>
      <c r="AE236" s="193"/>
      <c r="AF236" s="193"/>
    </row>
    <row r="237" hidden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</row>
    <row r="238" hidden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</row>
    <row r="239" hidden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</row>
    <row r="240" hidden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</row>
    <row r="241" hidden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</row>
    <row r="242" hidden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</row>
    <row r="243" hidden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</row>
    <row r="244" hidden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</row>
    <row r="245" hidden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</row>
    <row r="246" hidden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</row>
    <row r="247" hidden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</row>
    <row r="248" hidden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</row>
    <row r="249" hidden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</row>
    <row r="250" hidden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</row>
    <row r="251" hidden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</row>
    <row r="252" hidden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S252" s="193"/>
      <c r="T252" s="193"/>
      <c r="U252" s="193"/>
      <c r="V252" s="193"/>
      <c r="W252" s="193"/>
      <c r="X252" s="193"/>
      <c r="Y252" s="193"/>
      <c r="Z252" s="193"/>
      <c r="AB252" s="193"/>
      <c r="AC252" s="193"/>
      <c r="AD252" s="193"/>
      <c r="AE252" s="193"/>
      <c r="AF252" s="193"/>
    </row>
    <row r="253" hidden="1">
      <c r="A253" s="193"/>
      <c r="B253" s="193"/>
      <c r="C253" s="195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</row>
    <row r="254" hidden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</row>
    <row r="255" hidden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</row>
    <row r="256" hidden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S256" s="193"/>
      <c r="T256" s="193"/>
      <c r="U256" s="193"/>
      <c r="V256" s="193"/>
      <c r="W256" s="193"/>
      <c r="X256" s="193"/>
      <c r="Y256" s="193"/>
      <c r="Z256" s="193"/>
      <c r="AB256" s="193"/>
      <c r="AC256" s="193"/>
      <c r="AD256" s="193"/>
      <c r="AE256" s="193"/>
      <c r="AF256" s="193"/>
    </row>
    <row r="257" hidden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</row>
    <row r="258" hidden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</row>
    <row r="259" hidden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</row>
    <row r="260" hidden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</row>
    <row r="261" hidden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</row>
    <row r="262" hidden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</row>
    <row r="263" hidden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</row>
    <row r="264" hidden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</row>
    <row r="265" hidden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</row>
    <row r="266" hidden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</row>
    <row r="267" hidden="1">
      <c r="A267" s="193"/>
      <c r="B267" s="195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S267" s="193"/>
      <c r="T267" s="193"/>
      <c r="U267" s="193"/>
      <c r="V267" s="193"/>
      <c r="W267" s="193"/>
      <c r="X267" s="193"/>
      <c r="Y267" s="193"/>
      <c r="Z267" s="193"/>
      <c r="AB267" s="193"/>
      <c r="AC267" s="193"/>
      <c r="AD267" s="193"/>
      <c r="AE267" s="193"/>
      <c r="AF267" s="193"/>
    </row>
    <row r="268" hidden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</row>
    <row r="269" hidden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</row>
    <row r="270" hidden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</row>
    <row r="271" hidden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</row>
    <row r="272" hidden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</row>
    <row r="273" hidden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S273" s="193"/>
      <c r="T273" s="193"/>
      <c r="U273" s="193"/>
      <c r="V273" s="193"/>
      <c r="W273" s="193"/>
      <c r="X273" s="193"/>
      <c r="Y273" s="193"/>
      <c r="Z273" s="193"/>
      <c r="AB273" s="193"/>
      <c r="AC273" s="193"/>
      <c r="AD273" s="193"/>
      <c r="AE273" s="193"/>
      <c r="AF273" s="193"/>
    </row>
    <row r="274" hidden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</row>
    <row r="275" hidden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</row>
    <row r="276" hidden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</row>
    <row r="277" hidden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</row>
    <row r="278" hidden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</row>
    <row r="279" hidden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S279" s="193"/>
      <c r="T279" s="193"/>
      <c r="U279" s="193"/>
      <c r="V279" s="193"/>
      <c r="W279" s="193"/>
      <c r="X279" s="193"/>
      <c r="Y279" s="193"/>
      <c r="Z279" s="193"/>
      <c r="AB279" s="193"/>
      <c r="AC279" s="193"/>
      <c r="AD279" s="193"/>
      <c r="AE279" s="193"/>
      <c r="AF279" s="193"/>
    </row>
    <row r="280" hidden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</row>
    <row r="281" hidden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</row>
    <row r="282" hidden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S282" s="193"/>
      <c r="T282" s="193"/>
      <c r="U282" s="193"/>
      <c r="V282" s="193"/>
      <c r="W282" s="193"/>
      <c r="X282" s="193"/>
      <c r="Y282" s="193"/>
      <c r="Z282" s="193"/>
      <c r="AB282" s="193"/>
      <c r="AC282" s="193"/>
      <c r="AD282" s="193"/>
      <c r="AE282" s="193"/>
      <c r="AF282" s="193"/>
    </row>
    <row r="283" hidden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S283" s="193"/>
      <c r="T283" s="193"/>
      <c r="U283" s="193"/>
      <c r="V283" s="193"/>
      <c r="W283" s="193"/>
      <c r="X283" s="193"/>
      <c r="Y283" s="193"/>
      <c r="Z283" s="193"/>
      <c r="AB283" s="193"/>
      <c r="AC283" s="193"/>
      <c r="AD283" s="193"/>
      <c r="AE283" s="193"/>
      <c r="AF283" s="193"/>
    </row>
    <row r="284" hidden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</row>
    <row r="285" hidden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</row>
    <row r="286" hidden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S286" s="193"/>
      <c r="T286" s="193"/>
      <c r="U286" s="193"/>
      <c r="V286" s="193"/>
      <c r="W286" s="193"/>
      <c r="X286" s="193"/>
      <c r="Y286" s="193"/>
      <c r="Z286" s="193"/>
      <c r="AB286" s="193"/>
      <c r="AC286" s="193"/>
      <c r="AD286" s="193"/>
      <c r="AE286" s="193"/>
      <c r="AF286" s="193"/>
    </row>
    <row r="287" hidden="1">
      <c r="A287" s="193"/>
      <c r="B287" s="193"/>
      <c r="C287" s="195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S287" s="193"/>
      <c r="T287" s="193"/>
      <c r="U287" s="193"/>
      <c r="V287" s="193"/>
      <c r="W287" s="193"/>
      <c r="X287" s="193"/>
      <c r="Y287" s="193"/>
      <c r="Z287" s="193"/>
      <c r="AB287" s="193"/>
      <c r="AC287" s="193"/>
      <c r="AD287" s="193"/>
      <c r="AE287" s="193"/>
      <c r="AF287" s="193"/>
    </row>
    <row r="288" hidden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S288" s="193"/>
      <c r="T288" s="193"/>
      <c r="U288" s="193"/>
      <c r="V288" s="193"/>
      <c r="W288" s="193"/>
      <c r="X288" s="193"/>
      <c r="Y288" s="193"/>
      <c r="Z288" s="193"/>
      <c r="AB288" s="193"/>
      <c r="AC288" s="193"/>
      <c r="AD288" s="193"/>
      <c r="AE288" s="193"/>
      <c r="AF288" s="193"/>
    </row>
    <row r="289" hidden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</row>
    <row r="290" hidden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</row>
    <row r="291" hidden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S291" s="193"/>
      <c r="T291" s="193"/>
      <c r="U291" s="193"/>
      <c r="V291" s="193"/>
      <c r="W291" s="193"/>
      <c r="X291" s="193"/>
      <c r="Y291" s="193"/>
      <c r="Z291" s="193"/>
      <c r="AB291" s="193"/>
      <c r="AC291" s="193"/>
      <c r="AD291" s="193"/>
      <c r="AE291" s="193"/>
      <c r="AF291" s="193"/>
    </row>
    <row r="292" hidden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</row>
    <row r="293" hidden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</row>
    <row r="294" hidden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</row>
    <row r="295" hidden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S295" s="193"/>
      <c r="T295" s="193"/>
      <c r="U295" s="193"/>
      <c r="V295" s="193"/>
      <c r="W295" s="193"/>
      <c r="X295" s="193"/>
      <c r="Y295" s="193"/>
      <c r="Z295" s="193"/>
      <c r="AB295" s="193"/>
      <c r="AC295" s="193"/>
      <c r="AD295" s="193"/>
      <c r="AE295" s="193"/>
      <c r="AF295" s="193"/>
    </row>
    <row r="296" hidden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O296" s="193"/>
      <c r="P296" s="193"/>
      <c r="Q296" s="193"/>
      <c r="S296" s="193"/>
      <c r="T296" s="193"/>
      <c r="U296" s="193"/>
      <c r="V296" s="193"/>
      <c r="W296" s="193"/>
      <c r="X296" s="193"/>
      <c r="Y296" s="193"/>
      <c r="Z296" s="193"/>
      <c r="AB296" s="193"/>
      <c r="AC296" s="193"/>
      <c r="AD296" s="193"/>
      <c r="AE296" s="193"/>
      <c r="AF296" s="193"/>
    </row>
    <row r="297" hidden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S297" s="193"/>
      <c r="T297" s="193"/>
      <c r="U297" s="193"/>
      <c r="V297" s="193"/>
      <c r="W297" s="193"/>
      <c r="X297" s="193"/>
      <c r="Y297" s="193"/>
      <c r="Z297" s="193"/>
      <c r="AB297" s="193"/>
      <c r="AC297" s="193"/>
      <c r="AD297" s="193"/>
      <c r="AE297" s="193"/>
      <c r="AF297" s="193"/>
    </row>
    <row r="298" hidden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S298" s="193"/>
      <c r="T298" s="193"/>
      <c r="U298" s="193"/>
      <c r="V298" s="193"/>
      <c r="W298" s="193"/>
      <c r="X298" s="193"/>
      <c r="Y298" s="193"/>
      <c r="Z298" s="193"/>
      <c r="AB298" s="193"/>
      <c r="AC298" s="193"/>
      <c r="AD298" s="193"/>
      <c r="AE298" s="193"/>
      <c r="AF298" s="193"/>
    </row>
    <row r="299" hidden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S299" s="193"/>
      <c r="T299" s="193"/>
      <c r="U299" s="193"/>
      <c r="V299" s="193"/>
      <c r="W299" s="193"/>
      <c r="X299" s="193"/>
      <c r="Y299" s="193"/>
      <c r="Z299" s="193"/>
      <c r="AB299" s="193"/>
      <c r="AC299" s="193"/>
      <c r="AD299" s="193"/>
      <c r="AE299" s="193"/>
      <c r="AF299" s="193"/>
    </row>
    <row r="300" hidden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</row>
    <row r="301" hidden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T301" s="193"/>
      <c r="U301" s="193"/>
      <c r="V301" s="193"/>
      <c r="W301" s="193"/>
      <c r="X301" s="193"/>
      <c r="Y301" s="193"/>
      <c r="Z301" s="193"/>
      <c r="AB301" s="193"/>
      <c r="AC301" s="193"/>
      <c r="AD301" s="193"/>
      <c r="AE301" s="193"/>
      <c r="AF301" s="193"/>
    </row>
    <row r="302" hidden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S302" s="193"/>
      <c r="T302" s="193"/>
      <c r="U302" s="193"/>
      <c r="V302" s="193"/>
      <c r="W302" s="193"/>
      <c r="X302" s="193"/>
      <c r="Y302" s="193"/>
      <c r="Z302" s="193"/>
      <c r="AB302" s="193"/>
      <c r="AC302" s="193"/>
      <c r="AD302" s="193"/>
      <c r="AE302" s="193"/>
      <c r="AF302" s="193"/>
    </row>
    <row r="303" hidden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S303" s="193"/>
      <c r="T303" s="193"/>
      <c r="U303" s="193"/>
      <c r="V303" s="193"/>
      <c r="W303" s="193"/>
      <c r="X303" s="193"/>
      <c r="Y303" s="193"/>
      <c r="Z303" s="193"/>
      <c r="AB303" s="193"/>
      <c r="AC303" s="193"/>
      <c r="AD303" s="193"/>
      <c r="AE303" s="193"/>
      <c r="AF303" s="193"/>
    </row>
    <row r="304" hidden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S304" s="193"/>
      <c r="T304" s="193"/>
      <c r="U304" s="193"/>
      <c r="V304" s="193"/>
      <c r="W304" s="193"/>
      <c r="X304" s="193"/>
      <c r="Y304" s="193"/>
      <c r="Z304" s="193"/>
      <c r="AB304" s="193"/>
      <c r="AC304" s="193"/>
      <c r="AD304" s="193"/>
      <c r="AE304" s="193"/>
      <c r="AF304" s="193"/>
    </row>
    <row r="305" hidden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S305" s="193"/>
      <c r="T305" s="193"/>
      <c r="U305" s="193"/>
      <c r="V305" s="193"/>
      <c r="W305" s="193"/>
      <c r="X305" s="193"/>
      <c r="Y305" s="193"/>
      <c r="Z305" s="193"/>
      <c r="AB305" s="193"/>
      <c r="AC305" s="193"/>
      <c r="AD305" s="193"/>
      <c r="AE305" s="193"/>
      <c r="AF305" s="193"/>
    </row>
    <row r="306" hidden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S306" s="193"/>
      <c r="T306" s="193"/>
      <c r="U306" s="193"/>
      <c r="V306" s="193"/>
      <c r="W306" s="193"/>
      <c r="X306" s="193"/>
      <c r="Y306" s="193"/>
      <c r="Z306" s="193"/>
      <c r="AB306" s="193"/>
      <c r="AC306" s="193"/>
      <c r="AD306" s="193"/>
      <c r="AE306" s="193"/>
      <c r="AF306" s="193"/>
    </row>
    <row r="307" hidden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O307" s="193"/>
      <c r="P307" s="193"/>
      <c r="Q307" s="193"/>
      <c r="S307" s="193"/>
      <c r="T307" s="193"/>
      <c r="U307" s="193"/>
      <c r="V307" s="193"/>
      <c r="W307" s="193"/>
      <c r="X307" s="193"/>
      <c r="Y307" s="193"/>
      <c r="Z307" s="193"/>
      <c r="AB307" s="193"/>
      <c r="AC307" s="193"/>
      <c r="AD307" s="193"/>
      <c r="AE307" s="193"/>
      <c r="AF307" s="193"/>
    </row>
    <row r="308" hidden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O308" s="193"/>
      <c r="P308" s="193"/>
      <c r="Q308" s="193"/>
      <c r="S308" s="193"/>
      <c r="T308" s="193"/>
      <c r="U308" s="193"/>
      <c r="V308" s="193"/>
      <c r="W308" s="193"/>
      <c r="X308" s="193"/>
      <c r="Y308" s="193"/>
      <c r="Z308" s="193"/>
      <c r="AB308" s="193"/>
      <c r="AC308" s="193"/>
      <c r="AD308" s="193"/>
      <c r="AE308" s="193"/>
      <c r="AF308" s="193"/>
    </row>
    <row r="309" hidden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</row>
    <row r="310" hidden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</row>
    <row r="311" hidden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O311" s="193"/>
      <c r="P311" s="193"/>
      <c r="Q311" s="193"/>
      <c r="S311" s="193"/>
      <c r="T311" s="193"/>
      <c r="U311" s="193"/>
      <c r="V311" s="193"/>
      <c r="W311" s="193"/>
      <c r="X311" s="193"/>
      <c r="Y311" s="193"/>
      <c r="Z311" s="193"/>
      <c r="AB311" s="193"/>
      <c r="AC311" s="193"/>
      <c r="AD311" s="193"/>
      <c r="AE311" s="193"/>
      <c r="AF311" s="193"/>
    </row>
    <row r="312" hidden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O312" s="193"/>
      <c r="P312" s="193"/>
      <c r="Q312" s="193"/>
      <c r="S312" s="193"/>
      <c r="T312" s="193"/>
      <c r="U312" s="193"/>
      <c r="V312" s="193"/>
      <c r="W312" s="193"/>
      <c r="X312" s="193"/>
      <c r="Y312" s="193"/>
      <c r="Z312" s="193"/>
      <c r="AB312" s="193"/>
      <c r="AC312" s="193"/>
      <c r="AD312" s="193"/>
      <c r="AE312" s="193"/>
      <c r="AF312" s="193"/>
    </row>
    <row r="313" hidden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S313" s="193"/>
      <c r="T313" s="193"/>
      <c r="U313" s="193"/>
      <c r="V313" s="193"/>
      <c r="W313" s="193"/>
      <c r="X313" s="193"/>
      <c r="Y313" s="193"/>
      <c r="Z313" s="193"/>
      <c r="AB313" s="193"/>
      <c r="AC313" s="193"/>
      <c r="AD313" s="193"/>
      <c r="AE313" s="193"/>
      <c r="AF313" s="193"/>
    </row>
    <row r="314" hidden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S314" s="193"/>
      <c r="T314" s="193"/>
      <c r="U314" s="193"/>
      <c r="V314" s="193"/>
      <c r="W314" s="193"/>
      <c r="X314" s="193"/>
      <c r="Y314" s="193"/>
      <c r="Z314" s="193"/>
      <c r="AB314" s="193"/>
      <c r="AC314" s="193"/>
      <c r="AD314" s="193"/>
      <c r="AE314" s="193"/>
      <c r="AF314" s="193"/>
    </row>
    <row r="315" hidden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S315" s="193"/>
      <c r="T315" s="193"/>
      <c r="U315" s="193"/>
      <c r="V315" s="193"/>
      <c r="W315" s="193"/>
      <c r="X315" s="193"/>
      <c r="Y315" s="193"/>
      <c r="Z315" s="193"/>
      <c r="AB315" s="193"/>
      <c r="AC315" s="193"/>
      <c r="AD315" s="193"/>
      <c r="AE315" s="193"/>
      <c r="AF315" s="193"/>
    </row>
    <row r="316" hidden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</row>
    <row r="317" hidden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O317" s="193"/>
      <c r="P317" s="193"/>
      <c r="Q317" s="193"/>
      <c r="S317" s="193"/>
      <c r="T317" s="193"/>
      <c r="U317" s="193"/>
      <c r="V317" s="193"/>
      <c r="W317" s="193"/>
      <c r="X317" s="193"/>
      <c r="Y317" s="193"/>
      <c r="Z317" s="193"/>
      <c r="AB317" s="193"/>
      <c r="AC317" s="193"/>
      <c r="AD317" s="193"/>
      <c r="AE317" s="193"/>
      <c r="AF317" s="193"/>
    </row>
    <row r="318" hidden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S318" s="193"/>
      <c r="T318" s="193"/>
      <c r="U318" s="193"/>
      <c r="V318" s="193"/>
      <c r="W318" s="193"/>
      <c r="X318" s="193"/>
      <c r="Y318" s="193"/>
      <c r="Z318" s="193"/>
      <c r="AB318" s="193"/>
      <c r="AC318" s="193"/>
      <c r="AD318" s="193"/>
      <c r="AE318" s="193"/>
      <c r="AF318" s="193"/>
    </row>
    <row r="319" hidden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S319" s="193"/>
      <c r="T319" s="193"/>
      <c r="U319" s="193"/>
      <c r="V319" s="193"/>
      <c r="W319" s="193"/>
      <c r="X319" s="193"/>
      <c r="Y319" s="193"/>
      <c r="Z319" s="193"/>
      <c r="AB319" s="193"/>
      <c r="AC319" s="193"/>
      <c r="AD319" s="193"/>
      <c r="AE319" s="193"/>
      <c r="AF319" s="193"/>
    </row>
    <row r="320" hidden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S320" s="193"/>
      <c r="T320" s="193"/>
      <c r="U320" s="193"/>
      <c r="V320" s="193"/>
      <c r="W320" s="193"/>
      <c r="X320" s="193"/>
      <c r="Y320" s="193"/>
      <c r="Z320" s="193"/>
      <c r="AB320" s="193"/>
      <c r="AC320" s="193"/>
      <c r="AD320" s="193"/>
      <c r="AE320" s="193"/>
      <c r="AF320" s="193"/>
    </row>
    <row r="321" hidden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S321" s="193"/>
      <c r="T321" s="193"/>
      <c r="U321" s="193"/>
      <c r="V321" s="193"/>
      <c r="W321" s="193"/>
      <c r="X321" s="193"/>
      <c r="Y321" s="193"/>
      <c r="Z321" s="193"/>
      <c r="AB321" s="193"/>
      <c r="AC321" s="193"/>
      <c r="AD321" s="193"/>
      <c r="AE321" s="193"/>
      <c r="AF321" s="193"/>
    </row>
    <row r="322" hidden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</row>
    <row r="323" hidden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O323" s="193"/>
      <c r="P323" s="193"/>
      <c r="Q323" s="193"/>
      <c r="S323" s="193"/>
      <c r="T323" s="193"/>
      <c r="U323" s="193"/>
      <c r="V323" s="193"/>
      <c r="W323" s="193"/>
      <c r="X323" s="193"/>
      <c r="Y323" s="193"/>
      <c r="Z323" s="193"/>
      <c r="AB323" s="193"/>
      <c r="AC323" s="193"/>
      <c r="AD323" s="193"/>
      <c r="AE323" s="193"/>
      <c r="AF323" s="193"/>
    </row>
    <row r="324" hidden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S324" s="193"/>
      <c r="T324" s="193"/>
      <c r="U324" s="193"/>
      <c r="V324" s="193"/>
      <c r="W324" s="193"/>
      <c r="X324" s="193"/>
      <c r="Y324" s="193"/>
      <c r="Z324" s="193"/>
      <c r="AB324" s="193"/>
      <c r="AC324" s="193"/>
      <c r="AD324" s="193"/>
      <c r="AE324" s="193"/>
      <c r="AF324" s="193"/>
    </row>
    <row r="325" hidden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S325" s="193"/>
      <c r="T325" s="193"/>
      <c r="U325" s="193"/>
      <c r="V325" s="193"/>
      <c r="W325" s="193"/>
      <c r="X325" s="193"/>
      <c r="Y325" s="193"/>
      <c r="Z325" s="193"/>
      <c r="AB325" s="193"/>
      <c r="AC325" s="193"/>
      <c r="AD325" s="193"/>
      <c r="AE325" s="193"/>
      <c r="AF325" s="193"/>
    </row>
    <row r="326" hidden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</row>
    <row r="327" hidden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</row>
    <row r="328" hidden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O328" s="193"/>
      <c r="P328" s="193"/>
      <c r="Q328" s="193"/>
      <c r="S328" s="193"/>
      <c r="T328" s="193"/>
      <c r="U328" s="193"/>
      <c r="V328" s="193"/>
      <c r="W328" s="193"/>
      <c r="X328" s="193"/>
      <c r="Y328" s="193"/>
      <c r="Z328" s="193"/>
      <c r="AB328" s="193"/>
      <c r="AC328" s="193"/>
      <c r="AD328" s="193"/>
      <c r="AE328" s="193"/>
      <c r="AF328" s="193"/>
    </row>
    <row r="329" hidden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</row>
    <row r="330" hidden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S330" s="193"/>
      <c r="T330" s="193"/>
      <c r="U330" s="193"/>
      <c r="V330" s="193"/>
      <c r="W330" s="193"/>
      <c r="X330" s="193"/>
      <c r="Y330" s="193"/>
      <c r="Z330" s="193"/>
      <c r="AB330" s="193"/>
      <c r="AC330" s="193"/>
      <c r="AD330" s="193"/>
      <c r="AE330" s="193"/>
      <c r="AF330" s="193"/>
    </row>
    <row r="331" hidden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T331" s="193"/>
      <c r="U331" s="193"/>
      <c r="V331" s="193"/>
      <c r="W331" s="193"/>
      <c r="X331" s="193"/>
      <c r="Y331" s="193"/>
      <c r="Z331" s="193"/>
      <c r="AB331" s="193"/>
      <c r="AC331" s="193"/>
      <c r="AD331" s="193"/>
      <c r="AE331" s="193"/>
      <c r="AF331" s="193"/>
    </row>
    <row r="332" hidden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O332" s="193"/>
      <c r="P332" s="193"/>
      <c r="Q332" s="193"/>
      <c r="S332" s="193"/>
      <c r="T332" s="193"/>
      <c r="U332" s="193"/>
      <c r="V332" s="193"/>
      <c r="W332" s="193"/>
      <c r="X332" s="193"/>
      <c r="Y332" s="193"/>
      <c r="Z332" s="193"/>
      <c r="AB332" s="193"/>
      <c r="AC332" s="193"/>
      <c r="AD332" s="193"/>
      <c r="AE332" s="193"/>
      <c r="AF332" s="193"/>
    </row>
    <row r="333" hidden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S333" s="193"/>
      <c r="T333" s="193"/>
      <c r="U333" s="193"/>
      <c r="V333" s="193"/>
      <c r="W333" s="193"/>
      <c r="X333" s="193"/>
      <c r="Y333" s="193"/>
      <c r="Z333" s="193"/>
      <c r="AB333" s="193"/>
      <c r="AC333" s="193"/>
      <c r="AD333" s="193"/>
      <c r="AE333" s="193"/>
      <c r="AF333" s="193"/>
    </row>
    <row r="334" hidden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S334" s="193"/>
      <c r="T334" s="193"/>
      <c r="U334" s="193"/>
      <c r="V334" s="193"/>
      <c r="W334" s="193"/>
      <c r="X334" s="193"/>
      <c r="Y334" s="193"/>
      <c r="Z334" s="193"/>
      <c r="AB334" s="193"/>
      <c r="AC334" s="193"/>
      <c r="AD334" s="193"/>
      <c r="AE334" s="193"/>
      <c r="AF334" s="193"/>
    </row>
    <row r="335" hidden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O335" s="193"/>
      <c r="P335" s="193"/>
      <c r="Q335" s="193"/>
      <c r="S335" s="193"/>
      <c r="T335" s="193"/>
      <c r="U335" s="193"/>
      <c r="V335" s="193"/>
      <c r="W335" s="193"/>
      <c r="X335" s="193"/>
      <c r="Y335" s="193"/>
      <c r="Z335" s="193"/>
      <c r="AB335" s="193"/>
      <c r="AC335" s="193"/>
      <c r="AD335" s="193"/>
      <c r="AE335" s="193"/>
      <c r="AF335" s="193"/>
    </row>
    <row r="336" hidden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</row>
    <row r="337" hidden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T337" s="193"/>
      <c r="U337" s="193"/>
      <c r="V337" s="193"/>
      <c r="W337" s="193"/>
      <c r="X337" s="193"/>
      <c r="Y337" s="193"/>
      <c r="Z337" s="193"/>
      <c r="AB337" s="193"/>
      <c r="AC337" s="193"/>
      <c r="AD337" s="193"/>
      <c r="AE337" s="193"/>
      <c r="AF337" s="193"/>
    </row>
    <row r="338" hidden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</row>
    <row r="339" hidden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S339" s="193"/>
      <c r="T339" s="193"/>
      <c r="U339" s="193"/>
      <c r="V339" s="193"/>
      <c r="W339" s="193"/>
      <c r="X339" s="193"/>
      <c r="Y339" s="193"/>
      <c r="Z339" s="193"/>
      <c r="AB339" s="193"/>
      <c r="AC339" s="193"/>
      <c r="AD339" s="193"/>
      <c r="AE339" s="193"/>
      <c r="AF339" s="193"/>
    </row>
    <row r="340" hidden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S340" s="193"/>
      <c r="T340" s="193"/>
      <c r="U340" s="193"/>
      <c r="V340" s="193"/>
      <c r="W340" s="193"/>
      <c r="X340" s="193"/>
      <c r="Y340" s="193"/>
      <c r="Z340" s="193"/>
      <c r="AB340" s="193"/>
      <c r="AC340" s="193"/>
      <c r="AD340" s="193"/>
      <c r="AE340" s="193"/>
      <c r="AF340" s="193"/>
    </row>
    <row r="341" hidden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S341" s="193"/>
      <c r="T341" s="193"/>
      <c r="U341" s="193"/>
      <c r="V341" s="193"/>
      <c r="W341" s="193"/>
      <c r="X341" s="193"/>
      <c r="Y341" s="193"/>
      <c r="Z341" s="193"/>
      <c r="AB341" s="193"/>
      <c r="AC341" s="193"/>
      <c r="AD341" s="193"/>
      <c r="AE341" s="193"/>
      <c r="AF341" s="193"/>
    </row>
    <row r="342" hidden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</row>
    <row r="343" hidden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</row>
    <row r="344" hidden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O344" s="193"/>
      <c r="P344" s="193"/>
      <c r="Q344" s="193"/>
      <c r="S344" s="193"/>
      <c r="T344" s="193"/>
      <c r="U344" s="193"/>
      <c r="V344" s="193"/>
      <c r="W344" s="193"/>
      <c r="X344" s="193"/>
      <c r="Y344" s="193"/>
      <c r="Z344" s="193"/>
      <c r="AB344" s="193"/>
      <c r="AC344" s="193"/>
      <c r="AD344" s="193"/>
      <c r="AE344" s="193"/>
      <c r="AF344" s="193"/>
    </row>
    <row r="345" hidden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S345" s="193"/>
      <c r="T345" s="193"/>
      <c r="U345" s="193"/>
      <c r="V345" s="193"/>
      <c r="W345" s="193"/>
      <c r="X345" s="193"/>
      <c r="Y345" s="193"/>
      <c r="Z345" s="193"/>
      <c r="AB345" s="193"/>
      <c r="AC345" s="193"/>
      <c r="AD345" s="193"/>
      <c r="AE345" s="193"/>
      <c r="AF345" s="193"/>
    </row>
    <row r="346" hidden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S346" s="193"/>
      <c r="T346" s="193"/>
      <c r="U346" s="193"/>
      <c r="V346" s="193"/>
      <c r="W346" s="193"/>
      <c r="X346" s="193"/>
      <c r="Y346" s="193"/>
      <c r="Z346" s="193"/>
      <c r="AB346" s="193"/>
      <c r="AC346" s="193"/>
      <c r="AD346" s="193"/>
      <c r="AE346" s="193"/>
      <c r="AF346" s="193"/>
    </row>
    <row r="347" hidden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T347" s="193"/>
      <c r="U347" s="193"/>
      <c r="V347" s="193"/>
      <c r="W347" s="193"/>
      <c r="X347" s="193"/>
      <c r="Y347" s="193"/>
      <c r="Z347" s="193"/>
      <c r="AB347" s="193"/>
      <c r="AC347" s="193"/>
      <c r="AD347" s="193"/>
      <c r="AE347" s="193"/>
      <c r="AF347" s="193"/>
    </row>
    <row r="348" hidden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O348" s="193"/>
      <c r="P348" s="193"/>
      <c r="Q348" s="193"/>
      <c r="S348" s="193"/>
      <c r="T348" s="193"/>
      <c r="U348" s="193"/>
      <c r="V348" s="193"/>
      <c r="W348" s="193"/>
      <c r="X348" s="193"/>
      <c r="Y348" s="193"/>
      <c r="Z348" s="193"/>
      <c r="AB348" s="193"/>
      <c r="AC348" s="193"/>
      <c r="AD348" s="193"/>
      <c r="AE348" s="193"/>
      <c r="AF348" s="193"/>
    </row>
    <row r="349" hidden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O349" s="193"/>
      <c r="P349" s="193"/>
      <c r="Q349" s="193"/>
      <c r="S349" s="193"/>
      <c r="T349" s="193"/>
      <c r="U349" s="193"/>
      <c r="V349" s="193"/>
      <c r="W349" s="193"/>
      <c r="X349" s="193"/>
      <c r="Y349" s="193"/>
      <c r="Z349" s="193"/>
      <c r="AB349" s="193"/>
      <c r="AC349" s="193"/>
      <c r="AD349" s="193"/>
      <c r="AE349" s="193"/>
      <c r="AF349" s="193"/>
    </row>
    <row r="350" hidden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O350" s="193"/>
      <c r="P350" s="193"/>
      <c r="Q350" s="193"/>
      <c r="S350" s="193"/>
      <c r="T350" s="193"/>
      <c r="U350" s="193"/>
      <c r="V350" s="193"/>
      <c r="W350" s="193"/>
      <c r="X350" s="193"/>
      <c r="Y350" s="193"/>
      <c r="Z350" s="193"/>
      <c r="AB350" s="193"/>
      <c r="AC350" s="193"/>
      <c r="AD350" s="193"/>
      <c r="AE350" s="193"/>
      <c r="AF350" s="193"/>
    </row>
    <row r="351" hidden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</row>
    <row r="352" hidden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O352" s="193"/>
      <c r="P352" s="193"/>
      <c r="Q352" s="193"/>
      <c r="S352" s="193"/>
      <c r="T352" s="193"/>
      <c r="U352" s="193"/>
      <c r="V352" s="193"/>
      <c r="W352" s="193"/>
      <c r="X352" s="193"/>
      <c r="Y352" s="193"/>
      <c r="Z352" s="193"/>
      <c r="AB352" s="193"/>
      <c r="AC352" s="193"/>
      <c r="AD352" s="193"/>
      <c r="AE352" s="193"/>
      <c r="AF352" s="193"/>
    </row>
    <row r="353" hidden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T353" s="193"/>
      <c r="U353" s="193"/>
      <c r="V353" s="193"/>
      <c r="W353" s="193"/>
      <c r="X353" s="193"/>
      <c r="Y353" s="193"/>
      <c r="Z353" s="193"/>
      <c r="AB353" s="193"/>
      <c r="AC353" s="193"/>
      <c r="AD353" s="193"/>
      <c r="AE353" s="193"/>
      <c r="AF353" s="193"/>
    </row>
    <row r="354" hidden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T354" s="193"/>
      <c r="U354" s="193"/>
      <c r="V354" s="193"/>
      <c r="W354" s="193"/>
      <c r="X354" s="193"/>
      <c r="Y354" s="193"/>
      <c r="Z354" s="193"/>
      <c r="AB354" s="193"/>
      <c r="AC354" s="193"/>
      <c r="AD354" s="193"/>
      <c r="AE354" s="193"/>
      <c r="AF354" s="193"/>
    </row>
    <row r="355" hidden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O355" s="193"/>
      <c r="P355" s="193"/>
      <c r="Q355" s="193"/>
      <c r="S355" s="193"/>
      <c r="T355" s="193"/>
      <c r="U355" s="193"/>
      <c r="V355" s="193"/>
      <c r="W355" s="193"/>
      <c r="X355" s="193"/>
      <c r="Y355" s="193"/>
      <c r="Z355" s="193"/>
      <c r="AB355" s="193"/>
      <c r="AC355" s="193"/>
      <c r="AD355" s="193"/>
      <c r="AE355" s="193"/>
      <c r="AF355" s="193"/>
    </row>
    <row r="356" hidden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O356" s="193"/>
      <c r="P356" s="193"/>
      <c r="Q356" s="193"/>
      <c r="S356" s="193"/>
      <c r="T356" s="193"/>
      <c r="U356" s="193"/>
      <c r="V356" s="193"/>
      <c r="W356" s="193"/>
      <c r="X356" s="193"/>
      <c r="Y356" s="193"/>
      <c r="Z356" s="193"/>
      <c r="AB356" s="193"/>
      <c r="AC356" s="193"/>
      <c r="AD356" s="193"/>
      <c r="AE356" s="193"/>
      <c r="AF356" s="193"/>
    </row>
    <row r="357" hidden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</row>
    <row r="358" hidden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S358" s="193"/>
      <c r="T358" s="193"/>
      <c r="U358" s="193"/>
      <c r="V358" s="193"/>
      <c r="W358" s="193"/>
      <c r="X358" s="193"/>
      <c r="Y358" s="193"/>
      <c r="Z358" s="193"/>
      <c r="AB358" s="193"/>
      <c r="AC358" s="193"/>
      <c r="AD358" s="193"/>
      <c r="AE358" s="193"/>
      <c r="AF358" s="193"/>
    </row>
    <row r="359" hidden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S359" s="193"/>
      <c r="T359" s="193"/>
      <c r="U359" s="193"/>
      <c r="V359" s="193"/>
      <c r="W359" s="193"/>
      <c r="X359" s="193"/>
      <c r="Y359" s="193"/>
      <c r="Z359" s="193"/>
      <c r="AB359" s="193"/>
      <c r="AC359" s="193"/>
      <c r="AD359" s="193"/>
      <c r="AE359" s="193"/>
      <c r="AF359" s="193"/>
    </row>
    <row r="360" hidden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O360" s="193"/>
      <c r="P360" s="193"/>
      <c r="Q360" s="193"/>
      <c r="S360" s="193"/>
      <c r="T360" s="193"/>
      <c r="U360" s="193"/>
      <c r="V360" s="193"/>
      <c r="W360" s="193"/>
      <c r="X360" s="193"/>
      <c r="Y360" s="193"/>
      <c r="Z360" s="193"/>
      <c r="AB360" s="193"/>
      <c r="AC360" s="193"/>
      <c r="AD360" s="193"/>
      <c r="AE360" s="193"/>
      <c r="AF360" s="193"/>
    </row>
    <row r="361" hidden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T361" s="193"/>
      <c r="U361" s="193"/>
      <c r="V361" s="193"/>
      <c r="W361" s="193"/>
      <c r="X361" s="193"/>
      <c r="Y361" s="193"/>
      <c r="Z361" s="193"/>
      <c r="AB361" s="193"/>
      <c r="AC361" s="193"/>
      <c r="AD361" s="193"/>
      <c r="AE361" s="193"/>
      <c r="AF361" s="193"/>
    </row>
    <row r="362" hidden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O362" s="193"/>
      <c r="P362" s="193"/>
      <c r="Q362" s="193"/>
      <c r="S362" s="193"/>
      <c r="T362" s="193"/>
      <c r="U362" s="193"/>
      <c r="V362" s="193"/>
      <c r="W362" s="193"/>
      <c r="X362" s="193"/>
      <c r="Y362" s="193"/>
      <c r="Z362" s="193"/>
      <c r="AB362" s="193"/>
      <c r="AC362" s="193"/>
      <c r="AD362" s="193"/>
      <c r="AE362" s="193"/>
      <c r="AF362" s="193"/>
    </row>
    <row r="363" hidden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O363" s="193"/>
      <c r="P363" s="193"/>
      <c r="Q363" s="193"/>
      <c r="S363" s="193"/>
      <c r="T363" s="193"/>
      <c r="U363" s="193"/>
      <c r="V363" s="193"/>
      <c r="W363" s="193"/>
      <c r="X363" s="193"/>
      <c r="Y363" s="193"/>
      <c r="Z363" s="193"/>
      <c r="AB363" s="193"/>
      <c r="AC363" s="193"/>
      <c r="AD363" s="193"/>
      <c r="AE363" s="193"/>
      <c r="AF363" s="193"/>
    </row>
    <row r="364" hidden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O364" s="193"/>
      <c r="P364" s="193"/>
      <c r="Q364" s="193"/>
      <c r="S364" s="193"/>
      <c r="T364" s="193"/>
      <c r="U364" s="193"/>
      <c r="V364" s="193"/>
      <c r="W364" s="193"/>
      <c r="X364" s="193"/>
      <c r="Y364" s="193"/>
      <c r="Z364" s="193"/>
      <c r="AB364" s="193"/>
      <c r="AC364" s="193"/>
      <c r="AD364" s="193"/>
      <c r="AE364" s="193"/>
      <c r="AF364" s="193"/>
    </row>
    <row r="365" hidden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</row>
    <row r="366" hidden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O366" s="193"/>
      <c r="P366" s="193"/>
      <c r="Q366" s="193"/>
      <c r="S366" s="193"/>
      <c r="T366" s="193"/>
      <c r="U366" s="193"/>
      <c r="V366" s="193"/>
      <c r="W366" s="193"/>
      <c r="X366" s="193"/>
      <c r="Y366" s="193"/>
      <c r="Z366" s="193"/>
      <c r="AB366" s="193"/>
      <c r="AC366" s="193"/>
      <c r="AD366" s="193"/>
      <c r="AE366" s="193"/>
      <c r="AF366" s="193"/>
    </row>
    <row r="367" hidden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O367" s="193"/>
      <c r="P367" s="193"/>
      <c r="Q367" s="193"/>
      <c r="S367" s="193"/>
      <c r="T367" s="193"/>
      <c r="U367" s="193"/>
      <c r="V367" s="193"/>
      <c r="W367" s="193"/>
      <c r="X367" s="193"/>
      <c r="Y367" s="193"/>
      <c r="Z367" s="193"/>
      <c r="AB367" s="193"/>
      <c r="AC367" s="193"/>
      <c r="AD367" s="193"/>
      <c r="AE367" s="193"/>
      <c r="AF367" s="193"/>
    </row>
    <row r="368" hidden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T368" s="193"/>
      <c r="U368" s="193"/>
      <c r="V368" s="193"/>
      <c r="W368" s="193"/>
      <c r="X368" s="193"/>
      <c r="Y368" s="193"/>
      <c r="Z368" s="193"/>
      <c r="AB368" s="193"/>
      <c r="AC368" s="193"/>
      <c r="AD368" s="193"/>
      <c r="AE368" s="193"/>
      <c r="AF368" s="193"/>
    </row>
    <row r="369" hidden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T369" s="193"/>
      <c r="U369" s="193"/>
      <c r="V369" s="193"/>
      <c r="W369" s="193"/>
      <c r="X369" s="193"/>
      <c r="Y369" s="193"/>
      <c r="Z369" s="193"/>
      <c r="AB369" s="193"/>
      <c r="AC369" s="193"/>
      <c r="AD369" s="193"/>
      <c r="AE369" s="193"/>
      <c r="AF369" s="193"/>
    </row>
    <row r="370" hidden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O370" s="193"/>
      <c r="P370" s="193"/>
      <c r="Q370" s="193"/>
      <c r="S370" s="193"/>
      <c r="T370" s="193"/>
      <c r="U370" s="193"/>
      <c r="V370" s="193"/>
      <c r="W370" s="193"/>
      <c r="X370" s="193"/>
      <c r="Y370" s="193"/>
      <c r="Z370" s="193"/>
      <c r="AB370" s="193"/>
      <c r="AC370" s="193"/>
      <c r="AD370" s="193"/>
      <c r="AE370" s="193"/>
      <c r="AF370" s="193"/>
    </row>
    <row r="371" hidden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S371" s="193"/>
      <c r="T371" s="193"/>
      <c r="U371" s="193"/>
      <c r="V371" s="193"/>
      <c r="W371" s="193"/>
      <c r="X371" s="193"/>
      <c r="Y371" s="193"/>
      <c r="Z371" s="193"/>
      <c r="AB371" s="193"/>
      <c r="AC371" s="193"/>
      <c r="AD371" s="193"/>
      <c r="AE371" s="193"/>
      <c r="AF371" s="193"/>
    </row>
    <row r="372" hidden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T372" s="193"/>
      <c r="U372" s="193"/>
      <c r="V372" s="193"/>
      <c r="W372" s="193"/>
      <c r="X372" s="193"/>
      <c r="Y372" s="193"/>
      <c r="Z372" s="193"/>
      <c r="AB372" s="193"/>
      <c r="AC372" s="193"/>
      <c r="AD372" s="193"/>
      <c r="AE372" s="193"/>
      <c r="AF372" s="193"/>
    </row>
    <row r="373" hidden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S373" s="193"/>
      <c r="T373" s="193"/>
      <c r="U373" s="193"/>
      <c r="V373" s="193"/>
      <c r="W373" s="193"/>
      <c r="X373" s="193"/>
      <c r="Y373" s="193"/>
      <c r="Z373" s="193"/>
      <c r="AB373" s="193"/>
      <c r="AC373" s="193"/>
      <c r="AD373" s="193"/>
      <c r="AE373" s="193"/>
      <c r="AF373" s="193"/>
    </row>
    <row r="374" hidden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O374" s="193"/>
      <c r="P374" s="193"/>
      <c r="Q374" s="193"/>
      <c r="S374" s="193"/>
      <c r="T374" s="193"/>
      <c r="U374" s="193"/>
      <c r="V374" s="193"/>
      <c r="W374" s="193"/>
      <c r="X374" s="193"/>
      <c r="Y374" s="193"/>
      <c r="Z374" s="193"/>
      <c r="AB374" s="193"/>
      <c r="AC374" s="193"/>
      <c r="AD374" s="193"/>
      <c r="AE374" s="193"/>
      <c r="AF374" s="193"/>
    </row>
    <row r="375" hidden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O375" s="193"/>
      <c r="P375" s="193"/>
      <c r="Q375" s="193"/>
      <c r="S375" s="193"/>
      <c r="T375" s="193"/>
      <c r="U375" s="193"/>
      <c r="V375" s="193"/>
      <c r="W375" s="193"/>
      <c r="X375" s="193"/>
      <c r="Y375" s="193"/>
      <c r="Z375" s="193"/>
      <c r="AB375" s="193"/>
      <c r="AC375" s="193"/>
      <c r="AD375" s="193"/>
      <c r="AE375" s="193"/>
      <c r="AF375" s="193"/>
    </row>
    <row r="376" hidden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</row>
    <row r="377" hidden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O377" s="193"/>
      <c r="P377" s="193"/>
      <c r="Q377" s="193"/>
      <c r="S377" s="193"/>
      <c r="T377" s="193"/>
      <c r="U377" s="193"/>
      <c r="V377" s="193"/>
      <c r="W377" s="193"/>
      <c r="X377" s="193"/>
      <c r="Y377" s="193"/>
      <c r="Z377" s="193"/>
      <c r="AB377" s="193"/>
      <c r="AC377" s="193"/>
      <c r="AD377" s="193"/>
      <c r="AE377" s="193"/>
      <c r="AF377" s="193"/>
    </row>
    <row r="378" hidden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O378" s="193"/>
      <c r="P378" s="193"/>
      <c r="Q378" s="193"/>
      <c r="S378" s="193"/>
      <c r="T378" s="193"/>
      <c r="U378" s="193"/>
      <c r="V378" s="193"/>
      <c r="W378" s="193"/>
      <c r="X378" s="193"/>
      <c r="Y378" s="193"/>
      <c r="Z378" s="193"/>
      <c r="AB378" s="193"/>
      <c r="AC378" s="193"/>
      <c r="AD378" s="193"/>
      <c r="AE378" s="193"/>
      <c r="AF378" s="193"/>
    </row>
    <row r="379" hidden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</row>
    <row r="380" hidden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</row>
    <row r="381" hidden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O381" s="193"/>
      <c r="P381" s="193"/>
      <c r="Q381" s="193"/>
      <c r="S381" s="193"/>
      <c r="T381" s="193"/>
      <c r="U381" s="193"/>
      <c r="V381" s="193"/>
      <c r="W381" s="193"/>
      <c r="X381" s="193"/>
      <c r="Y381" s="193"/>
      <c r="Z381" s="193"/>
      <c r="AB381" s="193"/>
      <c r="AC381" s="193"/>
      <c r="AD381" s="193"/>
      <c r="AE381" s="193"/>
      <c r="AF381" s="193"/>
    </row>
    <row r="382" hidden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</row>
    <row r="383" hidden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O383" s="193"/>
      <c r="P383" s="193"/>
      <c r="Q383" s="193"/>
      <c r="S383" s="193"/>
      <c r="T383" s="193"/>
      <c r="U383" s="193"/>
      <c r="V383" s="193"/>
      <c r="W383" s="193"/>
      <c r="X383" s="193"/>
      <c r="Y383" s="193"/>
      <c r="Z383" s="193"/>
      <c r="AB383" s="193"/>
      <c r="AC383" s="193"/>
      <c r="AD383" s="193"/>
      <c r="AE383" s="193"/>
      <c r="AF383" s="193"/>
    </row>
    <row r="384" hidden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O384" s="193"/>
      <c r="P384" s="193"/>
      <c r="Q384" s="193"/>
      <c r="S384" s="193"/>
      <c r="T384" s="193"/>
      <c r="U384" s="193"/>
      <c r="V384" s="193"/>
      <c r="W384" s="193"/>
      <c r="X384" s="193"/>
      <c r="Y384" s="193"/>
      <c r="Z384" s="193"/>
      <c r="AB384" s="193"/>
      <c r="AC384" s="193"/>
      <c r="AD384" s="193"/>
      <c r="AE384" s="193"/>
      <c r="AF384" s="193"/>
    </row>
    <row r="385" hidden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O385" s="193"/>
      <c r="P385" s="193"/>
      <c r="Q385" s="193"/>
      <c r="S385" s="193"/>
      <c r="T385" s="193"/>
      <c r="U385" s="193"/>
      <c r="V385" s="193"/>
      <c r="W385" s="193"/>
      <c r="X385" s="193"/>
      <c r="Y385" s="193"/>
      <c r="Z385" s="193"/>
      <c r="AB385" s="193"/>
      <c r="AC385" s="193"/>
      <c r="AD385" s="193"/>
      <c r="AE385" s="193"/>
      <c r="AF385" s="193"/>
    </row>
    <row r="386" hidden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O386" s="193"/>
      <c r="P386" s="193"/>
      <c r="Q386" s="193"/>
      <c r="S386" s="193"/>
      <c r="T386" s="193"/>
      <c r="U386" s="193"/>
      <c r="V386" s="193"/>
      <c r="W386" s="193"/>
      <c r="X386" s="193"/>
      <c r="Y386" s="193"/>
      <c r="Z386" s="193"/>
      <c r="AB386" s="193"/>
      <c r="AC386" s="193"/>
      <c r="AD386" s="193"/>
      <c r="AE386" s="193"/>
      <c r="AF386" s="193"/>
    </row>
    <row r="387" hidden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T387" s="193"/>
      <c r="U387" s="193"/>
      <c r="V387" s="193"/>
      <c r="W387" s="193"/>
      <c r="X387" s="193"/>
      <c r="Y387" s="193"/>
      <c r="Z387" s="193"/>
      <c r="AB387" s="193"/>
      <c r="AC387" s="193"/>
      <c r="AD387" s="193"/>
      <c r="AE387" s="193"/>
      <c r="AF387" s="193"/>
    </row>
    <row r="388" hidden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T388" s="193"/>
      <c r="U388" s="193"/>
      <c r="V388" s="193"/>
      <c r="W388" s="193"/>
      <c r="X388" s="193"/>
      <c r="Y388" s="193"/>
      <c r="Z388" s="193"/>
      <c r="AB388" s="193"/>
      <c r="AC388" s="193"/>
      <c r="AD388" s="193"/>
      <c r="AE388" s="193"/>
      <c r="AF388" s="193"/>
    </row>
    <row r="389" hidden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O389" s="193"/>
      <c r="P389" s="193"/>
      <c r="Q389" s="193"/>
      <c r="S389" s="193"/>
      <c r="T389" s="193"/>
      <c r="U389" s="193"/>
      <c r="V389" s="193"/>
      <c r="W389" s="193"/>
      <c r="X389" s="193"/>
      <c r="Y389" s="193"/>
      <c r="Z389" s="193"/>
      <c r="AB389" s="193"/>
      <c r="AC389" s="193"/>
      <c r="AD389" s="193"/>
      <c r="AE389" s="193"/>
      <c r="AF389" s="193"/>
    </row>
    <row r="390" hidden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O390" s="193"/>
      <c r="P390" s="193"/>
      <c r="Q390" s="193"/>
      <c r="S390" s="193"/>
      <c r="T390" s="193"/>
      <c r="U390" s="193"/>
      <c r="V390" s="193"/>
      <c r="W390" s="193"/>
      <c r="X390" s="193"/>
      <c r="Y390" s="193"/>
      <c r="Z390" s="193"/>
      <c r="AB390" s="193"/>
      <c r="AC390" s="193"/>
      <c r="AD390" s="193"/>
      <c r="AE390" s="193"/>
      <c r="AF390" s="193"/>
    </row>
    <row r="391" hidden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O391" s="193"/>
      <c r="P391" s="193"/>
      <c r="Q391" s="193"/>
      <c r="S391" s="193"/>
      <c r="T391" s="193"/>
      <c r="U391" s="193"/>
      <c r="V391" s="193"/>
      <c r="W391" s="193"/>
      <c r="X391" s="193"/>
      <c r="Y391" s="193"/>
      <c r="Z391" s="193"/>
      <c r="AB391" s="193"/>
      <c r="AC391" s="193"/>
      <c r="AD391" s="193"/>
      <c r="AE391" s="193"/>
      <c r="AF391" s="193"/>
    </row>
    <row r="392" hidden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O392" s="193"/>
      <c r="P392" s="193"/>
      <c r="Q392" s="193"/>
      <c r="S392" s="193"/>
      <c r="T392" s="193"/>
      <c r="U392" s="193"/>
      <c r="V392" s="193"/>
      <c r="W392" s="193"/>
      <c r="X392" s="193"/>
      <c r="Y392" s="193"/>
      <c r="Z392" s="193"/>
      <c r="AB392" s="193"/>
      <c r="AC392" s="193"/>
      <c r="AD392" s="193"/>
      <c r="AE392" s="193"/>
      <c r="AF392" s="193"/>
    </row>
    <row r="393" hidden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O393" s="193"/>
      <c r="P393" s="193"/>
      <c r="Q393" s="193"/>
      <c r="S393" s="193"/>
      <c r="T393" s="193"/>
      <c r="U393" s="193"/>
      <c r="V393" s="193"/>
      <c r="W393" s="193"/>
      <c r="X393" s="193"/>
      <c r="Y393" s="193"/>
      <c r="Z393" s="193"/>
      <c r="AB393" s="193"/>
      <c r="AC393" s="193"/>
      <c r="AD393" s="193"/>
      <c r="AE393" s="193"/>
      <c r="AF393" s="193"/>
    </row>
    <row r="394" hidden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S394" s="193"/>
      <c r="T394" s="193"/>
      <c r="U394" s="193"/>
      <c r="V394" s="193"/>
      <c r="W394" s="193"/>
      <c r="X394" s="193"/>
      <c r="Y394" s="193"/>
      <c r="Z394" s="193"/>
      <c r="AB394" s="193"/>
      <c r="AC394" s="193"/>
      <c r="AD394" s="193"/>
      <c r="AE394" s="193"/>
      <c r="AF394" s="193"/>
    </row>
    <row r="395" hidden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</row>
    <row r="396" hidden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T396" s="193"/>
      <c r="U396" s="193"/>
      <c r="V396" s="193"/>
      <c r="W396" s="193"/>
      <c r="X396" s="193"/>
      <c r="Y396" s="193"/>
      <c r="Z396" s="193"/>
      <c r="AB396" s="193"/>
      <c r="AC396" s="193"/>
      <c r="AD396" s="193"/>
      <c r="AE396" s="193"/>
      <c r="AF396" s="193"/>
    </row>
    <row r="397" hidden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O397" s="193"/>
      <c r="P397" s="193"/>
      <c r="Q397" s="193"/>
      <c r="S397" s="193"/>
      <c r="T397" s="193"/>
      <c r="U397" s="193"/>
      <c r="V397" s="193"/>
      <c r="W397" s="193"/>
      <c r="X397" s="193"/>
      <c r="Y397" s="193"/>
      <c r="Z397" s="193"/>
      <c r="AB397" s="193"/>
      <c r="AC397" s="193"/>
      <c r="AD397" s="193"/>
      <c r="AE397" s="193"/>
      <c r="AF397" s="193"/>
    </row>
    <row r="398" hidden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</row>
    <row r="399" hidden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</row>
    <row r="400" hidden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O400" s="193"/>
      <c r="P400" s="193"/>
      <c r="Q400" s="193"/>
      <c r="S400" s="193"/>
      <c r="T400" s="193"/>
      <c r="U400" s="193"/>
      <c r="V400" s="193"/>
      <c r="W400" s="193"/>
      <c r="X400" s="193"/>
      <c r="Y400" s="193"/>
      <c r="Z400" s="193"/>
      <c r="AB400" s="193"/>
      <c r="AC400" s="193"/>
      <c r="AD400" s="193"/>
      <c r="AE400" s="193"/>
      <c r="AF400" s="193"/>
    </row>
    <row r="401" hidden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O401" s="193"/>
      <c r="P401" s="193"/>
      <c r="Q401" s="193"/>
      <c r="S401" s="193"/>
      <c r="T401" s="193"/>
      <c r="U401" s="193"/>
      <c r="V401" s="193"/>
      <c r="W401" s="193"/>
      <c r="X401" s="193"/>
      <c r="Y401" s="193"/>
      <c r="Z401" s="193"/>
      <c r="AB401" s="193"/>
      <c r="AC401" s="193"/>
      <c r="AD401" s="193"/>
      <c r="AE401" s="193"/>
      <c r="AF401" s="193"/>
    </row>
    <row r="402" hidden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T402" s="193"/>
      <c r="U402" s="193"/>
      <c r="V402" s="193"/>
      <c r="W402" s="193"/>
      <c r="X402" s="193"/>
      <c r="Y402" s="193"/>
      <c r="Z402" s="193"/>
      <c r="AB402" s="193"/>
      <c r="AC402" s="193"/>
      <c r="AD402" s="193"/>
      <c r="AE402" s="193"/>
      <c r="AF402" s="193"/>
    </row>
    <row r="403" hidden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</row>
    <row r="404" hidden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T404" s="193"/>
      <c r="U404" s="193"/>
      <c r="V404" s="193"/>
      <c r="W404" s="193"/>
      <c r="X404" s="193"/>
      <c r="Y404" s="193"/>
      <c r="Z404" s="193"/>
      <c r="AB404" s="193"/>
      <c r="AC404" s="193"/>
      <c r="AD404" s="193"/>
      <c r="AE404" s="193"/>
      <c r="AF404" s="193"/>
    </row>
    <row r="405" hidden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T405" s="193"/>
      <c r="U405" s="193"/>
      <c r="V405" s="193"/>
      <c r="W405" s="193"/>
      <c r="X405" s="193"/>
      <c r="Y405" s="193"/>
      <c r="Z405" s="193"/>
      <c r="AB405" s="193"/>
      <c r="AC405" s="193"/>
      <c r="AD405" s="193"/>
      <c r="AE405" s="193"/>
      <c r="AF405" s="193"/>
    </row>
    <row r="406" hidden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O406" s="193"/>
      <c r="P406" s="193"/>
      <c r="Q406" s="193"/>
      <c r="S406" s="193"/>
      <c r="T406" s="193"/>
      <c r="U406" s="193"/>
      <c r="V406" s="193"/>
      <c r="W406" s="193"/>
      <c r="X406" s="193"/>
      <c r="Y406" s="193"/>
      <c r="Z406" s="193"/>
      <c r="AB406" s="193"/>
      <c r="AC406" s="193"/>
      <c r="AD406" s="193"/>
      <c r="AE406" s="193"/>
      <c r="AF406" s="193"/>
    </row>
    <row r="407" hidden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</row>
    <row r="408" hidden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T408" s="193"/>
      <c r="U408" s="193"/>
      <c r="V408" s="193"/>
      <c r="W408" s="193"/>
      <c r="X408" s="193"/>
      <c r="Y408" s="193"/>
      <c r="Z408" s="193"/>
      <c r="AB408" s="193"/>
      <c r="AC408" s="193"/>
      <c r="AD408" s="193"/>
      <c r="AE408" s="193"/>
      <c r="AF408" s="193"/>
    </row>
    <row r="409" hidden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O409" s="193"/>
      <c r="P409" s="193"/>
      <c r="Q409" s="193"/>
      <c r="S409" s="193"/>
      <c r="T409" s="193"/>
      <c r="U409" s="193"/>
      <c r="V409" s="193"/>
      <c r="W409" s="193"/>
      <c r="X409" s="193"/>
      <c r="Y409" s="193"/>
      <c r="Z409" s="193"/>
      <c r="AB409" s="193"/>
      <c r="AC409" s="193"/>
      <c r="AD409" s="193"/>
      <c r="AE409" s="193"/>
      <c r="AF409" s="193"/>
    </row>
    <row r="410" hidden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T410" s="193"/>
      <c r="U410" s="193"/>
      <c r="V410" s="193"/>
      <c r="W410" s="193"/>
      <c r="X410" s="193"/>
      <c r="Y410" s="193"/>
      <c r="Z410" s="193"/>
      <c r="AB410" s="193"/>
      <c r="AC410" s="193"/>
      <c r="AD410" s="193"/>
      <c r="AE410" s="193"/>
      <c r="AF410" s="193"/>
    </row>
    <row r="411" hidden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O411" s="193"/>
      <c r="P411" s="193"/>
      <c r="Q411" s="193"/>
      <c r="S411" s="193"/>
      <c r="T411" s="193"/>
      <c r="U411" s="193"/>
      <c r="V411" s="193"/>
      <c r="W411" s="193"/>
      <c r="X411" s="193"/>
      <c r="Y411" s="193"/>
      <c r="Z411" s="193"/>
      <c r="AB411" s="193"/>
      <c r="AC411" s="193"/>
      <c r="AD411" s="193"/>
      <c r="AE411" s="193"/>
      <c r="AF411" s="193"/>
    </row>
    <row r="412" hidden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O412" s="193"/>
      <c r="P412" s="193"/>
      <c r="Q412" s="193"/>
      <c r="S412" s="193"/>
      <c r="T412" s="193"/>
      <c r="U412" s="193"/>
      <c r="V412" s="193"/>
      <c r="W412" s="193"/>
      <c r="X412" s="193"/>
      <c r="Y412" s="193"/>
      <c r="Z412" s="193"/>
      <c r="AB412" s="193"/>
      <c r="AC412" s="193"/>
      <c r="AD412" s="193"/>
      <c r="AE412" s="193"/>
      <c r="AF412" s="193"/>
    </row>
    <row r="413" hidden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O413" s="193"/>
      <c r="P413" s="193"/>
      <c r="Q413" s="193"/>
      <c r="S413" s="193"/>
      <c r="T413" s="193"/>
      <c r="U413" s="193"/>
      <c r="V413" s="193"/>
      <c r="W413" s="193"/>
      <c r="X413" s="193"/>
      <c r="Y413" s="193"/>
      <c r="Z413" s="193"/>
      <c r="AB413" s="193"/>
      <c r="AC413" s="193"/>
      <c r="AD413" s="193"/>
      <c r="AE413" s="193"/>
      <c r="AF413" s="193"/>
    </row>
    <row r="414" hidden="1">
      <c r="A414" s="193"/>
      <c r="B414" s="193"/>
      <c r="C414" s="195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O414" s="193"/>
      <c r="P414" s="193"/>
      <c r="Q414" s="193"/>
      <c r="S414" s="193"/>
      <c r="T414" s="193"/>
      <c r="U414" s="193"/>
      <c r="V414" s="193"/>
      <c r="W414" s="193"/>
      <c r="X414" s="193"/>
      <c r="Y414" s="193"/>
      <c r="Z414" s="193"/>
      <c r="AB414" s="193"/>
      <c r="AC414" s="193"/>
      <c r="AD414" s="193"/>
      <c r="AE414" s="193"/>
      <c r="AF414" s="193"/>
    </row>
    <row r="415" hidden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O415" s="193"/>
      <c r="P415" s="193"/>
      <c r="Q415" s="193"/>
      <c r="S415" s="193"/>
      <c r="T415" s="193"/>
      <c r="U415" s="193"/>
      <c r="V415" s="193"/>
      <c r="W415" s="193"/>
      <c r="X415" s="193"/>
      <c r="Y415" s="193"/>
      <c r="Z415" s="193"/>
      <c r="AB415" s="193"/>
      <c r="AC415" s="193"/>
      <c r="AD415" s="193"/>
      <c r="AE415" s="193"/>
      <c r="AF415" s="193"/>
    </row>
    <row r="416" hidden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S416" s="193"/>
      <c r="T416" s="193"/>
      <c r="U416" s="193"/>
      <c r="V416" s="193"/>
      <c r="W416" s="193"/>
      <c r="X416" s="193"/>
      <c r="Y416" s="193"/>
      <c r="Z416" s="193"/>
      <c r="AB416" s="193"/>
      <c r="AC416" s="193"/>
      <c r="AD416" s="193"/>
      <c r="AE416" s="193"/>
      <c r="AF416" s="193"/>
    </row>
    <row r="417" hidden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O417" s="193"/>
      <c r="P417" s="193"/>
      <c r="Q417" s="193"/>
      <c r="S417" s="193"/>
      <c r="T417" s="193"/>
      <c r="U417" s="193"/>
      <c r="V417" s="193"/>
      <c r="W417" s="193"/>
      <c r="X417" s="193"/>
      <c r="Y417" s="193"/>
      <c r="Z417" s="193"/>
      <c r="AB417" s="193"/>
      <c r="AC417" s="193"/>
      <c r="AD417" s="193"/>
      <c r="AE417" s="193"/>
      <c r="AF417" s="193"/>
    </row>
    <row r="418" hidden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</row>
  </sheetData>
  <autoFilter ref="$A$1:$M$418">
    <filterColumn colId="1">
      <filters/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/>
      <c r="B1" s="196"/>
      <c r="C1" s="197" t="str">
        <f>IFERROR(__xludf.DUMMYFUNCTION("IMPORTRANGE(""1TpIiNTfR1pnpn85VWQTTdvQ2Xcr0GStmWJ2UvfKxG_A"", ""Mzdy!A1:F200"")")," ")</f>
        <v> 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8">
        <f>IFERROR(__xludf.DUMMYFUNCTION("IMPORTRANGE(""1TpIiNTfR1pnpn85VWQTTdvQ2Xcr0GStmWJ2UvfKxG_A"", ""Mzdy!ac1:ad200"")"),30.0)</f>
        <v>30</v>
      </c>
      <c r="W1" s="199" t="str">
        <f>IFERROR(__xludf.DUMMYFUNCTION("""COMPUTED_VALUE"""),"dní")</f>
        <v>dní</v>
      </c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</row>
    <row r="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9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</row>
    <row r="3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9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</row>
    <row r="4">
      <c r="A4" s="200" t="s">
        <v>2528</v>
      </c>
      <c r="B4" s="200" t="s">
        <v>2529</v>
      </c>
      <c r="C4" s="196" t="str">
        <f>IFERROR(__xludf.DUMMYFUNCTION("""COMPUTED_VALUE"""),"Manažer")</f>
        <v>Manažer</v>
      </c>
      <c r="D4" s="196" t="str">
        <f>IFERROR(__xludf.DUMMYFUNCTION("""COMPUTED_VALUE"""),"Instore")</f>
        <v>Instore</v>
      </c>
      <c r="E4" s="196" t="str">
        <f>IFERROR(__xludf.DUMMYFUNCTION("""COMPUTED_VALUE"""),"První domácí,          Pobočky max 4")</f>
        <v>První domácí,          Pobočky max 4</v>
      </c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 t="str">
        <f>IFERROR(__xludf.DUMMYFUNCTION("""COMPUTED_VALUE"""),"Sp.hr. / h")</f>
        <v>Sp.hr. / h</v>
      </c>
      <c r="W4" s="199" t="str">
        <f>IFERROR(__xludf.DUMMYFUNCTION("""COMPUTED_VALUE"""),"Sp.hr. / den")</f>
        <v>Sp.hr. / den</v>
      </c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</row>
    <row r="5">
      <c r="A5" s="196" t="str">
        <f>IF(AND(B5&lt;&gt;"", C5=TRUE, E5=Report!$B$1), B5, "")</f>
        <v/>
      </c>
      <c r="B5" s="201" t="str">
        <f>IF(OR(E5=Report!$B$1, F5=Report!$B$1, G5=Report!$B$1, H5=Report!$B$1), D5, "")</f>
        <v>Nedbal Michal</v>
      </c>
      <c r="C5" s="196" t="b">
        <f>IFERROR(__xludf.DUMMYFUNCTION("""COMPUTED_VALUE"""),TRUE)</f>
        <v>1</v>
      </c>
      <c r="D5" s="196" t="str">
        <f>IFERROR(__xludf.DUMMYFUNCTION("""COMPUTED_VALUE"""),"Nedbal Michal")</f>
        <v>Nedbal Michal</v>
      </c>
      <c r="E5" s="196" t="str">
        <f>IFERROR(__xludf.DUMMYFUNCTION("""COMPUTED_VALUE"""),"Zličín")</f>
        <v>Zličín</v>
      </c>
      <c r="F5" s="196" t="str">
        <f>IFERROR(__xludf.DUMMYFUNCTION("""COMPUTED_VALUE"""),"Malešice")</f>
        <v>Malešice</v>
      </c>
      <c r="G5" s="196" t="str">
        <f>IFERROR(__xludf.DUMMYFUNCTION("""COMPUTED_VALUE"""),"Prosek")</f>
        <v>Prosek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9">
        <f>IFERROR(__xludf.DUMMYFUNCTION("""COMPUTED_VALUE"""),432.3078)</f>
        <v>432.3078</v>
      </c>
      <c r="W5" s="199">
        <f>IFERROR(__xludf.DUMMYFUNCTION("""COMPUTED_VALUE"""),2882.052)</f>
        <v>2882.052</v>
      </c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</row>
    <row r="6">
      <c r="A6" s="196" t="str">
        <f>IF(AND(B6&lt;&gt;"", C6=TRUE, E6=Report!$B$1), B6, "")</f>
        <v/>
      </c>
      <c r="B6" s="201" t="str">
        <f>IF(OR(E6=Report!$B$1, F6=Report!$B$1, G6=Report!$B$1, H6=Report!$B$1), D6, "")</f>
        <v/>
      </c>
      <c r="C6" s="196" t="b">
        <f>IFERROR(__xludf.DUMMYFUNCTION("""COMPUTED_VALUE"""),TRUE)</f>
        <v>1</v>
      </c>
      <c r="D6" s="196" t="str">
        <f>IFERROR(__xludf.DUMMYFUNCTION("""COMPUTED_VALUE"""),"Sova Martin")</f>
        <v>Sova Martin</v>
      </c>
      <c r="E6" s="196" t="str">
        <f>IFERROR(__xludf.DUMMYFUNCTION("""COMPUTED_VALUE"""),"Chodov")</f>
        <v>Chodov</v>
      </c>
      <c r="F6" s="196" t="str">
        <f>IFERROR(__xludf.DUMMYFUNCTION("""COMPUTED_VALUE"""),"Libuš")</f>
        <v>Libuš</v>
      </c>
      <c r="G6" s="196" t="str">
        <f>IFERROR(__xludf.DUMMYFUNCTION("""COMPUTED_VALUE"""),"Výroba")</f>
        <v>Výroba</v>
      </c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9">
        <f>IFERROR(__xludf.DUMMYFUNCTION("""COMPUTED_VALUE"""),432.3078)</f>
        <v>432.3078</v>
      </c>
      <c r="W6" s="199">
        <f>IFERROR(__xludf.DUMMYFUNCTION("""COMPUTED_VALUE"""),2882.052)</f>
        <v>2882.052</v>
      </c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</row>
    <row r="7">
      <c r="A7" s="196" t="str">
        <f>IF(AND(B7&lt;&gt;"", C7=TRUE, E7=Report!$B$1), B7, "")</f>
        <v/>
      </c>
      <c r="B7" s="201" t="str">
        <f>IF(OR(E7=Report!$B$1, F7=Report!$B$1, G7=Report!$B$1, H7=Report!$B$1), D7, "")</f>
        <v/>
      </c>
      <c r="C7" s="196" t="b">
        <f>IFERROR(__xludf.DUMMYFUNCTION("""COMPUTED_VALUE"""),TRUE)</f>
        <v>1</v>
      </c>
      <c r="D7" s="196" t="str">
        <f>IFERROR(__xludf.DUMMYFUNCTION("""COMPUTED_VALUE"""),"Paziak Viktoriia")</f>
        <v>Paziak Viktoriia</v>
      </c>
      <c r="E7" s="196" t="str">
        <f>IFERROR(__xludf.DUMMYFUNCTION("""COMPUTED_VALUE"""),"Výroba")</f>
        <v>Výroba</v>
      </c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9">
        <f>IFERROR(__xludf.DUMMYFUNCTION("""COMPUTED_VALUE"""),341.19)</f>
        <v>341.19</v>
      </c>
      <c r="W7" s="199">
        <f>IFERROR(__xludf.DUMMYFUNCTION("""COMPUTED_VALUE"""),2274.6)</f>
        <v>2274.6</v>
      </c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</row>
    <row r="8">
      <c r="A8" s="196" t="str">
        <f>IF(AND(B8&lt;&gt;"", C8=TRUE, E8=Report!$B$1), B8, "")</f>
        <v/>
      </c>
      <c r="B8" s="201" t="str">
        <f>IF(OR(E8=Report!$B$1, F8=Report!$B$1, G8=Report!$B$1, H8=Report!$B$1), D8, "")</f>
        <v>Ahurieva Viktoriia</v>
      </c>
      <c r="C8" s="196" t="b">
        <f>IFERROR(__xludf.DUMMYFUNCTION("""COMPUTED_VALUE"""),FALSE)</f>
        <v>0</v>
      </c>
      <c r="D8" s="196" t="str">
        <f>IFERROR(__xludf.DUMMYFUNCTION("""COMPUTED_VALUE"""),"Ahurieva Viktoriia")</f>
        <v>Ahurieva Viktoriia</v>
      </c>
      <c r="E8" s="196" t="str">
        <f>IFERROR(__xludf.DUMMYFUNCTION("""COMPUTED_VALUE"""),"Libuš")</f>
        <v>Libuš</v>
      </c>
      <c r="F8" s="196" t="str">
        <f>IFERROR(__xludf.DUMMYFUNCTION("""COMPUTED_VALUE"""),"Malešice")</f>
        <v>Malešice</v>
      </c>
      <c r="G8" s="196" t="str">
        <f>IFERROR(__xludf.DUMMYFUNCTION("""COMPUTED_VALUE"""),"Výroba")</f>
        <v>Výroba</v>
      </c>
      <c r="H8" s="196" t="str">
        <f>IFERROR(__xludf.DUMMYFUNCTION("""COMPUTED_VALUE"""),"Prosek")</f>
        <v>Prosek</v>
      </c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9">
        <f>IFERROR(__xludf.DUMMYFUNCTION("""COMPUTED_VALUE"""),432.3078)</f>
        <v>432.3078</v>
      </c>
      <c r="W8" s="199">
        <f>IFERROR(__xludf.DUMMYFUNCTION("""COMPUTED_VALUE"""),2882.052)</f>
        <v>2882.052</v>
      </c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</row>
    <row r="9">
      <c r="A9" s="196" t="str">
        <f>IF(AND(B9&lt;&gt;"", C9=TRUE, E9=Report!$B$1), B9, "")</f>
        <v/>
      </c>
      <c r="B9" s="201" t="str">
        <f>IF(OR(E9=Report!$B$1, F9=Report!$B$1, G9=Report!$B$1, H9=Report!$B$1), D9, "")</f>
        <v/>
      </c>
      <c r="C9" s="196" t="b">
        <f>IFERROR(__xludf.DUMMYFUNCTION("""COMPUTED_VALUE"""),TRUE)</f>
        <v>1</v>
      </c>
      <c r="D9" s="196" t="str">
        <f>IFERROR(__xludf.DUMMYFUNCTION("""COMPUTED_VALUE"""),"Pešová Hana")</f>
        <v>Pešová Hana</v>
      </c>
      <c r="E9" s="196" t="str">
        <f>IFERROR(__xludf.DUMMYFUNCTION("""COMPUTED_VALUE"""),"Chodov")</f>
        <v>Chodov</v>
      </c>
      <c r="F9" s="196" t="str">
        <f>IFERROR(__xludf.DUMMYFUNCTION("""COMPUTED_VALUE"""),"Prosek")</f>
        <v>Prosek</v>
      </c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9">
        <f>IFERROR(__xludf.DUMMYFUNCTION("""COMPUTED_VALUE"""),341.19)</f>
        <v>341.19</v>
      </c>
      <c r="W9" s="199">
        <f>IFERROR(__xludf.DUMMYFUNCTION("""COMPUTED_VALUE"""),2274.6)</f>
        <v>2274.6</v>
      </c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</row>
    <row r="10">
      <c r="A10" s="196" t="str">
        <f>IF(AND(B10&lt;&gt;"", C10=TRUE, E10=Report!$B$1), B10, "")</f>
        <v/>
      </c>
      <c r="B10" s="201" t="str">
        <f>IF(OR(E10=Report!$B$1, F10=Report!$B$1, G10=Report!$B$1, H10=Report!$B$1), D10, "")</f>
        <v>Šebesta Tomáš</v>
      </c>
      <c r="C10" s="196" t="b">
        <f>IFERROR(__xludf.DUMMYFUNCTION("""COMPUTED_VALUE"""),TRUE)</f>
        <v>1</v>
      </c>
      <c r="D10" s="196" t="str">
        <f>IFERROR(__xludf.DUMMYFUNCTION("""COMPUTED_VALUE"""),"Šebesta Tomáš")</f>
        <v>Šebesta Tomáš</v>
      </c>
      <c r="E10" s="196" t="str">
        <f>IFERROR(__xludf.DUMMYFUNCTION("""COMPUTED_VALUE"""),"Prosek")</f>
        <v>Prosek</v>
      </c>
      <c r="F10" s="196" t="str">
        <f>IFERROR(__xludf.DUMMYFUNCTION("""COMPUTED_VALUE"""),"Libuš")</f>
        <v>Libuš</v>
      </c>
      <c r="G10" s="196" t="str">
        <f>IFERROR(__xludf.DUMMYFUNCTION("""COMPUTED_VALUE"""),"Malešice")</f>
        <v>Malešice</v>
      </c>
      <c r="H10" s="196" t="str">
        <f>IFERROR(__xludf.DUMMYFUNCTION("""COMPUTED_VALUE"""),"Chodov")</f>
        <v>Chodov</v>
      </c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9">
        <f>IFERROR(__xludf.DUMMYFUNCTION("""COMPUTED_VALUE"""),432.3078)</f>
        <v>432.3078</v>
      </c>
      <c r="W10" s="199">
        <f>IFERROR(__xludf.DUMMYFUNCTION("""COMPUTED_VALUE"""),2882.052)</f>
        <v>2882.052</v>
      </c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</row>
    <row r="11">
      <c r="A11" s="196" t="str">
        <f>IF(AND(B11&lt;&gt;"", C11=TRUE, E11=Report!$B$1), B11, "")</f>
        <v/>
      </c>
      <c r="B11" s="201" t="str">
        <f>IF(OR(E11=Report!$B$1, F11=Report!$B$1, G11=Report!$B$1, H11=Report!$B$1), D11, "")</f>
        <v/>
      </c>
      <c r="C11" s="196" t="b">
        <f>IFERROR(__xludf.DUMMYFUNCTION("""COMPUTED_VALUE"""),FALSE)</f>
        <v>0</v>
      </c>
      <c r="D11" s="196" t="str">
        <f>IFERROR(__xludf.DUMMYFUNCTION("""COMPUTED_VALUE"""),"Hanakova Ayuna")</f>
        <v>Hanakova Ayuna</v>
      </c>
      <c r="E11" s="196" t="str">
        <f>IFERROR(__xludf.DUMMYFUNCTION("""COMPUTED_VALUE"""),"Zličín")</f>
        <v>Zličín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9">
        <f>IFERROR(__xludf.DUMMYFUNCTION("""COMPUTED_VALUE"""),295.698)</f>
        <v>295.698</v>
      </c>
      <c r="W11" s="199">
        <f>IFERROR(__xludf.DUMMYFUNCTION("""COMPUTED_VALUE"""),0.0)</f>
        <v>0</v>
      </c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</row>
    <row r="12">
      <c r="A12" s="196" t="str">
        <f>IF(AND(B12&lt;&gt;"", C12=TRUE, E12=Report!$B$1), B12, "")</f>
        <v/>
      </c>
      <c r="B12" s="201" t="str">
        <f>IF(OR(E12=Report!$B$1, F12=Report!$B$1, G12=Report!$B$1, H12=Report!$B$1), D12, "")</f>
        <v/>
      </c>
      <c r="C12" s="196" t="b">
        <f>IFERROR(__xludf.DUMMYFUNCTION("""COMPUTED_VALUE"""),FALSE)</f>
        <v>0</v>
      </c>
      <c r="D12" s="196" t="str">
        <f>IFERROR(__xludf.DUMMYFUNCTION("""COMPUTED_VALUE"""),"Vondráček Lukáš")</f>
        <v>Vondráček Lukáš</v>
      </c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9">
        <f>IFERROR(__xludf.DUMMYFUNCTION("""COMPUTED_VALUE"""),0.0)</f>
        <v>0</v>
      </c>
      <c r="W12" s="199">
        <f>IFERROR(__xludf.DUMMYFUNCTION("""COMPUTED_VALUE"""),0.0)</f>
        <v>0</v>
      </c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</row>
    <row r="13">
      <c r="A13" s="196" t="str">
        <f>IF(AND(B13&lt;&gt;"", C13=TRUE, E13=Report!$B$1), B13, "")</f>
        <v/>
      </c>
      <c r="B13" s="201" t="str">
        <f>IF(OR(E13=Report!$B$1, F13=Report!$B$1, G13=Report!$B$1, H13=Report!$B$1), D13, "")</f>
        <v>Veselý Ondřej</v>
      </c>
      <c r="C13" s="196" t="b">
        <f>IFERROR(__xludf.DUMMYFUNCTION("""COMPUTED_VALUE"""),TRUE)</f>
        <v>1</v>
      </c>
      <c r="D13" s="196" t="str">
        <f>IFERROR(__xludf.DUMMYFUNCTION("""COMPUTED_VALUE"""),"Veselý Ondřej")</f>
        <v>Veselý Ondřej</v>
      </c>
      <c r="E13" s="196" t="str">
        <f>IFERROR(__xludf.DUMMYFUNCTION("""COMPUTED_VALUE"""),"Zličín")</f>
        <v>Zličín</v>
      </c>
      <c r="F13" s="196" t="str">
        <f>IFERROR(__xludf.DUMMYFUNCTION("""COMPUTED_VALUE"""),"Malešice")</f>
        <v>Malešice</v>
      </c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9">
        <f>IFERROR(__xludf.DUMMYFUNCTION("""COMPUTED_VALUE"""),341.19)</f>
        <v>341.19</v>
      </c>
      <c r="W13" s="199">
        <f>IFERROR(__xludf.DUMMYFUNCTION("""COMPUTED_VALUE"""),2274.6)</f>
        <v>2274.6</v>
      </c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</row>
    <row r="14">
      <c r="A14" s="196" t="str">
        <f>IF(AND(B14&lt;&gt;"", C14=TRUE, E14=Report!$B$1), B14, "")</f>
        <v/>
      </c>
      <c r="B14" s="201" t="str">
        <f>IF(OR(E14=Report!$B$1, F14=Report!$B$1, G14=Report!$B$1, H14=Report!$B$1), D14, "")</f>
        <v>Coufal Jakub</v>
      </c>
      <c r="C14" s="196" t="b">
        <f>IFERROR(__xludf.DUMMYFUNCTION("""COMPUTED_VALUE"""),FALSE)</f>
        <v>0</v>
      </c>
      <c r="D14" s="196" t="str">
        <f>IFERROR(__xludf.DUMMYFUNCTION("""COMPUTED_VALUE"""),"Coufal Jakub")</f>
        <v>Coufal Jakub</v>
      </c>
      <c r="E14" s="196" t="str">
        <f>IFERROR(__xludf.DUMMYFUNCTION("""COMPUTED_VALUE"""),"Libuš")</f>
        <v>Libuš</v>
      </c>
      <c r="F14" s="196" t="str">
        <f>IFERROR(__xludf.DUMMYFUNCTION("""COMPUTED_VALUE"""),"Malešice")</f>
        <v>Malešice</v>
      </c>
      <c r="G14" s="196" t="str">
        <f>IFERROR(__xludf.DUMMYFUNCTION("""COMPUTED_VALUE"""),"Prosek")</f>
        <v>Prosek</v>
      </c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9">
        <f>IFERROR(__xludf.DUMMYFUNCTION("""COMPUTED_VALUE"""),250.20600000000002)</f>
        <v>250.206</v>
      </c>
      <c r="W14" s="199">
        <f>IFERROR(__xludf.DUMMYFUNCTION("""COMPUTED_VALUE"""),0.0)</f>
        <v>0</v>
      </c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</row>
    <row r="15">
      <c r="A15" s="196" t="str">
        <f>IF(AND(B15&lt;&gt;"", C15=TRUE, E15=Report!$B$1), B15, "")</f>
        <v>Kinkorová Petra</v>
      </c>
      <c r="B15" s="201" t="str">
        <f>IF(OR(E15=Report!$B$1, F15=Report!$B$1, G15=Report!$B$1, H15=Report!$B$1), D15, "")</f>
        <v>Kinkorová Petra</v>
      </c>
      <c r="C15" s="196" t="b">
        <f>IFERROR(__xludf.DUMMYFUNCTION("""COMPUTED_VALUE"""),TRUE)</f>
        <v>1</v>
      </c>
      <c r="D15" s="196" t="str">
        <f>IFERROR(__xludf.DUMMYFUNCTION("""COMPUTED_VALUE"""),"Kinkorová Petra")</f>
        <v>Kinkorová Petra</v>
      </c>
      <c r="E15" s="196" t="str">
        <f>IFERROR(__xludf.DUMMYFUNCTION("""COMPUTED_VALUE"""),"Malešice")</f>
        <v>Malešice</v>
      </c>
      <c r="F15" s="196" t="str">
        <f>IFERROR(__xludf.DUMMYFUNCTION("""COMPUTED_VALUE"""),"Zličín")</f>
        <v>Zličín</v>
      </c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9">
        <f>IFERROR(__xludf.DUMMYFUNCTION("""COMPUTED_VALUE"""),341.19)</f>
        <v>341.19</v>
      </c>
      <c r="W15" s="199">
        <f>IFERROR(__xludf.DUMMYFUNCTION("""COMPUTED_VALUE"""),2274.6)</f>
        <v>2274.6</v>
      </c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</row>
    <row r="16">
      <c r="A16" s="196" t="str">
        <f>IF(AND(B16&lt;&gt;"", C16=TRUE, E16=Report!$B$1), B16, "")</f>
        <v/>
      </c>
      <c r="B16" s="201" t="str">
        <f>IF(OR(E16=Report!$B$1, F16=Report!$B$1, G16=Report!$B$1, H16=Report!$B$1), D16, "")</f>
        <v>Nováková Adéla</v>
      </c>
      <c r="C16" s="196" t="b">
        <f>IFERROR(__xludf.DUMMYFUNCTION("""COMPUTED_VALUE"""),TRUE)</f>
        <v>1</v>
      </c>
      <c r="D16" s="196" t="str">
        <f>IFERROR(__xludf.DUMMYFUNCTION("""COMPUTED_VALUE"""),"Nováková Adéla")</f>
        <v>Nováková Adéla</v>
      </c>
      <c r="E16" s="196" t="str">
        <f>IFERROR(__xludf.DUMMYFUNCTION("""COMPUTED_VALUE"""),"Prosek")</f>
        <v>Prosek</v>
      </c>
      <c r="F16" s="196" t="str">
        <f>IFERROR(__xludf.DUMMYFUNCTION("""COMPUTED_VALUE"""),"Malešice")</f>
        <v>Malešice</v>
      </c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9">
        <f>IFERROR(__xludf.DUMMYFUNCTION("""COMPUTED_VALUE"""),341.19)</f>
        <v>341.19</v>
      </c>
      <c r="W16" s="199">
        <f>IFERROR(__xludf.DUMMYFUNCTION("""COMPUTED_VALUE"""),2274.6)</f>
        <v>2274.6</v>
      </c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</row>
    <row r="17">
      <c r="A17" s="196" t="str">
        <f>IF(AND(B17&lt;&gt;"", C17=TRUE, E17=Report!$B$1), B17, "")</f>
        <v/>
      </c>
      <c r="B17" s="201" t="str">
        <f>IF(OR(E17=Report!$B$1, F17=Report!$B$1, G17=Report!$B$1, H17=Report!$B$1), D17, "")</f>
        <v/>
      </c>
      <c r="C17" s="196" t="b">
        <f>IFERROR(__xludf.DUMMYFUNCTION("""COMPUTED_VALUE"""),FALSE)</f>
        <v>0</v>
      </c>
      <c r="D17" s="196" t="str">
        <f>IFERROR(__xludf.DUMMYFUNCTION("""COMPUTED_VALUE"""),"Pechová Barbora")</f>
        <v>Pechová Barbora</v>
      </c>
      <c r="E17" s="196" t="str">
        <f>IFERROR(__xludf.DUMMYFUNCTION("""COMPUTED_VALUE"""),"Zličín")</f>
        <v>Zličín</v>
      </c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9">
        <f>IFERROR(__xludf.DUMMYFUNCTION("""COMPUTED_VALUE"""),267.6)</f>
        <v>267.6</v>
      </c>
      <c r="W17" s="199">
        <f>IFERROR(__xludf.DUMMYFUNCTION("""COMPUTED_VALUE"""),0.0)</f>
        <v>0</v>
      </c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</row>
    <row r="18">
      <c r="A18" s="196" t="str">
        <f>IF(AND(B18&lt;&gt;"", C18=TRUE, E18=Report!$B$1), B18, "")</f>
        <v/>
      </c>
      <c r="B18" s="201" t="str">
        <f>IF(OR(E18=Report!$B$1, F18=Report!$B$1, G18=Report!$B$1, H18=Report!$B$1), D18, "")</f>
        <v/>
      </c>
      <c r="C18" s="196" t="b">
        <f>IFERROR(__xludf.DUMMYFUNCTION("""COMPUTED_VALUE"""),FALSE)</f>
        <v>0</v>
      </c>
      <c r="D18" s="196" t="str">
        <f>IFERROR(__xludf.DUMMYFUNCTION("""COMPUTED_VALUE"""),"Stepanenko Solomiia")</f>
        <v>Stepanenko Solomiia</v>
      </c>
      <c r="E18" s="196" t="str">
        <f>IFERROR(__xludf.DUMMYFUNCTION("""COMPUTED_VALUE"""),"Výroba")</f>
        <v>Výroba</v>
      </c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9">
        <f>IFERROR(__xludf.DUMMYFUNCTION("""COMPUTED_VALUE"""),286.332)</f>
        <v>286.332</v>
      </c>
      <c r="W18" s="199">
        <f>IFERROR(__xludf.DUMMYFUNCTION("""COMPUTED_VALUE"""),0.0)</f>
        <v>0</v>
      </c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</row>
    <row r="19">
      <c r="A19" s="196" t="str">
        <f>IF(AND(B19&lt;&gt;"", C19=TRUE, E19=Report!$B$1), B19, "")</f>
        <v/>
      </c>
      <c r="B19" s="201" t="str">
        <f>IF(OR(E19=Report!$B$1, F19=Report!$B$1, G19=Report!$B$1, H19=Report!$B$1), D19, "")</f>
        <v/>
      </c>
      <c r="C19" s="196" t="b">
        <f>IFERROR(__xludf.DUMMYFUNCTION("""COMPUTED_VALUE"""),FALSE)</f>
        <v>0</v>
      </c>
      <c r="D19" s="196" t="str">
        <f>IFERROR(__xludf.DUMMYFUNCTION("""COMPUTED_VALUE"""),"Rothová Anastasia")</f>
        <v>Rothová Anastasia</v>
      </c>
      <c r="E19" s="196" t="str">
        <f>IFERROR(__xludf.DUMMYFUNCTION("""COMPUTED_VALUE"""),"Bolevec")</f>
        <v>Bolevec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9">
        <f>IFERROR(__xludf.DUMMYFUNCTION("""COMPUTED_VALUE"""),341.19)</f>
        <v>341.19</v>
      </c>
      <c r="W19" s="199">
        <f>IFERROR(__xludf.DUMMYFUNCTION("""COMPUTED_VALUE"""),0.0)</f>
        <v>0</v>
      </c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</row>
    <row r="20">
      <c r="A20" s="196" t="str">
        <f>IF(AND(B20&lt;&gt;"", C20=TRUE, E20=Report!$B$1), B20, "")</f>
        <v/>
      </c>
      <c r="B20" s="201" t="str">
        <f>IF(OR(E20=Report!$B$1, F20=Report!$B$1, G20=Report!$B$1, H20=Report!$B$1), D20, "")</f>
        <v/>
      </c>
      <c r="C20" s="196" t="b">
        <f>IFERROR(__xludf.DUMMYFUNCTION("""COMPUTED_VALUE"""),FALSE)</f>
        <v>0</v>
      </c>
      <c r="D20" s="196" t="str">
        <f>IFERROR(__xludf.DUMMYFUNCTION("""COMPUTED_VALUE"""),"Pánková Vendula")</f>
        <v>Pánková Vendula</v>
      </c>
      <c r="E20" s="196" t="str">
        <f>IFERROR(__xludf.DUMMYFUNCTION("""COMPUTED_VALUE"""),"Zličín")</f>
        <v>Zličín</v>
      </c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9">
        <f>IFERROR(__xludf.DUMMYFUNCTION("""COMPUTED_VALUE"""),267.6)</f>
        <v>267.6</v>
      </c>
      <c r="W20" s="199">
        <f>IFERROR(__xludf.DUMMYFUNCTION("""COMPUTED_VALUE"""),0.0)</f>
        <v>0</v>
      </c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</row>
    <row r="21">
      <c r="A21" s="196" t="str">
        <f>IF(AND(B21&lt;&gt;"", C21=TRUE, E21=Report!$B$1), B21, "")</f>
        <v/>
      </c>
      <c r="B21" s="201" t="str">
        <f>IF(OR(E21=Report!$B$1, F21=Report!$B$1, G21=Report!$B$1, H21=Report!$B$1), D21, "")</f>
        <v>Hegedüs Erik</v>
      </c>
      <c r="C21" s="196" t="b">
        <f>IFERROR(__xludf.DUMMYFUNCTION("""COMPUTED_VALUE"""),TRUE)</f>
        <v>1</v>
      </c>
      <c r="D21" s="196" t="str">
        <f>IFERROR(__xludf.DUMMYFUNCTION("""COMPUTED_VALUE"""),"Hegedüs Erik")</f>
        <v>Hegedüs Erik</v>
      </c>
      <c r="E21" s="196" t="str">
        <f>IFERROR(__xludf.DUMMYFUNCTION("""COMPUTED_VALUE"""),"Libuš")</f>
        <v>Libuš</v>
      </c>
      <c r="F21" s="196" t="str">
        <f>IFERROR(__xludf.DUMMYFUNCTION("""COMPUTED_VALUE"""),"Chodov")</f>
        <v>Chodov</v>
      </c>
      <c r="G21" s="196" t="str">
        <f>IFERROR(__xludf.DUMMYFUNCTION("""COMPUTED_VALUE"""),"Malešice")</f>
        <v>Malešice</v>
      </c>
      <c r="H21" s="196" t="str">
        <f>IFERROR(__xludf.DUMMYFUNCTION("""COMPUTED_VALUE"""),"Zličín")</f>
        <v>Zličín</v>
      </c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9">
        <f>IFERROR(__xludf.DUMMYFUNCTION("""COMPUTED_VALUE"""),432.3078)</f>
        <v>432.3078</v>
      </c>
      <c r="W21" s="199">
        <f>IFERROR(__xludf.DUMMYFUNCTION("""COMPUTED_VALUE"""),2882.052)</f>
        <v>2882.052</v>
      </c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</row>
    <row r="22">
      <c r="A22" s="196" t="str">
        <f>IF(AND(B22&lt;&gt;"", C22=TRUE, E22=Report!$B$1), B22, "")</f>
        <v/>
      </c>
      <c r="B22" s="201" t="str">
        <f>IF(OR(E22=Report!$B$1, F22=Report!$B$1, G22=Report!$B$1, H22=Report!$B$1), D22, "")</f>
        <v/>
      </c>
      <c r="C22" s="196" t="b">
        <f>IFERROR(__xludf.DUMMYFUNCTION("""COMPUTED_VALUE"""),TRUE)</f>
        <v>1</v>
      </c>
      <c r="D22" s="196" t="str">
        <f>IFERROR(__xludf.DUMMYFUNCTION("""COMPUTED_VALUE"""),"Roth Stanislav ml.")</f>
        <v>Roth Stanislav ml.</v>
      </c>
      <c r="E22" s="196" t="str">
        <f>IFERROR(__xludf.DUMMYFUNCTION("""COMPUTED_VALUE"""),"Bolevec")</f>
        <v>Bolevec</v>
      </c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9">
        <f>IFERROR(__xludf.DUMMYFUNCTION("""COMPUTED_VALUE"""),432.3078)</f>
        <v>432.3078</v>
      </c>
      <c r="W22" s="199">
        <f>IFERROR(__xludf.DUMMYFUNCTION("""COMPUTED_VALUE"""),2882.052)</f>
        <v>2882.052</v>
      </c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</row>
    <row r="23">
      <c r="A23" s="196" t="str">
        <f>IF(AND(B23&lt;&gt;"", C23=TRUE, E23=Report!$B$1), B23, "")</f>
        <v/>
      </c>
      <c r="B23" s="201" t="str">
        <f>IF(OR(E23=Report!$B$1, F23=Report!$B$1, G23=Report!$B$1, H23=Report!$B$1), D23, "")</f>
        <v/>
      </c>
      <c r="C23" s="196" t="b">
        <f>IFERROR(__xludf.DUMMYFUNCTION("""COMPUTED_VALUE"""),FALSE)</f>
        <v>0</v>
      </c>
      <c r="D23" s="196" t="str">
        <f>IFERROR(__xludf.DUMMYFUNCTION("""COMPUTED_VALUE"""),"Makula Radek")</f>
        <v>Makula Radek</v>
      </c>
      <c r="E23" s="196" t="str">
        <f>IFERROR(__xludf.DUMMYFUNCTION("""COMPUTED_VALUE"""),"Prosek")</f>
        <v>Prosek</v>
      </c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9">
        <f>IFERROR(__xludf.DUMMYFUNCTION("""COMPUTED_VALUE"""),250.20600000000002)</f>
        <v>250.206</v>
      </c>
      <c r="W23" s="199">
        <f>IFERROR(__xludf.DUMMYFUNCTION("""COMPUTED_VALUE"""),0.0)</f>
        <v>0</v>
      </c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</row>
    <row r="24">
      <c r="A24" s="196" t="str">
        <f>IF(AND(B24&lt;&gt;"", C24=TRUE, E24=Report!$B$1), B24, "")</f>
        <v/>
      </c>
      <c r="B24" s="201" t="str">
        <f>IF(OR(E24=Report!$B$1, F24=Report!$B$1, G24=Report!$B$1, H24=Report!$B$1), D24, "")</f>
        <v>Bubník Martin</v>
      </c>
      <c r="C24" s="196" t="b">
        <f>IFERROR(__xludf.DUMMYFUNCTION("""COMPUTED_VALUE"""),FALSE)</f>
        <v>0</v>
      </c>
      <c r="D24" s="196" t="str">
        <f>IFERROR(__xludf.DUMMYFUNCTION("""COMPUTED_VALUE"""),"Bubník Martin")</f>
        <v>Bubník Martin</v>
      </c>
      <c r="E24" s="196" t="str">
        <f>IFERROR(__xludf.DUMMYFUNCTION("""COMPUTED_VALUE"""),"Libuš")</f>
        <v>Libuš</v>
      </c>
      <c r="F24" s="196" t="str">
        <f>IFERROR(__xludf.DUMMYFUNCTION("""COMPUTED_VALUE"""),"Malešice")</f>
        <v>Malešice</v>
      </c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9">
        <f>IFERROR(__xludf.DUMMYFUNCTION("""COMPUTED_VALUE"""),267.6)</f>
        <v>267.6</v>
      </c>
      <c r="W24" s="199">
        <f>IFERROR(__xludf.DUMMYFUNCTION("""COMPUTED_VALUE"""),0.0)</f>
        <v>0</v>
      </c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</row>
    <row r="25">
      <c r="A25" s="196" t="str">
        <f>IF(AND(B25&lt;&gt;"", C25=TRUE, E25=Report!$B$1), B25, "")</f>
        <v/>
      </c>
      <c r="B25" s="201" t="str">
        <f>IF(OR(E25=Report!$B$1, F25=Report!$B$1, G25=Report!$B$1, H25=Report!$B$1), D25, "")</f>
        <v>Mirga Simon</v>
      </c>
      <c r="C25" s="196" t="b">
        <f>IFERROR(__xludf.DUMMYFUNCTION("""COMPUTED_VALUE"""),FALSE)</f>
        <v>0</v>
      </c>
      <c r="D25" s="196" t="str">
        <f>IFERROR(__xludf.DUMMYFUNCTION("""COMPUTED_VALUE"""),"Mirga Simon")</f>
        <v>Mirga Simon</v>
      </c>
      <c r="E25" s="196" t="str">
        <f>IFERROR(__xludf.DUMMYFUNCTION("""COMPUTED_VALUE"""),"Malešice")</f>
        <v>Malešice</v>
      </c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9">
        <f>IFERROR(__xludf.DUMMYFUNCTION("""COMPUTED_VALUE"""),231.474)</f>
        <v>231.474</v>
      </c>
      <c r="W25" s="199">
        <f>IFERROR(__xludf.DUMMYFUNCTION("""COMPUTED_VALUE"""),0.0)</f>
        <v>0</v>
      </c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</row>
    <row r="26">
      <c r="A26" s="196" t="str">
        <f>IF(AND(B26&lt;&gt;"", C26=TRUE, E26=Report!$B$1), B26, "")</f>
        <v/>
      </c>
      <c r="B26" s="201" t="str">
        <f>IF(OR(E26=Report!$B$1, F26=Report!$B$1, G26=Report!$B$1, H26=Report!$B$1), D26, "")</f>
        <v/>
      </c>
      <c r="C26" s="196" t="b">
        <f>IFERROR(__xludf.DUMMYFUNCTION("""COMPUTED_VALUE"""),FALSE)</f>
        <v>0</v>
      </c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9">
        <f>IFERROR(__xludf.DUMMYFUNCTION("""COMPUTED_VALUE"""),0.0)</f>
        <v>0</v>
      </c>
      <c r="W26" s="199">
        <f>IFERROR(__xludf.DUMMYFUNCTION("""COMPUTED_VALUE"""),0.0)</f>
        <v>0</v>
      </c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</row>
    <row r="27">
      <c r="A27" s="196" t="str">
        <f>IF(AND(B27&lt;&gt;"", C27=TRUE, E27=Report!$B$1), B27, "")</f>
        <v/>
      </c>
      <c r="B27" s="201" t="str">
        <f>IF(OR(E27=Report!$B$1, F27=Report!$B$1, G27=Report!$B$1, H27=Report!$B$1), D27, "")</f>
        <v/>
      </c>
      <c r="C27" s="196" t="b">
        <f>IFERROR(__xludf.DUMMYFUNCTION("""COMPUTED_VALUE"""),FALSE)</f>
        <v>0</v>
      </c>
      <c r="D27" s="196" t="str">
        <f>IFERROR(__xludf.DUMMYFUNCTION("""COMPUTED_VALUE"""),"Berdar Vasyl")</f>
        <v>Berdar Vasyl</v>
      </c>
      <c r="E27" s="196" t="str">
        <f>IFERROR(__xludf.DUMMYFUNCTION("""COMPUTED_VALUE"""),"Libuš")</f>
        <v>Libuš</v>
      </c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9">
        <f>IFERROR(__xludf.DUMMYFUNCTION("""COMPUTED_VALUE"""),286.332)</f>
        <v>286.332</v>
      </c>
      <c r="W27" s="199">
        <f>IFERROR(__xludf.DUMMYFUNCTION("""COMPUTED_VALUE"""),0.0)</f>
        <v>0</v>
      </c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</row>
    <row r="28">
      <c r="A28" s="196" t="str">
        <f>IF(AND(B28&lt;&gt;"", C28=TRUE, E28=Report!$B$1), B28, "")</f>
        <v/>
      </c>
      <c r="B28" s="201" t="str">
        <f>IF(OR(E28=Report!$B$1, F28=Report!$B$1, G28=Report!$B$1, H28=Report!$B$1), D28, "")</f>
        <v>Yarushynskyi Vladyslav</v>
      </c>
      <c r="C28" s="196" t="b">
        <f>IFERROR(__xludf.DUMMYFUNCTION("""COMPUTED_VALUE"""),FALSE)</f>
        <v>0</v>
      </c>
      <c r="D28" s="196" t="str">
        <f>IFERROR(__xludf.DUMMYFUNCTION("""COMPUTED_VALUE"""),"Yarushynskyi Vladyslav")</f>
        <v>Yarushynskyi Vladyslav</v>
      </c>
      <c r="E28" s="196" t="str">
        <f>IFERROR(__xludf.DUMMYFUNCTION("""COMPUTED_VALUE"""),"Malešice")</f>
        <v>Malešice</v>
      </c>
      <c r="F28" s="196" t="str">
        <f>IFERROR(__xludf.DUMMYFUNCTION("""COMPUTED_VALUE"""),"Chodov")</f>
        <v>Chodov</v>
      </c>
      <c r="G28" s="196" t="str">
        <f>IFERROR(__xludf.DUMMYFUNCTION("""COMPUTED_VALUE"""),"Zličín")</f>
        <v>Zličín</v>
      </c>
      <c r="H28" s="196" t="str">
        <f>IFERROR(__xludf.DUMMYFUNCTION("""COMPUTED_VALUE"""),"Prosek")</f>
        <v>Prosek</v>
      </c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9">
        <f>IFERROR(__xludf.DUMMYFUNCTION("""COMPUTED_VALUE"""),267.6)</f>
        <v>267.6</v>
      </c>
      <c r="W28" s="199">
        <f>IFERROR(__xludf.DUMMYFUNCTION("""COMPUTED_VALUE"""),0.0)</f>
        <v>0</v>
      </c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</row>
    <row r="29">
      <c r="A29" s="196" t="str">
        <f>IF(AND(B29&lt;&gt;"", C29=TRUE, E29=Report!$B$1), B29, "")</f>
        <v/>
      </c>
      <c r="B29" s="201" t="str">
        <f>IF(OR(E29=Report!$B$1, F29=Report!$B$1, G29=Report!$B$1, H29=Report!$B$1), D29, "")</f>
        <v/>
      </c>
      <c r="C29" s="196" t="b">
        <f>IFERROR(__xludf.DUMMYFUNCTION("""COMPUTED_VALUE"""),FALSE)</f>
        <v>0</v>
      </c>
      <c r="D29" s="196" t="str">
        <f>IFERROR(__xludf.DUMMYFUNCTION("""COMPUTED_VALUE"""),"Raboch Tomáš")</f>
        <v>Raboch Tomáš</v>
      </c>
      <c r="E29" s="196" t="str">
        <f>IFERROR(__xludf.DUMMYFUNCTION("""COMPUTED_VALUE"""),"Bolevec")</f>
        <v>Bolevec</v>
      </c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9">
        <f>IFERROR(__xludf.DUMMYFUNCTION("""COMPUTED_VALUE"""),250.20600000000002)</f>
        <v>250.206</v>
      </c>
      <c r="W29" s="199">
        <f>IFERROR(__xludf.DUMMYFUNCTION("""COMPUTED_VALUE"""),0.0)</f>
        <v>0</v>
      </c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>
      <c r="A30" s="196" t="str">
        <f>IF(AND(B30&lt;&gt;"", C30=TRUE, E30=Report!$B$1), B30, "")</f>
        <v/>
      </c>
      <c r="B30" s="201" t="str">
        <f>IF(OR(E30=Report!$B$1, F30=Report!$B$1, G30=Report!$B$1, H30=Report!$B$1), D30, "")</f>
        <v/>
      </c>
      <c r="C30" s="196" t="b">
        <f>IFERROR(__xludf.DUMMYFUNCTION("""COMPUTED_VALUE"""),FALSE)</f>
        <v>0</v>
      </c>
      <c r="D30" s="196" t="str">
        <f>IFERROR(__xludf.DUMMYFUNCTION("""COMPUTED_VALUE"""),"Židek Petr")</f>
        <v>Židek Petr</v>
      </c>
      <c r="E30" s="196" t="str">
        <f>IFERROR(__xludf.DUMMYFUNCTION("""COMPUTED_VALUE"""),"Chodov")</f>
        <v>Chodov</v>
      </c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9">
        <f>IFERROR(__xludf.DUMMYFUNCTION("""COMPUTED_VALUE"""),250.20600000000002)</f>
        <v>250.206</v>
      </c>
      <c r="W30" s="199">
        <f>IFERROR(__xludf.DUMMYFUNCTION("""COMPUTED_VALUE"""),0.0)</f>
        <v>0</v>
      </c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</row>
    <row r="31">
      <c r="A31" s="196" t="str">
        <f>IF(AND(B31&lt;&gt;"", C31=TRUE, E31=Report!$B$1), B31, "")</f>
        <v/>
      </c>
      <c r="B31" s="201" t="str">
        <f>IF(OR(E31=Report!$B$1, F31=Report!$B$1, G31=Report!$B$1, H31=Report!$B$1), D31, "")</f>
        <v>Gorol Patrik</v>
      </c>
      <c r="C31" s="196" t="b">
        <f>IFERROR(__xludf.DUMMYFUNCTION("""COMPUTED_VALUE"""),FALSE)</f>
        <v>0</v>
      </c>
      <c r="D31" s="196" t="str">
        <f>IFERROR(__xludf.DUMMYFUNCTION("""COMPUTED_VALUE"""),"Gorol Patrik")</f>
        <v>Gorol Patrik</v>
      </c>
      <c r="E31" s="196" t="str">
        <f>IFERROR(__xludf.DUMMYFUNCTION("""COMPUTED_VALUE"""),"Malešice")</f>
        <v>Malešice</v>
      </c>
      <c r="F31" s="196" t="str">
        <f>IFERROR(__xludf.DUMMYFUNCTION("""COMPUTED_VALUE"""),"Libuš")</f>
        <v>Libuš</v>
      </c>
      <c r="G31" s="196" t="str">
        <f>IFERROR(__xludf.DUMMYFUNCTION("""COMPUTED_VALUE"""),"Prosek")</f>
        <v>Prosek</v>
      </c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9">
        <f>IFERROR(__xludf.DUMMYFUNCTION("""COMPUTED_VALUE"""),231.474)</f>
        <v>231.474</v>
      </c>
      <c r="W31" s="199">
        <f>IFERROR(__xludf.DUMMYFUNCTION("""COMPUTED_VALUE"""),0.0)</f>
        <v>0</v>
      </c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</row>
    <row r="32">
      <c r="A32" s="196" t="str">
        <f>IF(AND(B32&lt;&gt;"", C32=TRUE, E32=Report!$B$1), B32, "")</f>
        <v/>
      </c>
      <c r="B32" s="201" t="str">
        <f>IF(OR(E32=Report!$B$1, F32=Report!$B$1, G32=Report!$B$1, H32=Report!$B$1), D32, "")</f>
        <v/>
      </c>
      <c r="C32" s="196" t="b">
        <f>IFERROR(__xludf.DUMMYFUNCTION("""COMPUTED_VALUE"""),FALSE)</f>
        <v>0</v>
      </c>
      <c r="D32" s="196" t="str">
        <f>IFERROR(__xludf.DUMMYFUNCTION("""COMPUTED_VALUE"""),"Kratochvíl Kryštof")</f>
        <v>Kratochvíl Kryštof</v>
      </c>
      <c r="E32" s="196" t="str">
        <f>IFERROR(__xludf.DUMMYFUNCTION("""COMPUTED_VALUE"""),"Bolevec")</f>
        <v>Bolevec</v>
      </c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9">
        <f>IFERROR(__xludf.DUMMYFUNCTION("""COMPUTED_VALUE"""),267.6)</f>
        <v>267.6</v>
      </c>
      <c r="W32" s="199">
        <f>IFERROR(__xludf.DUMMYFUNCTION("""COMPUTED_VALUE"""),0.0)</f>
        <v>0</v>
      </c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</row>
    <row r="33">
      <c r="A33" s="196" t="str">
        <f>IF(AND(B33&lt;&gt;"", C33=TRUE, E33=Report!$B$1), B33, "")</f>
        <v/>
      </c>
      <c r="B33" s="201" t="str">
        <f>IF(OR(E33=Report!$B$1, F33=Report!$B$1, G33=Report!$B$1, H33=Report!$B$1), D33, "")</f>
        <v/>
      </c>
      <c r="C33" s="196" t="b">
        <f>IFERROR(__xludf.DUMMYFUNCTION("""COMPUTED_VALUE"""),FALSE)</f>
        <v>0</v>
      </c>
      <c r="D33" s="196" t="str">
        <f>IFERROR(__xludf.DUMMYFUNCTION("""COMPUTED_VALUE"""),"Hegedüs Gergö")</f>
        <v>Hegedüs Gergö</v>
      </c>
      <c r="E33" s="196" t="str">
        <f>IFERROR(__xludf.DUMMYFUNCTION("""COMPUTED_VALUE"""),"Libuš")</f>
        <v>Libuš</v>
      </c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9">
        <f>IFERROR(__xludf.DUMMYFUNCTION("""COMPUTED_VALUE"""),214.08)</f>
        <v>214.08</v>
      </c>
      <c r="W33" s="199">
        <f>IFERROR(__xludf.DUMMYFUNCTION("""COMPUTED_VALUE"""),0.0)</f>
        <v>0</v>
      </c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</row>
    <row r="34">
      <c r="A34" s="196" t="str">
        <f>IF(AND(B34&lt;&gt;"", C34=TRUE, E34=Report!$B$1), B34, "")</f>
        <v/>
      </c>
      <c r="B34" s="201" t="str">
        <f>IF(OR(E34=Report!$B$1, F34=Report!$B$1, G34=Report!$B$1, H34=Report!$B$1), D34, "")</f>
        <v/>
      </c>
      <c r="C34" s="196" t="b">
        <f>IFERROR(__xludf.DUMMYFUNCTION("""COMPUTED_VALUE"""),FALSE)</f>
        <v>0</v>
      </c>
      <c r="D34" s="196" t="str">
        <f>IFERROR(__xludf.DUMMYFUNCTION("""COMPUTED_VALUE"""),"Barvínková Eliška")</f>
        <v>Barvínková Eliška</v>
      </c>
      <c r="E34" s="196" t="str">
        <f>IFERROR(__xludf.DUMMYFUNCTION("""COMPUTED_VALUE"""),"Libuš")</f>
        <v>Libuš</v>
      </c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9">
        <f>IFERROR(__xludf.DUMMYFUNCTION("""COMPUTED_VALUE"""),231.474)</f>
        <v>231.474</v>
      </c>
      <c r="W34" s="199">
        <f>IFERROR(__xludf.DUMMYFUNCTION("""COMPUTED_VALUE"""),0.0)</f>
        <v>0</v>
      </c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</row>
    <row r="35">
      <c r="A35" s="196" t="str">
        <f>IF(AND(B35&lt;&gt;"", C35=TRUE, E35=Report!$B$1), B35, "")</f>
        <v/>
      </c>
      <c r="B35" s="201" t="str">
        <f>IF(OR(E35=Report!$B$1, F35=Report!$B$1, G35=Report!$B$1, H35=Report!$B$1), D35, "")</f>
        <v/>
      </c>
      <c r="C35" s="196" t="b">
        <f>IFERROR(__xludf.DUMMYFUNCTION("""COMPUTED_VALUE"""),FALSE)</f>
        <v>0</v>
      </c>
      <c r="D35" s="196" t="str">
        <f>IFERROR(__xludf.DUMMYFUNCTION("""COMPUTED_VALUE"""),"Kursheva Diana")</f>
        <v>Kursheva Diana</v>
      </c>
      <c r="E35" s="196" t="str">
        <f>IFERROR(__xludf.DUMMYFUNCTION("""COMPUTED_VALUE"""),"Výroba")</f>
        <v>Výroba</v>
      </c>
      <c r="F35" s="196" t="str">
        <f>IFERROR(__xludf.DUMMYFUNCTION("""COMPUTED_VALUE"""),"Chodov")</f>
        <v>Chodov</v>
      </c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9">
        <f>IFERROR(__xludf.DUMMYFUNCTION("""COMPUTED_VALUE"""),250.20600000000002)</f>
        <v>250.206</v>
      </c>
      <c r="W35" s="199">
        <f>IFERROR(__xludf.DUMMYFUNCTION("""COMPUTED_VALUE"""),0.0)</f>
        <v>0</v>
      </c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</row>
    <row r="36">
      <c r="A36" s="196" t="str">
        <f>IF(AND(B36&lt;&gt;"", C36=TRUE, E36=Report!$B$1), B36, "")</f>
        <v/>
      </c>
      <c r="B36" s="201" t="str">
        <f>IF(OR(E36=Report!$B$1, F36=Report!$B$1, G36=Report!$B$1, H36=Report!$B$1), D36, "")</f>
        <v/>
      </c>
      <c r="C36" s="196" t="b">
        <f>IFERROR(__xludf.DUMMYFUNCTION("""COMPUTED_VALUE"""),FALSE)</f>
        <v>0</v>
      </c>
      <c r="D36" s="196" t="str">
        <f>IFERROR(__xludf.DUMMYFUNCTION("""COMPUTED_VALUE"""),"Tůma Vladimír")</f>
        <v>Tůma Vladimír</v>
      </c>
      <c r="E36" s="196" t="str">
        <f>IFERROR(__xludf.DUMMYFUNCTION("""COMPUTED_VALUE"""),"Bolevec")</f>
        <v>Bolevec</v>
      </c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9">
        <f>IFERROR(__xludf.DUMMYFUNCTION("""COMPUTED_VALUE"""),250.20600000000002)</f>
        <v>250.206</v>
      </c>
      <c r="W36" s="199">
        <f>IFERROR(__xludf.DUMMYFUNCTION("""COMPUTED_VALUE"""),0.0)</f>
        <v>0</v>
      </c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</row>
    <row r="37">
      <c r="A37" s="196" t="str">
        <f>IF(AND(B37&lt;&gt;"", C37=TRUE, E37=Report!$B$1), B37, "")</f>
        <v/>
      </c>
      <c r="B37" s="201" t="str">
        <f>IF(OR(E37=Report!$B$1, F37=Report!$B$1, G37=Report!$B$1, H37=Report!$B$1), D37, "")</f>
        <v/>
      </c>
      <c r="C37" s="196" t="b">
        <f>IFERROR(__xludf.DUMMYFUNCTION("""COMPUTED_VALUE"""),FALSE)</f>
        <v>0</v>
      </c>
      <c r="D37" s="196" t="str">
        <f>IFERROR(__xludf.DUMMYFUNCTION("""COMPUTED_VALUE"""),"Kubík Martin")</f>
        <v>Kubík Martin</v>
      </c>
      <c r="E37" s="196" t="str">
        <f>IFERROR(__xludf.DUMMYFUNCTION("""COMPUTED_VALUE"""),"Libuš")</f>
        <v>Libuš</v>
      </c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9">
        <f>IFERROR(__xludf.DUMMYFUNCTION("""COMPUTED_VALUE"""),250.20600000000002)</f>
        <v>250.206</v>
      </c>
      <c r="W37" s="199">
        <f>IFERROR(__xludf.DUMMYFUNCTION("""COMPUTED_VALUE"""),0.0)</f>
        <v>0</v>
      </c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</row>
    <row r="38">
      <c r="A38" s="196" t="str">
        <f>IF(AND(B38&lt;&gt;"", C38=TRUE, E38=Report!$B$1), B38, "")</f>
        <v/>
      </c>
      <c r="B38" s="201" t="str">
        <f>IF(OR(E38=Report!$B$1, F38=Report!$B$1, G38=Report!$B$1, H38=Report!$B$1), D38, "")</f>
        <v/>
      </c>
      <c r="C38" s="196" t="b">
        <f>IFERROR(__xludf.DUMMYFUNCTION("""COMPUTED_VALUE"""),FALSE)</f>
        <v>0</v>
      </c>
      <c r="D38" s="196" t="str">
        <f>IFERROR(__xludf.DUMMYFUNCTION("""COMPUTED_VALUE"""),"Putna Jaroslav")</f>
        <v>Putna Jaroslav</v>
      </c>
      <c r="E38" s="196" t="str">
        <f>IFERROR(__xludf.DUMMYFUNCTION("""COMPUTED_VALUE"""),"Zličín")</f>
        <v>Zličín</v>
      </c>
      <c r="F38" s="196" t="str">
        <f>IFERROR(__xludf.DUMMYFUNCTION("""COMPUTED_VALUE"""),"Prosek")</f>
        <v>Prosek</v>
      </c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9">
        <f>IFERROR(__xludf.DUMMYFUNCTION("""COMPUTED_VALUE"""),250.20600000000002)</f>
        <v>250.206</v>
      </c>
      <c r="W38" s="199">
        <f>IFERROR(__xludf.DUMMYFUNCTION("""COMPUTED_VALUE"""),0.0)</f>
        <v>0</v>
      </c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</row>
    <row r="39">
      <c r="A39" s="196" t="str">
        <f>IF(AND(B39&lt;&gt;"", C39=TRUE, E39=Report!$B$1), B39, "")</f>
        <v/>
      </c>
      <c r="B39" s="201" t="str">
        <f>IF(OR(E39=Report!$B$1, F39=Report!$B$1, G39=Report!$B$1, H39=Report!$B$1), D39, "")</f>
        <v>Kopic Jakub</v>
      </c>
      <c r="C39" s="196" t="b">
        <f>IFERROR(__xludf.DUMMYFUNCTION("""COMPUTED_VALUE"""),FALSE)</f>
        <v>0</v>
      </c>
      <c r="D39" s="196" t="str">
        <f>IFERROR(__xludf.DUMMYFUNCTION("""COMPUTED_VALUE"""),"Kopic Jakub")</f>
        <v>Kopic Jakub</v>
      </c>
      <c r="E39" s="196" t="str">
        <f>IFERROR(__xludf.DUMMYFUNCTION("""COMPUTED_VALUE"""),"Malešice")</f>
        <v>Malešice</v>
      </c>
      <c r="F39" s="196" t="str">
        <f>IFERROR(__xludf.DUMMYFUNCTION("""COMPUTED_VALUE"""),"Prosek")</f>
        <v>Prosek</v>
      </c>
      <c r="G39" s="196" t="str">
        <f>IFERROR(__xludf.DUMMYFUNCTION("""COMPUTED_VALUE"""),"Libuš")</f>
        <v>Libuš</v>
      </c>
      <c r="H39" s="196" t="str">
        <f>IFERROR(__xludf.DUMMYFUNCTION("""COMPUTED_VALUE"""),"Prosek")</f>
        <v>Prosek</v>
      </c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9">
        <f>IFERROR(__xludf.DUMMYFUNCTION("""COMPUTED_VALUE"""),250.20600000000002)</f>
        <v>250.206</v>
      </c>
      <c r="W39" s="199">
        <f>IFERROR(__xludf.DUMMYFUNCTION("""COMPUTED_VALUE"""),0.0)</f>
        <v>0</v>
      </c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</row>
    <row r="40">
      <c r="A40" s="196" t="str">
        <f>IF(AND(B40&lt;&gt;"", C40=TRUE, E40=Report!$B$1), B40, "")</f>
        <v/>
      </c>
      <c r="B40" s="201" t="str">
        <f>IF(OR(E40=Report!$B$1, F40=Report!$B$1, G40=Report!$B$1, H40=Report!$B$1), D40, "")</f>
        <v/>
      </c>
      <c r="C40" s="196" t="b">
        <f>IFERROR(__xludf.DUMMYFUNCTION("""COMPUTED_VALUE"""),FALSE)</f>
        <v>0</v>
      </c>
      <c r="D40" s="196" t="str">
        <f>IFERROR(__xludf.DUMMYFUNCTION("""COMPUTED_VALUE"""),"Fáberová Kateřina")</f>
        <v>Fáberová Kateřina</v>
      </c>
      <c r="E40" s="196" t="str">
        <f>IFERROR(__xludf.DUMMYFUNCTION("""COMPUTED_VALUE"""),"Prosek")</f>
        <v>Prosek</v>
      </c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9">
        <f>IFERROR(__xludf.DUMMYFUNCTION("""COMPUTED_VALUE"""),250.20600000000002)</f>
        <v>250.206</v>
      </c>
      <c r="W40" s="199">
        <f>IFERROR(__xludf.DUMMYFUNCTION("""COMPUTED_VALUE"""),0.0)</f>
        <v>0</v>
      </c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</row>
    <row r="41">
      <c r="A41" s="196" t="str">
        <f>IF(AND(B41&lt;&gt;"", C41=TRUE, E41=Report!$B$1), B41, "")</f>
        <v/>
      </c>
      <c r="B41" s="201" t="str">
        <f>IF(OR(E41=Report!$B$1, F41=Report!$B$1, G41=Report!$B$1, H41=Report!$B$1), D41, "")</f>
        <v/>
      </c>
      <c r="C41" s="196" t="b">
        <f>IFERROR(__xludf.DUMMYFUNCTION("""COMPUTED_VALUE"""),FALSE)</f>
        <v>0</v>
      </c>
      <c r="D41" s="196" t="str">
        <f>IFERROR(__xludf.DUMMYFUNCTION("""COMPUTED_VALUE"""),"Chlubnová Adéla")</f>
        <v>Chlubnová Adéla</v>
      </c>
      <c r="E41" s="196" t="str">
        <f>IFERROR(__xludf.DUMMYFUNCTION("""COMPUTED_VALUE"""),"Chodov")</f>
        <v>Chodov</v>
      </c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9">
        <f>IFERROR(__xludf.DUMMYFUNCTION("""COMPUTED_VALUE"""),250.20600000000002)</f>
        <v>250.206</v>
      </c>
      <c r="W41" s="199">
        <f>IFERROR(__xludf.DUMMYFUNCTION("""COMPUTED_VALUE"""),0.0)</f>
        <v>0</v>
      </c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</row>
    <row r="42">
      <c r="A42" s="196" t="str">
        <f>IF(AND(B42&lt;&gt;"", C42=TRUE, E42=Report!$B$1), B42, "")</f>
        <v/>
      </c>
      <c r="B42" s="201" t="str">
        <f>IF(OR(E42=Report!$B$1, F42=Report!$B$1, G42=Report!$B$1, H42=Report!$B$1), D42, "")</f>
        <v/>
      </c>
      <c r="C42" s="196" t="b">
        <f>IFERROR(__xludf.DUMMYFUNCTION("""COMPUTED_VALUE"""),FALSE)</f>
        <v>0</v>
      </c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9">
        <f>IFERROR(__xludf.DUMMYFUNCTION("""COMPUTED_VALUE"""),0.0)</f>
        <v>0</v>
      </c>
      <c r="W42" s="199">
        <f>IFERROR(__xludf.DUMMYFUNCTION("""COMPUTED_VALUE"""),0.0)</f>
        <v>0</v>
      </c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</row>
    <row r="43">
      <c r="A43" s="196" t="str">
        <f>IF(AND(B43&lt;&gt;"", C43=TRUE, E43=Report!$B$1), B43, "")</f>
        <v/>
      </c>
      <c r="B43" s="201" t="str">
        <f>IF(OR(E43=Report!$B$1, F43=Report!$B$1, G43=Report!$B$1, H43=Report!$B$1), D43, "")</f>
        <v/>
      </c>
      <c r="C43" s="196" t="b">
        <f>IFERROR(__xludf.DUMMYFUNCTION("""COMPUTED_VALUE"""),FALSE)</f>
        <v>0</v>
      </c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9">
        <f>IFERROR(__xludf.DUMMYFUNCTION("""COMPUTED_VALUE"""),0.0)</f>
        <v>0</v>
      </c>
      <c r="W43" s="199">
        <f>IFERROR(__xludf.DUMMYFUNCTION("""COMPUTED_VALUE"""),0.0)</f>
        <v>0</v>
      </c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</row>
    <row r="44">
      <c r="A44" s="196"/>
      <c r="B44" s="202" t="str">
        <f>IF(OR(E44=Report!$B$1, F44=Report!$B$1, G44=Report!$B$1, H44=Report!$B$1), D44, "")</f>
        <v/>
      </c>
      <c r="C44" s="196" t="b">
        <f>IFERROR(__xludf.DUMMYFUNCTION("""COMPUTED_VALUE"""),FALSE)</f>
        <v>0</v>
      </c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9">
        <f>IFERROR(__xludf.DUMMYFUNCTION("""COMPUTED_VALUE"""),0.0)</f>
        <v>0</v>
      </c>
      <c r="W44" s="199">
        <f>IFERROR(__xludf.DUMMYFUNCTION("""COMPUTED_VALUE"""),0.0)</f>
        <v>0</v>
      </c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</row>
    <row r="45">
      <c r="A45" s="196"/>
      <c r="B45" s="202" t="str">
        <f>IF(OR(E45=Report!$B$1, F45=Report!$B$1, G45=Report!$B$1, H45=Report!$B$1), D45, "")</f>
        <v/>
      </c>
      <c r="C45" s="196" t="b">
        <f>IFERROR(__xludf.DUMMYFUNCTION("""COMPUTED_VALUE"""),FALSE)</f>
        <v>0</v>
      </c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9">
        <f>IFERROR(__xludf.DUMMYFUNCTION("""COMPUTED_VALUE"""),0.0)</f>
        <v>0</v>
      </c>
      <c r="W45" s="199">
        <f>IFERROR(__xludf.DUMMYFUNCTION("""COMPUTED_VALUE"""),0.0)</f>
        <v>0</v>
      </c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</row>
    <row r="46">
      <c r="A46" s="196"/>
      <c r="B46" s="202" t="str">
        <f>IF(OR(E46=Report!$B$1, F46=Report!$B$1, G46=Report!$B$1, H46=Report!$B$1), D46, "")</f>
        <v/>
      </c>
      <c r="C46" s="196" t="b">
        <f>IFERROR(__xludf.DUMMYFUNCTION("""COMPUTED_VALUE"""),FALSE)</f>
        <v>0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9">
        <f>IFERROR(__xludf.DUMMYFUNCTION("""COMPUTED_VALUE"""),0.0)</f>
        <v>0</v>
      </c>
      <c r="W46" s="199">
        <f>IFERROR(__xludf.DUMMYFUNCTION("""COMPUTED_VALUE"""),0.0)</f>
        <v>0</v>
      </c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</row>
    <row r="47">
      <c r="A47" s="196"/>
      <c r="B47" s="202" t="str">
        <f>IF(OR(E47=Report!$B$1, F47=Report!$B$1, G47=Report!$B$1, H47=Report!$B$1), D47, "")</f>
        <v/>
      </c>
      <c r="C47" s="196" t="b">
        <f>IFERROR(__xludf.DUMMYFUNCTION("""COMPUTED_VALUE"""),FALSE)</f>
        <v>0</v>
      </c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9">
        <f>IFERROR(__xludf.DUMMYFUNCTION("""COMPUTED_VALUE"""),0.0)</f>
        <v>0</v>
      </c>
      <c r="W47" s="199">
        <f>IFERROR(__xludf.DUMMYFUNCTION("""COMPUTED_VALUE"""),0.0)</f>
        <v>0</v>
      </c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</row>
    <row r="48">
      <c r="A48" s="196"/>
      <c r="B48" s="202" t="str">
        <f>IF(OR(E48=Report!$B$1, F48=Report!$B$1, G48=Report!$B$1, H48=Report!$B$1), D48, "")</f>
        <v/>
      </c>
      <c r="C48" s="196" t="b">
        <f>IFERROR(__xludf.DUMMYFUNCTION("""COMPUTED_VALUE"""),FALSE)</f>
        <v>0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9">
        <f>IFERROR(__xludf.DUMMYFUNCTION("""COMPUTED_VALUE"""),0.0)</f>
        <v>0</v>
      </c>
      <c r="W48" s="199">
        <f>IFERROR(__xludf.DUMMYFUNCTION("""COMPUTED_VALUE"""),0.0)</f>
        <v>0</v>
      </c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</row>
    <row r="49">
      <c r="A49" s="196"/>
      <c r="B49" s="202" t="str">
        <f>IF(OR(E49=Report!$B$1, F49=Report!$B$1, G49=Report!$B$1, H49=Report!$B$1), D49, "")</f>
        <v/>
      </c>
      <c r="C49" s="196" t="b">
        <f>IFERROR(__xludf.DUMMYFUNCTION("""COMPUTED_VALUE"""),FALSE)</f>
        <v>0</v>
      </c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9">
        <f>IFERROR(__xludf.DUMMYFUNCTION("""COMPUTED_VALUE"""),0.0)</f>
        <v>0</v>
      </c>
      <c r="W49" s="199">
        <f>IFERROR(__xludf.DUMMYFUNCTION("""COMPUTED_VALUE"""),0.0)</f>
        <v>0</v>
      </c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</row>
    <row r="50">
      <c r="A50" s="196"/>
      <c r="B50" s="202" t="str">
        <f>IF(OR(E50=Report!$B$1, F50=Report!$B$1, G50=Report!$B$1, H50=Report!$B$1), D50, "")</f>
        <v/>
      </c>
      <c r="C50" s="196" t="b">
        <f>IFERROR(__xludf.DUMMYFUNCTION("""COMPUTED_VALUE"""),FALSE)</f>
        <v>0</v>
      </c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9">
        <f>IFERROR(__xludf.DUMMYFUNCTION("""COMPUTED_VALUE"""),0.0)</f>
        <v>0</v>
      </c>
      <c r="W50" s="199">
        <f>IFERROR(__xludf.DUMMYFUNCTION("""COMPUTED_VALUE"""),0.0)</f>
        <v>0</v>
      </c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</row>
    <row r="51">
      <c r="A51" s="196"/>
      <c r="B51" s="202" t="str">
        <f>IF(OR(E51=Report!$B$1, F51=Report!$B$1, G51=Report!$B$1, H51=Report!$B$1), D51, "")</f>
        <v/>
      </c>
      <c r="C51" s="196" t="b">
        <f>IFERROR(__xludf.DUMMYFUNCTION("""COMPUTED_VALUE"""),FALSE)</f>
        <v>0</v>
      </c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9">
        <f>IFERROR(__xludf.DUMMYFUNCTION("""COMPUTED_VALUE"""),0.0)</f>
        <v>0</v>
      </c>
      <c r="W51" s="199">
        <f>IFERROR(__xludf.DUMMYFUNCTION("""COMPUTED_VALUE"""),0.0)</f>
        <v>0</v>
      </c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</row>
    <row r="52">
      <c r="A52" s="196"/>
      <c r="B52" s="202" t="str">
        <f>IF(OR(E52=Report!$B$1, F52=Report!$B$1, G52=Report!$B$1, H52=Report!$B$1), D52, "")</f>
        <v/>
      </c>
      <c r="C52" s="196" t="b">
        <f>IFERROR(__xludf.DUMMYFUNCTION("""COMPUTED_VALUE"""),FALSE)</f>
        <v>0</v>
      </c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9">
        <f>IFERROR(__xludf.DUMMYFUNCTION("""COMPUTED_VALUE"""),0.0)</f>
        <v>0</v>
      </c>
      <c r="W52" s="199">
        <f>IFERROR(__xludf.DUMMYFUNCTION("""COMPUTED_VALUE"""),0.0)</f>
        <v>0</v>
      </c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</row>
    <row r="53">
      <c r="A53" s="196"/>
      <c r="B53" s="202" t="str">
        <f>IF(OR(E53=Report!$B$1, F53=Report!$B$1, G53=Report!$B$1, H53=Report!$B$1), D53, "")</f>
        <v/>
      </c>
      <c r="C53" s="196" t="b">
        <f>IFERROR(__xludf.DUMMYFUNCTION("""COMPUTED_VALUE"""),FALSE)</f>
        <v>0</v>
      </c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9">
        <f>IFERROR(__xludf.DUMMYFUNCTION("""COMPUTED_VALUE"""),0.0)</f>
        <v>0</v>
      </c>
      <c r="W53" s="199">
        <f>IFERROR(__xludf.DUMMYFUNCTION("""COMPUTED_VALUE"""),0.0)</f>
        <v>0</v>
      </c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</row>
    <row r="54">
      <c r="A54" s="196"/>
      <c r="B54" s="202" t="str">
        <f>IF(OR(E54=Report!$B$1, F54=Report!$B$1, G54=Report!$B$1, H54=Report!$B$1), D54, "")</f>
        <v/>
      </c>
      <c r="C54" s="196" t="b">
        <f>IFERROR(__xludf.DUMMYFUNCTION("""COMPUTED_VALUE"""),FALSE)</f>
        <v>0</v>
      </c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9">
        <f>IFERROR(__xludf.DUMMYFUNCTION("""COMPUTED_VALUE"""),0.0)</f>
        <v>0</v>
      </c>
      <c r="W54" s="199">
        <f>IFERROR(__xludf.DUMMYFUNCTION("""COMPUTED_VALUE"""),0.0)</f>
        <v>0</v>
      </c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</row>
    <row r="55">
      <c r="A55" s="196"/>
      <c r="B55" s="202" t="str">
        <f>IF(OR(E55=Report!$B$1, F55=Report!$B$1, G55=Report!$B$1, H55=Report!$B$1), D55, "")</f>
        <v/>
      </c>
      <c r="C55" s="196" t="b">
        <f>IFERROR(__xludf.DUMMYFUNCTION("""COMPUTED_VALUE"""),FALSE)</f>
        <v>0</v>
      </c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9">
        <f>IFERROR(__xludf.DUMMYFUNCTION("""COMPUTED_VALUE"""),0.0)</f>
        <v>0</v>
      </c>
      <c r="W55" s="199">
        <f>IFERROR(__xludf.DUMMYFUNCTION("""COMPUTED_VALUE"""),0.0)</f>
        <v>0</v>
      </c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</row>
    <row r="56">
      <c r="A56" s="196"/>
      <c r="B56" s="202" t="str">
        <f>IF(OR(E56=Report!$B$1, F56=Report!$B$1, G56=Report!$B$1, H56=Report!$B$1), D56, "")</f>
        <v/>
      </c>
      <c r="C56" s="196" t="b">
        <f>IFERROR(__xludf.DUMMYFUNCTION("""COMPUTED_VALUE"""),FALSE)</f>
        <v>0</v>
      </c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9">
        <f>IFERROR(__xludf.DUMMYFUNCTION("""COMPUTED_VALUE"""),250.20600000000002)</f>
        <v>250.206</v>
      </c>
      <c r="W56" s="199">
        <f>IFERROR(__xludf.DUMMYFUNCTION("""COMPUTED_VALUE"""),0.0)</f>
        <v>0</v>
      </c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</row>
    <row r="57">
      <c r="A57" s="196"/>
      <c r="B57" s="202" t="str">
        <f>IF(OR(E57=Report!$B$1, F57=Report!$B$1, G57=Report!$B$1, H57=Report!$B$1), D57, "")</f>
        <v/>
      </c>
      <c r="C57" s="196" t="b">
        <f>IFERROR(__xludf.DUMMYFUNCTION("""COMPUTED_VALUE"""),FALSE)</f>
        <v>0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9">
        <f>IFERROR(__xludf.DUMMYFUNCTION("""COMPUTED_VALUE"""),0.0)</f>
        <v>0</v>
      </c>
      <c r="W57" s="199">
        <f>IFERROR(__xludf.DUMMYFUNCTION("""COMPUTED_VALUE"""),0.0)</f>
        <v>0</v>
      </c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</row>
    <row r="58">
      <c r="A58" s="196"/>
      <c r="B58" s="202" t="str">
        <f>IF(OR(E58=Report!$B$1, F58=Report!$B$1, G58=Report!$B$1, H58=Report!$B$1), D58, "")</f>
        <v/>
      </c>
      <c r="C58" s="196"/>
      <c r="D58" s="196" t="str">
        <f>IFERROR(__xludf.DUMMYFUNCTION("""COMPUTED_VALUE"""),"End")</f>
        <v>End</v>
      </c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9">
        <f>IFERROR(__xludf.DUMMYFUNCTION("""COMPUTED_VALUE"""),0.0)</f>
        <v>0</v>
      </c>
      <c r="W58" s="199">
        <f>IFERROR(__xludf.DUMMYFUNCTION("""COMPUTED_VALUE"""),0.0)</f>
        <v>0</v>
      </c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</row>
    <row r="59">
      <c r="A59" s="196"/>
      <c r="B59" s="202" t="str">
        <f>IF(OR(E59=Report!$B$1, F59=Report!$B$1, G59=Report!$B$1, H59=Report!$B$1), D59, "")</f>
        <v/>
      </c>
      <c r="C59" s="196"/>
      <c r="D59" s="196" t="str">
        <f>IFERROR(__xludf.DUMMYFUNCTION("""COMPUTED_VALUE"""),"Suma instor")</f>
        <v>Suma instor</v>
      </c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9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</row>
    <row r="60">
      <c r="A60" s="196"/>
      <c r="B60" s="202" t="str">
        <f>IF(OR(E60=Report!$B$1, F60=Report!$B$1, G60=Report!$B$1, H60=Report!$B$1), D60, "")</f>
        <v/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9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</row>
    <row r="61">
      <c r="A61" s="196"/>
      <c r="B61" s="201" t="str">
        <f>IF(OR(E61=Report!$B$1, F61=Report!$B$1, G61=Report!$B$1, H61=Report!$B$1), D61, "")</f>
        <v/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9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</row>
    <row r="62">
      <c r="A62" s="196"/>
      <c r="B62" s="201" t="str">
        <f>IF(OR(E62=Report!$B$1, F62=Report!$B$1, G62=Report!$B$1, H62=Report!$B$1), D62, "")</f>
        <v/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9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</row>
    <row r="63">
      <c r="A63" s="196"/>
      <c r="B63" s="201" t="str">
        <f>IF(OR(E63=Report!$B$1, F63=Report!$B$1, G63=Report!$B$1, H63=Report!$B$1), D63, "")</f>
        <v/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9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</row>
    <row r="64">
      <c r="A64" s="196"/>
      <c r="B64" s="201" t="str">
        <f>IF(OR(E64=Report!$B$1, F64=Report!$B$1, G64=Report!$B$1, H64=Report!$B$1), D64, "")</f>
        <v/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9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</row>
    <row r="65">
      <c r="A65" s="196"/>
      <c r="B65" s="201" t="str">
        <f>IF(OR(E65=Report!$B$1, F65=Report!$B$1, G65=Report!$B$1, H65=Report!$B$1), D65, "")</f>
        <v/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9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</row>
    <row r="66">
      <c r="A66" s="196"/>
      <c r="B66" s="201" t="str">
        <f>IF(OR(E66=Report!$B$1, F66=Report!$B$1, G66=Report!$B$1, H66=Report!$B$1), D66, "")</f>
        <v/>
      </c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9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</row>
    <row r="67">
      <c r="A67" s="196"/>
      <c r="B67" s="201" t="str">
        <f>IF(OR(E67=Report!$B$1, F67=Report!$B$1, G67=Report!$B$1, H67=Report!$B$1), D67, "")</f>
        <v/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9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</row>
    <row r="68">
      <c r="A68" s="196"/>
      <c r="B68" s="201" t="str">
        <f>IF(OR(E68=Report!$B$1, F68=Report!$B$1, G68=Report!$B$1, H68=Report!$B$1), D68, "")</f>
        <v/>
      </c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9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</row>
    <row r="69">
      <c r="A69" s="196"/>
      <c r="B69" s="201" t="str">
        <f>IF(OR(E69=Report!$B$1, F69=Report!$B$1, G69=Report!$B$1, H69=Report!$B$1), D69, "")</f>
        <v/>
      </c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9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</row>
    <row r="70">
      <c r="A70" s="196"/>
      <c r="B70" s="201" t="str">
        <f>IF(OR(E70=Report!$B$1, F70=Report!$B$1, G70=Report!$B$1, H70=Report!$B$1), D70, "")</f>
        <v/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9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</row>
    <row r="71">
      <c r="A71" s="196"/>
      <c r="B71" s="201" t="str">
        <f>IF(OR(E71=Report!$B$1, F71=Report!$B$1, G71=Report!$B$1, H71=Report!$B$1), D71, "")</f>
        <v/>
      </c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9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</row>
    <row r="72">
      <c r="A72" s="196"/>
      <c r="B72" s="201" t="str">
        <f>IF(OR(E72=Report!$B$1, F72=Report!$B$1, G72=Report!$B$1, H72=Report!$B$1), D72, "")</f>
        <v/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9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</row>
    <row r="73">
      <c r="A73" s="196"/>
      <c r="B73" s="201" t="str">
        <f>IF(OR(E73=Report!$B$1, F73=Report!$B$1, G73=Report!$B$1, H73=Report!$B$1), D73, "")</f>
        <v/>
      </c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9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</row>
    <row r="74">
      <c r="A74" s="196"/>
      <c r="B74" s="201" t="str">
        <f>IF(OR(E74=Report!$B$1, F74=Report!$B$1, G74=Report!$B$1, H74=Report!$B$1), D74, "")</f>
        <v/>
      </c>
      <c r="C74" s="196" t="str">
        <f>IFERROR(__xludf.DUMMYFUNCTION("""COMPUTED_VALUE"""),"Manažer")</f>
        <v>Manažer</v>
      </c>
      <c r="D74" s="196" t="str">
        <f>IFERROR(__xludf.DUMMYFUNCTION("""COMPUTED_VALUE"""),"Kurýr")</f>
        <v>Kurýr</v>
      </c>
      <c r="E74" s="196" t="str">
        <f>IFERROR(__xludf.DUMMYFUNCTION("""COMPUTED_VALUE"""),"První domácí,          Pobočky max 4    ")</f>
        <v>První domácí,          Pobočky max 4    </v>
      </c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 t="str">
        <f>IFERROR(__xludf.DUMMYFUNCTION("""COMPUTED_VALUE"""),"Sp.hr. / h")</f>
        <v>Sp.hr. / h</v>
      </c>
      <c r="W74" s="199" t="str">
        <f>IFERROR(__xludf.DUMMYFUNCTION("""COMPUTED_VALUE"""),"Sp.hr. / den")</f>
        <v>Sp.hr. / den</v>
      </c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</row>
    <row r="75">
      <c r="A75" s="196"/>
      <c r="B75" s="201" t="str">
        <f>IF(OR(E75=Report!$B$1, F75=Report!$B$1, G75=Report!$B$1, H75=Report!$B$1), D75, "")</f>
        <v>Jurkovič Martin</v>
      </c>
      <c r="C75" s="196" t="b">
        <f>IFERROR(__xludf.DUMMYFUNCTION("""COMPUTED_VALUE"""),FALSE)</f>
        <v>0</v>
      </c>
      <c r="D75" s="196" t="str">
        <f>IFERROR(__xludf.DUMMYFUNCTION("""COMPUTED_VALUE"""),"Jurkovič Martin")</f>
        <v>Jurkovič Martin</v>
      </c>
      <c r="E75" s="196" t="str">
        <f>IFERROR(__xludf.DUMMYFUNCTION("""COMPUTED_VALUE"""),"Libuš")</f>
        <v>Libuš</v>
      </c>
      <c r="F75" s="196" t="str">
        <f>IFERROR(__xludf.DUMMYFUNCTION("""COMPUTED_VALUE"""),"Chodov")</f>
        <v>Chodov</v>
      </c>
      <c r="G75" s="196" t="str">
        <f>IFERROR(__xludf.DUMMYFUNCTION("""COMPUTED_VALUE"""),"Malešice")</f>
        <v>Malešice</v>
      </c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9">
        <f>IFERROR(__xludf.DUMMYFUNCTION("""COMPUTED_VALUE"""),150.0)</f>
        <v>150</v>
      </c>
      <c r="W75" s="199">
        <f>IFERROR(__xludf.DUMMYFUNCTION("""COMPUTED_VALUE"""),0.0)</f>
        <v>0</v>
      </c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</row>
    <row r="76">
      <c r="A76" s="196"/>
      <c r="B76" s="201" t="str">
        <f>IF(OR(E76=Report!$B$1, F76=Report!$B$1, G76=Report!$B$1, H76=Report!$B$1), D76, "")</f>
        <v/>
      </c>
      <c r="C76" s="196" t="b">
        <f>IFERROR(__xludf.DUMMYFUNCTION("""COMPUTED_VALUE"""),FALSE)</f>
        <v>0</v>
      </c>
      <c r="D76" s="196" t="str">
        <f>IFERROR(__xludf.DUMMYFUNCTION("""COMPUTED_VALUE"""),"Navrátil Ondřej")</f>
        <v>Navrátil Ondřej</v>
      </c>
      <c r="E76" s="196" t="str">
        <f>IFERROR(__xludf.DUMMYFUNCTION("""COMPUTED_VALUE"""),"Chodov")</f>
        <v>Chodov</v>
      </c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9">
        <f>IFERROR(__xludf.DUMMYFUNCTION("""COMPUTED_VALUE"""),267.6)</f>
        <v>267.6</v>
      </c>
      <c r="W76" s="199">
        <f>IFERROR(__xludf.DUMMYFUNCTION("""COMPUTED_VALUE"""),0.0)</f>
        <v>0</v>
      </c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</row>
    <row r="77">
      <c r="A77" s="196"/>
      <c r="B77" s="201" t="str">
        <f>IF(OR(E77=Report!$B$1, F77=Report!$B$1, G77=Report!$B$1, H77=Report!$B$1), D77, "")</f>
        <v/>
      </c>
      <c r="C77" s="196" t="b">
        <f>IFERROR(__xludf.DUMMYFUNCTION("""COMPUTED_VALUE"""),FALSE)</f>
        <v>0</v>
      </c>
      <c r="D77" s="196" t="str">
        <f>IFERROR(__xludf.DUMMYFUNCTION("""COMPUTED_VALUE"""),"Němec Filip")</f>
        <v>Němec Filip</v>
      </c>
      <c r="E77" s="196" t="str">
        <f>IFERROR(__xludf.DUMMYFUNCTION("""COMPUTED_VALUE"""),"Zličín")</f>
        <v>Zličín</v>
      </c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9">
        <f>IFERROR(__xludf.DUMMYFUNCTION("""COMPUTED_VALUE"""),231.474)</f>
        <v>231.474</v>
      </c>
      <c r="W77" s="199">
        <f>IFERROR(__xludf.DUMMYFUNCTION("""COMPUTED_VALUE"""),0.0)</f>
        <v>0</v>
      </c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</row>
    <row r="78">
      <c r="A78" s="196"/>
      <c r="B78" s="201" t="str">
        <f>IF(OR(E78=Report!$B$1, F78=Report!$B$1, G78=Report!$B$1, H78=Report!$B$1), D78, "")</f>
        <v/>
      </c>
      <c r="C78" s="196" t="b">
        <f>IFERROR(__xludf.DUMMYFUNCTION("""COMPUTED_VALUE"""),FALSE)</f>
        <v>0</v>
      </c>
      <c r="D78" s="196" t="str">
        <f>IFERROR(__xludf.DUMMYFUNCTION("""COMPUTED_VALUE"""),"Zimmer Jakub")</f>
        <v>Zimmer Jakub</v>
      </c>
      <c r="E78" s="196" t="str">
        <f>IFERROR(__xludf.DUMMYFUNCTION("""COMPUTED_VALUE"""),"Zličín")</f>
        <v>Zličín</v>
      </c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9">
        <f>IFERROR(__xludf.DUMMYFUNCTION("""COMPUTED_VALUE"""),267.6)</f>
        <v>267.6</v>
      </c>
      <c r="W78" s="199">
        <f>IFERROR(__xludf.DUMMYFUNCTION("""COMPUTED_VALUE"""),0.0)</f>
        <v>0</v>
      </c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</row>
    <row r="79">
      <c r="A79" s="196"/>
      <c r="B79" s="201" t="str">
        <f>IF(OR(E79=Report!$B$1, F79=Report!$B$1, G79=Report!$B$1, H79=Report!$B$1), D79, "")</f>
        <v/>
      </c>
      <c r="C79" s="196" t="b">
        <f>IFERROR(__xludf.DUMMYFUNCTION("""COMPUTED_VALUE"""),FALSE)</f>
        <v>0</v>
      </c>
      <c r="D79" s="196" t="str">
        <f>IFERROR(__xludf.DUMMYFUNCTION("""COMPUTED_VALUE"""),"Nekolný Vladimír")</f>
        <v>Nekolný Vladimír</v>
      </c>
      <c r="E79" s="196" t="str">
        <f>IFERROR(__xludf.DUMMYFUNCTION("""COMPUTED_VALUE"""),"Chodov")</f>
        <v>Chodov</v>
      </c>
      <c r="F79" s="196" t="str">
        <f>IFERROR(__xludf.DUMMYFUNCTION("""COMPUTED_VALUE"""),"Libuš")</f>
        <v>Libuš</v>
      </c>
      <c r="G79" s="196" t="str">
        <f>IFERROR(__xludf.DUMMYFUNCTION("""COMPUTED_VALUE"""),"Zličín")</f>
        <v>Zličín</v>
      </c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9">
        <f>IFERROR(__xludf.DUMMYFUNCTION("""COMPUTED_VALUE"""),231.474)</f>
        <v>231.474</v>
      </c>
      <c r="W79" s="199">
        <f>IFERROR(__xludf.DUMMYFUNCTION("""COMPUTED_VALUE"""),0.0)</f>
        <v>0</v>
      </c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</row>
    <row r="80">
      <c r="A80" s="196"/>
      <c r="B80" s="201" t="str">
        <f>IF(OR(E80=Report!$B$1, F80=Report!$B$1, G80=Report!$B$1, H80=Report!$B$1), D80, "")</f>
        <v>Hanibal Filip</v>
      </c>
      <c r="C80" s="196" t="b">
        <f>IFERROR(__xludf.DUMMYFUNCTION("""COMPUTED_VALUE"""),FALSE)</f>
        <v>0</v>
      </c>
      <c r="D80" s="196" t="str">
        <f>IFERROR(__xludf.DUMMYFUNCTION("""COMPUTED_VALUE"""),"Hanibal Filip")</f>
        <v>Hanibal Filip</v>
      </c>
      <c r="E80" s="196" t="str">
        <f>IFERROR(__xludf.DUMMYFUNCTION("""COMPUTED_VALUE"""),"Malešice")</f>
        <v>Malešice</v>
      </c>
      <c r="F80" s="196" t="str">
        <f>IFERROR(__xludf.DUMMYFUNCTION("""COMPUTED_VALUE"""),"Libuš")</f>
        <v>Libuš</v>
      </c>
      <c r="G80" s="196" t="str">
        <f>IFERROR(__xludf.DUMMYFUNCTION("""COMPUTED_VALUE"""),"Prosek")</f>
        <v>Prosek</v>
      </c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9">
        <f>IFERROR(__xludf.DUMMYFUNCTION("""COMPUTED_VALUE"""),250.20600000000002)</f>
        <v>250.206</v>
      </c>
      <c r="W80" s="199">
        <f>IFERROR(__xludf.DUMMYFUNCTION("""COMPUTED_VALUE"""),0.0)</f>
        <v>0</v>
      </c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</row>
    <row r="81">
      <c r="A81" s="196"/>
      <c r="B81" s="201" t="str">
        <f>IF(OR(E81=Report!$B$1, F81=Report!$B$1, G81=Report!$B$1, H81=Report!$B$1), D81, "")</f>
        <v>Novák Jakub</v>
      </c>
      <c r="C81" s="196" t="b">
        <f>IFERROR(__xludf.DUMMYFUNCTION("""COMPUTED_VALUE"""),FALSE)</f>
        <v>0</v>
      </c>
      <c r="D81" s="196" t="str">
        <f>IFERROR(__xludf.DUMMYFUNCTION("""COMPUTED_VALUE"""),"Novák Jakub")</f>
        <v>Novák Jakub</v>
      </c>
      <c r="E81" s="196" t="str">
        <f>IFERROR(__xludf.DUMMYFUNCTION("""COMPUTED_VALUE"""),"Zličín")</f>
        <v>Zličín</v>
      </c>
      <c r="F81" s="196" t="str">
        <f>IFERROR(__xludf.DUMMYFUNCTION("""COMPUTED_VALUE"""),"Malešice")</f>
        <v>Malešice</v>
      </c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9">
        <f>IFERROR(__xludf.DUMMYFUNCTION("""COMPUTED_VALUE"""),231.474)</f>
        <v>231.474</v>
      </c>
      <c r="W81" s="199">
        <f>IFERROR(__xludf.DUMMYFUNCTION("""COMPUTED_VALUE"""),0.0)</f>
        <v>0</v>
      </c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</row>
    <row r="82">
      <c r="A82" s="196"/>
      <c r="B82" s="201" t="str">
        <f>IF(OR(E82=Report!$B$1, F82=Report!$B$1, G82=Report!$B$1, H82=Report!$B$1), D82, "")</f>
        <v/>
      </c>
      <c r="C82" s="196" t="b">
        <f>IFERROR(__xludf.DUMMYFUNCTION("""COMPUTED_VALUE"""),FALSE)</f>
        <v>0</v>
      </c>
      <c r="D82" s="196" t="str">
        <f>IFERROR(__xludf.DUMMYFUNCTION("""COMPUTED_VALUE"""),"Černohorský Otakar")</f>
        <v>Černohorský Otakar</v>
      </c>
      <c r="E82" s="196" t="str">
        <f>IFERROR(__xludf.DUMMYFUNCTION("""COMPUTED_VALUE"""),"Zličín")</f>
        <v>Zličín</v>
      </c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9">
        <f>IFERROR(__xludf.DUMMYFUNCTION("""COMPUTED_VALUE"""),231.474)</f>
        <v>231.474</v>
      </c>
      <c r="W82" s="199">
        <f>IFERROR(__xludf.DUMMYFUNCTION("""COMPUTED_VALUE"""),0.0)</f>
        <v>0</v>
      </c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</row>
    <row r="83">
      <c r="A83" s="196"/>
      <c r="B83" s="201" t="str">
        <f>IF(OR(E83=Report!$B$1, F83=Report!$B$1, G83=Report!$B$1, H83=Report!$B$1), D83, "")</f>
        <v/>
      </c>
      <c r="C83" s="196" t="b">
        <f>IFERROR(__xludf.DUMMYFUNCTION("""COMPUTED_VALUE"""),FALSE)</f>
        <v>0</v>
      </c>
      <c r="D83" s="196" t="str">
        <f>IFERROR(__xludf.DUMMYFUNCTION("""COMPUTED_VALUE"""),"Nedvěd Dominik")</f>
        <v>Nedvěd Dominik</v>
      </c>
      <c r="E83" s="196" t="str">
        <f>IFERROR(__xludf.DUMMYFUNCTION("""COMPUTED_VALUE"""),"Libuš")</f>
        <v>Libuš</v>
      </c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9">
        <f>IFERROR(__xludf.DUMMYFUNCTION("""COMPUTED_VALUE"""),231.474)</f>
        <v>231.474</v>
      </c>
      <c r="W83" s="199">
        <f>IFERROR(__xludf.DUMMYFUNCTION("""COMPUTED_VALUE"""),0.0)</f>
        <v>0</v>
      </c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</row>
    <row r="84">
      <c r="A84" s="196"/>
      <c r="B84" s="201" t="str">
        <f>IF(OR(E84=Report!$B$1, F84=Report!$B$1, G84=Report!$B$1, H84=Report!$B$1), D84, "")</f>
        <v/>
      </c>
      <c r="C84" s="196" t="b">
        <f>IFERROR(__xludf.DUMMYFUNCTION("""COMPUTED_VALUE"""),FALSE)</f>
        <v>0</v>
      </c>
      <c r="D84" s="196" t="str">
        <f>IFERROR(__xludf.DUMMYFUNCTION("""COMPUTED_VALUE"""),"Lanský Zoltan")</f>
        <v>Lanský Zoltan</v>
      </c>
      <c r="E84" s="196" t="str">
        <f>IFERROR(__xludf.DUMMYFUNCTION("""COMPUTED_VALUE"""),"Chodov")</f>
        <v>Chodov</v>
      </c>
      <c r="F84" s="196" t="str">
        <f>IFERROR(__xludf.DUMMYFUNCTION("""COMPUTED_VALUE"""),"Libuš")</f>
        <v>Libuš</v>
      </c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9">
        <f>IFERROR(__xludf.DUMMYFUNCTION("""COMPUTED_VALUE"""),250.20600000000002)</f>
        <v>250.206</v>
      </c>
      <c r="W84" s="199">
        <f>IFERROR(__xludf.DUMMYFUNCTION("""COMPUTED_VALUE"""),0.0)</f>
        <v>0</v>
      </c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</row>
    <row r="85">
      <c r="A85" s="196"/>
      <c r="B85" s="201" t="str">
        <f>IF(OR(E85=Report!$B$1, F85=Report!$B$1, G85=Report!$B$1, H85=Report!$B$1), D85, "")</f>
        <v/>
      </c>
      <c r="C85" s="196" t="b">
        <f>IFERROR(__xludf.DUMMYFUNCTION("""COMPUTED_VALUE"""),FALSE)</f>
        <v>0</v>
      </c>
      <c r="D85" s="196" t="str">
        <f>IFERROR(__xludf.DUMMYFUNCTION("""COMPUTED_VALUE"""),"Lowe Jana")</f>
        <v>Lowe Jana</v>
      </c>
      <c r="E85" s="196" t="str">
        <f>IFERROR(__xludf.DUMMYFUNCTION("""COMPUTED_VALUE"""),"Zličín")</f>
        <v>Zličín</v>
      </c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9">
        <f>IFERROR(__xludf.DUMMYFUNCTION("""COMPUTED_VALUE"""),150.0)</f>
        <v>150</v>
      </c>
      <c r="W85" s="199">
        <f>IFERROR(__xludf.DUMMYFUNCTION("""COMPUTED_VALUE"""),0.0)</f>
        <v>0</v>
      </c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</row>
    <row r="86">
      <c r="A86" s="196"/>
      <c r="B86" s="201" t="str">
        <f>IF(OR(E86=Report!$B$1, F86=Report!$B$1, G86=Report!$B$1, H86=Report!$B$1), D86, "")</f>
        <v/>
      </c>
      <c r="C86" s="196" t="b">
        <f>IFERROR(__xludf.DUMMYFUNCTION("""COMPUTED_VALUE"""),FALSE)</f>
        <v>0</v>
      </c>
      <c r="D86" s="196" t="str">
        <f>IFERROR(__xludf.DUMMYFUNCTION("""COMPUTED_VALUE"""),"Mikuš Pavel")</f>
        <v>Mikuš Pavel</v>
      </c>
      <c r="E86" s="196" t="str">
        <f>IFERROR(__xludf.DUMMYFUNCTION("""COMPUTED_VALUE"""),"Prosek")</f>
        <v>Prosek</v>
      </c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9">
        <f>IFERROR(__xludf.DUMMYFUNCTION("""COMPUTED_VALUE"""),250.20600000000002)</f>
        <v>250.206</v>
      </c>
      <c r="W86" s="199">
        <f>IFERROR(__xludf.DUMMYFUNCTION("""COMPUTED_VALUE"""),0.0)</f>
        <v>0</v>
      </c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</row>
    <row r="87">
      <c r="A87" s="196"/>
      <c r="B87" s="201" t="str">
        <f>IF(OR(E87=Report!$B$1, F87=Report!$B$1, G87=Report!$B$1, H87=Report!$B$1), D87, "")</f>
        <v/>
      </c>
      <c r="C87" s="196" t="b">
        <f>IFERROR(__xludf.DUMMYFUNCTION("""COMPUTED_VALUE"""),FALSE)</f>
        <v>0</v>
      </c>
      <c r="D87" s="196" t="str">
        <f>IFERROR(__xludf.DUMMYFUNCTION("""COMPUTED_VALUE"""),"Hyský Aleš")</f>
        <v>Hyský Aleš</v>
      </c>
      <c r="E87" s="196" t="str">
        <f>IFERROR(__xludf.DUMMYFUNCTION("""COMPUTED_VALUE"""),"Chodov")</f>
        <v>Chodov</v>
      </c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9">
        <f>IFERROR(__xludf.DUMMYFUNCTION("""COMPUTED_VALUE"""),231.474)</f>
        <v>231.474</v>
      </c>
      <c r="W87" s="199">
        <f>IFERROR(__xludf.DUMMYFUNCTION("""COMPUTED_VALUE"""),0.0)</f>
        <v>0</v>
      </c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</row>
    <row r="88">
      <c r="A88" s="196"/>
      <c r="B88" s="201" t="str">
        <f>IF(OR(E88=Report!$B$1, F88=Report!$B$1, G88=Report!$B$1, H88=Report!$B$1), D88, "")</f>
        <v/>
      </c>
      <c r="C88" s="196" t="b">
        <f>IFERROR(__xludf.DUMMYFUNCTION("""COMPUTED_VALUE"""),FALSE)</f>
        <v>0</v>
      </c>
      <c r="D88" s="196" t="str">
        <f>IFERROR(__xludf.DUMMYFUNCTION("""COMPUTED_VALUE"""),"Šmídová Sabina")</f>
        <v>Šmídová Sabina</v>
      </c>
      <c r="E88" s="196" t="str">
        <f>IFERROR(__xludf.DUMMYFUNCTION("""COMPUTED_VALUE"""),"Chodov")</f>
        <v>Chodov</v>
      </c>
      <c r="F88" s="196" t="str">
        <f>IFERROR(__xludf.DUMMYFUNCTION("""COMPUTED_VALUE"""),"Prosek")</f>
        <v>Prosek</v>
      </c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9">
        <f>IFERROR(__xludf.DUMMYFUNCTION("""COMPUTED_VALUE"""),250.20600000000002)</f>
        <v>250.206</v>
      </c>
      <c r="W88" s="199">
        <f>IFERROR(__xludf.DUMMYFUNCTION("""COMPUTED_VALUE"""),0.0)</f>
        <v>0</v>
      </c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</row>
    <row r="89">
      <c r="A89" s="196"/>
      <c r="B89" s="201" t="str">
        <f>IF(OR(E89=Report!$B$1, F89=Report!$B$1, G89=Report!$B$1, H89=Report!$B$1), D89, "")</f>
        <v>Lažek Jaroslav</v>
      </c>
      <c r="C89" s="196" t="b">
        <f>IFERROR(__xludf.DUMMYFUNCTION("""COMPUTED_VALUE"""),FALSE)</f>
        <v>0</v>
      </c>
      <c r="D89" s="196" t="str">
        <f>IFERROR(__xludf.DUMMYFUNCTION("""COMPUTED_VALUE"""),"Lažek Jaroslav")</f>
        <v>Lažek Jaroslav</v>
      </c>
      <c r="E89" s="196" t="str">
        <f>IFERROR(__xludf.DUMMYFUNCTION("""COMPUTED_VALUE"""),"Libuš")</f>
        <v>Libuš</v>
      </c>
      <c r="F89" s="196" t="str">
        <f>IFERROR(__xludf.DUMMYFUNCTION("""COMPUTED_VALUE"""),"Chodov")</f>
        <v>Chodov</v>
      </c>
      <c r="G89" s="196" t="str">
        <f>IFERROR(__xludf.DUMMYFUNCTION("""COMPUTED_VALUE"""),"Malešice")</f>
        <v>Malešice</v>
      </c>
      <c r="H89" s="196" t="str">
        <f>IFERROR(__xludf.DUMMYFUNCTION("""COMPUTED_VALUE"""),"Výroba")</f>
        <v>Výroba</v>
      </c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9">
        <f>IFERROR(__xludf.DUMMYFUNCTION("""COMPUTED_VALUE"""),170.0)</f>
        <v>170</v>
      </c>
      <c r="W89" s="199">
        <f>IFERROR(__xludf.DUMMYFUNCTION("""COMPUTED_VALUE"""),0.0)</f>
        <v>0</v>
      </c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</row>
    <row r="90">
      <c r="A90" s="196"/>
      <c r="B90" s="201" t="str">
        <f>IF(OR(E90=Report!$B$1, F90=Report!$B$1, G90=Report!$B$1, H90=Report!$B$1), D90, "")</f>
        <v/>
      </c>
      <c r="C90" s="196" t="b">
        <f>IFERROR(__xludf.DUMMYFUNCTION("""COMPUTED_VALUE"""),FALSE)</f>
        <v>0</v>
      </c>
      <c r="D90" s="196" t="str">
        <f>IFERROR(__xludf.DUMMYFUNCTION("""COMPUTED_VALUE"""),"Kormash Liubov")</f>
        <v>Kormash Liubov</v>
      </c>
      <c r="E90" s="196" t="str">
        <f>IFERROR(__xludf.DUMMYFUNCTION("""COMPUTED_VALUE"""),"Zličín")</f>
        <v>Zličín</v>
      </c>
      <c r="F90" s="196" t="str">
        <f>IFERROR(__xludf.DUMMYFUNCTION("""COMPUTED_VALUE"""),"Prosek")</f>
        <v>Prosek</v>
      </c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9">
        <f>IFERROR(__xludf.DUMMYFUNCTION("""COMPUTED_VALUE"""),160.0)</f>
        <v>160</v>
      </c>
      <c r="W90" s="199">
        <f>IFERROR(__xludf.DUMMYFUNCTION("""COMPUTED_VALUE"""),0.0)</f>
        <v>0</v>
      </c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</row>
    <row r="91">
      <c r="A91" s="196"/>
      <c r="B91" s="201" t="str">
        <f>IF(OR(E91=Report!$B$1, F91=Report!$B$1, G91=Report!$B$1, H91=Report!$B$1), D91, "")</f>
        <v/>
      </c>
      <c r="C91" s="196" t="b">
        <f>IFERROR(__xludf.DUMMYFUNCTION("""COMPUTED_VALUE"""),FALSE)</f>
        <v>0</v>
      </c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9">
        <f>IFERROR(__xludf.DUMMYFUNCTION("""COMPUTED_VALUE"""),0.0)</f>
        <v>0</v>
      </c>
      <c r="W91" s="199">
        <f>IFERROR(__xludf.DUMMYFUNCTION("""COMPUTED_VALUE"""),0.0)</f>
        <v>0</v>
      </c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</row>
    <row r="92">
      <c r="A92" s="196"/>
      <c r="B92" s="201" t="str">
        <f>IF(OR(E92=Report!$B$1, F92=Report!$B$1, G92=Report!$B$1, H92=Report!$B$1), D92, "")</f>
        <v/>
      </c>
      <c r="C92" s="196" t="b">
        <f>IFERROR(__xludf.DUMMYFUNCTION("""COMPUTED_VALUE"""),FALSE)</f>
        <v>0</v>
      </c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9">
        <f>IFERROR(__xludf.DUMMYFUNCTION("""COMPUTED_VALUE"""),0.0)</f>
        <v>0</v>
      </c>
      <c r="W92" s="199">
        <f>IFERROR(__xludf.DUMMYFUNCTION("""COMPUTED_VALUE"""),0.0)</f>
        <v>0</v>
      </c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</row>
    <row r="93">
      <c r="A93" s="196"/>
      <c r="B93" s="201" t="str">
        <f>IF(OR(E93=Report!$B$1, F93=Report!$B$1, G93=Report!$B$1, H93=Report!$B$1), D93, "")</f>
        <v/>
      </c>
      <c r="C93" s="196" t="b">
        <f>IFERROR(__xludf.DUMMYFUNCTION("""COMPUTED_VALUE"""),FALSE)</f>
        <v>0</v>
      </c>
      <c r="D93" s="196" t="str">
        <f>IFERROR(__xludf.DUMMYFUNCTION("""COMPUTED_VALUE"""),"Chlubna Tomáš")</f>
        <v>Chlubna Tomáš</v>
      </c>
      <c r="E93" s="196" t="str">
        <f>IFERROR(__xludf.DUMMYFUNCTION("""COMPUTED_VALUE"""),"Chodov")</f>
        <v>Chodov</v>
      </c>
      <c r="F93" s="196" t="str">
        <f>IFERROR(__xludf.DUMMYFUNCTION("""COMPUTED_VALUE"""),"Libuš")</f>
        <v>Libuš</v>
      </c>
      <c r="G93" s="196" t="str">
        <f>IFERROR(__xludf.DUMMYFUNCTION("""COMPUTED_VALUE"""),"Výroba")</f>
        <v>Výroba</v>
      </c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9">
        <f>IFERROR(__xludf.DUMMYFUNCTION("""COMPUTED_VALUE"""),250.20600000000002)</f>
        <v>250.206</v>
      </c>
      <c r="W93" s="199">
        <f>IFERROR(__xludf.DUMMYFUNCTION("""COMPUTED_VALUE"""),0.0)</f>
        <v>0</v>
      </c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</row>
    <row r="94">
      <c r="A94" s="196"/>
      <c r="B94" s="201" t="str">
        <f>IF(OR(E94=Report!$B$1, F94=Report!$B$1, G94=Report!$B$1, H94=Report!$B$1), D94, "")</f>
        <v>Vychivskyi Volodymyr</v>
      </c>
      <c r="C94" s="196" t="b">
        <f>IFERROR(__xludf.DUMMYFUNCTION("""COMPUTED_VALUE"""),FALSE)</f>
        <v>0</v>
      </c>
      <c r="D94" s="196" t="str">
        <f>IFERROR(__xludf.DUMMYFUNCTION("""COMPUTED_VALUE"""),"Vychivskyi Volodymyr")</f>
        <v>Vychivskyi Volodymyr</v>
      </c>
      <c r="E94" s="196" t="str">
        <f>IFERROR(__xludf.DUMMYFUNCTION("""COMPUTED_VALUE"""),"Malešice")</f>
        <v>Malešice</v>
      </c>
      <c r="F94" s="196" t="str">
        <f>IFERROR(__xludf.DUMMYFUNCTION("""COMPUTED_VALUE"""),"Prosek")</f>
        <v>Prosek</v>
      </c>
      <c r="G94" s="196" t="str">
        <f>IFERROR(__xludf.DUMMYFUNCTION("""COMPUTED_VALUE"""),"Zličín")</f>
        <v>Zličín</v>
      </c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9">
        <f>IFERROR(__xludf.DUMMYFUNCTION("""COMPUTED_VALUE"""),250.20600000000002)</f>
        <v>250.206</v>
      </c>
      <c r="W94" s="199">
        <f>IFERROR(__xludf.DUMMYFUNCTION("""COMPUTED_VALUE"""),0.0)</f>
        <v>0</v>
      </c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</row>
    <row r="95">
      <c r="A95" s="196"/>
      <c r="B95" s="201" t="str">
        <f>IF(OR(E95=Report!$B$1, F95=Report!$B$1, G95=Report!$B$1, H95=Report!$B$1), D95, "")</f>
        <v/>
      </c>
      <c r="C95" s="196" t="b">
        <f>IFERROR(__xludf.DUMMYFUNCTION("""COMPUTED_VALUE"""),FALSE)</f>
        <v>0</v>
      </c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9">
        <f>IFERROR(__xludf.DUMMYFUNCTION("""COMPUTED_VALUE"""),0.0)</f>
        <v>0</v>
      </c>
      <c r="W95" s="199">
        <f>IFERROR(__xludf.DUMMYFUNCTION("""COMPUTED_VALUE"""),0.0)</f>
        <v>0</v>
      </c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</row>
    <row r="96">
      <c r="A96" s="196"/>
      <c r="B96" s="201" t="str">
        <f>IF(OR(E96=Report!$B$1, F96=Report!$B$1, G96=Report!$B$1, H96=Report!$B$1), D96, "")</f>
        <v/>
      </c>
      <c r="C96" s="196" t="b">
        <f>IFERROR(__xludf.DUMMYFUNCTION("""COMPUTED_VALUE"""),FALSE)</f>
        <v>0</v>
      </c>
      <c r="D96" s="196" t="str">
        <f>IFERROR(__xludf.DUMMYFUNCTION("""COMPUTED_VALUE"""),"Hřebík Martin")</f>
        <v>Hřebík Martin</v>
      </c>
      <c r="E96" s="196" t="str">
        <f>IFERROR(__xludf.DUMMYFUNCTION("""COMPUTED_VALUE"""),"Výroba")</f>
        <v>Výroba</v>
      </c>
      <c r="F96" s="196" t="str">
        <f>IFERROR(__xludf.DUMMYFUNCTION("""COMPUTED_VALUE"""),"Chodov")</f>
        <v>Chodov</v>
      </c>
      <c r="G96" s="196" t="str">
        <f>IFERROR(__xludf.DUMMYFUNCTION("""COMPUTED_VALUE"""),"Prosek")</f>
        <v>Prosek</v>
      </c>
      <c r="H96" s="196" t="str">
        <f>IFERROR(__xludf.DUMMYFUNCTION("""COMPUTED_VALUE"""),"Libuš")</f>
        <v>Libuš</v>
      </c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9">
        <f>IFERROR(__xludf.DUMMYFUNCTION("""COMPUTED_VALUE"""),386.68199999999996)</f>
        <v>386.682</v>
      </c>
      <c r="W96" s="199">
        <f>IFERROR(__xludf.DUMMYFUNCTION("""COMPUTED_VALUE"""),2577.8799999999997)</f>
        <v>2577.88</v>
      </c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</row>
    <row r="97">
      <c r="A97" s="196"/>
      <c r="B97" s="201" t="str">
        <f>IF(OR(E97=Report!$B$1, F97=Report!$B$1, G97=Report!$B$1, H97=Report!$B$1), D97, "")</f>
        <v/>
      </c>
      <c r="C97" s="196" t="b">
        <f>IFERROR(__xludf.DUMMYFUNCTION("""COMPUTED_VALUE"""),FALSE)</f>
        <v>0</v>
      </c>
      <c r="D97" s="196" t="str">
        <f>IFERROR(__xludf.DUMMYFUNCTION("""COMPUTED_VALUE"""),"Eszenyiová Patrícia")</f>
        <v>Eszenyiová Patrícia</v>
      </c>
      <c r="E97" s="196" t="str">
        <f>IFERROR(__xludf.DUMMYFUNCTION("""COMPUTED_VALUE"""),"Libuš")</f>
        <v>Libuš</v>
      </c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9">
        <f>IFERROR(__xludf.DUMMYFUNCTION("""COMPUTED_VALUE"""),250.20600000000002)</f>
        <v>250.206</v>
      </c>
      <c r="W97" s="199">
        <f>IFERROR(__xludf.DUMMYFUNCTION("""COMPUTED_VALUE"""),0.0)</f>
        <v>0</v>
      </c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</row>
    <row r="98">
      <c r="A98" s="196"/>
      <c r="B98" s="201" t="str">
        <f>IF(OR(E98=Report!$B$1, F98=Report!$B$1, G98=Report!$B$1, H98=Report!$B$1), D98, "")</f>
        <v>Reischl Jan</v>
      </c>
      <c r="C98" s="196" t="b">
        <f>IFERROR(__xludf.DUMMYFUNCTION("""COMPUTED_VALUE"""),FALSE)</f>
        <v>0</v>
      </c>
      <c r="D98" s="196" t="str">
        <f>IFERROR(__xludf.DUMMYFUNCTION("""COMPUTED_VALUE"""),"Reischl Jan")</f>
        <v>Reischl Jan</v>
      </c>
      <c r="E98" s="196" t="str">
        <f>IFERROR(__xludf.DUMMYFUNCTION("""COMPUTED_VALUE"""),"Malešice")</f>
        <v>Malešice</v>
      </c>
      <c r="F98" s="196" t="str">
        <f>IFERROR(__xludf.DUMMYFUNCTION("""COMPUTED_VALUE"""),"Chodov")</f>
        <v>Chodov</v>
      </c>
      <c r="G98" s="196" t="str">
        <f>IFERROR(__xludf.DUMMYFUNCTION("""COMPUTED_VALUE"""),"Libuš")</f>
        <v>Libuš</v>
      </c>
      <c r="H98" s="196" t="str">
        <f>IFERROR(__xludf.DUMMYFUNCTION("""COMPUTED_VALUE"""),"Prosek")</f>
        <v>Prosek</v>
      </c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9">
        <f>IFERROR(__xludf.DUMMYFUNCTION("""COMPUTED_VALUE"""),214.08)</f>
        <v>214.08</v>
      </c>
      <c r="W98" s="199">
        <f>IFERROR(__xludf.DUMMYFUNCTION("""COMPUTED_VALUE"""),0.0)</f>
        <v>0</v>
      </c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</row>
    <row r="99">
      <c r="A99" s="196"/>
      <c r="B99" s="201" t="str">
        <f>IF(OR(E99=Report!$B$1, F99=Report!$B$1, G99=Report!$B$1, H99=Report!$B$1), D99, "")</f>
        <v/>
      </c>
      <c r="C99" s="196" t="b">
        <f>IFERROR(__xludf.DUMMYFUNCTION("""COMPUTED_VALUE"""),FALSE)</f>
        <v>0</v>
      </c>
      <c r="D99" s="196" t="str">
        <f>IFERROR(__xludf.DUMMYFUNCTION("""COMPUTED_VALUE"""),"Mikešová Adéla")</f>
        <v>Mikešová Adéla</v>
      </c>
      <c r="E99" s="196" t="str">
        <f>IFERROR(__xludf.DUMMYFUNCTION("""COMPUTED_VALUE"""),"Bolevec")</f>
        <v>Bolevec</v>
      </c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9">
        <f>IFERROR(__xludf.DUMMYFUNCTION("""COMPUTED_VALUE"""),214.08)</f>
        <v>214.08</v>
      </c>
      <c r="W99" s="199">
        <f>IFERROR(__xludf.DUMMYFUNCTION("""COMPUTED_VALUE"""),0.0)</f>
        <v>0</v>
      </c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</row>
    <row r="100">
      <c r="A100" s="196"/>
      <c r="B100" s="201" t="str">
        <f>IF(OR(E100=Report!$B$1, F100=Report!$B$1, G100=Report!$B$1, H100=Report!$B$1), D100, "")</f>
        <v/>
      </c>
      <c r="C100" s="196" t="b">
        <f>IFERROR(__xludf.DUMMYFUNCTION("""COMPUTED_VALUE"""),FALSE)</f>
        <v>0</v>
      </c>
      <c r="D100" s="196" t="str">
        <f>IFERROR(__xludf.DUMMYFUNCTION("""COMPUTED_VALUE"""),"Pražák Aleš")</f>
        <v>Pražák Aleš</v>
      </c>
      <c r="E100" s="196" t="str">
        <f>IFERROR(__xludf.DUMMYFUNCTION("""COMPUTED_VALUE"""),"Chodov")</f>
        <v>Chodov</v>
      </c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9">
        <f>IFERROR(__xludf.DUMMYFUNCTION("""COMPUTED_VALUE"""),231.474)</f>
        <v>231.474</v>
      </c>
      <c r="W100" s="199">
        <f>IFERROR(__xludf.DUMMYFUNCTION("""COMPUTED_VALUE"""),0.0)</f>
        <v>0</v>
      </c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</row>
    <row r="101">
      <c r="A101" s="196"/>
      <c r="B101" s="201" t="str">
        <f>IF(OR(E101=Report!$B$1, F101=Report!$B$1, G101=Report!$B$1, H101=Report!$B$1), D101, "")</f>
        <v/>
      </c>
      <c r="C101" s="196" t="b">
        <f>IFERROR(__xludf.DUMMYFUNCTION("""COMPUTED_VALUE"""),FALSE)</f>
        <v>0</v>
      </c>
      <c r="D101" s="196" t="str">
        <f>IFERROR(__xludf.DUMMYFUNCTION("""COMPUTED_VALUE"""),"Chyský David")</f>
        <v>Chyský David</v>
      </c>
      <c r="E101" s="196" t="str">
        <f>IFERROR(__xludf.DUMMYFUNCTION("""COMPUTED_VALUE"""),"Chodov")</f>
        <v>Chodov</v>
      </c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9">
        <f>IFERROR(__xludf.DUMMYFUNCTION("""COMPUTED_VALUE"""),231.474)</f>
        <v>231.474</v>
      </c>
      <c r="W101" s="199">
        <f>IFERROR(__xludf.DUMMYFUNCTION("""COMPUTED_VALUE"""),0.0)</f>
        <v>0</v>
      </c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</row>
    <row r="102">
      <c r="A102" s="196"/>
      <c r="B102" s="201" t="str">
        <f>IF(OR(E102=Report!$B$1, F102=Report!$B$1, G102=Report!$B$1, H102=Report!$B$1), D102, "")</f>
        <v/>
      </c>
      <c r="C102" s="196" t="b">
        <f>IFERROR(__xludf.DUMMYFUNCTION("""COMPUTED_VALUE"""),FALSE)</f>
        <v>0</v>
      </c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9">
        <f>IFERROR(__xludf.DUMMYFUNCTION("""COMPUTED_VALUE"""),0.0)</f>
        <v>0</v>
      </c>
      <c r="W102" s="199">
        <f>IFERROR(__xludf.DUMMYFUNCTION("""COMPUTED_VALUE"""),0.0)</f>
        <v>0</v>
      </c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</row>
    <row r="103">
      <c r="A103" s="196"/>
      <c r="B103" s="201" t="str">
        <f>IF(OR(E103=Report!$B$1, F103=Report!$B$1, G103=Report!$B$1, H103=Report!$B$1), D103, "")</f>
        <v/>
      </c>
      <c r="C103" s="196" t="b">
        <f>IFERROR(__xludf.DUMMYFUNCTION("""COMPUTED_VALUE"""),FALSE)</f>
        <v>0</v>
      </c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9">
        <f>IFERROR(__xludf.DUMMYFUNCTION("""COMPUTED_VALUE"""),0.0)</f>
        <v>0</v>
      </c>
      <c r="W103" s="199">
        <f>IFERROR(__xludf.DUMMYFUNCTION("""COMPUTED_VALUE"""),0.0)</f>
        <v>0</v>
      </c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</row>
    <row r="104">
      <c r="A104" s="196"/>
      <c r="B104" s="201" t="str">
        <f>IF(OR(E104=Report!$B$1, F104=Report!$B$1, G104=Report!$B$1, H104=Report!$B$1), D104, "")</f>
        <v/>
      </c>
      <c r="C104" s="196" t="b">
        <f>IFERROR(__xludf.DUMMYFUNCTION("""COMPUTED_VALUE"""),FALSE)</f>
        <v>0</v>
      </c>
      <c r="D104" s="196" t="str">
        <f>IFERROR(__xludf.DUMMYFUNCTION("""COMPUTED_VALUE"""),"Kulinič Michail")</f>
        <v>Kulinič Michail</v>
      </c>
      <c r="E104" s="196" t="str">
        <f>IFERROR(__xludf.DUMMYFUNCTION("""COMPUTED_VALUE"""),"Prosek")</f>
        <v>Prosek</v>
      </c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9">
        <f>IFERROR(__xludf.DUMMYFUNCTION("""COMPUTED_VALUE"""),231.474)</f>
        <v>231.474</v>
      </c>
      <c r="W104" s="199">
        <f>IFERROR(__xludf.DUMMYFUNCTION("""COMPUTED_VALUE"""),0.0)</f>
        <v>0</v>
      </c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</row>
    <row r="105">
      <c r="A105" s="196"/>
      <c r="B105" s="201" t="str">
        <f>IF(OR(E105=Report!$B$1, F105=Report!$B$1, G105=Report!$B$1, H105=Report!$B$1), D105, "")</f>
        <v>Kalina Filip</v>
      </c>
      <c r="C105" s="196" t="b">
        <f>IFERROR(__xludf.DUMMYFUNCTION("""COMPUTED_VALUE"""),FALSE)</f>
        <v>0</v>
      </c>
      <c r="D105" s="196" t="str">
        <f>IFERROR(__xludf.DUMMYFUNCTION("""COMPUTED_VALUE"""),"Kalina Filip")</f>
        <v>Kalina Filip</v>
      </c>
      <c r="E105" s="196" t="str">
        <f>IFERROR(__xludf.DUMMYFUNCTION("""COMPUTED_VALUE"""),"Malešice")</f>
        <v>Malešice</v>
      </c>
      <c r="F105" s="196" t="str">
        <f>IFERROR(__xludf.DUMMYFUNCTION("""COMPUTED_VALUE"""),"Libuš")</f>
        <v>Libuš</v>
      </c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9">
        <f>IFERROR(__xludf.DUMMYFUNCTION("""COMPUTED_VALUE"""),231.474)</f>
        <v>231.474</v>
      </c>
      <c r="W105" s="199">
        <f>IFERROR(__xludf.DUMMYFUNCTION("""COMPUTED_VALUE"""),0.0)</f>
        <v>0</v>
      </c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</row>
    <row r="106">
      <c r="A106" s="196"/>
      <c r="B106" s="201" t="str">
        <f>IF(OR(E106=Report!$B$1, F106=Report!$B$1, G106=Report!$B$1, H106=Report!$B$1), D106, "")</f>
        <v/>
      </c>
      <c r="C106" s="196" t="b">
        <f>IFERROR(__xludf.DUMMYFUNCTION("""COMPUTED_VALUE"""),FALSE)</f>
        <v>0</v>
      </c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9">
        <f>IFERROR(__xludf.DUMMYFUNCTION("""COMPUTED_VALUE"""),0.0)</f>
        <v>0</v>
      </c>
      <c r="W106" s="199">
        <f>IFERROR(__xludf.DUMMYFUNCTION("""COMPUTED_VALUE"""),0.0)</f>
        <v>0</v>
      </c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</row>
    <row r="107">
      <c r="A107" s="196"/>
      <c r="B107" s="201" t="str">
        <f>IF(OR(E107=Report!$B$1, F107=Report!$B$1, G107=Report!$B$1, H107=Report!$B$1), D107, "")</f>
        <v/>
      </c>
      <c r="C107" s="196" t="b">
        <f>IFERROR(__xludf.DUMMYFUNCTION("""COMPUTED_VALUE"""),FALSE)</f>
        <v>0</v>
      </c>
      <c r="D107" s="196" t="str">
        <f>IFERROR(__xludf.DUMMYFUNCTION("""COMPUTED_VALUE"""),"Kaločai Rudolf")</f>
        <v>Kaločai Rudolf</v>
      </c>
      <c r="E107" s="196" t="str">
        <f>IFERROR(__xludf.DUMMYFUNCTION("""COMPUTED_VALUE"""),"Bolevec")</f>
        <v>Bolevec</v>
      </c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9">
        <f>IFERROR(__xludf.DUMMYFUNCTION("""COMPUTED_VALUE"""),140.0)</f>
        <v>140</v>
      </c>
      <c r="W107" s="199">
        <f>IFERROR(__xludf.DUMMYFUNCTION("""COMPUTED_VALUE"""),0.0)</f>
        <v>0</v>
      </c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</row>
    <row r="108">
      <c r="A108" s="196"/>
      <c r="B108" s="201" t="str">
        <f>IF(OR(E108=Report!$B$1, F108=Report!$B$1, G108=Report!$B$1, H108=Report!$B$1), D108, "")</f>
        <v>Dušek Sam</v>
      </c>
      <c r="C108" s="196" t="b">
        <f>IFERROR(__xludf.DUMMYFUNCTION("""COMPUTED_VALUE"""),FALSE)</f>
        <v>0</v>
      </c>
      <c r="D108" s="196" t="str">
        <f>IFERROR(__xludf.DUMMYFUNCTION("""COMPUTED_VALUE"""),"Dušek Sam")</f>
        <v>Dušek Sam</v>
      </c>
      <c r="E108" s="196" t="str">
        <f>IFERROR(__xludf.DUMMYFUNCTION("""COMPUTED_VALUE"""),"Libuš")</f>
        <v>Libuš</v>
      </c>
      <c r="F108" s="196" t="str">
        <f>IFERROR(__xludf.DUMMYFUNCTION("""COMPUTED_VALUE"""),"Malešice")</f>
        <v>Malešice</v>
      </c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9">
        <f>IFERROR(__xludf.DUMMYFUNCTION("""COMPUTED_VALUE"""),250.20600000000002)</f>
        <v>250.206</v>
      </c>
      <c r="W108" s="199">
        <f>IFERROR(__xludf.DUMMYFUNCTION("""COMPUTED_VALUE"""),0.0)</f>
        <v>0</v>
      </c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</row>
    <row r="109">
      <c r="A109" s="196"/>
      <c r="B109" s="201" t="str">
        <f>IF(OR(E109=Report!$B$1, F109=Report!$B$1, G109=Report!$B$1, H109=Report!$B$1), D109, "")</f>
        <v/>
      </c>
      <c r="C109" s="196" t="b">
        <f>IFERROR(__xludf.DUMMYFUNCTION("""COMPUTED_VALUE"""),FALSE)</f>
        <v>0</v>
      </c>
      <c r="D109" s="196" t="str">
        <f>IFERROR(__xludf.DUMMYFUNCTION("""COMPUTED_VALUE"""),"Kačena Stanislav")</f>
        <v>Kačena Stanislav</v>
      </c>
      <c r="E109" s="196" t="str">
        <f>IFERROR(__xludf.DUMMYFUNCTION("""COMPUTED_VALUE"""),"Prosek")</f>
        <v>Prosek</v>
      </c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9">
        <f>IFERROR(__xludf.DUMMYFUNCTION("""COMPUTED_VALUE"""),231.474)</f>
        <v>231.474</v>
      </c>
      <c r="W109" s="199">
        <f>IFERROR(__xludf.DUMMYFUNCTION("""COMPUTED_VALUE"""),0.0)</f>
        <v>0</v>
      </c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</row>
    <row r="110">
      <c r="A110" s="196"/>
      <c r="B110" s="201" t="str">
        <f>IF(OR(E110=Report!$B$1, F110=Report!$B$1, G110=Report!$B$1, H110=Report!$B$1), D110, "")</f>
        <v/>
      </c>
      <c r="C110" s="196" t="b">
        <f>IFERROR(__xludf.DUMMYFUNCTION("""COMPUTED_VALUE"""),FALSE)</f>
        <v>0</v>
      </c>
      <c r="D110" s="196" t="str">
        <f>IFERROR(__xludf.DUMMYFUNCTION("""COMPUTED_VALUE"""),"Cieslar Marek")</f>
        <v>Cieslar Marek</v>
      </c>
      <c r="E110" s="196" t="str">
        <f>IFERROR(__xludf.DUMMYFUNCTION("""COMPUTED_VALUE"""),"Libuš")</f>
        <v>Libuš</v>
      </c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9">
        <f>IFERROR(__xludf.DUMMYFUNCTION("""COMPUTED_VALUE"""),214.08)</f>
        <v>214.08</v>
      </c>
      <c r="W110" s="199">
        <f>IFERROR(__xludf.DUMMYFUNCTION("""COMPUTED_VALUE"""),0.0)</f>
        <v>0</v>
      </c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</row>
    <row r="111">
      <c r="A111" s="196"/>
      <c r="B111" s="201" t="str">
        <f>IF(OR(E111=Report!$B$1, F111=Report!$B$1, G111=Report!$B$1, H111=Report!$B$1), D111, "")</f>
        <v/>
      </c>
      <c r="C111" s="196" t="b">
        <f>IFERROR(__xludf.DUMMYFUNCTION("""COMPUTED_VALUE"""),FALSE)</f>
        <v>0</v>
      </c>
      <c r="D111" s="196" t="str">
        <f>IFERROR(__xludf.DUMMYFUNCTION("""COMPUTED_VALUE"""),"Banga Adam")</f>
        <v>Banga Adam</v>
      </c>
      <c r="E111" s="196" t="str">
        <f>IFERROR(__xludf.DUMMYFUNCTION("""COMPUTED_VALUE"""),"Zličín")</f>
        <v>Zličín</v>
      </c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9">
        <f>IFERROR(__xludf.DUMMYFUNCTION("""COMPUTED_VALUE"""),231.474)</f>
        <v>231.474</v>
      </c>
      <c r="W111" s="199">
        <f>IFERROR(__xludf.DUMMYFUNCTION("""COMPUTED_VALUE"""),0.0)</f>
        <v>0</v>
      </c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</row>
    <row r="112">
      <c r="A112" s="196"/>
      <c r="B112" s="201" t="str">
        <f>IF(OR(E112=Report!$B$1, F112=Report!$B$1, G112=Report!$B$1, H112=Report!$B$1), D112, "")</f>
        <v/>
      </c>
      <c r="C112" s="196" t="b">
        <f>IFERROR(__xludf.DUMMYFUNCTION("""COMPUTED_VALUE"""),FALSE)</f>
        <v>0</v>
      </c>
      <c r="D112" s="196" t="str">
        <f>IFERROR(__xludf.DUMMYFUNCTION("""COMPUTED_VALUE"""),"Vopatová Anna")</f>
        <v>Vopatová Anna</v>
      </c>
      <c r="E112" s="196" t="str">
        <f>IFERROR(__xludf.DUMMYFUNCTION("""COMPUTED_VALUE"""),"Bolevec")</f>
        <v>Bolevec</v>
      </c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9">
        <f>IFERROR(__xludf.DUMMYFUNCTION("""COMPUTED_VALUE"""),214.08)</f>
        <v>214.08</v>
      </c>
      <c r="W112" s="199">
        <f>IFERROR(__xludf.DUMMYFUNCTION("""COMPUTED_VALUE"""),0.0)</f>
        <v>0</v>
      </c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</row>
    <row r="113">
      <c r="A113" s="196"/>
      <c r="B113" s="201" t="str">
        <f>IF(OR(E113=Report!$B$1, F113=Report!$B$1, G113=Report!$B$1, H113=Report!$B$1), D113, "")</f>
        <v/>
      </c>
      <c r="C113" s="196" t="b">
        <f>IFERROR(__xludf.DUMMYFUNCTION("""COMPUTED_VALUE"""),FALSE)</f>
        <v>0</v>
      </c>
      <c r="D113" s="196" t="str">
        <f>IFERROR(__xludf.DUMMYFUNCTION("""COMPUTED_VALUE"""),"Vopatová Šárka")</f>
        <v>Vopatová Šárka</v>
      </c>
      <c r="E113" s="196" t="str">
        <f>IFERROR(__xludf.DUMMYFUNCTION("""COMPUTED_VALUE"""),"Bolevec")</f>
        <v>Bolevec</v>
      </c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9">
        <f>IFERROR(__xludf.DUMMYFUNCTION("""COMPUTED_VALUE"""),214.08)</f>
        <v>214.08</v>
      </c>
      <c r="W113" s="199">
        <f>IFERROR(__xludf.DUMMYFUNCTION("""COMPUTED_VALUE"""),0.0)</f>
        <v>0</v>
      </c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</row>
    <row r="114">
      <c r="A114" s="196"/>
      <c r="B114" s="201" t="str">
        <f>IF(OR(E114=Report!$B$1, F114=Report!$B$1, G114=Report!$B$1, H114=Report!$B$1), D114, "")</f>
        <v>Richterová Monika</v>
      </c>
      <c r="C114" s="196" t="b">
        <f>IFERROR(__xludf.DUMMYFUNCTION("""COMPUTED_VALUE"""),FALSE)</f>
        <v>0</v>
      </c>
      <c r="D114" s="196" t="str">
        <f>IFERROR(__xludf.DUMMYFUNCTION("""COMPUTED_VALUE"""),"Richterová Monika")</f>
        <v>Richterová Monika</v>
      </c>
      <c r="E114" s="196" t="str">
        <f>IFERROR(__xludf.DUMMYFUNCTION("""COMPUTED_VALUE"""),"Malešice")</f>
        <v>Malešice</v>
      </c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9">
        <f>IFERROR(__xludf.DUMMYFUNCTION("""COMPUTED_VALUE"""),214.08)</f>
        <v>214.08</v>
      </c>
      <c r="W114" s="199">
        <f>IFERROR(__xludf.DUMMYFUNCTION("""COMPUTED_VALUE"""),0.0)</f>
        <v>0</v>
      </c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</row>
    <row r="115">
      <c r="A115" s="196"/>
      <c r="B115" s="201" t="str">
        <f>IF(OR(E115=Report!$B$1, F115=Report!$B$1, G115=Report!$B$1, H115=Report!$B$1), D115, "")</f>
        <v>Serin David</v>
      </c>
      <c r="C115" s="196" t="b">
        <f>IFERROR(__xludf.DUMMYFUNCTION("""COMPUTED_VALUE"""),FALSE)</f>
        <v>0</v>
      </c>
      <c r="D115" s="196" t="str">
        <f>IFERROR(__xludf.DUMMYFUNCTION("""COMPUTED_VALUE"""),"Serin David")</f>
        <v>Serin David</v>
      </c>
      <c r="E115" s="196" t="str">
        <f>IFERROR(__xludf.DUMMYFUNCTION("""COMPUTED_VALUE"""),"Libuš")</f>
        <v>Libuš</v>
      </c>
      <c r="F115" s="196" t="str">
        <f>IFERROR(__xludf.DUMMYFUNCTION("""COMPUTED_VALUE"""),"Malešice")</f>
        <v>Malešice</v>
      </c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9">
        <f>IFERROR(__xludf.DUMMYFUNCTION("""COMPUTED_VALUE"""),250.20600000000002)</f>
        <v>250.206</v>
      </c>
      <c r="W115" s="199">
        <f>IFERROR(__xludf.DUMMYFUNCTION("""COMPUTED_VALUE"""),0.0)</f>
        <v>0</v>
      </c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</row>
    <row r="116">
      <c r="A116" s="196"/>
      <c r="B116" s="201" t="str">
        <f>IF(OR(E116=Report!$B$1, F116=Report!$B$1, G116=Report!$B$1, H116=Report!$B$1), D116, "")</f>
        <v/>
      </c>
      <c r="C116" s="196" t="b">
        <f>IFERROR(__xludf.DUMMYFUNCTION("""COMPUTED_VALUE"""),FALSE)</f>
        <v>0</v>
      </c>
      <c r="D116" s="196" t="str">
        <f>IFERROR(__xludf.DUMMYFUNCTION("""COMPUTED_VALUE"""),"Fabera Tomáš")</f>
        <v>Fabera Tomáš</v>
      </c>
      <c r="E116" s="196" t="str">
        <f>IFERROR(__xludf.DUMMYFUNCTION("""COMPUTED_VALUE"""),"Chodov")</f>
        <v>Chodov</v>
      </c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9">
        <f>IFERROR(__xludf.DUMMYFUNCTION("""COMPUTED_VALUE"""),231.474)</f>
        <v>231.474</v>
      </c>
      <c r="W116" s="199">
        <f>IFERROR(__xludf.DUMMYFUNCTION("""COMPUTED_VALUE"""),0.0)</f>
        <v>0</v>
      </c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</row>
    <row r="117">
      <c r="A117" s="196"/>
      <c r="B117" s="201" t="str">
        <f>IF(OR(E117=Report!$B$1, F117=Report!$B$1, G117=Report!$B$1, H117=Report!$B$1), D117, "")</f>
        <v>Hendrych Rostislav</v>
      </c>
      <c r="C117" s="196" t="b">
        <f>IFERROR(__xludf.DUMMYFUNCTION("""COMPUTED_VALUE"""),FALSE)</f>
        <v>0</v>
      </c>
      <c r="D117" s="196" t="str">
        <f>IFERROR(__xludf.DUMMYFUNCTION("""COMPUTED_VALUE"""),"Hendrych Rostislav")</f>
        <v>Hendrych Rostislav</v>
      </c>
      <c r="E117" s="196" t="str">
        <f>IFERROR(__xludf.DUMMYFUNCTION("""COMPUTED_VALUE"""),"Malešice")</f>
        <v>Malešice</v>
      </c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9">
        <f>IFERROR(__xludf.DUMMYFUNCTION("""COMPUTED_VALUE"""),250.20600000000002)</f>
        <v>250.206</v>
      </c>
      <c r="W117" s="199">
        <f>IFERROR(__xludf.DUMMYFUNCTION("""COMPUTED_VALUE"""),0.0)</f>
        <v>0</v>
      </c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</row>
    <row r="118">
      <c r="A118" s="196"/>
      <c r="B118" s="201" t="str">
        <f>IF(OR(E118=Report!$B$1, F118=Report!$B$1, G118=Report!$B$1, H118=Report!$B$1), D118, "")</f>
        <v/>
      </c>
      <c r="C118" s="196" t="b">
        <f>IFERROR(__xludf.DUMMYFUNCTION("""COMPUTED_VALUE"""),FALSE)</f>
        <v>0</v>
      </c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9">
        <f>IFERROR(__xludf.DUMMYFUNCTION("""COMPUTED_VALUE"""),0.0)</f>
        <v>0</v>
      </c>
      <c r="W118" s="199">
        <f>IFERROR(__xludf.DUMMYFUNCTION("""COMPUTED_VALUE"""),0.0)</f>
        <v>0</v>
      </c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</row>
    <row r="119">
      <c r="A119" s="196"/>
      <c r="B119" s="201" t="str">
        <f>IF(OR(E119=Report!$B$1, F119=Report!$B$1, G119=Report!$B$1, H119=Report!$B$1), D119, "")</f>
        <v/>
      </c>
      <c r="C119" s="196" t="b">
        <f>IFERROR(__xludf.DUMMYFUNCTION("""COMPUTED_VALUE"""),FALSE)</f>
        <v>0</v>
      </c>
      <c r="D119" s="196" t="str">
        <f>IFERROR(__xludf.DUMMYFUNCTION("""COMPUTED_VALUE"""),"Světlík František")</f>
        <v>Světlík František</v>
      </c>
      <c r="E119" s="196" t="str">
        <f>IFERROR(__xludf.DUMMYFUNCTION("""COMPUTED_VALUE"""),"Bolevec")</f>
        <v>Bolevec</v>
      </c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9">
        <f>IFERROR(__xludf.DUMMYFUNCTION("""COMPUTED_VALUE"""),214.08)</f>
        <v>214.08</v>
      </c>
      <c r="W119" s="199">
        <f>IFERROR(__xludf.DUMMYFUNCTION("""COMPUTED_VALUE"""),0.0)</f>
        <v>0</v>
      </c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</row>
    <row r="120">
      <c r="A120" s="196"/>
      <c r="B120" s="201" t="str">
        <f>IF(OR(E120=Report!$B$1, F120=Report!$B$1, G120=Report!$B$1, H120=Report!$B$1), D120, "")</f>
        <v/>
      </c>
      <c r="C120" s="196" t="b">
        <f>IFERROR(__xludf.DUMMYFUNCTION("""COMPUTED_VALUE"""),FALSE)</f>
        <v>0</v>
      </c>
      <c r="D120" s="196" t="str">
        <f>IFERROR(__xludf.DUMMYFUNCTION("""COMPUTED_VALUE"""),"Ženíšek Lukáš")</f>
        <v>Ženíšek Lukáš</v>
      </c>
      <c r="E120" s="196" t="str">
        <f>IFERROR(__xludf.DUMMYFUNCTION("""COMPUTED_VALUE"""),"Bolevec")</f>
        <v>Bolevec</v>
      </c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9">
        <f>IFERROR(__xludf.DUMMYFUNCTION("""COMPUTED_VALUE"""),214.08)</f>
        <v>214.08</v>
      </c>
      <c r="W120" s="199">
        <f>IFERROR(__xludf.DUMMYFUNCTION("""COMPUTED_VALUE"""),0.0)</f>
        <v>0</v>
      </c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</row>
    <row r="121">
      <c r="A121" s="196"/>
      <c r="B121" s="201" t="str">
        <f>IF(OR(E121=Report!$B$1, F121=Report!$B$1, G121=Report!$B$1, H121=Report!$B$1), D121, "")</f>
        <v/>
      </c>
      <c r="C121" s="196" t="b">
        <f>IFERROR(__xludf.DUMMYFUNCTION("""COMPUTED_VALUE"""),FALSE)</f>
        <v>0</v>
      </c>
      <c r="D121" s="196"/>
      <c r="E121" s="196" t="str">
        <f>IFERROR(__xludf.DUMMYFUNCTION("""COMPUTED_VALUE"""),"Chodov")</f>
        <v>Chodov</v>
      </c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9">
        <f>IFERROR(__xludf.DUMMYFUNCTION("""COMPUTED_VALUE"""),231.474)</f>
        <v>231.474</v>
      </c>
      <c r="W121" s="199">
        <f>IFERROR(__xludf.DUMMYFUNCTION("""COMPUTED_VALUE"""),0.0)</f>
        <v>0</v>
      </c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</row>
    <row r="122">
      <c r="A122" s="196"/>
      <c r="B122" s="201" t="str">
        <f>IF(OR(E122=Report!$B$1, F122=Report!$B$1, G122=Report!$B$1, H122=Report!$B$1), D122, "")</f>
        <v/>
      </c>
      <c r="C122" s="196" t="b">
        <f>IFERROR(__xludf.DUMMYFUNCTION("""COMPUTED_VALUE"""),FALSE)</f>
        <v>0</v>
      </c>
      <c r="D122" s="196" t="str">
        <f>IFERROR(__xludf.DUMMYFUNCTION("""COMPUTED_VALUE"""),"Roth Stanislav st.")</f>
        <v>Roth Stanislav st.</v>
      </c>
      <c r="E122" s="196" t="str">
        <f>IFERROR(__xludf.DUMMYFUNCTION("""COMPUTED_VALUE"""),"Bolevec")</f>
        <v>Bolevec</v>
      </c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9">
        <f>IFERROR(__xludf.DUMMYFUNCTION("""COMPUTED_VALUE"""),49506.0)</f>
        <v>49506</v>
      </c>
      <c r="W122" s="199">
        <f>IFERROR(__xludf.DUMMYFUNCTION("""COMPUTED_VALUE"""),1650.2)</f>
        <v>1650.2</v>
      </c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</row>
    <row r="123">
      <c r="A123" s="196"/>
      <c r="B123" s="201" t="str">
        <f>IF(OR(E123=Report!$B$1, F123=Report!$B$1, G123=Report!$B$1, H123=Report!$B$1), D123, "")</f>
        <v/>
      </c>
      <c r="C123" s="196" t="b">
        <f>IFERROR(__xludf.DUMMYFUNCTION("""COMPUTED_VALUE"""),FALSE)</f>
        <v>0</v>
      </c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9">
        <f>IFERROR(__xludf.DUMMYFUNCTION("""COMPUTED_VALUE"""),0.0)</f>
        <v>0</v>
      </c>
      <c r="W123" s="199">
        <f>IFERROR(__xludf.DUMMYFUNCTION("""COMPUTED_VALUE"""),0.0)</f>
        <v>0</v>
      </c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</row>
    <row r="124">
      <c r="A124" s="196"/>
      <c r="B124" s="201" t="str">
        <f>IF(OR(E124=Report!$B$1, F124=Report!$B$1, G124=Report!$B$1, H124=Report!$B$1), D124, "")</f>
        <v/>
      </c>
      <c r="C124" s="196" t="b">
        <f>IFERROR(__xludf.DUMMYFUNCTION("""COMPUTED_VALUE"""),FALSE)</f>
        <v>0</v>
      </c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9">
        <f>IFERROR(__xludf.DUMMYFUNCTION("""COMPUTED_VALUE"""),0.0)</f>
        <v>0</v>
      </c>
      <c r="W124" s="199">
        <f>IFERROR(__xludf.DUMMYFUNCTION("""COMPUTED_VALUE"""),0.0)</f>
        <v>0</v>
      </c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</row>
    <row r="125">
      <c r="A125" s="196"/>
      <c r="B125" s="201" t="str">
        <f>IF(OR(E125=Report!$B$1, F125=Report!$B$1, G125=Report!$B$1, H125=Report!$B$1), D125, "")</f>
        <v/>
      </c>
      <c r="C125" s="196" t="b">
        <f>IFERROR(__xludf.DUMMYFUNCTION("""COMPUTED_VALUE"""),FALSE)</f>
        <v>0</v>
      </c>
      <c r="D125" s="196" t="str">
        <f>IFERROR(__xludf.DUMMYFUNCTION("""COMPUTED_VALUE"""),"Vaníková Anna")</f>
        <v>Vaníková Anna</v>
      </c>
      <c r="E125" s="196" t="str">
        <f>IFERROR(__xludf.DUMMYFUNCTION("""COMPUTED_VALUE"""),"Zličín")</f>
        <v>Zličín</v>
      </c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9">
        <f>IFERROR(__xludf.DUMMYFUNCTION("""COMPUTED_VALUE"""),231.474)</f>
        <v>231.474</v>
      </c>
      <c r="W125" s="199">
        <f>IFERROR(__xludf.DUMMYFUNCTION("""COMPUTED_VALUE"""),0.0)</f>
        <v>0</v>
      </c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</row>
    <row r="126">
      <c r="A126" s="196"/>
      <c r="B126" s="201" t="str">
        <f>IF(OR(E126=Report!$B$1, F126=Report!$B$1, G126=Report!$B$1, H126=Report!$B$1), D126, "")</f>
        <v/>
      </c>
      <c r="C126" s="196" t="b">
        <f>IFERROR(__xludf.DUMMYFUNCTION("""COMPUTED_VALUE"""),FALSE)</f>
        <v>0</v>
      </c>
      <c r="D126" s="196" t="str">
        <f>IFERROR(__xludf.DUMMYFUNCTION("""COMPUTED_VALUE"""),"Břicháč Pavel")</f>
        <v>Břicháč Pavel</v>
      </c>
      <c r="E126" s="196" t="str">
        <f>IFERROR(__xludf.DUMMYFUNCTION("""COMPUTED_VALUE"""),"Libuš")</f>
        <v>Libuš</v>
      </c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9">
        <f>IFERROR(__xludf.DUMMYFUNCTION("""COMPUTED_VALUE"""),231.474)</f>
        <v>231.474</v>
      </c>
      <c r="W126" s="199">
        <f>IFERROR(__xludf.DUMMYFUNCTION("""COMPUTED_VALUE"""),0.0)</f>
        <v>0</v>
      </c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</row>
    <row r="127">
      <c r="A127" s="196"/>
      <c r="B127" s="201" t="str">
        <f>IF(OR(E127=Report!$B$1, F127=Report!$B$1, G127=Report!$B$1, H127=Report!$B$1), D127, "")</f>
        <v/>
      </c>
      <c r="C127" s="196" t="b">
        <f>IFERROR(__xludf.DUMMYFUNCTION("""COMPUTED_VALUE"""),FALSE)</f>
        <v>0</v>
      </c>
      <c r="D127" s="196" t="str">
        <f>IFERROR(__xludf.DUMMYFUNCTION("""COMPUTED_VALUE"""),"Čerešňák Michal")</f>
        <v>Čerešňák Michal</v>
      </c>
      <c r="E127" s="196" t="str">
        <f>IFERROR(__xludf.DUMMYFUNCTION("""COMPUTED_VALUE"""),"Zličín")</f>
        <v>Zličín</v>
      </c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9">
        <f>IFERROR(__xludf.DUMMYFUNCTION("""COMPUTED_VALUE"""),170.0)</f>
        <v>170</v>
      </c>
      <c r="W127" s="199">
        <f>IFERROR(__xludf.DUMMYFUNCTION("""COMPUTED_VALUE"""),0.0)</f>
        <v>0</v>
      </c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</row>
    <row r="128">
      <c r="A128" s="196"/>
      <c r="B128" s="201" t="str">
        <f>IF(OR(E128=Report!$B$1, F128=Report!$B$1, G128=Report!$B$1, H128=Report!$B$1), D128, "")</f>
        <v/>
      </c>
      <c r="C128" s="196" t="b">
        <f>IFERROR(__xludf.DUMMYFUNCTION("""COMPUTED_VALUE"""),FALSE)</f>
        <v>0</v>
      </c>
      <c r="D128" s="196" t="str">
        <f>IFERROR(__xludf.DUMMYFUNCTION("""COMPUTED_VALUE"""),"Weindling Josef")</f>
        <v>Weindling Josef</v>
      </c>
      <c r="E128" s="196" t="str">
        <f>IFERROR(__xludf.DUMMYFUNCTION("""COMPUTED_VALUE"""),"Libuš")</f>
        <v>Libuš</v>
      </c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9">
        <f>IFERROR(__xludf.DUMMYFUNCTION("""COMPUTED_VALUE"""),231.474)</f>
        <v>231.474</v>
      </c>
      <c r="W128" s="199">
        <f>IFERROR(__xludf.DUMMYFUNCTION("""COMPUTED_VALUE"""),0.0)</f>
        <v>0</v>
      </c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</row>
    <row r="129">
      <c r="A129" s="196"/>
      <c r="B129" s="201" t="str">
        <f>IF(OR(E129=Report!$B$1, F129=Report!$B$1, G129=Report!$B$1, H129=Report!$B$1), D129, "")</f>
        <v/>
      </c>
      <c r="C129" s="196" t="b">
        <f>IFERROR(__xludf.DUMMYFUNCTION("""COMPUTED_VALUE"""),FALSE)</f>
        <v>0</v>
      </c>
      <c r="D129" s="196" t="str">
        <f>IFERROR(__xludf.DUMMYFUNCTION("""COMPUTED_VALUE"""),"Fux Vojtěch")</f>
        <v>Fux Vojtěch</v>
      </c>
      <c r="E129" s="196" t="str">
        <f>IFERROR(__xludf.DUMMYFUNCTION("""COMPUTED_VALUE"""),"Chodov")</f>
        <v>Chodov</v>
      </c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9">
        <f>IFERROR(__xludf.DUMMYFUNCTION("""COMPUTED_VALUE"""),200.0)</f>
        <v>200</v>
      </c>
      <c r="W129" s="199">
        <f>IFERROR(__xludf.DUMMYFUNCTION("""COMPUTED_VALUE"""),0.0)</f>
        <v>0</v>
      </c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</row>
    <row r="130">
      <c r="A130" s="196"/>
      <c r="B130" s="201" t="str">
        <f>IF(OR(E130=Report!$B$1, F130=Report!$B$1, G130=Report!$B$1, H130=Report!$B$1), D130, "")</f>
        <v/>
      </c>
      <c r="C130" s="196" t="b">
        <f>IFERROR(__xludf.DUMMYFUNCTION("""COMPUTED_VALUE"""),FALSE)</f>
        <v>0</v>
      </c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9">
        <f>IFERROR(__xludf.DUMMYFUNCTION("""COMPUTED_VALUE"""),0.0)</f>
        <v>0</v>
      </c>
      <c r="W130" s="199">
        <f>IFERROR(__xludf.DUMMYFUNCTION("""COMPUTED_VALUE"""),0.0)</f>
        <v>0</v>
      </c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</row>
    <row r="131">
      <c r="A131" s="196"/>
      <c r="B131" s="201" t="str">
        <f>IF(OR(E131=Report!$B$1, F131=Report!$B$1, G131=Report!$B$1, H131=Report!$B$1), D131, "")</f>
        <v/>
      </c>
      <c r="C131" s="196" t="b">
        <f>IFERROR(__xludf.DUMMYFUNCTION("""COMPUTED_VALUE"""),FALSE)</f>
        <v>0</v>
      </c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9">
        <f>IFERROR(__xludf.DUMMYFUNCTION("""COMPUTED_VALUE"""),0.0)</f>
        <v>0</v>
      </c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</row>
    <row r="132">
      <c r="A132" s="196"/>
      <c r="B132" s="201" t="str">
        <f>IF(OR(E132=Report!$B$1, F132=Report!$B$1, G132=Report!$B$1, H132=Report!$B$1), D132, "")</f>
        <v/>
      </c>
      <c r="C132" s="196" t="b">
        <f>IFERROR(__xludf.DUMMYFUNCTION("""COMPUTED_VALUE"""),FALSE)</f>
        <v>0</v>
      </c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9">
        <f>IFERROR(__xludf.DUMMYFUNCTION("""COMPUTED_VALUE"""),0.0)</f>
        <v>0</v>
      </c>
      <c r="W132" s="199">
        <f>IFERROR(__xludf.DUMMYFUNCTION("""COMPUTED_VALUE"""),0.0)</f>
        <v>0</v>
      </c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</row>
    <row r="133">
      <c r="A133" s="196"/>
      <c r="B133" s="201" t="str">
        <f>IF(OR(E133=Report!$B$1, F133=Report!$B$1, G133=Report!$B$1, H133=Report!$B$1), D133, "")</f>
        <v/>
      </c>
      <c r="C133" s="196" t="b">
        <f>IFERROR(__xludf.DUMMYFUNCTION("""COMPUTED_VALUE"""),FALSE)</f>
        <v>0</v>
      </c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9">
        <f>IFERROR(__xludf.DUMMYFUNCTION("""COMPUTED_VALUE"""),0.0)</f>
        <v>0</v>
      </c>
      <c r="W133" s="199">
        <f>IFERROR(__xludf.DUMMYFUNCTION("""COMPUTED_VALUE"""),0.0)</f>
        <v>0</v>
      </c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</row>
    <row r="134">
      <c r="A134" s="196"/>
      <c r="B134" s="201" t="str">
        <f>IF(OR(E134=Report!$B$1, F134=Report!$B$1, G134=Report!$B$1, H134=Report!$B$1), D134, "")</f>
        <v/>
      </c>
      <c r="C134" s="196" t="b">
        <f>IFERROR(__xludf.DUMMYFUNCTION("""COMPUTED_VALUE"""),FALSE)</f>
        <v>0</v>
      </c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9">
        <f>IFERROR(__xludf.DUMMYFUNCTION("""COMPUTED_VALUE"""),0.0)</f>
        <v>0</v>
      </c>
      <c r="W134" s="199">
        <f>IFERROR(__xludf.DUMMYFUNCTION("""COMPUTED_VALUE"""),0.0)</f>
        <v>0</v>
      </c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</row>
    <row r="135">
      <c r="A135" s="196"/>
      <c r="B135" s="201" t="str">
        <f>IF(OR(E135=Report!$B$1, F135=Report!$B$1, G135=Report!$B$1, H135=Report!$B$1), D135, "")</f>
        <v/>
      </c>
      <c r="C135" s="196" t="b">
        <f>IFERROR(__xludf.DUMMYFUNCTION("""COMPUTED_VALUE"""),FALSE)</f>
        <v>0</v>
      </c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9">
        <f>IFERROR(__xludf.DUMMYFUNCTION("""COMPUTED_VALUE"""),0.0)</f>
        <v>0</v>
      </c>
      <c r="W135" s="199">
        <f>IFERROR(__xludf.DUMMYFUNCTION("""COMPUTED_VALUE"""),0.0)</f>
        <v>0</v>
      </c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</row>
    <row r="136">
      <c r="A136" s="196"/>
      <c r="B136" s="201" t="str">
        <f>IF(OR(E136=Report!$B$1, F136=Report!$B$1, G136=Report!$B$1, H136=Report!$B$1), D136, "")</f>
        <v/>
      </c>
      <c r="C136" s="196" t="b">
        <f>IFERROR(__xludf.DUMMYFUNCTION("""COMPUTED_VALUE"""),FALSE)</f>
        <v>0</v>
      </c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9">
        <f>IFERROR(__xludf.DUMMYFUNCTION("""COMPUTED_VALUE"""),0.0)</f>
        <v>0</v>
      </c>
      <c r="W136" s="199">
        <f>IFERROR(__xludf.DUMMYFUNCTION("""COMPUTED_VALUE"""),0.0)</f>
        <v>0</v>
      </c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</row>
    <row r="137">
      <c r="A137" s="196"/>
      <c r="B137" s="201" t="str">
        <f>IF(OR(E137=Report!$B$1, F137=Report!$B$1, G137=Report!$B$1, H137=Report!$B$1), D137, "")</f>
        <v/>
      </c>
      <c r="C137" s="196" t="b">
        <f>IFERROR(__xludf.DUMMYFUNCTION("""COMPUTED_VALUE"""),FALSE)</f>
        <v>0</v>
      </c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9">
        <f>IFERROR(__xludf.DUMMYFUNCTION("""COMPUTED_VALUE"""),0.0)</f>
        <v>0</v>
      </c>
      <c r="W137" s="199">
        <f>IFERROR(__xludf.DUMMYFUNCTION("""COMPUTED_VALUE"""),0.0)</f>
        <v>0</v>
      </c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</row>
    <row r="138">
      <c r="A138" s="196"/>
      <c r="B138" s="201" t="str">
        <f>IF(OR(E138=Report!$B$1, F138=Report!$B$1, G138=Report!$B$1, H138=Report!$B$1), D138, "")</f>
        <v/>
      </c>
      <c r="C138" s="196" t="b">
        <f>IFERROR(__xludf.DUMMYFUNCTION("""COMPUTED_VALUE"""),FALSE)</f>
        <v>0</v>
      </c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9">
        <f>IFERROR(__xludf.DUMMYFUNCTION("""COMPUTED_VALUE"""),0.0)</f>
        <v>0</v>
      </c>
      <c r="W138" s="199">
        <f>IFERROR(__xludf.DUMMYFUNCTION("""COMPUTED_VALUE"""),0.0)</f>
        <v>0</v>
      </c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</row>
    <row r="139">
      <c r="A139" s="196"/>
      <c r="B139" s="201" t="str">
        <f>IF(OR(E139=Report!$B$1, F139=Report!$B$1, G139=Report!$B$1, H139=Report!$B$1), D139, "")</f>
        <v/>
      </c>
      <c r="C139" s="196" t="b">
        <f>IFERROR(__xludf.DUMMYFUNCTION("""COMPUTED_VALUE"""),FALSE)</f>
        <v>0</v>
      </c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9">
        <f>IFERROR(__xludf.DUMMYFUNCTION("""COMPUTED_VALUE"""),0.0)</f>
        <v>0</v>
      </c>
      <c r="W139" s="199">
        <f>IFERROR(__xludf.DUMMYFUNCTION("""COMPUTED_VALUE"""),0.0)</f>
        <v>0</v>
      </c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</row>
    <row r="140">
      <c r="A140" s="196"/>
      <c r="B140" s="201" t="str">
        <f>IF(OR(E140=Report!$B$1, F140=Report!$B$1, G140=Report!$B$1, H140=Report!$B$1), D140, "")</f>
        <v/>
      </c>
      <c r="C140" s="196" t="b">
        <f>IFERROR(__xludf.DUMMYFUNCTION("""COMPUTED_VALUE"""),FALSE)</f>
        <v>0</v>
      </c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9">
        <f>IFERROR(__xludf.DUMMYFUNCTION("""COMPUTED_VALUE"""),0.0)</f>
        <v>0</v>
      </c>
      <c r="W140" s="199">
        <f>IFERROR(__xludf.DUMMYFUNCTION("""COMPUTED_VALUE"""),0.0)</f>
        <v>0</v>
      </c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</row>
    <row r="141">
      <c r="A141" s="196"/>
      <c r="B141" s="201" t="str">
        <f>IF(OR(E141=Report!$B$1, F141=Report!$B$1, G141=Report!$B$1, H141=Report!$B$1), D141, "")</f>
        <v/>
      </c>
      <c r="C141" s="196" t="b">
        <f>IFERROR(__xludf.DUMMYFUNCTION("""COMPUTED_VALUE"""),FALSE)</f>
        <v>0</v>
      </c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9">
        <f>IFERROR(__xludf.DUMMYFUNCTION("""COMPUTED_VALUE"""),0.0)</f>
        <v>0</v>
      </c>
      <c r="W141" s="199">
        <f>IFERROR(__xludf.DUMMYFUNCTION("""COMPUTED_VALUE"""),0.0)</f>
        <v>0</v>
      </c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</row>
    <row r="142">
      <c r="A142" s="196"/>
      <c r="B142" s="201" t="str">
        <f>IF(OR(E142=Report!$B$1, F142=Report!$B$1, G142=Report!$B$1, H142=Report!$B$1), D142, "")</f>
        <v/>
      </c>
      <c r="C142" s="196" t="b">
        <f>IFERROR(__xludf.DUMMYFUNCTION("""COMPUTED_VALUE"""),FALSE)</f>
        <v>0</v>
      </c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9">
        <f>IFERROR(__xludf.DUMMYFUNCTION("""COMPUTED_VALUE"""),0.0)</f>
        <v>0</v>
      </c>
      <c r="W142" s="199">
        <f>IFERROR(__xludf.DUMMYFUNCTION("""COMPUTED_VALUE"""),0.0)</f>
        <v>0</v>
      </c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</row>
    <row r="143">
      <c r="A143" s="196"/>
      <c r="B143" s="201" t="str">
        <f>IF(OR(E143=Report!$B$1, F143=Report!$B$1, G143=Report!$B$1, H143=Report!$B$1), D143, "")</f>
        <v/>
      </c>
      <c r="C143" s="196" t="b">
        <f>IFERROR(__xludf.DUMMYFUNCTION("""COMPUTED_VALUE"""),FALSE)</f>
        <v>0</v>
      </c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9">
        <f>IFERROR(__xludf.DUMMYFUNCTION("""COMPUTED_VALUE"""),0.0)</f>
        <v>0</v>
      </c>
      <c r="W143" s="199">
        <f>IFERROR(__xludf.DUMMYFUNCTION("""COMPUTED_VALUE"""),0.0)</f>
        <v>0</v>
      </c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</row>
    <row r="144">
      <c r="A144" s="196"/>
      <c r="B144" s="201" t="str">
        <f>IF(OR(E144=Report!$B$1, F144=Report!$B$1, G144=Report!$B$1, H144=Report!$B$1), D144, "")</f>
        <v/>
      </c>
      <c r="C144" s="196" t="b">
        <f>IFERROR(__xludf.DUMMYFUNCTION("""COMPUTED_VALUE"""),FALSE)</f>
        <v>0</v>
      </c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9">
        <f>IFERROR(__xludf.DUMMYFUNCTION("""COMPUTED_VALUE"""),0.0)</f>
        <v>0</v>
      </c>
      <c r="W144" s="199">
        <f>IFERROR(__xludf.DUMMYFUNCTION("""COMPUTED_VALUE"""),0.0)</f>
        <v>0</v>
      </c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</row>
    <row r="145">
      <c r="A145" s="196"/>
      <c r="B145" s="201" t="str">
        <f>IF(OR(E145=Report!$B$1, F145=Report!$B$1, G145=Report!$B$1, H145=Report!$B$1), D145, "")</f>
        <v/>
      </c>
      <c r="C145" s="196" t="b">
        <f>IFERROR(__xludf.DUMMYFUNCTION("""COMPUTED_VALUE"""),FALSE)</f>
        <v>0</v>
      </c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9">
        <f>IFERROR(__xludf.DUMMYFUNCTION("""COMPUTED_VALUE"""),0.0)</f>
        <v>0</v>
      </c>
      <c r="W145" s="199">
        <f>IFERROR(__xludf.DUMMYFUNCTION("""COMPUTED_VALUE"""),0.0)</f>
        <v>0</v>
      </c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</row>
    <row r="146">
      <c r="A146" s="196"/>
      <c r="B146" s="201" t="str">
        <f>IF(OR(E146=Report!$B$1, F146=Report!$B$1, G146=Report!$B$1, H146=Report!$B$1), D146, "")</f>
        <v/>
      </c>
      <c r="C146" s="196" t="b">
        <f>IFERROR(__xludf.DUMMYFUNCTION("""COMPUTED_VALUE"""),FALSE)</f>
        <v>0</v>
      </c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9">
        <f>IFERROR(__xludf.DUMMYFUNCTION("""COMPUTED_VALUE"""),0.0)</f>
        <v>0</v>
      </c>
      <c r="W146" s="199">
        <f>IFERROR(__xludf.DUMMYFUNCTION("""COMPUTED_VALUE"""),0.0)</f>
        <v>0</v>
      </c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</row>
    <row r="147">
      <c r="A147" s="196"/>
      <c r="B147" s="201" t="str">
        <f>IF(OR(E147=Report!$B$1, F147=Report!$B$1, G147=Report!$B$1, H147=Report!$B$1), D147, "")</f>
        <v/>
      </c>
      <c r="C147" s="196" t="b">
        <f>IFERROR(__xludf.DUMMYFUNCTION("""COMPUTED_VALUE"""),FALSE)</f>
        <v>0</v>
      </c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9">
        <f>IFERROR(__xludf.DUMMYFUNCTION("""COMPUTED_VALUE"""),0.0)</f>
        <v>0</v>
      </c>
      <c r="W147" s="199">
        <f>IFERROR(__xludf.DUMMYFUNCTION("""COMPUTED_VALUE"""),0.0)</f>
        <v>0</v>
      </c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</row>
    <row r="148">
      <c r="A148" s="196"/>
      <c r="B148" s="201" t="str">
        <f>IF(OR(E148=Report!$B$1, F148=Report!$B$1, G148=Report!$B$1, H148=Report!$B$1), D148, "")</f>
        <v/>
      </c>
      <c r="C148" s="196" t="b">
        <f>IFERROR(__xludf.DUMMYFUNCTION("""COMPUTED_VALUE"""),FALSE)</f>
        <v>0</v>
      </c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9">
        <f>IFERROR(__xludf.DUMMYFUNCTION("""COMPUTED_VALUE"""),0.0)</f>
        <v>0</v>
      </c>
      <c r="W148" s="199">
        <f>IFERROR(__xludf.DUMMYFUNCTION("""COMPUTED_VALUE"""),0.0)</f>
        <v>0</v>
      </c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</row>
    <row r="149">
      <c r="A149" s="196"/>
      <c r="B149" s="201" t="str">
        <f>IF(OR(E149=Report!$B$1, F149=Report!$B$1, G149=Report!$B$1, H149=Report!$B$1), D149, "")</f>
        <v/>
      </c>
      <c r="C149" s="196" t="b">
        <f>IFERROR(__xludf.DUMMYFUNCTION("""COMPUTED_VALUE"""),FALSE)</f>
        <v>0</v>
      </c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9">
        <f>IFERROR(__xludf.DUMMYFUNCTION("""COMPUTED_VALUE"""),0.0)</f>
        <v>0</v>
      </c>
      <c r="W149" s="199">
        <f>IFERROR(__xludf.DUMMYFUNCTION("""COMPUTED_VALUE"""),0.0)</f>
        <v>0</v>
      </c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</row>
    <row r="150">
      <c r="A150" s="196"/>
      <c r="B150" s="201" t="str">
        <f>IF(OR(E150=Report!$B$1, F150=Report!$B$1, G150=Report!$B$1, H150=Report!$B$1), D150, "")</f>
        <v/>
      </c>
      <c r="C150" s="196" t="b">
        <f>IFERROR(__xludf.DUMMYFUNCTION("""COMPUTED_VALUE"""),FALSE)</f>
        <v>0</v>
      </c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9">
        <f>IFERROR(__xludf.DUMMYFUNCTION("""COMPUTED_VALUE"""),0.0)</f>
        <v>0</v>
      </c>
      <c r="W150" s="199">
        <f>IFERROR(__xludf.DUMMYFUNCTION("""COMPUTED_VALUE"""),0.0)</f>
        <v>0</v>
      </c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</row>
    <row r="151">
      <c r="A151" s="196"/>
      <c r="B151" s="201" t="str">
        <f>IF(OR(E151=Report!$B$1, F151=Report!$B$1, G151=Report!$B$1, H151=Report!$B$1), D151, "")</f>
        <v/>
      </c>
      <c r="C151" s="196" t="b">
        <f>IFERROR(__xludf.DUMMYFUNCTION("""COMPUTED_VALUE"""),FALSE)</f>
        <v>0</v>
      </c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9">
        <f>IFERROR(__xludf.DUMMYFUNCTION("""COMPUTED_VALUE"""),100.0)</f>
        <v>100</v>
      </c>
      <c r="W151" s="199">
        <f>IFERROR(__xludf.DUMMYFUNCTION("""COMPUTED_VALUE"""),0.0)</f>
        <v>0</v>
      </c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</row>
    <row r="152">
      <c r="A152" s="196"/>
      <c r="B152" s="201" t="str">
        <f>IF(OR(E152=Report!$B$1, F152=Report!$B$1, G152=Report!$B$1, H152=Report!$B$1), D152, "")</f>
        <v/>
      </c>
      <c r="C152" s="196" t="b">
        <f>IFERROR(__xludf.DUMMYFUNCTION("""COMPUTED_VALUE"""),FALSE)</f>
        <v>0</v>
      </c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9">
        <f>IFERROR(__xludf.DUMMYFUNCTION("""COMPUTED_VALUE"""),100.0)</f>
        <v>100</v>
      </c>
      <c r="W152" s="199">
        <f>IFERROR(__xludf.DUMMYFUNCTION("""COMPUTED_VALUE"""),0.0)</f>
        <v>0</v>
      </c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</row>
    <row r="153">
      <c r="A153" s="196"/>
      <c r="B153" s="201" t="str">
        <f>IF(OR(E153=Report!$B$1, F153=Report!$B$1, G153=Report!$B$1, H153=Report!$B$1), D153, "")</f>
        <v/>
      </c>
      <c r="C153" s="196" t="b">
        <f>IFERROR(__xludf.DUMMYFUNCTION("""COMPUTED_VALUE"""),FALSE)</f>
        <v>0</v>
      </c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9">
        <f>IFERROR(__xludf.DUMMYFUNCTION("""COMPUTED_VALUE"""),100.0)</f>
        <v>100</v>
      </c>
      <c r="W153" s="199">
        <f>IFERROR(__xludf.DUMMYFUNCTION("""COMPUTED_VALUE"""),0.0)</f>
        <v>0</v>
      </c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</row>
    <row r="154">
      <c r="A154" s="196"/>
      <c r="B154" s="201" t="str">
        <f>IF(OR(E154=Report!$B$1, F154=Report!$B$1, G154=Report!$B$1, H154=Report!$B$1), D154, "")</f>
        <v/>
      </c>
      <c r="C154" s="196" t="b">
        <f>IFERROR(__xludf.DUMMYFUNCTION("""COMPUTED_VALUE"""),FALSE)</f>
        <v>0</v>
      </c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9">
        <f>IFERROR(__xludf.DUMMYFUNCTION("""COMPUTED_VALUE"""),100.0)</f>
        <v>100</v>
      </c>
      <c r="W154" s="199">
        <f>IFERROR(__xludf.DUMMYFUNCTION("""COMPUTED_VALUE"""),0.0)</f>
        <v>0</v>
      </c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</row>
    <row r="155">
      <c r="A155" s="196"/>
      <c r="B155" s="201" t="str">
        <f>IF(OR(E155=Report!$B$1, F155=Report!$B$1, G155=Report!$B$1, H155=Report!$B$1), D155, "")</f>
        <v/>
      </c>
      <c r="C155" s="196" t="b">
        <f>IFERROR(__xludf.DUMMYFUNCTION("""COMPUTED_VALUE"""),FALSE)</f>
        <v>0</v>
      </c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9">
        <f>IFERROR(__xludf.DUMMYFUNCTION("""COMPUTED_VALUE"""),100.0)</f>
        <v>100</v>
      </c>
      <c r="W155" s="199">
        <f>IFERROR(__xludf.DUMMYFUNCTION("""COMPUTED_VALUE"""),0.0)</f>
        <v>0</v>
      </c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</row>
    <row r="156">
      <c r="A156" s="196"/>
      <c r="B156" s="201" t="str">
        <f>IF(OR(E156=Report!$B$1, F156=Report!$B$1, G156=Report!$B$1, H156=Report!$B$1), D156, "")</f>
        <v/>
      </c>
      <c r="C156" s="196" t="b">
        <f>IFERROR(__xludf.DUMMYFUNCTION("""COMPUTED_VALUE"""),FALSE)</f>
        <v>0</v>
      </c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9">
        <f>IFERROR(__xludf.DUMMYFUNCTION("""COMPUTED_VALUE"""),100.0)</f>
        <v>100</v>
      </c>
      <c r="W156" s="199">
        <f>IFERROR(__xludf.DUMMYFUNCTION("""COMPUTED_VALUE"""),0.0)</f>
        <v>0</v>
      </c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</row>
    <row r="157">
      <c r="A157" s="196"/>
      <c r="B157" s="201" t="str">
        <f>IF(OR(E157=Report!$B$1, F157=Report!$B$1, G157=Report!$B$1, H157=Report!$B$1), D157, "")</f>
        <v/>
      </c>
      <c r="C157" s="196" t="b">
        <f>IFERROR(__xludf.DUMMYFUNCTION("""COMPUTED_VALUE"""),FALSE)</f>
        <v>0</v>
      </c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9">
        <f>IFERROR(__xludf.DUMMYFUNCTION("""COMPUTED_VALUE"""),100.0)</f>
        <v>100</v>
      </c>
      <c r="W157" s="199">
        <f>IFERROR(__xludf.DUMMYFUNCTION("""COMPUTED_VALUE"""),0.0)</f>
        <v>0</v>
      </c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</row>
    <row r="158">
      <c r="A158" s="196"/>
      <c r="B158" s="201" t="str">
        <f>IF(OR(E158=Report!$B$1, F158=Report!$B$1, G158=Report!$B$1, H158=Report!$B$1), D158, "")</f>
        <v/>
      </c>
      <c r="C158" s="196" t="b">
        <f>IFERROR(__xludf.DUMMYFUNCTION("""COMPUTED_VALUE"""),FALSE)</f>
        <v>0</v>
      </c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9">
        <f>IFERROR(__xludf.DUMMYFUNCTION("""COMPUTED_VALUE"""),100.0)</f>
        <v>100</v>
      </c>
      <c r="W158" s="199">
        <f>IFERROR(__xludf.DUMMYFUNCTION("""COMPUTED_VALUE"""),0.0)</f>
        <v>0</v>
      </c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</row>
    <row r="159">
      <c r="A159" s="196"/>
      <c r="B159" s="201" t="str">
        <f>IF(OR(E159=Report!$B$1, F159=Report!$B$1, G159=Report!$B$1, H159=Report!$B$1), D159, "")</f>
        <v/>
      </c>
      <c r="C159" s="196" t="b">
        <f>IFERROR(__xludf.DUMMYFUNCTION("""COMPUTED_VALUE"""),FALSE)</f>
        <v>0</v>
      </c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9">
        <f>IFERROR(__xludf.DUMMYFUNCTION("""COMPUTED_VALUE"""),100.0)</f>
        <v>100</v>
      </c>
      <c r="W159" s="199">
        <f>IFERROR(__xludf.DUMMYFUNCTION("""COMPUTED_VALUE"""),0.0)</f>
        <v>0</v>
      </c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</row>
    <row r="160">
      <c r="A160" s="196"/>
      <c r="B160" s="201" t="str">
        <f>IF(OR(E160=Report!$B$1, F160=Report!$B$1, G160=Report!$B$1, H160=Report!$B$1), D160, "")</f>
        <v/>
      </c>
      <c r="C160" s="196" t="b">
        <f>IFERROR(__xludf.DUMMYFUNCTION("""COMPUTED_VALUE"""),FALSE)</f>
        <v>0</v>
      </c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9">
        <f>IFERROR(__xludf.DUMMYFUNCTION("""COMPUTED_VALUE"""),100.0)</f>
        <v>100</v>
      </c>
      <c r="W160" s="199">
        <f>IFERROR(__xludf.DUMMYFUNCTION("""COMPUTED_VALUE"""),0.0)</f>
        <v>0</v>
      </c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</row>
    <row r="161">
      <c r="A161" s="196"/>
      <c r="B161" s="201" t="str">
        <f>IF(OR(E161=Report!$B$1, F161=Report!$B$1, G161=Report!$B$1, H161=Report!$B$1), D161, "")</f>
        <v/>
      </c>
      <c r="C161" s="196" t="b">
        <f>IFERROR(__xludf.DUMMYFUNCTION("""COMPUTED_VALUE"""),FALSE)</f>
        <v>0</v>
      </c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9">
        <f>IFERROR(__xludf.DUMMYFUNCTION("""COMPUTED_VALUE"""),100.0)</f>
        <v>100</v>
      </c>
      <c r="W161" s="199">
        <f>IFERROR(__xludf.DUMMYFUNCTION("""COMPUTED_VALUE"""),0.0)</f>
        <v>0</v>
      </c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</row>
    <row r="162">
      <c r="A162" s="196"/>
      <c r="B162" s="201" t="str">
        <f>IF(OR(E162=Report!$B$1, F162=Report!$B$1, G162=Report!$B$1, H162=Report!$B$1), D162, "")</f>
        <v/>
      </c>
      <c r="C162" s="196" t="b">
        <f>IFERROR(__xludf.DUMMYFUNCTION("""COMPUTED_VALUE"""),FALSE)</f>
        <v>0</v>
      </c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9">
        <f>IFERROR(__xludf.DUMMYFUNCTION("""COMPUTED_VALUE"""),100.0)</f>
        <v>100</v>
      </c>
      <c r="W162" s="199">
        <f>IFERROR(__xludf.DUMMYFUNCTION("""COMPUTED_VALUE"""),0.0)</f>
        <v>0</v>
      </c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</row>
    <row r="163">
      <c r="A163" s="196"/>
      <c r="B163" s="201" t="str">
        <f>IF(OR(E163=Report!$B$1, F163=Report!$B$1, G163=Report!$B$1, H163=Report!$B$1), D163, "")</f>
        <v/>
      </c>
      <c r="C163" s="196" t="b">
        <f>IFERROR(__xludf.DUMMYFUNCTION("""COMPUTED_VALUE"""),FALSE)</f>
        <v>0</v>
      </c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9">
        <f>IFERROR(__xludf.DUMMYFUNCTION("""COMPUTED_VALUE"""),100.0)</f>
        <v>100</v>
      </c>
      <c r="W163" s="199">
        <f>IFERROR(__xludf.DUMMYFUNCTION("""COMPUTED_VALUE"""),0.0)</f>
        <v>0</v>
      </c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</row>
    <row r="164">
      <c r="A164" s="196"/>
      <c r="B164" s="201" t="str">
        <f>IF(OR(E164=Report!$B$1, F164=Report!$B$1, G164=Report!$B$1, H164=Report!$B$1), D164, "")</f>
        <v/>
      </c>
      <c r="C164" s="196" t="b">
        <f>IFERROR(__xludf.DUMMYFUNCTION("""COMPUTED_VALUE"""),FALSE)</f>
        <v>0</v>
      </c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9">
        <f>IFERROR(__xludf.DUMMYFUNCTION("""COMPUTED_VALUE"""),100.0)</f>
        <v>100</v>
      </c>
      <c r="W164" s="199">
        <f>IFERROR(__xludf.DUMMYFUNCTION("""COMPUTED_VALUE"""),0.0)</f>
        <v>0</v>
      </c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</row>
    <row r="165">
      <c r="A165" s="196"/>
      <c r="B165" s="201" t="str">
        <f>IF(OR(E165=Report!$B$1, F165=Report!$B$1, G165=Report!$B$1, H165=Report!$B$1), D165, "")</f>
        <v/>
      </c>
      <c r="C165" s="196" t="b">
        <f>IFERROR(__xludf.DUMMYFUNCTION("""COMPUTED_VALUE"""),FALSE)</f>
        <v>0</v>
      </c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9">
        <f>IFERROR(__xludf.DUMMYFUNCTION("""COMPUTED_VALUE"""),100.0)</f>
        <v>100</v>
      </c>
      <c r="W165" s="199">
        <f>IFERROR(__xludf.DUMMYFUNCTION("""COMPUTED_VALUE"""),0.0)</f>
        <v>0</v>
      </c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</row>
    <row r="166">
      <c r="A166" s="196"/>
      <c r="B166" s="201" t="str">
        <f>IF(OR(E166=Report!$B$1, F166=Report!$B$1, G166=Report!$B$1, H166=Report!$B$1), D166, "")</f>
        <v/>
      </c>
      <c r="C166" s="196" t="b">
        <f>IFERROR(__xludf.DUMMYFUNCTION("""COMPUTED_VALUE"""),FALSE)</f>
        <v>0</v>
      </c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9">
        <f>IFERROR(__xludf.DUMMYFUNCTION("""COMPUTED_VALUE"""),100.0)</f>
        <v>100</v>
      </c>
      <c r="W166" s="199">
        <f>IFERROR(__xludf.DUMMYFUNCTION("""COMPUTED_VALUE"""),0.0)</f>
        <v>0</v>
      </c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</row>
    <row r="167">
      <c r="A167" s="196"/>
      <c r="B167" s="201" t="str">
        <f>IF(OR(E167=Report!$B$1, F167=Report!$B$1, G167=Report!$B$1, H167=Report!$B$1), D167, "")</f>
        <v/>
      </c>
      <c r="C167" s="196" t="b">
        <f>IFERROR(__xludf.DUMMYFUNCTION("""COMPUTED_VALUE"""),FALSE)</f>
        <v>0</v>
      </c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9">
        <f>IFERROR(__xludf.DUMMYFUNCTION("""COMPUTED_VALUE"""),100.0)</f>
        <v>100</v>
      </c>
      <c r="W167" s="199">
        <f>IFERROR(__xludf.DUMMYFUNCTION("""COMPUTED_VALUE"""),0.0)</f>
        <v>0</v>
      </c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</row>
    <row r="168">
      <c r="A168" s="196"/>
      <c r="B168" s="201" t="str">
        <f>IF(OR(E168=Report!$B$1, F168=Report!$B$1, G168=Report!$B$1, H168=Report!$B$1), D168, "")</f>
        <v/>
      </c>
      <c r="C168" s="196" t="b">
        <f>IFERROR(__xludf.DUMMYFUNCTION("""COMPUTED_VALUE"""),FALSE)</f>
        <v>0</v>
      </c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9">
        <f>IFERROR(__xludf.DUMMYFUNCTION("""COMPUTED_VALUE"""),100.0)</f>
        <v>100</v>
      </c>
      <c r="W168" s="199">
        <f>IFERROR(__xludf.DUMMYFUNCTION("""COMPUTED_VALUE"""),0.0)</f>
        <v>0</v>
      </c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</row>
    <row r="169">
      <c r="A169" s="196"/>
      <c r="B169" s="201" t="str">
        <f>IF(OR(E169=Report!$B$1, F169=Report!$B$1, G169=Report!$B$1, H169=Report!$B$1), D169, "")</f>
        <v/>
      </c>
      <c r="C169" s="196" t="b">
        <f>IFERROR(__xludf.DUMMYFUNCTION("""COMPUTED_VALUE"""),FALSE)</f>
        <v>0</v>
      </c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9">
        <f>IFERROR(__xludf.DUMMYFUNCTION("""COMPUTED_VALUE"""),100.0)</f>
        <v>100</v>
      </c>
      <c r="W169" s="199">
        <f>IFERROR(__xludf.DUMMYFUNCTION("""COMPUTED_VALUE"""),0.0)</f>
        <v>0</v>
      </c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</row>
    <row r="170">
      <c r="A170" s="196"/>
      <c r="B170" s="201" t="str">
        <f>IF(OR(E170=Report!$B$1, F170=Report!$B$1, G170=Report!$B$1, H170=Report!$B$1), D170, "")</f>
        <v/>
      </c>
      <c r="C170" s="196" t="b">
        <f>IFERROR(__xludf.DUMMYFUNCTION("""COMPUTED_VALUE"""),FALSE)</f>
        <v>0</v>
      </c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9">
        <f>IFERROR(__xludf.DUMMYFUNCTION("""COMPUTED_VALUE"""),100.0)</f>
        <v>100</v>
      </c>
      <c r="W170" s="199">
        <f>IFERROR(__xludf.DUMMYFUNCTION("""COMPUTED_VALUE"""),0.0)</f>
        <v>0</v>
      </c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</row>
    <row r="171">
      <c r="A171" s="196"/>
      <c r="B171" s="201" t="str">
        <f>IF(OR(E171=Report!$B$1, F171=Report!$B$1, G171=Report!$B$1, H171=Report!$B$1), D171, "")</f>
        <v/>
      </c>
      <c r="C171" s="196" t="b">
        <f>IFERROR(__xludf.DUMMYFUNCTION("""COMPUTED_VALUE"""),FALSE)</f>
        <v>0</v>
      </c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9">
        <f>IFERROR(__xludf.DUMMYFUNCTION("""COMPUTED_VALUE"""),100.0)</f>
        <v>100</v>
      </c>
      <c r="W171" s="199">
        <f>IFERROR(__xludf.DUMMYFUNCTION("""COMPUTED_VALUE"""),0.0)</f>
        <v>0</v>
      </c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</row>
    <row r="172">
      <c r="A172" s="196"/>
      <c r="B172" s="201" t="str">
        <f>IF(OR(E172=Report!$B$1, F172=Report!$B$1, G172=Report!$B$1, H172=Report!$B$1), D172, "")</f>
        <v/>
      </c>
      <c r="C172" s="196" t="b">
        <f>IFERROR(__xludf.DUMMYFUNCTION("""COMPUTED_VALUE"""),FALSE)</f>
        <v>0</v>
      </c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9">
        <f>IFERROR(__xludf.DUMMYFUNCTION("""COMPUTED_VALUE"""),100.0)</f>
        <v>100</v>
      </c>
      <c r="W172" s="199">
        <f>IFERROR(__xludf.DUMMYFUNCTION("""COMPUTED_VALUE"""),0.0)</f>
        <v>0</v>
      </c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</row>
    <row r="173">
      <c r="A173" s="196"/>
      <c r="B173" s="201" t="str">
        <f>IF(OR(E173=Report!$B$1, F173=Report!$B$1, G173=Report!$B$1, H173=Report!$B$1), D173, "")</f>
        <v/>
      </c>
      <c r="C173" s="196" t="b">
        <f>IFERROR(__xludf.DUMMYFUNCTION("""COMPUTED_VALUE"""),FALSE)</f>
        <v>0</v>
      </c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9">
        <f>IFERROR(__xludf.DUMMYFUNCTION("""COMPUTED_VALUE"""),100.0)</f>
        <v>100</v>
      </c>
      <c r="W173" s="199">
        <f>IFERROR(__xludf.DUMMYFUNCTION("""COMPUTED_VALUE"""),0.0)</f>
        <v>0</v>
      </c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</row>
    <row r="174">
      <c r="A174" s="196"/>
      <c r="B174" s="201" t="str">
        <f>IF(OR(E174=Report!$B$1, F174=Report!$B$1, G174=Report!$B$1, H174=Report!$B$1), D174, "")</f>
        <v/>
      </c>
      <c r="C174" s="196" t="b">
        <f>IFERROR(__xludf.DUMMYFUNCTION("""COMPUTED_VALUE"""),FALSE)</f>
        <v>0</v>
      </c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9">
        <f>IFERROR(__xludf.DUMMYFUNCTION("""COMPUTED_VALUE"""),100.0)</f>
        <v>100</v>
      </c>
      <c r="W174" s="199">
        <f>IFERROR(__xludf.DUMMYFUNCTION("""COMPUTED_VALUE"""),0.0)</f>
        <v>0</v>
      </c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</row>
    <row r="175">
      <c r="A175" s="196"/>
      <c r="B175" s="201" t="str">
        <f>IF(OR(E175=Report!$B$1, F175=Report!$B$1, G175=Report!$B$1, H175=Report!$B$1), D175, "")</f>
        <v/>
      </c>
      <c r="C175" s="196" t="b">
        <f>IFERROR(__xludf.DUMMYFUNCTION("""COMPUTED_VALUE"""),FALSE)</f>
        <v>0</v>
      </c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9">
        <f>IFERROR(__xludf.DUMMYFUNCTION("""COMPUTED_VALUE"""),100.0)</f>
        <v>100</v>
      </c>
      <c r="W175" s="199">
        <f>IFERROR(__xludf.DUMMYFUNCTION("""COMPUTED_VALUE"""),0.0)</f>
        <v>0</v>
      </c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</row>
    <row r="176">
      <c r="A176" s="196"/>
      <c r="B176" s="201" t="str">
        <f>IF(OR(E176=Report!$B$1, F176=Report!$B$1, G176=Report!$B$1, H176=Report!$B$1), D176, "")</f>
        <v/>
      </c>
      <c r="C176" s="196" t="b">
        <f>IFERROR(__xludf.DUMMYFUNCTION("""COMPUTED_VALUE"""),FALSE)</f>
        <v>0</v>
      </c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9">
        <f>IFERROR(__xludf.DUMMYFUNCTION("""COMPUTED_VALUE"""),100.0)</f>
        <v>100</v>
      </c>
      <c r="W176" s="199">
        <f>IFERROR(__xludf.DUMMYFUNCTION("""COMPUTED_VALUE"""),0.0)</f>
        <v>0</v>
      </c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</row>
    <row r="177">
      <c r="A177" s="196"/>
      <c r="B177" s="201" t="str">
        <f>IF(OR(E177=Report!$B$1, F177=Report!$B$1, G177=Report!$B$1, H177=Report!$B$1), D177, "")</f>
        <v/>
      </c>
      <c r="C177" s="196" t="b">
        <f>IFERROR(__xludf.DUMMYFUNCTION("""COMPUTED_VALUE"""),FALSE)</f>
        <v>0</v>
      </c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9">
        <f>IFERROR(__xludf.DUMMYFUNCTION("""COMPUTED_VALUE"""),100.0)</f>
        <v>100</v>
      </c>
      <c r="W177" s="199">
        <f>IFERROR(__xludf.DUMMYFUNCTION("""COMPUTED_VALUE"""),0.0)</f>
        <v>0</v>
      </c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</row>
    <row r="178">
      <c r="A178" s="196"/>
      <c r="B178" s="201" t="str">
        <f>IF(OR(E178=Report!$B$1, F178=Report!$B$1, G178=Report!$B$1, H178=Report!$B$1), D178, "")</f>
        <v/>
      </c>
      <c r="C178" s="196" t="b">
        <f>IFERROR(__xludf.DUMMYFUNCTION("""COMPUTED_VALUE"""),FALSE)</f>
        <v>0</v>
      </c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9">
        <f>IFERROR(__xludf.DUMMYFUNCTION("""COMPUTED_VALUE"""),100.0)</f>
        <v>100</v>
      </c>
      <c r="W178" s="199">
        <f>IFERROR(__xludf.DUMMYFUNCTION("""COMPUTED_VALUE"""),0.0)</f>
        <v>0</v>
      </c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</row>
    <row r="179">
      <c r="A179" s="196"/>
      <c r="B179" s="201" t="str">
        <f>IF(OR(E179=Report!$B$1, F179=Report!$B$1, G179=Report!$B$1, H179=Report!$B$1), D179, "")</f>
        <v/>
      </c>
      <c r="C179" s="196" t="b">
        <f>IFERROR(__xludf.DUMMYFUNCTION("""COMPUTED_VALUE"""),FALSE)</f>
        <v>0</v>
      </c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9">
        <f>IFERROR(__xludf.DUMMYFUNCTION("""COMPUTED_VALUE"""),100.0)</f>
        <v>100</v>
      </c>
      <c r="W179" s="199">
        <f>IFERROR(__xludf.DUMMYFUNCTION("""COMPUTED_VALUE"""),0.0)</f>
        <v>0</v>
      </c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</row>
    <row r="180">
      <c r="A180" s="196"/>
      <c r="B180" s="196"/>
      <c r="C180" s="196" t="b">
        <f>IFERROR(__xludf.DUMMYFUNCTION("""COMPUTED_VALUE"""),FALSE)</f>
        <v>0</v>
      </c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9">
        <f>IFERROR(__xludf.DUMMYFUNCTION("""COMPUTED_VALUE"""),100.0)</f>
        <v>100</v>
      </c>
      <c r="W180" s="199">
        <f>IFERROR(__xludf.DUMMYFUNCTION("""COMPUTED_VALUE"""),0.0)</f>
        <v>0</v>
      </c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</row>
    <row r="181">
      <c r="A181" s="196"/>
      <c r="B181" s="196"/>
      <c r="C181" s="196" t="b">
        <f>IFERROR(__xludf.DUMMYFUNCTION("""COMPUTED_VALUE"""),FALSE)</f>
        <v>0</v>
      </c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9">
        <f>IFERROR(__xludf.DUMMYFUNCTION("""COMPUTED_VALUE"""),100.0)</f>
        <v>100</v>
      </c>
      <c r="W181" s="199">
        <f>IFERROR(__xludf.DUMMYFUNCTION("""COMPUTED_VALUE"""),0.0)</f>
        <v>0</v>
      </c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</row>
    <row r="182">
      <c r="A182" s="196"/>
      <c r="B182" s="196"/>
      <c r="C182" s="196" t="b">
        <f>IFERROR(__xludf.DUMMYFUNCTION("""COMPUTED_VALUE"""),FALSE)</f>
        <v>0</v>
      </c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9">
        <f>IFERROR(__xludf.DUMMYFUNCTION("""COMPUTED_VALUE"""),100.0)</f>
        <v>100</v>
      </c>
      <c r="W182" s="199">
        <f>IFERROR(__xludf.DUMMYFUNCTION("""COMPUTED_VALUE"""),0.0)</f>
        <v>0</v>
      </c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</row>
    <row r="183">
      <c r="A183" s="196"/>
      <c r="B183" s="196"/>
      <c r="C183" s="196" t="b">
        <f>IFERROR(__xludf.DUMMYFUNCTION("""COMPUTED_VALUE"""),FALSE)</f>
        <v>0</v>
      </c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9">
        <f>IFERROR(__xludf.DUMMYFUNCTION("""COMPUTED_VALUE"""),100.0)</f>
        <v>100</v>
      </c>
      <c r="W183" s="199">
        <f>IFERROR(__xludf.DUMMYFUNCTION("""COMPUTED_VALUE"""),0.0)</f>
        <v>0</v>
      </c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</row>
    <row r="184">
      <c r="A184" s="196"/>
      <c r="B184" s="196"/>
      <c r="C184" s="196" t="b">
        <f>IFERROR(__xludf.DUMMYFUNCTION("""COMPUTED_VALUE"""),FALSE)</f>
        <v>0</v>
      </c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9">
        <f>IFERROR(__xludf.DUMMYFUNCTION("""COMPUTED_VALUE"""),100.0)</f>
        <v>100</v>
      </c>
      <c r="W184" s="199">
        <f>IFERROR(__xludf.DUMMYFUNCTION("""COMPUTED_VALUE"""),0.0)</f>
        <v>0</v>
      </c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</row>
    <row r="185">
      <c r="A185" s="196"/>
      <c r="B185" s="196"/>
      <c r="C185" s="196" t="b">
        <f>IFERROR(__xludf.DUMMYFUNCTION("""COMPUTED_VALUE"""),FALSE)</f>
        <v>0</v>
      </c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9">
        <f>IFERROR(__xludf.DUMMYFUNCTION("""COMPUTED_VALUE"""),100.0)</f>
        <v>100</v>
      </c>
      <c r="W185" s="199">
        <f>IFERROR(__xludf.DUMMYFUNCTION("""COMPUTED_VALUE"""),0.0)</f>
        <v>0</v>
      </c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</row>
    <row r="186">
      <c r="A186" s="196"/>
      <c r="B186" s="196"/>
      <c r="C186" s="196" t="b">
        <f>IFERROR(__xludf.DUMMYFUNCTION("""COMPUTED_VALUE"""),FALSE)</f>
        <v>0</v>
      </c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9">
        <f>IFERROR(__xludf.DUMMYFUNCTION("""COMPUTED_VALUE"""),100.0)</f>
        <v>100</v>
      </c>
      <c r="W186" s="199">
        <f>IFERROR(__xludf.DUMMYFUNCTION("""COMPUTED_VALUE"""),0.0)</f>
        <v>0</v>
      </c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</row>
    <row r="187">
      <c r="A187" s="196"/>
      <c r="B187" s="196"/>
      <c r="C187" s="196" t="b">
        <f>IFERROR(__xludf.DUMMYFUNCTION("""COMPUTED_VALUE"""),FALSE)</f>
        <v>0</v>
      </c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9">
        <f>IFERROR(__xludf.DUMMYFUNCTION("""COMPUTED_VALUE"""),100.0)</f>
        <v>100</v>
      </c>
      <c r="W187" s="199">
        <f>IFERROR(__xludf.DUMMYFUNCTION("""COMPUTED_VALUE"""),0.0)</f>
        <v>0</v>
      </c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</row>
    <row r="188">
      <c r="A188" s="196"/>
      <c r="B188" s="196"/>
      <c r="C188" s="196" t="b">
        <f>IFERROR(__xludf.DUMMYFUNCTION("""COMPUTED_VALUE"""),FALSE)</f>
        <v>0</v>
      </c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9">
        <f>IFERROR(__xludf.DUMMYFUNCTION("""COMPUTED_VALUE"""),100.0)</f>
        <v>100</v>
      </c>
      <c r="W188" s="199">
        <f>IFERROR(__xludf.DUMMYFUNCTION("""COMPUTED_VALUE"""),0.0)</f>
        <v>0</v>
      </c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</row>
    <row r="189">
      <c r="A189" s="196"/>
      <c r="B189" s="196"/>
      <c r="C189" s="196" t="b">
        <f>IFERROR(__xludf.DUMMYFUNCTION("""COMPUTED_VALUE"""),FALSE)</f>
        <v>0</v>
      </c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9">
        <f>IFERROR(__xludf.DUMMYFUNCTION("""COMPUTED_VALUE"""),100.0)</f>
        <v>100</v>
      </c>
      <c r="W189" s="199">
        <f>IFERROR(__xludf.DUMMYFUNCTION("""COMPUTED_VALUE"""),0.0)</f>
        <v>0</v>
      </c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</row>
    <row r="190">
      <c r="A190" s="196"/>
      <c r="B190" s="196"/>
      <c r="C190" s="196" t="b">
        <f>IFERROR(__xludf.DUMMYFUNCTION("""COMPUTED_VALUE"""),FALSE)</f>
        <v>0</v>
      </c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9">
        <f>IFERROR(__xludf.DUMMYFUNCTION("""COMPUTED_VALUE"""),100.0)</f>
        <v>100</v>
      </c>
      <c r="W190" s="199">
        <f>IFERROR(__xludf.DUMMYFUNCTION("""COMPUTED_VALUE"""),0.0)</f>
        <v>0</v>
      </c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</row>
    <row r="191">
      <c r="A191" s="196"/>
      <c r="B191" s="196"/>
      <c r="C191" s="196" t="b">
        <f>IFERROR(__xludf.DUMMYFUNCTION("""COMPUTED_VALUE"""),FALSE)</f>
        <v>0</v>
      </c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9">
        <f>IFERROR(__xludf.DUMMYFUNCTION("""COMPUTED_VALUE"""),100.0)</f>
        <v>100</v>
      </c>
      <c r="W191" s="199">
        <f>IFERROR(__xludf.DUMMYFUNCTION("""COMPUTED_VALUE"""),0.0)</f>
        <v>0</v>
      </c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</row>
    <row r="192">
      <c r="A192" s="196"/>
      <c r="B192" s="196"/>
      <c r="C192" s="196" t="b">
        <f>IFERROR(__xludf.DUMMYFUNCTION("""COMPUTED_VALUE"""),FALSE)</f>
        <v>0</v>
      </c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9">
        <f>IFERROR(__xludf.DUMMYFUNCTION("""COMPUTED_VALUE"""),0.0)</f>
        <v>0</v>
      </c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</row>
    <row r="193">
      <c r="A193" s="196"/>
      <c r="B193" s="196"/>
      <c r="C193" s="196" t="b">
        <f>IFERROR(__xludf.DUMMYFUNCTION("""COMPUTED_VALUE"""),FALSE)</f>
        <v>0</v>
      </c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9">
        <f>IFERROR(__xludf.DUMMYFUNCTION("""COMPUTED_VALUE"""),0.0)</f>
        <v>0</v>
      </c>
      <c r="W193" s="199">
        <f>IFERROR(__xludf.DUMMYFUNCTION("""COMPUTED_VALUE"""),0.0)</f>
        <v>0</v>
      </c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</row>
    <row r="194">
      <c r="A194" s="196"/>
      <c r="B194" s="196"/>
      <c r="C194" s="196"/>
      <c r="D194" s="196" t="str">
        <f>IFERROR(__xludf.DUMMYFUNCTION("""COMPUTED_VALUE"""),"End")</f>
        <v>End</v>
      </c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9">
        <f>IFERROR(__xludf.DUMMYFUNCTION("""COMPUTED_VALUE"""),0.0)</f>
        <v>0</v>
      </c>
      <c r="W194" s="199">
        <f>IFERROR(__xludf.DUMMYFUNCTION("""COMPUTED_VALUE"""),0.0)</f>
        <v>0</v>
      </c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</row>
    <row r="195">
      <c r="A195" s="196"/>
      <c r="B195" s="196"/>
      <c r="C195" s="196"/>
      <c r="D195" s="196" t="str">
        <f>IFERROR(__xludf.DUMMYFUNCTION("""COMPUTED_VALUE"""),"Celkem kurýr")</f>
        <v>Celkem kurýr</v>
      </c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9">
        <f>IFERROR(__xludf.DUMMYFUNCTION("""COMPUTED_VALUE"""),0.0)</f>
        <v>0</v>
      </c>
      <c r="W195" s="199">
        <f>IFERROR(__xludf.DUMMYFUNCTION("""COMPUTED_VALUE"""),0.0)</f>
        <v>0</v>
      </c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</row>
    <row r="196">
      <c r="A196" s="196"/>
      <c r="B196" s="196"/>
      <c r="C196" s="196"/>
      <c r="D196" s="196" t="str">
        <f>IFERROR(__xludf.DUMMYFUNCTION("""COMPUTED_VALUE"""),"Celkem inst + kurýr")</f>
        <v>Celkem inst + kurýr</v>
      </c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9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9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9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9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9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9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9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9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9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9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9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9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9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9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9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9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9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9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9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9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9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9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9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9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9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9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9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9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9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9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9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9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9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9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9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9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9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9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9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9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9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9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9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9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9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9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9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9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9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9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9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9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9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9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9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9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9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9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9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9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9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9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9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9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9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9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9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9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9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9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9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9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9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9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9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9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9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9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9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9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9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9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9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9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9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9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9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9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9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9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9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9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9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9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9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9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9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9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9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9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9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9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9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9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9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9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9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9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9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9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9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9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9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9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9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9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9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9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9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9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9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9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9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9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9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9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9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9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9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9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9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9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9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9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9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9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9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9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9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9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9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9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9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9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9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9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9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9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9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9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9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9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9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9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9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9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9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9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9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9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9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9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9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9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9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9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9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9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9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9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9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9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9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9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9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9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9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9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9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9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9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9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9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9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9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9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9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9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9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9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9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9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9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9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9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9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9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9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9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9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9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9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9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9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9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9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9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9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9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9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9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9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9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9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9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9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9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9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9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9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9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9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9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9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9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9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9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9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9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9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9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9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9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9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9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9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9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9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9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9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9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9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9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9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9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9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9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9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9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9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9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9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9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9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9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9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9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9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9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9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9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9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9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9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9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9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9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9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9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9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9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9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9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9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9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9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9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9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9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9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9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9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9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9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9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9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9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9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9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9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9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9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9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9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9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9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9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9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9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9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9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9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9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9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9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9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9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9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9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9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9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9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9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9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9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9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9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9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9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9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9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9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9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9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9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9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9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9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9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9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9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9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9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9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9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9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9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9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9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9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9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9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9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9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9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9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9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9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9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9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9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9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9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9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9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9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9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9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9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9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9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9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9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9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9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9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9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9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9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9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9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9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9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9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9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9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9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9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9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9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9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9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9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9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9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9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9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9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9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9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9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9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9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9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9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9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9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9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9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9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9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9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9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9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9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9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9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9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9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9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9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9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9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9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9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9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9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9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9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9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9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9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9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9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9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9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9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9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9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9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9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9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9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9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9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9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9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9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9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9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9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9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9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9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9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9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9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9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9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9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9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9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9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9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9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9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9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9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9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9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9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9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9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9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9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9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9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9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9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9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9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9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9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9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9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9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9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9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9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9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9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9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9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9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9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9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9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9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9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9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9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9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9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9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9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9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9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9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9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9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9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9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9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9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9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9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9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9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9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9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9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9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9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9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9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9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9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9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9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9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9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9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9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9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9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9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9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9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9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9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9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9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9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9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9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9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9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9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9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9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9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9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9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9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9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9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9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9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9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9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9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9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9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9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9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9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9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9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9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9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9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9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9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9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9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9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9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9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9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9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9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9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9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9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9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9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9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9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9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9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9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9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9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9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9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9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9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9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9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9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9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9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9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9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9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9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9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9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9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9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9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9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9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9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9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9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9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9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9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9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9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9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9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9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9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9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9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9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9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9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9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9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9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9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9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9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9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9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9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9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9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9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9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9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9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9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9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9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9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9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9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9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9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9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9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9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9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9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9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9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9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9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9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9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9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9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9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9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9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9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9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9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9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9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9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9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9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9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9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9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9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9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9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9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9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9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9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9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9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9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9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9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9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9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9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9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9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9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9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9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9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9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9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9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9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9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9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9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9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9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9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9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9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9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9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9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9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9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9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9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9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9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9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9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9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9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9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9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9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9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9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9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9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9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9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9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9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9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9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9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9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9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9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9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9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9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9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9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9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9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9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9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9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9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9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9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9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9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9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9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9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9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9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9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9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9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9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9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9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9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9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9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9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9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9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9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9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9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9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9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9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9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9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9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9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9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9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9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9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9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9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9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9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9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9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9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9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9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9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9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9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9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9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9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9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9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9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9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9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9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9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9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</row>
    <row r="998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9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</row>
    <row r="999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9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</row>
    <row r="1000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9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6"/>
      <c r="AK1000" s="19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