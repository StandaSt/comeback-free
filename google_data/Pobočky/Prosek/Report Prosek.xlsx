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<sst xmlns="http://schemas.openxmlformats.org/spreadsheetml/2006/main" count="1939" uniqueCount="709">
  <si>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</si>
  <si>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</si>
  <si>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</si>
  <si>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</si>
  <si>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</si>
  <si>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</si>
  <si>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</si>
  <si>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</si>
  <si>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</si>
  <si>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</si>
  <si>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</si>
  <si>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</si>
  <si>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</si>
  <si>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</si>
  <si>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</si>
  <si>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</si>
  <si>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</si>
  <si>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</si>
  <si>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</si>
  <si>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</si>
  <si>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</si>
  <si>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</si>
  <si>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</si>
  <si>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</si>
  <si>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</si>
  <si>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</si>
  <si>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</si>
  <si>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</si>
  <si>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</si>
  <si>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</si>
  <si>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</si>
  <si>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</si>
  <si>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</si>
  <si>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</si>
  <si>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</si>
  <si>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</si>
  <si>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</si>
  <si>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</si>
  <si>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</si>
  <si>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</si>
  <si>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</si>
  <si>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</si>
  <si>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</si>
  <si>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</si>
  <si>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</si>
  <si>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</si>
  <si>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</si>
  <si>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</si>
  <si>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</si>
  <si>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</si>
  <si>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</si>
  <si>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</si>
  <si>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</si>
  <si>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</si>
  <si>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</si>
  <si>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</si>
  <si>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</si>
  <si>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</si>
  <si>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</si>
  <si>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</si>
  <si>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</si>
  <si>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</si>
  <si>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</si>
  <si>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</si>
  <si>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</si>
  <si>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</si>
  <si>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</si>
  <si>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</si>
  <si>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</si>
  <si>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</si>
  <si>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</si>
  <si>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</si>
  <si>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</si>
  <si>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</si>
  <si>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</si>
  <si>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</si>
  <si>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</si>
  <si>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</si>
  <si>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</si>
  <si>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</si>
  <si>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</si>
  <si>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</si>
  <si>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</si>
  <si>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</si>
  <si>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</si>
  <si>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</si>
  <si>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</si>
  <si>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</si>
  <si>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</si>
  <si>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</si>
  <si>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</si>
  <si>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</si>
  <si>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</si>
  <si>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</si>
  <si>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</si>
  <si>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</si>
  <si>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</si>
  <si>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</si>
  <si>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</si>
  <si>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</si>
  <si>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</si>
  <si>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</si>
  <si>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</si>
  <si>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</si>
  <si>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</si>
  <si>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</si>
  <si>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</si>
  <si>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</si>
  <si>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</si>
  <si>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</si>
  <si>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</si>
  <si>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</si>
  <si>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</si>
  <si>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</si>
  <si>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</si>
  <si>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</si>
  <si>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</si>
  <si>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</si>
  <si>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</si>
  <si>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</si>
  <si>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</si>
  <si>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</si>
  <si>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</si>
  <si>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</si>
  <si>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</si>
  <si>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</si>
  <si>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</si>
  <si>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</si>
  <si>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</si>
  <si>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</si>
  <si>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</si>
  <si>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</si>
  <si>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</si>
  <si>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</si>
  <si>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</si>
  <si>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</si>
  <si>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</si>
  <si>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</si>
  <si>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</si>
  <si>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</si>
  <si>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</si>
  <si>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</si>
  <si>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</si>
  <si>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</si>
  <si>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</si>
  <si>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</si>
  <si>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</si>
  <si>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</si>
  <si>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</si>
  <si>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</si>
  <si>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</si>
  <si>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</si>
  <si>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</si>
  <si>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</si>
  <si>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</si>
  <si>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</si>
  <si>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</si>
  <si>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</si>
  <si>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</si>
  <si>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</si>
  <si>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</si>
  <si>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</si>
  <si>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</si>
  <si>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</si>
  <si>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</si>
  <si>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</si>
  <si>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</si>
  <si>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</si>
  <si>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</si>
  <si>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</si>
  <si>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</si>
  <si>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</si>
  <si>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</si>
  <si>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</si>
  <si>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</si>
  <si>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</si>
  <si>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</si>
  <si>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</si>
  <si>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</si>
  <si>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</si>
  <si>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</si>
  <si>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</si>
  <si>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</si>
  <si>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</si>
  <si>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</si>
  <si>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</si>
  <si>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</si>
  <si>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</si>
  <si>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</si>
  <si>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</si>
  <si>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</si>
  <si>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</si>
  <si>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</si>
  <si>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</si>
  <si>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</si>
  <si>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</si>
  <si>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</si>
  <si>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</si>
  <si>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</si>
  <si>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</si>
  <si>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</si>
  <si>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</si>
  <si>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</si>
  <si>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</si>
  <si>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</si>
  <si>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</si>
  <si>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</si>
  <si>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</si>
  <si>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</si>
  <si>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</si>
  <si>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</si>
  <si>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</si>
  <si>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</si>
  <si>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</si>
  <si>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</si>
  <si>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</si>
  <si>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</si>
  <si>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</si>
  <si>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</si>
  <si>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</si>
  <si>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</si>
  <si>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</si>
  <si>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</si>
  <si>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</si>
  <si>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</si>
  <si>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</si>
  <si>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</si>
  <si>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</si>
  <si>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</si>
  <si>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</si>
  <si>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</si>
  <si>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</si>
  <si>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</si>
  <si>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</si>
  <si>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</si>
  <si>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</si>
  <si>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</si>
  <si>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</si>
  <si>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</si>
  <si>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</si>
  <si>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</si>
  <si>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</si>
  <si>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</si>
  <si>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</si>
  <si>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</si>
  <si>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</si>
  <si>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</si>
  <si>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</si>
  <si>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</si>
  <si>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</si>
  <si>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</si>
  <si>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</si>
  <si>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</si>
  <si>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</si>
  <si>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</si>
  <si>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</si>
  <si>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</si>
  <si>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</si>
  <si>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</si>
  <si>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</si>
  <si>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</si>
  <si>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</si>
  <si>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</si>
  <si>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</si>
  <si>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</si>
  <si>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</si>
  <si>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</si>
  <si>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</si>
  <si>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</si>
  <si>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</si>
  <si>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</si>
  <si>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</si>
  <si>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</si>
  <si>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</si>
  <si>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</si>
  <si>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</si>
  <si>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</si>
  <si>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</si>
  <si>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</si>
  <si>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</si>
  <si>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</si>
  <si>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</si>
  <si>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</si>
  <si>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</si>
  <si>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</si>
  <si>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</si>
  <si>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</si>
  <si>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</si>
  <si>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</si>
  <si>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</si>
  <si>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</si>
  <si>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</si>
  <si>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</si>
  <si>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</si>
  <si>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</si>
  <si>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</si>
  <si>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</si>
  <si>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</si>
  <si>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</si>
  <si>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</si>
  <si>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</si>
  <si>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</si>
  <si>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</si>
  <si>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</si>
  <si>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</si>
  <si>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</si>
  <si>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</si>
  <si>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</si>
  <si>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</si>
  <si>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</si>
  <si>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</si>
  <si>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</si>
  <si>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</si>
  <si>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</si>
  <si>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</si>
  <si>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</si>
  <si>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</si>
  <si>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</si>
  <si>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</si>
  <si>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</si>
  <si>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</si>
  <si>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</si>
  <si>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</si>
  <si>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</si>
  <si>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</si>
  <si>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</si>
  <si>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</si>
  <si>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</si>
  <si>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</si>
  <si>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</si>
  <si>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</si>
  <si>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</si>
  <si>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</si>
  <si>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</si>
  <si>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</si>
  <si>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</si>
  <si>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</si>
  <si>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</si>
  <si>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</si>
  <si>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</si>
  <si>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</si>
  <si>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</si>
  <si>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</si>
  <si>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</si>
  <si>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</si>
  <si>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</si>
  <si>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</si>
  <si>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</si>
  <si>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</si>
  <si>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</si>
  <si>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</si>
  <si>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</si>
  <si>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</si>
  <si>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</si>
  <si>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</si>
  <si>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</si>
  <si>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</si>
  <si>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</si>
  <si>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</si>
  <si>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</si>
  <si>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</si>
  <si>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</si>
  <si>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</si>
  <si>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</si>
  <si>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</si>
  <si>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</si>
  <si>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</si>
  <si>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</si>
  <si>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</si>
  <si>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</si>
  <si>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</si>
  <si>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</si>
  <si>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</si>
  <si>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</si>
  <si>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</si>
  <si>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</si>
  <si>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</si>
  <si>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</si>
  <si>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</si>
  <si>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</si>
  <si>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</si>
  <si>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</si>
  <si>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</si>
  <si>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</si>
  <si>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</si>
  <si>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</si>
  <si>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</si>
  <si>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</si>
  <si>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</si>
  <si>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</si>
  <si>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</si>
  <si>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</si>
  <si>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</si>
  <si>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</si>
  <si>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</si>
  <si>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</si>
  <si>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</si>
  <si>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</si>
  <si>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</si>
  <si>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</si>
  <si>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</si>
  <si>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</si>
  <si>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</si>
  <si>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</si>
  <si>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</si>
  <si>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</si>
  <si>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</si>
  <si>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</si>
  <si>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</si>
  <si>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</si>
  <si>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</si>
  <si>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</si>
  <si>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</si>
  <si>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</si>
  <si>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</si>
  <si>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</si>
  <si>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</si>
  <si>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</si>
  <si>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</si>
  <si>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</si>
  <si>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</si>
  <si>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</si>
  <si>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</si>
  <si>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</si>
  <si>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</si>
  <si>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</si>
  <si>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</si>
  <si>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</si>
  <si>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</si>
  <si>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</si>
  <si>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</si>
  <si>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</si>
  <si>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</si>
  <si>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</si>
  <si>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</si>
  <si>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</si>
  <si>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</si>
  <si>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</si>
  <si>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</si>
  <si>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</si>
  <si>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</si>
  <si>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</si>
  <si>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</si>
  <si>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</si>
  <si>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</si>
  <si>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</si>
  <si>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</si>
  <si>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</si>
  <si>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</si>
  <si>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</si>
  <si>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</si>
  <si>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</si>
  <si>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</si>
  <si>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</si>
  <si>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</si>
  <si>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</si>
  <si>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</si>
  <si>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</si>
  <si>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</si>
  <si>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</si>
  <si>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</si>
  <si>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</si>
  <si>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</si>
  <si>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</si>
  <si>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</si>
  <si>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</si>
  <si>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</si>
  <si>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</si>
  <si>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</si>
  <si>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</si>
  <si>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</si>
  <si>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</si>
  <si>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</si>
  <si>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</si>
  <si>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</si>
  <si>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</si>
  <si>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</si>
  <si>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</si>
  <si>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</si>
  <si>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</si>
  <si>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</si>
  <si>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</si>
  <si>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</si>
  <si>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</si>
  <si>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</si>
  <si>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</si>
  <si>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</si>
  <si>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</si>
  <si>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</si>
  <si>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</si>
  <si>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</si>
  <si>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</si>
  <si>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</si>
  <si>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</si>
  <si>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</si>
  <si>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</si>
  <si>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</si>
  <si>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</si>
  <si>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</si>
  <si>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</si>
  <si>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</si>
  <si>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</si>
  <si>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</si>
  <si>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</si>
  <si>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</si>
  <si>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</si>
  <si>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</si>
  <si>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</si>
  <si>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</si>
  <si>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</si>
  <si>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</si>
  <si>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</si>
  <si>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</si>
  <si>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</si>
  <si>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</si>
  <si>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</si>
  <si>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</si>
  <si>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</si>
  <si>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</si>
  <si>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</si>
  <si>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</si>
  <si>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</si>
  <si>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</si>
  <si>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</si>
  <si>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</si>
  <si>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</si>
  <si>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</si>
  <si>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</si>
  <si>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</si>
  <si>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</si>
  <si>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</si>
  <si>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</si>
  <si>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</si>
  <si>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</si>
  <si>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</si>
  <si>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</si>
  <si>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</si>
  <si>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</si>
  <si>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</si>
  <si>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</si>
  <si>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</si>
  <si>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</si>
  <si>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</si>
  <si>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</si>
  <si>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</si>
  <si>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</si>
  <si>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</si>
  <si>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</si>
  <si>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</si>
  <si>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</si>
  <si>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</si>
  <si>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</si>
  <si>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</si>
  <si>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</si>
  <si>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</si>
  <si>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</si>
  <si>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</si>
  <si>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</si>
  <si>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</si>
  <si>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</si>
  <si>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</si>
  <si>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</si>
  <si>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</si>
  <si>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</si>
  <si>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</si>
  <si>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</si>
  <si>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</si>
  <si>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</si>
  <si>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</si>
  <si>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</si>
  <si>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</si>
  <si>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</si>
  <si>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</si>
  <si>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</si>
  <si>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</si>
  <si>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</si>
  <si>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</si>
  <si>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</si>
  <si>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</si>
  <si>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</si>
  <si>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</si>
  <si>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</si>
  <si>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</si>
  <si>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</si>
  <si>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</si>
  <si>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</si>
  <si>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</si>
  <si>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</si>
  <si>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</si>
  <si>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</si>
  <si>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</si>
  <si>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</si>
  <si>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</si>
  <si>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</si>
  <si>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</si>
  <si>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</si>
  <si>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</si>
  <si>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</si>
  <si>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</si>
  <si>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</si>
  <si>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</si>
  <si>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</si>
  <si>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</si>
  <si>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</si>
  <si>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</si>
  <si>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</si>
  <si>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</si>
  <si>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</si>
  <si>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</si>
  <si>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</si>
  <si>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</si>
  <si>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</si>
  <si>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</si>
  <si>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</si>
  <si>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</si>
  <si>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</si>
  <si>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</si>
  <si>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</si>
  <si>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</si>
  <si>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</si>
  <si>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</si>
  <si>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</si>
  <si>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</si>
  <si>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</si>
  <si>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</si>
  <si>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</si>
  <si>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</si>
  <si>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</si>
  <si>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</si>
  <si>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</si>
  <si>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</si>
  <si>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</si>
  <si>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</si>
  <si>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</si>
  <si>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</si>
  <si>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Yarushynskyi Vladyslav</t>
  </si>
  <si>
    <t>12:00</t>
  </si>
  <si>
    <t>29:00</t>
  </si>
  <si>
    <t>Vychivskyi Volodymyr</t>
  </si>
  <si>
    <t>66:00</t>
  </si>
  <si>
    <t>Šebesta Tomáš</t>
  </si>
  <si>
    <t>44:30</t>
  </si>
  <si>
    <t>23:00</t>
  </si>
  <si>
    <t>Nováková Adéla</t>
  </si>
  <si>
    <t>31:30</t>
  </si>
  <si>
    <t>13:00</t>
  </si>
  <si>
    <t>Putna Jaroslav</t>
  </si>
  <si>
    <t>45:00</t>
  </si>
  <si>
    <t>7:00</t>
  </si>
  <si>
    <t>11 min 53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</si>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</sst>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46183.0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Středa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Tomáš,Coufal Jakub,Nováková Adéla,Makula Radek,Yarushynskyi Vladyslav,Gorol Patrik,Putna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46174.0</v>
      </c>
      <c r="D1" s="108" t="s">
        <v>631</v>
      </c>
      <c r="E1" s="109">
        <v>46180.0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0.3215457224867853</v>
      </c>
      <c r="H2" s="20"/>
      <c r="I2" s="113">
        <v>257293.25</v>
      </c>
      <c r="K2" s="20"/>
      <c r="L2" s="114" t="s">
        <v>589</v>
      </c>
      <c r="M2" s="115">
        <v>97149.7</v>
      </c>
      <c r="N2" s="116"/>
    </row>
    <row r="3">
      <c r="A3" s="117"/>
      <c r="B3" s="118" t="str">
        <f>CHOOSE(WEEKDAY(C1), "Neděle", "Pondělí", "Úterý", "Středa", "Čtvrtek", "Pátek", "Sobota")</f>
        <v>Pondělí</v>
      </c>
      <c r="C3" s="26"/>
      <c r="D3" s="118" t="str">
        <f>CHOOSE(WEEKDAY(E1), "Neděle", "Pondělí", "Úterý", "Středa", "Čtvrtek", "Pátek", "Sobota")</f>
        <v>Neděle</v>
      </c>
      <c r="E3" s="10"/>
      <c r="H3" s="20"/>
      <c r="K3" s="20"/>
      <c r="L3" s="119" t="s">
        <v>590</v>
      </c>
      <c r="M3" s="120">
        <v>48591.0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46077.65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29465.0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1090.0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133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66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6.100000000013097</v>
      </c>
      <c r="K9" s="10"/>
      <c r="L9" s="142" t="s">
        <v>597</v>
      </c>
      <c r="M9" s="120">
        <v>19814.0</v>
      </c>
      <c r="N9" s="116"/>
    </row>
    <row r="10" ht="18.75" customHeight="1">
      <c r="A10" s="143"/>
      <c r="B10" s="144" t="s">
        <v>635</v>
      </c>
      <c r="C10" s="145">
        <v>1.0</v>
      </c>
      <c r="D10" s="145" t="s">
        <v>636</v>
      </c>
      <c r="E10" s="146" t="s">
        <v>637</v>
      </c>
      <c r="F10" s="144" t="s">
        <v>638</v>
      </c>
      <c r="G10" s="145">
        <v>6.0</v>
      </c>
      <c r="H10" s="145" t="s">
        <v>639</v>
      </c>
      <c r="I10" s="147">
        <v>30.0</v>
      </c>
      <c r="J10" s="35"/>
      <c r="K10" s="20"/>
      <c r="L10" s="142" t="s">
        <v>601</v>
      </c>
      <c r="M10" s="120">
        <v>1075.0</v>
      </c>
      <c r="N10" s="116"/>
    </row>
    <row r="11" ht="18.75" customHeight="1">
      <c r="A11" s="143"/>
      <c r="B11" s="144" t="s">
        <v>640</v>
      </c>
      <c r="C11" s="145">
        <v>5.0</v>
      </c>
      <c r="D11" s="145" t="s">
        <v>641</v>
      </c>
      <c r="E11" s="146" t="s">
        <v>642</v>
      </c>
      <c r="F11" s="144"/>
      <c r="G11" s="145"/>
      <c r="H11" s="145"/>
      <c r="I11" s="147"/>
      <c r="J11" s="35"/>
      <c r="K11" s="20"/>
      <c r="L11" s="148" t="s">
        <v>596</v>
      </c>
      <c r="M11" s="149">
        <v>11687.0</v>
      </c>
      <c r="N11" s="116"/>
    </row>
    <row r="12" ht="18.75" customHeight="1">
      <c r="A12" s="143"/>
      <c r="B12" s="144" t="s">
        <v>643</v>
      </c>
      <c r="C12" s="145">
        <v>4.0</v>
      </c>
      <c r="D12" s="145" t="s">
        <v>644</v>
      </c>
      <c r="E12" s="146" t="s">
        <v>645</v>
      </c>
      <c r="F12" s="144"/>
      <c r="G12" s="145"/>
      <c r="H12" s="145"/>
      <c r="I12" s="147"/>
      <c r="J12" s="35"/>
      <c r="K12" s="20"/>
      <c r="L12" s="150" t="s">
        <v>607</v>
      </c>
      <c r="M12" s="18"/>
      <c r="N12" s="111"/>
    </row>
    <row r="13" ht="18.75" customHeight="1">
      <c r="A13" s="143"/>
      <c r="B13" s="144" t="s">
        <v>646</v>
      </c>
      <c r="C13" s="145">
        <v>5.0</v>
      </c>
      <c r="D13" s="145" t="s">
        <v>647</v>
      </c>
      <c r="E13" s="146" t="s">
        <v>645</v>
      </c>
      <c r="F13" s="144"/>
      <c r="G13" s="145"/>
      <c r="H13" s="145"/>
      <c r="I13" s="147"/>
      <c r="J13" s="35"/>
      <c r="K13" s="20"/>
      <c r="L13" s="142" t="s">
        <v>608</v>
      </c>
      <c r="M13" s="120">
        <v>1000.0</v>
      </c>
      <c r="N13" s="116"/>
    </row>
    <row r="14" ht="18.75" customHeight="1">
      <c r="A14" s="143"/>
      <c r="B14" s="144"/>
      <c r="C14" s="145"/>
      <c r="D14" s="145"/>
      <c r="E14" s="146" t="s">
        <v>648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648</v>
      </c>
      <c r="F15" s="144"/>
      <c r="G15" s="145"/>
      <c r="H15" s="145"/>
      <c r="I15" s="147"/>
      <c r="J15" s="35"/>
      <c r="K15" s="20"/>
      <c r="L15" s="151" t="s">
        <v>610</v>
      </c>
      <c r="M15" s="120">
        <v>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0.0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1350.0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4.0</v>
      </c>
      <c r="K21" s="165">
        <v>2868.0</v>
      </c>
      <c r="L21" s="166">
        <v>6.0</v>
      </c>
      <c r="M21" s="167" t="s">
        <v>649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5.0</v>
      </c>
      <c r="K24" s="166">
        <v>621.0</v>
      </c>
      <c r="L24" s="166">
        <v>63.0</v>
      </c>
      <c r="M24" s="173">
        <v>4.0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1.0</v>
      </c>
      <c r="K27" s="94"/>
      <c r="L27" s="179">
        <v>0.08928571428571429</v>
      </c>
      <c r="M27" s="180">
        <v>2.0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0.9107142857142857</v>
      </c>
      <c r="M30" s="184">
        <v>0.03373015873015873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4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4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185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185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</row>
    <row r="7">
      <c r="A7" s="4"/>
      <c r="B7" s="4"/>
      <c r="C7" s="186"/>
      <c r="D7" s="4"/>
      <c r="E7" s="4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185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185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4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4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4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4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4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4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4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4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4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185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4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4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185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4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185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185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185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4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4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4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185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4"/>
      <c r="F48" s="4"/>
      <c r="G48" s="4"/>
      <c r="H48" s="4"/>
      <c r="I48" s="4"/>
      <c r="J48" s="4"/>
      <c r="K48" s="185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4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4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4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185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185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185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4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185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185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4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4"/>
      <c r="F62" s="4"/>
      <c r="G62" s="4"/>
      <c r="H62" s="4"/>
      <c r="I62" s="4"/>
      <c r="J62" s="4"/>
      <c r="K62" s="185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4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4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4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</row>
    <row r="66">
      <c r="A66" s="4"/>
      <c r="B66" s="4"/>
      <c r="C66" s="186"/>
      <c r="D66" s="4"/>
      <c r="E66" s="185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4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185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185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4"/>
      <c r="B70" s="4"/>
      <c r="C70" s="186"/>
      <c r="D70" s="4"/>
      <c r="E70" s="4"/>
      <c r="F70" s="4"/>
      <c r="G70" s="4"/>
      <c r="H70" s="4"/>
      <c r="I70" s="4"/>
      <c r="J70" s="4"/>
      <c r="K70" s="185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4"/>
      <c r="F71" s="4"/>
      <c r="G71" s="4"/>
      <c r="H71" s="4"/>
      <c r="I71" s="4"/>
      <c r="J71" s="4"/>
      <c r="K71" s="185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85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4"/>
      <c r="B73" s="4"/>
      <c r="C73" s="186"/>
      <c r="D73" s="4"/>
      <c r="E73" s="4"/>
      <c r="F73" s="4"/>
      <c r="G73" s="4"/>
      <c r="H73" s="4"/>
      <c r="I73" s="4"/>
      <c r="J73" s="4"/>
      <c r="K73" s="185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185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4"/>
      <c r="B78" s="4"/>
      <c r="C78" s="186"/>
      <c r="D78" s="4"/>
      <c r="E78" s="4"/>
      <c r="F78" s="4"/>
      <c r="G78" s="4"/>
      <c r="H78" s="4"/>
      <c r="I78" s="4"/>
      <c r="J78" s="4"/>
      <c r="K78" s="185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</row>
    <row r="79">
      <c r="A79" s="4"/>
      <c r="B79" s="4"/>
      <c r="C79" s="186"/>
      <c r="D79" s="4"/>
      <c r="E79" s="4"/>
      <c r="F79" s="4"/>
      <c r="G79" s="4"/>
      <c r="H79" s="4"/>
      <c r="I79" s="4"/>
      <c r="J79" s="4"/>
      <c r="K79" s="185"/>
      <c r="L79" s="4"/>
      <c r="M79" s="4"/>
      <c r="N79" s="4"/>
      <c r="O79" s="4"/>
      <c r="P79" s="4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4"/>
      <c r="B80" s="4"/>
      <c r="C80" s="186"/>
      <c r="D80" s="4"/>
      <c r="E80" s="4"/>
      <c r="F80" s="4"/>
      <c r="G80" s="4"/>
      <c r="H80" s="4"/>
      <c r="I80" s="4"/>
      <c r="J80" s="4"/>
      <c r="K80" s="185"/>
      <c r="L80" s="4"/>
      <c r="M80" s="4"/>
      <c r="N80" s="4"/>
      <c r="O80" s="4"/>
      <c r="P80" s="4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D80" s="185"/>
      <c r="AE80" s="185"/>
      <c r="AF80" s="185"/>
    </row>
    <row r="81">
      <c r="A81" s="4"/>
      <c r="B81" s="4"/>
      <c r="C81" s="186"/>
      <c r="D81" s="4"/>
      <c r="E81" s="185"/>
      <c r="F81" s="4"/>
      <c r="G81" s="4"/>
      <c r="H81" s="4"/>
      <c r="I81" s="4"/>
      <c r="J81" s="4"/>
      <c r="K81" s="185"/>
      <c r="L81" s="4"/>
      <c r="M81" s="4"/>
      <c r="N81" s="4"/>
      <c r="O81" s="4"/>
      <c r="P81" s="4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85"/>
      <c r="L82" s="4"/>
      <c r="M82" s="4"/>
      <c r="N82" s="4"/>
      <c r="O82" s="4"/>
      <c r="P82" s="4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185"/>
      <c r="L83" s="4"/>
      <c r="M83" s="4"/>
      <c r="N83" s="4"/>
      <c r="O83" s="4"/>
      <c r="P83" s="4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4"/>
      <c r="B84" s="4"/>
      <c r="C84" s="186"/>
      <c r="D84" s="4"/>
      <c r="E84" s="4"/>
      <c r="F84" s="4"/>
      <c r="G84" s="4"/>
      <c r="H84" s="4"/>
      <c r="I84" s="4"/>
      <c r="J84" s="4"/>
      <c r="K84" s="185"/>
      <c r="L84" s="4"/>
      <c r="M84" s="4"/>
      <c r="N84" s="4"/>
      <c r="O84" s="4"/>
      <c r="P84" s="4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4"/>
      <c r="B85" s="4"/>
      <c r="C85" s="186"/>
      <c r="D85" s="4"/>
      <c r="E85" s="4"/>
      <c r="F85" s="4"/>
      <c r="G85" s="4"/>
      <c r="H85" s="4"/>
      <c r="I85" s="4"/>
      <c r="J85" s="4"/>
      <c r="K85" s="185"/>
      <c r="L85" s="4"/>
      <c r="M85" s="4"/>
      <c r="N85" s="4"/>
      <c r="O85" s="4"/>
      <c r="P85" s="4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D85" s="185"/>
      <c r="AE85" s="185"/>
      <c r="AF85" s="185"/>
    </row>
    <row r="86">
      <c r="A86" s="4"/>
      <c r="B86" s="4"/>
      <c r="C86" s="186"/>
      <c r="D86" s="4"/>
      <c r="E86" s="185"/>
      <c r="F86" s="4"/>
      <c r="G86" s="4"/>
      <c r="H86" s="4"/>
      <c r="I86" s="4"/>
      <c r="J86" s="4"/>
      <c r="K86" s="185"/>
      <c r="L86" s="4"/>
      <c r="M86" s="4"/>
      <c r="N86" s="4"/>
      <c r="O86" s="4"/>
      <c r="P86" s="4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</row>
    <row r="87">
      <c r="A87" s="4"/>
      <c r="B87" s="4"/>
      <c r="C87" s="186"/>
      <c r="D87" s="4"/>
      <c r="E87" s="4"/>
      <c r="F87" s="4"/>
      <c r="G87" s="4"/>
      <c r="H87" s="4"/>
      <c r="I87" s="4"/>
      <c r="J87" s="4"/>
      <c r="K87" s="185"/>
      <c r="L87" s="4"/>
      <c r="M87" s="4"/>
      <c r="N87" s="4"/>
      <c r="O87" s="4"/>
      <c r="P87" s="4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4"/>
      <c r="B88" s="4"/>
      <c r="C88" s="186"/>
      <c r="D88" s="4"/>
      <c r="E88" s="4"/>
      <c r="F88" s="4"/>
      <c r="G88" s="4"/>
      <c r="H88" s="4"/>
      <c r="I88" s="4"/>
      <c r="J88" s="4"/>
      <c r="K88" s="185"/>
      <c r="L88" s="4"/>
      <c r="M88" s="4"/>
      <c r="N88" s="4"/>
      <c r="O88" s="4"/>
      <c r="P88" s="4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4"/>
      <c r="B89" s="4"/>
      <c r="C89" s="186"/>
      <c r="D89" s="4"/>
      <c r="E89" s="185"/>
      <c r="F89" s="4"/>
      <c r="G89" s="4"/>
      <c r="H89" s="4"/>
      <c r="I89" s="4"/>
      <c r="J89" s="4"/>
      <c r="K89" s="185"/>
      <c r="L89" s="4"/>
      <c r="M89" s="4"/>
      <c r="N89" s="4"/>
      <c r="O89" s="4"/>
      <c r="P89" s="4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D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185"/>
      <c r="B108" s="185"/>
      <c r="C108" s="187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S120" s="185"/>
      <c r="T120" s="185"/>
      <c r="U120" s="185"/>
      <c r="V120" s="185"/>
      <c r="W120" s="185"/>
      <c r="X120" s="185"/>
      <c r="Y120" s="185"/>
      <c r="Z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O122" s="185"/>
      <c r="P122" s="185"/>
      <c r="Q122" s="185"/>
      <c r="S122" s="185"/>
      <c r="T122" s="185"/>
      <c r="U122" s="185"/>
      <c r="V122" s="185"/>
      <c r="W122" s="185"/>
      <c r="X122" s="185"/>
      <c r="Y122" s="185"/>
      <c r="Z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185"/>
      <c r="AC124" s="185"/>
      <c r="AE124" s="185"/>
      <c r="AF124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""Mzdy!ac1:ad200"")"),30.0)</f>
        <v>30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650</v>
      </c>
      <c r="B4" s="191" t="s">
        <v>651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IFERROR(__xludf.DUMMYFUNCTION("""COMPUTED_VALUE"""),2882.052)</f>
        <v>2882.052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IFERROR(__xludf.DUMMYFUNCTION("""COMPUTED_VALUE"""),2882.052)</f>
        <v>2882.052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IFERROR(__xludf.DUMMYFUNCTION("""COMPUTED_VALUE"""),2274.6)</f>
        <v>2274.6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IFERROR(__xludf.DUMMYFUNCTION("""COMPUTED_VALUE"""),2882.052)</f>
        <v>2882.052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IFERROR(__xludf.DUMMYFUNCTION("""COMPUTED_VALUE"""),2274.6)</f>
        <v>2274.6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IFERROR(__xludf.DUMMYFUNCTION("""COMPUTED_VALUE"""),2882.052)</f>
        <v>2882.052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IFERROR(__xludf.DUMMYFUNCTION("""COMPUTED_VALUE"""),2274.6)</f>
        <v>2274.6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IFERROR(__xludf.DUMMYFUNCTION("""COMPUTED_VALUE"""),2274.6)</f>
        <v>2274.6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IFERROR(__xludf.DUMMYFUNCTION("""COMPUTED_VALUE"""),2274.6)</f>
        <v>2274.6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 t="str">
        <f>IFERROR(__xludf.DUMMYFUNCTION("""COMPUTED_VALUE"""),"Zličín")</f>
        <v>Zličín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IFERROR(__xludf.DUMMYFUNCTION("""COMPUTED_VALUE"""),2882.052)</f>
        <v>2882.052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IFERROR(__xludf.DUMMYFUNCTION("""COMPUTED_VALUE"""),2882.052)</f>
        <v>2882.052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>Yarushynskyi Vladyslav</v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IFERROR(__xludf.DUMMYFUNCTION("""COMPUTED_VALUE"""),"Malešice")</f>
        <v>Malešice</v>
      </c>
      <c r="F28" s="2" t="str">
        <f>IFERROR(__xludf.DUMMYFUNCTION("""COMPUTED_VALUE"""),"Chodov")</f>
        <v>Chodov</v>
      </c>
      <c r="G28" s="2" t="str">
        <f>IFERROR(__xludf.DUMMYFUNCTION("""COMPUTED_VALUE"""),"Zličín")</f>
        <v>Zličín</v>
      </c>
      <c r="H28" s="2" t="str">
        <f>IFERROR(__xludf.DUMMYFUNCTION("""COMPUTED_VALUE"""),"Prosek")</f>
        <v>Prosek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Gorol Patrik</v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 t="str">
        <f>IFERROR(__xludf.DUMMYFUNCTION("""COMPUTED_VALUE"""),"Prosek")</f>
        <v>Prosek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IFERROR(__xludf.DUMMYFUNCTION("""COMPUTED_VALUE"""),0.0)</f>
        <v>0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 t="str">
        <f>IFERROR(__xludf.DUMMYFUNCTION("""COMPUTED_VALUE"""),"Malešice")</f>
        <v>Malešice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 t="str">
        <f>IFERROR(__xludf.DUMMYFUNCTION("""COMPUTED_VALUE"""),"Výroba")</f>
        <v>Výroba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IFERROR(__xludf.DUMMYFUNCTION("""COMPUTED_VALUE"""),2577.8799999999997)</f>
        <v>2577.88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IFERROR(__xludf.DUMMYFUNCTION("""COMPUTED_VALUE"""),1650.2)</f>
        <v>1650.2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IFERROR(__xludf.DUMMYFUNCTION("""COMPUTED_VALUE"""),"Břicháč Pavel")</f>
        <v>Břicháč Pavel</v>
      </c>
      <c r="E126" s="2" t="str">
        <f>IFERROR(__xludf.DUMMYFUNCTION("""COMPUTED_VALUE"""),"Libuš")</f>
        <v>Libuš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IFERROR(__xludf.DUMMYFUNCTION("""COMPUTED_VALUE"""),231.474)</f>
        <v>231.474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 t="str">
        <f>IFERROR(__xludf.DUMMYFUNCTION("""COMPUTED_VALUE"""),"Čerešňák Michal")</f>
        <v>Čerešňák Michal</v>
      </c>
      <c r="E127" s="2" t="str">
        <f>IFERROR(__xludf.DUMMYFUNCTION("""COMPUTED_VALUE"""),"Zličín")</f>
        <v>Zličín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IFERROR(__xludf.DUMMYFUNCTION("""COMPUTED_VALUE"""),170.0)</f>
        <v>170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 t="str">
        <f>IFERROR(__xludf.DUMMYFUNCTION("""COMPUTED_VALUE"""),"Weindling Josef")</f>
        <v>Weindling Josef</v>
      </c>
      <c r="E128" s="2" t="str">
        <f>IFERROR(__xludf.DUMMYFUNCTION("""COMPUTED_VALUE"""),"Libuš")</f>
        <v>Libuš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IFERROR(__xludf.DUMMYFUNCTION("""COMPUTED_VALUE"""),231.474)</f>
        <v>231.474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 t="str">
        <f>IFERROR(__xludf.DUMMYFUNCTION("""COMPUTED_VALUE"""),"Fux Vojtěch")</f>
        <v>Fux Vojtěch</v>
      </c>
      <c r="E129" s="2" t="str">
        <f>IFERROR(__xludf.DUMMYFUNCTION("""COMPUTED_VALUE"""),"Chodov")</f>
        <v>Chodov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IFERROR(__xludf.DUMMYFUNCTION("""COMPUTED_VALUE"""),200.0)</f>
        <v>200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652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653</v>
      </c>
      <c r="B2" s="4" t="s">
        <v>654</v>
      </c>
      <c r="C2" s="4" t="s">
        <v>655</v>
      </c>
      <c r="D2" s="4" t="s">
        <v>656</v>
      </c>
      <c r="E2" s="4" t="s">
        <v>657</v>
      </c>
      <c r="F2" s="4" t="s">
        <v>658</v>
      </c>
      <c r="G2" s="4" t="s">
        <v>659</v>
      </c>
      <c r="H2" s="4" t="s">
        <v>660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661</v>
      </c>
      <c r="B3" s="4" t="s">
        <v>662</v>
      </c>
      <c r="C3" s="185"/>
      <c r="D3" s="185"/>
      <c r="E3" s="4" t="s">
        <v>662</v>
      </c>
      <c r="F3" s="185"/>
      <c r="G3" s="4" t="s">
        <v>663</v>
      </c>
      <c r="H3" s="4" t="s">
        <v>664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665</v>
      </c>
      <c r="B4" s="4" t="s">
        <v>666</v>
      </c>
      <c r="C4" s="4" t="s">
        <v>666</v>
      </c>
      <c r="D4" s="185"/>
      <c r="E4" s="4" t="s">
        <v>667</v>
      </c>
      <c r="F4" s="4" t="s">
        <v>668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669</v>
      </c>
      <c r="B5" s="185"/>
      <c r="C5" s="4" t="s">
        <v>662</v>
      </c>
      <c r="D5" s="4" t="s">
        <v>662</v>
      </c>
      <c r="E5" s="185"/>
      <c r="F5" s="4" t="s">
        <v>663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670</v>
      </c>
      <c r="C6" s="185"/>
      <c r="D6" s="4" t="s">
        <v>667</v>
      </c>
      <c r="E6" s="185"/>
      <c r="F6" s="4" t="s">
        <v>667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671</v>
      </c>
      <c r="C7" s="185"/>
      <c r="D7" s="4" t="s">
        <v>672</v>
      </c>
      <c r="E7" s="4" t="s">
        <v>672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673</v>
      </c>
      <c r="D8" s="4" t="s">
        <v>674</v>
      </c>
      <c r="F8" s="185"/>
      <c r="H8" s="4" t="s">
        <v>674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675</v>
      </c>
      <c r="D9" s="185"/>
      <c r="E9" s="4" t="s">
        <v>676</v>
      </c>
      <c r="F9" s="4" t="s">
        <v>676</v>
      </c>
      <c r="G9" s="4" t="s">
        <v>676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677</v>
      </c>
      <c r="F10" s="185"/>
      <c r="G10" s="4" t="s">
        <v>678</v>
      </c>
      <c r="H10" s="4" t="s">
        <v>679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680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681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682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683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684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685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686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687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688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689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690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691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692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693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694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695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696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697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698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699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700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701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702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703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704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705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706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707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708</v>
      </c>
      <c r="AB141" s="4">
        <v>-10.0</v>
      </c>
    </row>
  </sheetData>
  <mergeCells count="1">
    <mergeCell ref="A1:H1"/>
  </mergeCells>
  <drawing r:id="rId1"/>
</worksheet>
</file>