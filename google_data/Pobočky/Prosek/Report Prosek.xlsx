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<sst xmlns="http://schemas.openxmlformats.org/spreadsheetml/2006/main" count="1952" uniqueCount="716">
  <si>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</si>
  <si>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</si>
  <si>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</si>
  <si>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</si>
  <si>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</si>
  <si>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</si>
  <si>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</si>
  <si>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</si>
  <si>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</si>
  <si>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</si>
  <si>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</si>
  <si>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</si>
  <si>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</si>
  <si>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</si>
  <si>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</si>
  <si>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</si>
  <si>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</si>
  <si>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</si>
  <si>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</si>
  <si>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</si>
  <si>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</si>
  <si>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</si>
  <si>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</si>
  <si>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</si>
  <si>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</si>
  <si>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</si>
  <si>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</si>
  <si>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</si>
  <si>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</si>
  <si>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</si>
  <si>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</si>
  <si>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</si>
  <si>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</si>
  <si>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</si>
  <si>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</si>
  <si>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</si>
  <si>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</si>
  <si>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</si>
  <si>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</si>
  <si>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</si>
  <si>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</si>
  <si>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</si>
  <si>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</si>
  <si>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</si>
  <si>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</si>
  <si>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</si>
  <si>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</si>
  <si>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</si>
  <si>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</si>
  <si>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</si>
  <si>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</si>
  <si>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</si>
  <si>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</si>
  <si>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</si>
  <si>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</si>
  <si>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</si>
  <si>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</si>
  <si>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</si>
  <si>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</si>
  <si>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</si>
  <si>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</si>
  <si>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</si>
  <si>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</si>
  <si>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</si>
  <si>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</si>
  <si>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</si>
  <si>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</si>
  <si>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</si>
  <si>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</si>
  <si>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</si>
  <si>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</si>
  <si>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</si>
  <si>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</si>
  <si>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</si>
  <si>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</si>
  <si>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</si>
  <si>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</si>
  <si>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</si>
  <si>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</si>
  <si>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</si>
  <si>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</si>
  <si>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</si>
  <si>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</si>
  <si>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</si>
  <si>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</si>
  <si>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</si>
  <si>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</si>
  <si>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</si>
  <si>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</si>
  <si>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</si>
  <si>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</si>
  <si>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</si>
  <si>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</si>
  <si>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</si>
  <si>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</si>
  <si>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</si>
  <si>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</si>
  <si>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</si>
  <si>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</si>
  <si>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</si>
  <si>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</si>
  <si>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</si>
  <si>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</si>
  <si>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</si>
  <si>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</si>
  <si>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</si>
  <si>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</si>
  <si>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</si>
  <si>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</si>
  <si>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</si>
  <si>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</si>
  <si>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</si>
  <si>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</si>
  <si>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</si>
  <si>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</si>
  <si>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</si>
  <si>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</si>
  <si>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</si>
  <si>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</si>
  <si>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</si>
  <si>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</si>
  <si>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</si>
  <si>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</si>
  <si>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</si>
  <si>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</si>
  <si>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</si>
  <si>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</si>
  <si>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</si>
  <si>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</si>
  <si>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</si>
  <si>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</si>
  <si>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</si>
  <si>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</si>
  <si>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</si>
  <si>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</si>
  <si>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</si>
  <si>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</si>
  <si>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</si>
  <si>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</si>
  <si>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</si>
  <si>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</si>
  <si>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</si>
  <si>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</si>
  <si>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</si>
  <si>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</si>
  <si>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</si>
  <si>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</si>
  <si>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</si>
  <si>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</si>
  <si>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</si>
  <si>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</si>
  <si>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</si>
  <si>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</si>
  <si>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</si>
  <si>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</si>
  <si>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</si>
  <si>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</si>
  <si>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</si>
  <si>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</si>
  <si>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</si>
  <si>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</si>
  <si>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</si>
  <si>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</si>
  <si>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</si>
  <si>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</si>
  <si>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</si>
  <si>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</si>
  <si>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</si>
  <si>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</si>
  <si>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</si>
  <si>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</si>
  <si>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</si>
  <si>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</si>
  <si>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</si>
  <si>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</si>
  <si>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</si>
  <si>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</si>
  <si>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</si>
  <si>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</si>
  <si>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</si>
  <si>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</si>
  <si>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</si>
  <si>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</si>
  <si>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</si>
  <si>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</si>
  <si>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</si>
  <si>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</si>
  <si>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</si>
  <si>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</si>
  <si>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</si>
  <si>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</si>
  <si>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</si>
  <si>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</si>
  <si>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</si>
  <si>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</si>
  <si>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</si>
  <si>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</si>
  <si>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</si>
  <si>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</si>
  <si>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</si>
  <si>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</si>
  <si>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</si>
  <si>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</si>
  <si>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</si>
  <si>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</si>
  <si>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</si>
  <si>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</si>
  <si>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</si>
  <si>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</si>
  <si>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</si>
  <si>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</si>
  <si>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</si>
  <si>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</si>
  <si>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</si>
  <si>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</si>
  <si>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</si>
  <si>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</si>
  <si>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</si>
  <si>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</si>
  <si>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</si>
  <si>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</si>
  <si>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</si>
  <si>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</si>
  <si>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</si>
  <si>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</si>
  <si>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</si>
  <si>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</si>
  <si>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</si>
  <si>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</si>
  <si>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</si>
  <si>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</si>
  <si>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</si>
  <si>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</si>
  <si>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</si>
  <si>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</si>
  <si>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</si>
  <si>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</si>
  <si>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</si>
  <si>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</si>
  <si>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</si>
  <si>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</si>
  <si>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</si>
  <si>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</si>
  <si>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</si>
  <si>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</si>
  <si>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</si>
  <si>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</si>
  <si>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</si>
  <si>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</si>
  <si>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</si>
  <si>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</si>
  <si>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</si>
  <si>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</si>
  <si>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</si>
  <si>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</si>
  <si>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</si>
  <si>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</si>
  <si>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</si>
  <si>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</si>
  <si>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</si>
  <si>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</si>
  <si>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</si>
  <si>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</si>
  <si>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</si>
  <si>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</si>
  <si>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</si>
  <si>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</si>
  <si>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</si>
  <si>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</si>
  <si>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</si>
  <si>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</si>
  <si>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</si>
  <si>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</si>
  <si>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</si>
  <si>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</si>
  <si>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</si>
  <si>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</si>
  <si>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</si>
  <si>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</si>
  <si>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</si>
  <si>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</si>
  <si>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</si>
  <si>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</si>
  <si>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</si>
  <si>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</si>
  <si>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</si>
  <si>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</si>
  <si>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</si>
  <si>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</si>
  <si>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</si>
  <si>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</si>
  <si>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</si>
  <si>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</si>
  <si>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</si>
  <si>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</si>
  <si>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</si>
  <si>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</si>
  <si>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</si>
  <si>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</si>
  <si>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</si>
  <si>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</si>
  <si>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</si>
  <si>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</si>
  <si>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</si>
  <si>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</si>
  <si>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</si>
  <si>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</si>
  <si>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</si>
  <si>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</si>
  <si>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</si>
  <si>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</si>
  <si>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</si>
  <si>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</si>
  <si>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</si>
  <si>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</si>
  <si>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</si>
  <si>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</si>
  <si>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</si>
  <si>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</si>
  <si>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</si>
  <si>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</si>
  <si>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</si>
  <si>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</si>
  <si>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</si>
  <si>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</si>
  <si>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</si>
  <si>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</si>
  <si>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</si>
  <si>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</si>
  <si>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</si>
  <si>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</si>
  <si>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</si>
  <si>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</si>
  <si>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</si>
  <si>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</si>
  <si>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</si>
  <si>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</si>
  <si>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</si>
  <si>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</si>
  <si>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</si>
  <si>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</si>
  <si>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</si>
  <si>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</si>
  <si>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</si>
  <si>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</si>
  <si>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</si>
  <si>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</si>
  <si>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</si>
  <si>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</si>
  <si>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</si>
  <si>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</si>
  <si>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</si>
  <si>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</si>
  <si>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</si>
  <si>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</si>
  <si>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</si>
  <si>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</si>
  <si>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</si>
  <si>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</si>
  <si>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</si>
  <si>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</si>
  <si>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</si>
  <si>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</si>
  <si>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</si>
  <si>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</si>
  <si>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</si>
  <si>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</si>
  <si>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</si>
  <si>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</si>
  <si>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</si>
  <si>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</si>
  <si>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</si>
  <si>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</si>
  <si>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</si>
  <si>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</si>
  <si>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</si>
  <si>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</si>
  <si>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</si>
  <si>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</si>
  <si>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</si>
  <si>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</si>
  <si>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</si>
  <si>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</si>
  <si>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</si>
  <si>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</si>
  <si>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</si>
  <si>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</si>
  <si>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</si>
  <si>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</si>
  <si>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</si>
  <si>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</si>
  <si>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</si>
  <si>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</si>
  <si>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</si>
  <si>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</si>
  <si>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</si>
  <si>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</si>
  <si>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</si>
  <si>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</si>
  <si>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</si>
  <si>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</si>
  <si>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</si>
  <si>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</si>
  <si>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</si>
  <si>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</si>
  <si>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</si>
  <si>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</si>
  <si>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</si>
  <si>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</si>
  <si>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</si>
  <si>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</si>
  <si>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</si>
  <si>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</si>
  <si>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</si>
  <si>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</si>
  <si>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</si>
  <si>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</si>
  <si>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</si>
  <si>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</si>
  <si>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</si>
  <si>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</si>
  <si>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</si>
  <si>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</si>
  <si>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</si>
  <si>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</si>
  <si>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</si>
  <si>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</si>
  <si>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</si>
  <si>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</si>
  <si>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</si>
  <si>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</si>
  <si>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</si>
  <si>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</si>
  <si>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</si>
  <si>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</si>
  <si>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</si>
  <si>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</si>
  <si>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</si>
  <si>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</si>
  <si>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</si>
  <si>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</si>
  <si>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</si>
  <si>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</si>
  <si>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</si>
  <si>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</si>
  <si>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</si>
  <si>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</si>
  <si>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</si>
  <si>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</si>
  <si>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</si>
  <si>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</si>
  <si>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</si>
  <si>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</si>
  <si>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</si>
  <si>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</si>
  <si>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</si>
  <si>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</si>
  <si>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</si>
  <si>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</si>
  <si>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</si>
  <si>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</si>
  <si>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</si>
  <si>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</si>
  <si>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</si>
  <si>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</si>
  <si>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</si>
  <si>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</si>
  <si>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</si>
  <si>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</si>
  <si>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</si>
  <si>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</si>
  <si>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</si>
  <si>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</si>
  <si>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</si>
  <si>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</si>
  <si>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</si>
  <si>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</si>
  <si>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</si>
  <si>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</si>
  <si>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</si>
  <si>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</si>
  <si>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</si>
  <si>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</si>
  <si>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</si>
  <si>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</si>
  <si>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</si>
  <si>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</si>
  <si>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</si>
  <si>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</si>
  <si>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</si>
  <si>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</si>
  <si>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</si>
  <si>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</si>
  <si>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</si>
  <si>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</si>
  <si>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</si>
  <si>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</si>
  <si>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</si>
  <si>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</si>
  <si>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</si>
  <si>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</si>
  <si>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</si>
  <si>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</si>
  <si>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</si>
  <si>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</si>
  <si>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</si>
  <si>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</si>
  <si>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</si>
  <si>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</si>
  <si>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</si>
  <si>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</si>
  <si>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</si>
  <si>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</si>
  <si>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</si>
  <si>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</si>
  <si>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</si>
  <si>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</si>
  <si>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</si>
  <si>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</si>
  <si>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</si>
  <si>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</si>
  <si>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</si>
  <si>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</si>
  <si>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</si>
  <si>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</si>
  <si>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</si>
  <si>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</si>
  <si>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</si>
  <si>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</si>
  <si>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</si>
  <si>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</si>
  <si>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</si>
  <si>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</si>
  <si>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</si>
  <si>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</si>
  <si>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</si>
  <si>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</si>
  <si>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</si>
  <si>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</si>
  <si>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</si>
  <si>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</si>
  <si>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</si>
  <si>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</si>
  <si>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</si>
  <si>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</si>
  <si>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</si>
  <si>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</si>
  <si>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</si>
  <si>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</si>
  <si>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</si>
  <si>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</si>
  <si>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</si>
  <si>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</si>
  <si>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</si>
  <si>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</si>
  <si>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</si>
  <si>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</si>
  <si>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</si>
  <si>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</si>
  <si>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</si>
  <si>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</si>
  <si>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</si>
  <si>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</si>
  <si>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</si>
  <si>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</si>
  <si>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</si>
  <si>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</si>
  <si>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</si>
  <si>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</si>
  <si>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</si>
  <si>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</si>
  <si>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</si>
  <si>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</si>
  <si>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</si>
  <si>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</si>
  <si>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</si>
  <si>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</si>
  <si>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</si>
  <si>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</si>
  <si>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</si>
  <si>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</si>
  <si>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</si>
  <si>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</si>
  <si>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</si>
  <si>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</si>
  <si>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</si>
  <si>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</si>
  <si>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</si>
  <si>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</si>
  <si>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</si>
  <si>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</si>
  <si>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</si>
  <si>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</si>
  <si>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</si>
  <si>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</si>
  <si>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</si>
  <si>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</si>
  <si>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</si>
  <si>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</si>
  <si>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</si>
  <si>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</si>
  <si>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</si>
  <si>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</si>
  <si>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</si>
  <si>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</si>
  <si>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</si>
  <si>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</si>
  <si>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Šebesta Tomáš</t>
  </si>
  <si>
    <t>10:00</t>
  </si>
  <si>
    <t>01:00</t>
  </si>
  <si>
    <t>Výdaje</t>
  </si>
  <si>
    <t>Fáberová Kateřina</t>
  </si>
  <si>
    <t>17:00</t>
  </si>
  <si>
    <t>23:00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</si>
  <si>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</si>
  <si>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</si>
  <si>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</si>
  <si>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</si>
  <si>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</si>
  <si>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</si>
  <si>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</si>
  <si>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</si>
  <si>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</si>
  <si>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</si>
  <si>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</si>
  <si>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</si>
  <si>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</si>
  <si>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</si>
  <si>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</si>
  <si>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</si>
  <si>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</si>
  <si>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Vychivskyi Volodymyr</t>
  </si>
  <si>
    <t>10:30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</si>
  <si>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</si>
  <si>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</si>
  <si>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</si>
  <si>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</si>
  <si>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</si>
  <si>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</si>
  <si>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</si>
  <si>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</si>
  <si>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</si>
  <si>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</si>
  <si>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</si>
  <si>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</si>
  <si>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</si>
  <si>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202:30</t>
  </si>
  <si>
    <t>201:00</t>
  </si>
  <si>
    <t>Nováková Adéla</t>
  </si>
  <si>
    <t>13:00</t>
  </si>
  <si>
    <t>Putna Jaroslav</t>
  </si>
  <si>
    <t>203:30</t>
  </si>
  <si>
    <t>47:00</t>
  </si>
  <si>
    <t>7:00</t>
  </si>
  <si>
    <t>Ahurieva Viktoriia</t>
  </si>
  <si>
    <t>6:00</t>
  </si>
  <si>
    <t>12 min 31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</si>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</sst>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46204.0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SUMIFS(RestiaCSV!C:C, RestiaCSV!B:B, "&lt;&gt;canceled", RestiaCSV!B:B, "&lt;&gt;expired")</f>
        <v>0</v>
      </c>
      <c r="K2" s="20"/>
      <c r="L2" s="22" t="s">
        <v>589</v>
      </c>
      <c r="M2" s="23">
        <f>SUMIFS(RestiaCSV!C:C, RestiaCSV!A:A, Report!L2, RestiaCSV!B:B, "&lt;&gt;canceled", RestiaCSV!B:B, "&lt;&gt;expired")</f>
        <v>0</v>
      </c>
    </row>
    <row r="3">
      <c r="A3" s="24"/>
      <c r="B3" s="25" t="str">
        <f>CHOOSE(WEEKDAY(D1), "Neděle", "Pondělí", "Úterý", "Středa", "Čtvrtek", "Pátek", "Sobota")</f>
        <v>Středa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 t="s">
        <v>607</v>
      </c>
      <c r="C12" s="51" t="s">
        <v>608</v>
      </c>
      <c r="D12" s="51" t="s">
        <v>609</v>
      </c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15:00</v>
      </c>
      <c r="I12" s="20"/>
      <c r="J12" s="35"/>
      <c r="K12" s="20"/>
      <c r="L12" s="54" t="s">
        <v>610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1501.236</v>
      </c>
      <c r="B13" s="50" t="s">
        <v>611</v>
      </c>
      <c r="C13" s="51" t="s">
        <v>612</v>
      </c>
      <c r="D13" s="51" t="s">
        <v>613</v>
      </c>
      <c r="E13" s="52"/>
      <c r="F13" s="53" t="str">
        <f t="shared" si="1"/>
        <v>06:00</v>
      </c>
      <c r="G13" s="27"/>
      <c r="H13" s="27"/>
      <c r="I13" s="18"/>
      <c r="J13" s="35"/>
      <c r="K13" s="20"/>
      <c r="L13" s="22" t="s">
        <v>614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615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616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617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618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619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620</v>
      </c>
      <c r="K22" s="70" t="s">
        <v>621</v>
      </c>
      <c r="L22" s="71" t="s">
        <v>622</v>
      </c>
      <c r="M22" s="71" t="s">
        <v>623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624</v>
      </c>
      <c r="H24" s="75" t="s">
        <v>625</v>
      </c>
      <c r="I24" s="76" t="s">
        <v>626</v>
      </c>
      <c r="J24" s="77" t="s">
        <v>627</v>
      </c>
      <c r="K24" s="78" t="s">
        <v>628</v>
      </c>
      <c r="L24" s="77" t="s">
        <v>629</v>
      </c>
      <c r="M24" s="78" t="s">
        <v>630</v>
      </c>
    </row>
    <row r="25">
      <c r="A25" s="49">
        <f t="array" ref="A25">IF(ISBLANK(B25), 0, IF(ISNUMBER(MATCH(B25, HR!A:A, 0)), 0, IF(ISNUMBER(MATCH(B25, HR!B:B, 0)), INDEX(HR!V:V, MATCH(B25, HR!B:B, 0)) * (F25 * 24), 0)))</f>
        <v>3627.987</v>
      </c>
      <c r="B25" s="50" t="s">
        <v>631</v>
      </c>
      <c r="C25" s="79" t="s">
        <v>632</v>
      </c>
      <c r="D25" s="79" t="s">
        <v>609</v>
      </c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14:30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633</v>
      </c>
      <c r="K27" s="90"/>
      <c r="L27" s="77" t="s">
        <v>634</v>
      </c>
      <c r="M27" s="78" t="s">
        <v>635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636</v>
      </c>
      <c r="M30" s="78" t="s">
        <v>637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638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25:B31">
      <formula1>"Hanibal Filip,Kormash Liubov,Vychivskyi Volodymyr,Hřebík Martin,Reischl Jan"</formula1>
    </dataValidation>
    <dataValidation type="list" allowBlank="1" sqref="B12:B21">
      <formula1>"Nedbal Michal,Ahurieva Viktoriia,Pešová Hana,Šebesta Tomáš,Coufal Jakub,Nováková Adéla,Yarushynskyi Vladyslav,Gorol Patrik,Putna Jaroslav,Kopic Jakub,Fáberová Kateřina"</formula1>
    </dataValidation>
    <dataValidation type="list" allowBlank="1" sqref="G11 G19">
      <formula1>"Šebesta Tomáš,Fáberová Kateřina"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639</v>
      </c>
      <c r="E1" s="109">
        <v>46203.0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0.3125156426126</v>
      </c>
      <c r="H2" s="20"/>
      <c r="I2" s="113">
        <v>1094445.3499999999</v>
      </c>
      <c r="K2" s="20"/>
      <c r="L2" s="114" t="s">
        <v>589</v>
      </c>
      <c r="M2" s="115">
        <v>474655.6900000001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Úterý</v>
      </c>
      <c r="E3" s="10"/>
      <c r="H3" s="20"/>
      <c r="K3" s="20"/>
      <c r="L3" s="119" t="s">
        <v>590</v>
      </c>
      <c r="M3" s="120">
        <v>161058.0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177588.06</v>
      </c>
      <c r="N4" s="116"/>
    </row>
    <row r="5">
      <c r="A5" s="121"/>
      <c r="B5" s="122" t="s">
        <v>640</v>
      </c>
      <c r="C5" s="26"/>
      <c r="D5" s="26"/>
      <c r="E5" s="10"/>
      <c r="F5" s="123" t="s">
        <v>641</v>
      </c>
      <c r="G5" s="26"/>
      <c r="H5" s="26"/>
      <c r="I5" s="26"/>
      <c r="J5" s="26"/>
      <c r="K5" s="10"/>
      <c r="L5" s="124" t="s">
        <v>593</v>
      </c>
      <c r="M5" s="120">
        <v>131132.1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13968.6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670.5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202.5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642</v>
      </c>
      <c r="D9" s="138" t="s">
        <v>606</v>
      </c>
      <c r="E9" s="139"/>
      <c r="F9" s="137" t="s">
        <v>602</v>
      </c>
      <c r="G9" s="138" t="s">
        <v>642</v>
      </c>
      <c r="H9" s="138" t="s">
        <v>606</v>
      </c>
      <c r="I9" s="140" t="s">
        <v>624</v>
      </c>
      <c r="J9" s="141">
        <v>6.100000000176806</v>
      </c>
      <c r="K9" s="10"/>
      <c r="L9" s="142" t="s">
        <v>597</v>
      </c>
      <c r="M9" s="120">
        <v>81037.0</v>
      </c>
      <c r="N9" s="116"/>
    </row>
    <row r="10" ht="18.75" customHeight="1">
      <c r="A10" s="143"/>
      <c r="B10" s="144" t="s">
        <v>643</v>
      </c>
      <c r="C10" s="145">
        <v>1.0</v>
      </c>
      <c r="D10" s="145" t="s">
        <v>644</v>
      </c>
      <c r="E10" s="146" t="s">
        <v>645</v>
      </c>
      <c r="F10" s="144" t="s">
        <v>631</v>
      </c>
      <c r="G10" s="145">
        <v>17.0</v>
      </c>
      <c r="H10" s="145" t="s">
        <v>646</v>
      </c>
      <c r="I10" s="147">
        <v>95.0</v>
      </c>
      <c r="J10" s="35"/>
      <c r="K10" s="20"/>
      <c r="L10" s="142" t="s">
        <v>601</v>
      </c>
      <c r="M10" s="120">
        <v>1545.0</v>
      </c>
      <c r="N10" s="116"/>
    </row>
    <row r="11" ht="18.75" customHeight="1">
      <c r="A11" s="143"/>
      <c r="B11" s="144" t="s">
        <v>607</v>
      </c>
      <c r="C11" s="145">
        <v>24.0</v>
      </c>
      <c r="D11" s="145" t="s">
        <v>647</v>
      </c>
      <c r="E11" s="146" t="s">
        <v>613</v>
      </c>
      <c r="F11" s="144"/>
      <c r="G11" s="145"/>
      <c r="H11" s="145"/>
      <c r="I11" s="147"/>
      <c r="J11" s="35"/>
      <c r="K11" s="20"/>
      <c r="L11" s="148" t="s">
        <v>596</v>
      </c>
      <c r="M11" s="149">
        <v>43573.0</v>
      </c>
      <c r="N11" s="116"/>
    </row>
    <row r="12" ht="18.75" customHeight="1">
      <c r="A12" s="143"/>
      <c r="B12" s="144" t="s">
        <v>648</v>
      </c>
      <c r="C12" s="145">
        <v>21.0</v>
      </c>
      <c r="D12" s="145" t="s">
        <v>647</v>
      </c>
      <c r="E12" s="146" t="s">
        <v>649</v>
      </c>
      <c r="F12" s="144"/>
      <c r="G12" s="145"/>
      <c r="H12" s="145"/>
      <c r="I12" s="147"/>
      <c r="J12" s="35"/>
      <c r="K12" s="20"/>
      <c r="L12" s="150" t="s">
        <v>610</v>
      </c>
      <c r="M12" s="18"/>
      <c r="N12" s="111"/>
    </row>
    <row r="13" ht="18.75" customHeight="1">
      <c r="A13" s="143"/>
      <c r="B13" s="144" t="s">
        <v>650</v>
      </c>
      <c r="C13" s="145">
        <v>21.0</v>
      </c>
      <c r="D13" s="145" t="s">
        <v>651</v>
      </c>
      <c r="E13" s="146" t="s">
        <v>649</v>
      </c>
      <c r="F13" s="144"/>
      <c r="G13" s="145"/>
      <c r="H13" s="145"/>
      <c r="I13" s="147"/>
      <c r="J13" s="35"/>
      <c r="K13" s="20"/>
      <c r="L13" s="142" t="s">
        <v>614</v>
      </c>
      <c r="M13" s="120">
        <v>2400.0</v>
      </c>
      <c r="N13" s="116"/>
    </row>
    <row r="14" ht="18.75" customHeight="1">
      <c r="A14" s="143"/>
      <c r="B14" s="144" t="s">
        <v>611</v>
      </c>
      <c r="C14" s="145">
        <v>6.0</v>
      </c>
      <c r="D14" s="145" t="s">
        <v>652</v>
      </c>
      <c r="E14" s="146" t="s">
        <v>653</v>
      </c>
      <c r="F14" s="144"/>
      <c r="G14" s="145"/>
      <c r="H14" s="145"/>
      <c r="I14" s="147"/>
      <c r="J14" s="35"/>
      <c r="K14" s="20"/>
      <c r="L14" s="151" t="s">
        <v>615</v>
      </c>
      <c r="M14" s="120">
        <v>0.0</v>
      </c>
      <c r="N14" s="116"/>
    </row>
    <row r="15" ht="18.75" customHeight="1">
      <c r="A15" s="143"/>
      <c r="B15" s="144" t="s">
        <v>654</v>
      </c>
      <c r="C15" s="145">
        <v>1.0</v>
      </c>
      <c r="D15" s="145" t="s">
        <v>655</v>
      </c>
      <c r="E15" s="146" t="s">
        <v>653</v>
      </c>
      <c r="F15" s="144"/>
      <c r="G15" s="145"/>
      <c r="H15" s="145"/>
      <c r="I15" s="147"/>
      <c r="J15" s="35"/>
      <c r="K15" s="20"/>
      <c r="L15" s="151" t="s">
        <v>616</v>
      </c>
      <c r="M15" s="120">
        <v>140.0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617</v>
      </c>
      <c r="M16" s="120">
        <v>3079.0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618</v>
      </c>
      <c r="M17" s="154">
        <v>4275.0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620</v>
      </c>
      <c r="K19" s="158" t="s">
        <v>621</v>
      </c>
      <c r="L19" s="159" t="s">
        <v>622</v>
      </c>
      <c r="M19" s="160" t="s">
        <v>623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21.0</v>
      </c>
      <c r="K21" s="165">
        <v>8788.900000000001</v>
      </c>
      <c r="L21" s="166">
        <v>39.0</v>
      </c>
      <c r="M21" s="167" t="s">
        <v>656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627</v>
      </c>
      <c r="K22" s="169" t="s">
        <v>628</v>
      </c>
      <c r="L22" s="170" t="s">
        <v>629</v>
      </c>
      <c r="M22" s="171" t="s">
        <v>630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16.0</v>
      </c>
      <c r="K24" s="166">
        <v>2823.0</v>
      </c>
      <c r="L24" s="166">
        <v>265.0</v>
      </c>
      <c r="M24" s="173">
        <v>42.0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633</v>
      </c>
      <c r="K25" s="90"/>
      <c r="L25" s="175" t="s">
        <v>634</v>
      </c>
      <c r="M25" s="176" t="s">
        <v>635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17.0</v>
      </c>
      <c r="K27" s="94"/>
      <c r="L27" s="179">
        <v>0.13493064125417067</v>
      </c>
      <c r="M27" s="180">
        <v>33.0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636</v>
      </c>
      <c r="M28" s="176" t="s">
        <v>637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0.8650693587458294</v>
      </c>
      <c r="M30" s="184">
        <v>0.11445133842192666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185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185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4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</row>
    <row r="7">
      <c r="A7" s="4"/>
      <c r="B7" s="4"/>
      <c r="C7" s="186"/>
      <c r="D7" s="4"/>
      <c r="E7" s="4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4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185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D11" s="185"/>
      <c r="AE11" s="185"/>
      <c r="AF11" s="185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185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4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4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185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4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185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185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185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4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4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185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4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185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4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185"/>
      <c r="F30" s="4"/>
      <c r="G30" s="4"/>
      <c r="H30" s="4"/>
      <c r="I30" s="4"/>
      <c r="J30" s="4"/>
      <c r="K30" s="185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4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185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185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4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185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185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185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185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185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185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185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185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185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4"/>
      <c r="F53" s="4"/>
      <c r="G53" s="4"/>
      <c r="H53" s="4"/>
      <c r="I53" s="4"/>
      <c r="J53" s="4"/>
      <c r="K53" s="185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4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4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185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185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185"/>
      <c r="F61" s="4"/>
      <c r="G61" s="4"/>
      <c r="H61" s="4"/>
      <c r="I61" s="4"/>
      <c r="J61" s="4"/>
      <c r="K61" s="185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185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185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4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</row>
    <row r="66">
      <c r="A66" s="4"/>
      <c r="B66" s="4"/>
      <c r="C66" s="186"/>
      <c r="D66" s="4"/>
      <c r="E66" s="185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185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185"/>
      <c r="B68" s="185"/>
      <c r="C68" s="187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N68" s="185"/>
      <c r="O68" s="185"/>
      <c r="P68" s="185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185"/>
      <c r="B70" s="185"/>
      <c r="C70" s="187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185"/>
      <c r="B71" s="185"/>
      <c r="C71" s="187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N71" s="185"/>
      <c r="O71" s="185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D71" s="185"/>
      <c r="AE71" s="185"/>
      <c r="AF71" s="185"/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N72" s="185"/>
      <c r="O72" s="185"/>
      <c r="P72" s="185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D72" s="185"/>
      <c r="AE72" s="185"/>
      <c r="AF72" s="185"/>
    </row>
    <row r="73">
      <c r="A73" s="185"/>
      <c r="B73" s="185"/>
      <c r="C73" s="187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N73" s="185"/>
      <c r="O73" s="185"/>
      <c r="P73" s="185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185"/>
      <c r="B74" s="187"/>
      <c r="C74" s="187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N74" s="185"/>
      <c r="O74" s="185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N76" s="185"/>
      <c r="O76" s="185"/>
      <c r="P76" s="185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185"/>
      <c r="B78" s="185"/>
      <c r="C78" s="187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N78" s="185"/>
      <c r="O78" s="185"/>
      <c r="P78" s="185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</row>
    <row r="79">
      <c r="A79" s="185"/>
      <c r="B79" s="185"/>
      <c r="C79" s="187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185"/>
      <c r="B80" s="185"/>
      <c r="C80" s="187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N80" s="185"/>
      <c r="O80" s="185"/>
      <c r="P80" s="185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</row>
    <row r="81">
      <c r="A81" s="185"/>
      <c r="B81" s="185"/>
      <c r="C81" s="187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N81" s="185"/>
      <c r="O81" s="185"/>
      <c r="P81" s="185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N83" s="185"/>
      <c r="O83" s="185"/>
      <c r="P83" s="185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185"/>
      <c r="B84" s="185"/>
      <c r="C84" s="187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N84" s="185"/>
      <c r="O84" s="185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185"/>
      <c r="B85" s="185"/>
      <c r="C85" s="187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N85" s="185"/>
      <c r="O85" s="185"/>
      <c r="P85" s="185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D85" s="185"/>
      <c r="AE85" s="185"/>
      <c r="AF85" s="185"/>
    </row>
    <row r="86">
      <c r="A86" s="185"/>
      <c r="B86" s="185"/>
      <c r="C86" s="187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185"/>
      <c r="B87" s="185"/>
      <c r="C87" s="187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185"/>
      <c r="B88" s="185"/>
      <c r="C88" s="187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</row>
    <row r="89">
      <c r="A89" s="185"/>
      <c r="B89" s="185"/>
      <c r="C89" s="187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D89" s="185"/>
      <c r="AE89" s="185"/>
      <c r="AF89" s="185"/>
    </row>
    <row r="90">
      <c r="A90" s="185"/>
      <c r="B90" s="185"/>
      <c r="C90" s="187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D90" s="185"/>
      <c r="AE90" s="185"/>
      <c r="AF90" s="185"/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N91" s="185"/>
      <c r="O91" s="185"/>
      <c r="P91" s="185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N93" s="185"/>
      <c r="O93" s="185"/>
      <c r="P93" s="185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N96" s="185"/>
      <c r="O96" s="185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N97" s="185"/>
      <c r="O97" s="185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185"/>
      <c r="B99" s="185"/>
      <c r="C99" s="187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N99" s="185"/>
      <c r="O99" s="185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185"/>
      <c r="B100" s="185"/>
      <c r="C100" s="187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185"/>
      <c r="B102" s="185"/>
      <c r="C102" s="187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85"/>
      <c r="AB102" s="185"/>
      <c r="AC102" s="185"/>
      <c r="AE102" s="185"/>
      <c r="AF102" s="185"/>
    </row>
    <row r="103">
      <c r="A103" s="185"/>
      <c r="B103" s="185"/>
      <c r="C103" s="187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D104" s="185"/>
      <c r="AE104" s="185"/>
      <c r="AF104" s="185"/>
    </row>
    <row r="105">
      <c r="A105" s="185"/>
      <c r="B105" s="185"/>
      <c r="C105" s="187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N106" s="185"/>
      <c r="O106" s="185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D107" s="185"/>
      <c r="AE107" s="185"/>
      <c r="AF107" s="185"/>
    </row>
    <row r="108">
      <c r="A108" s="185"/>
      <c r="B108" s="185"/>
      <c r="C108" s="187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N108" s="185"/>
      <c r="O108" s="185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N109" s="185"/>
      <c r="O109" s="185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D109" s="185"/>
      <c r="AE109" s="185"/>
      <c r="AF109" s="185"/>
    </row>
    <row r="110">
      <c r="A110" s="185"/>
      <c r="B110" s="185"/>
      <c r="C110" s="187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85"/>
      <c r="AB110" s="185"/>
      <c r="AC110" s="185"/>
      <c r="AE110" s="185"/>
      <c r="AF110" s="185"/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D112" s="185"/>
      <c r="AE112" s="185"/>
      <c r="AF112" s="185"/>
    </row>
    <row r="113">
      <c r="A113" s="185"/>
      <c r="B113" s="185"/>
      <c r="C113" s="187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D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85"/>
      <c r="AB119" s="185"/>
      <c r="AC119" s="185"/>
      <c r="AD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R124" s="185"/>
      <c r="S124" s="185"/>
      <c r="T124" s="185"/>
      <c r="U124" s="185"/>
      <c r="V124" s="185"/>
      <c r="W124" s="185"/>
      <c r="X124" s="185"/>
      <c r="Y124" s="185"/>
      <c r="Z124" s="185"/>
      <c r="AA124" s="185"/>
      <c r="AB124" s="185"/>
      <c r="AC124" s="185"/>
      <c r="AD124" s="185"/>
      <c r="AE124" s="185"/>
      <c r="AF124" s="185"/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185"/>
      <c r="AC125" s="185"/>
      <c r="AE125" s="185"/>
      <c r="AF125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""Mzdy!ac1:ad200"")"),31.0)</f>
        <v>31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657</v>
      </c>
      <c r="B4" s="191" t="s">
        <v>658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IFERROR(__xludf.DUMMYFUNCTION("""COMPUTED_VALUE"""),2789.082580645161)</f>
        <v>2789.082581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IFERROR(__xludf.DUMMYFUNCTION("""COMPUTED_VALUE"""),2789.082580645161)</f>
        <v>2789.082581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IFERROR(__xludf.DUMMYFUNCTION("""COMPUTED_VALUE"""),2201.2258064516127)</f>
        <v>2201.225806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IFERROR(__xludf.DUMMYFUNCTION("""COMPUTED_VALUE"""),2789.082580645161)</f>
        <v>2789.082581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IFERROR(__xludf.DUMMYFUNCTION("""COMPUTED_VALUE"""),2201.2258064516127)</f>
        <v>2201.225806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IFERROR(__xludf.DUMMYFUNCTION("""COMPUTED_VALUE"""),2789.082580645161)</f>
        <v>2789.082581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IFERROR(__xludf.DUMMYFUNCTION("""COMPUTED_VALUE"""),2201.2258064516127)</f>
        <v>2201.225806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IFERROR(__xludf.DUMMYFUNCTION("""COMPUTED_VALUE"""),"Bolevec")</f>
        <v>Bolevec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IFERROR(__xludf.DUMMYFUNCTION("""COMPUTED_VALUE"""),2201.2258064516127)</f>
        <v>2201.225806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IFERROR(__xludf.DUMMYFUNCTION("""COMPUTED_VALUE"""),2201.2258064516127)</f>
        <v>2201.225806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IFERROR(__xludf.DUMMYFUNCTION("""COMPUTED_VALUE"""),"Pánková Vendula")</f>
        <v>Pánková Vendula</v>
      </c>
      <c r="E18" s="2" t="str">
        <f>IFERROR(__xludf.DUMMYFUNCTION("""COMPUTED_VALUE"""),"Zličín")</f>
        <v>Zličín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IFERROR(__xludf.DUMMYFUNCTION("""COMPUTED_VALUE"""),267.6)</f>
        <v>267.6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IFERROR(__xludf.DUMMYFUNCTION("""COMPUTED_VALUE"""),TRUE)</f>
        <v>1</v>
      </c>
      <c r="D19" s="2" t="str">
        <f>IFERROR(__xludf.DUMMYFUNCTION("""COMPUTED_VALUE"""),"Hegedüs Erik")</f>
        <v>Hegedüs Erik</v>
      </c>
      <c r="E19" s="2" t="str">
        <f>IFERROR(__xludf.DUMMYFUNCTION("""COMPUTED_VALUE"""),"Libuš")</f>
        <v>Libuš</v>
      </c>
      <c r="F19" s="2" t="str">
        <f>IFERROR(__xludf.DUMMYFUNCTION("""COMPUTED_VALUE"""),"Chodov")</f>
        <v>Chodov</v>
      </c>
      <c r="G19" s="2" t="str">
        <f>IFERROR(__xludf.DUMMYFUNCTION("""COMPUTED_VALUE"""),"Malešice")</f>
        <v>Malešice</v>
      </c>
      <c r="H19" s="2" t="str">
        <f>IFERROR(__xludf.DUMMYFUNCTION("""COMPUTED_VALUE"""),"Zličín")</f>
        <v>Zličín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IFERROR(__xludf.DUMMYFUNCTION("""COMPUTED_VALUE"""),432.3078)</f>
        <v>432.3078</v>
      </c>
      <c r="W19" s="190">
        <f>IFERROR(__xludf.DUMMYFUNCTION("""COMPUTED_VALUE"""),2789.082580645161)</f>
        <v>2789.082581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IFERROR(__xludf.DUMMYFUNCTION("""COMPUTED_VALUE"""),TRUE)</f>
        <v>1</v>
      </c>
      <c r="D20" s="2" t="str">
        <f>IFERROR(__xludf.DUMMYFUNCTION("""COMPUTED_VALUE"""),"Roth Stanislav ml.")</f>
        <v>Roth Stanislav ml.</v>
      </c>
      <c r="E20" s="2" t="str">
        <f>IFERROR(__xludf.DUMMYFUNCTION("""COMPUTED_VALUE"""),"Bolevec")</f>
        <v>Bolevec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IFERROR(__xludf.DUMMYFUNCTION("""COMPUTED_VALUE"""),432.3078)</f>
        <v>432.3078</v>
      </c>
      <c r="W20" s="190">
        <f>IFERROR(__xludf.DUMMYFUNCTION("""COMPUTED_VALUE"""),2789.082580645161)</f>
        <v>2789.082581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IFERROR(__xludf.DUMMYFUNCTION("""COMPUTED_VALUE"""),FALSE)</f>
        <v>0</v>
      </c>
      <c r="D21" s="2" t="str">
        <f>IFERROR(__xludf.DUMMYFUNCTION("""COMPUTED_VALUE"""),"Bubník Martin")</f>
        <v>Bubník Martin</v>
      </c>
      <c r="E21" s="2" t="str">
        <f>IFERROR(__xludf.DUMMYFUNCTION("""COMPUTED_VALUE"""),"Libuš")</f>
        <v>Libuš</v>
      </c>
      <c r="F21" s="2" t="str">
        <f>IFERROR(__xludf.DUMMYFUNCTION("""COMPUTED_VALUE"""),"Malešice")</f>
        <v>Malešice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IFERROR(__xludf.DUMMYFUNCTION("""COMPUTED_VALUE"""),267.6)</f>
        <v>267.6</v>
      </c>
      <c r="W21" s="190">
        <f>IFERROR(__xludf.DUMMYFUNCTION("""COMPUTED_VALUE"""),0.0)</f>
        <v>0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IFERROR(__xludf.DUMMYFUNCTION("""COMPUTED_VALUE"""),FALSE)</f>
        <v>0</v>
      </c>
      <c r="D22" s="2" t="str">
        <f>IFERROR(__xludf.DUMMYFUNCTION("""COMPUTED_VALUE"""),"Berdar Vasyl")</f>
        <v>Berdar Vasyl</v>
      </c>
      <c r="E22" s="2" t="str">
        <f>IFERROR(__xludf.DUMMYFUNCTION("""COMPUTED_VALUE"""),"Libuš")</f>
        <v>Libuš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IFERROR(__xludf.DUMMYFUNCTION("""COMPUTED_VALUE"""),286.332)</f>
        <v>286.332</v>
      </c>
      <c r="W22" s="190">
        <f>IFERROR(__xludf.DUMMYFUNCTION("""COMPUTED_VALUE"""),0.0)</f>
        <v>0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Yarushynskyi Vladyslav</v>
      </c>
      <c r="C23" s="2" t="b">
        <f>IFERROR(__xludf.DUMMYFUNCTION("""COMPUTED_VALUE"""),FALSE)</f>
        <v>0</v>
      </c>
      <c r="D23" s="2" t="str">
        <f>IFERROR(__xludf.DUMMYFUNCTION("""COMPUTED_VALUE"""),"Yarushynskyi Vladyslav")</f>
        <v>Yarushynskyi Vladyslav</v>
      </c>
      <c r="E23" s="2" t="str">
        <f>IFERROR(__xludf.DUMMYFUNCTION("""COMPUTED_VALUE"""),"Malešice")</f>
        <v>Malešice</v>
      </c>
      <c r="F23" s="2" t="str">
        <f>IFERROR(__xludf.DUMMYFUNCTION("""COMPUTED_VALUE"""),"Chodov")</f>
        <v>Chodov</v>
      </c>
      <c r="G23" s="2" t="str">
        <f>IFERROR(__xludf.DUMMYFUNCTION("""COMPUTED_VALUE"""),"Zličín")</f>
        <v>Zličín</v>
      </c>
      <c r="H23" s="2" t="str">
        <f>IFERROR(__xludf.DUMMYFUNCTION("""COMPUTED_VALUE"""),"Prosek")</f>
        <v>Prosek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IFERROR(__xludf.DUMMYFUNCTION("""COMPUTED_VALUE"""),267.6)</f>
        <v>267.6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IFERROR(__xludf.DUMMYFUNCTION("""COMPUTED_VALUE"""),"Židek Petr")</f>
        <v>Židek Petr</v>
      </c>
      <c r="E24" s="2" t="str">
        <f>IFERROR(__xludf.DUMMYFUNCTION("""COMPUTED_VALUE"""),"Chodov")</f>
        <v>Chodov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IFERROR(__xludf.DUMMYFUNCTION("""COMPUTED_VALUE"""),250.20600000000002)</f>
        <v>250.206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>Gorol Patrik</v>
      </c>
      <c r="C25" s="2" t="b">
        <f>IFERROR(__xludf.DUMMYFUNCTION("""COMPUTED_VALUE"""),FALSE)</f>
        <v>0</v>
      </c>
      <c r="D25" s="2" t="str">
        <f>IFERROR(__xludf.DUMMYFUNCTION("""COMPUTED_VALUE"""),"Gorol Patrik")</f>
        <v>Gorol Patrik</v>
      </c>
      <c r="E25" s="2" t="str">
        <f>IFERROR(__xludf.DUMMYFUNCTION("""COMPUTED_VALUE"""),"Malešice")</f>
        <v>Malešice</v>
      </c>
      <c r="F25" s="2" t="str">
        <f>IFERROR(__xludf.DUMMYFUNCTION("""COMPUTED_VALUE"""),"Libuš")</f>
        <v>Libuš</v>
      </c>
      <c r="G25" s="2" t="str">
        <f>IFERROR(__xludf.DUMMYFUNCTION("""COMPUTED_VALUE"""),"Prosek")</f>
        <v>Prosek</v>
      </c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 t="str">
        <f>IFERROR(__xludf.DUMMYFUNCTION("""COMPUTED_VALUE"""),"Hegedüs Gergö")</f>
        <v>Hegedüs Gergö</v>
      </c>
      <c r="E26" s="2" t="str">
        <f>IFERROR(__xludf.DUMMYFUNCTION("""COMPUTED_VALUE"""),"Libuš")</f>
        <v>Libuš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IFERROR(__xludf.DUMMYFUNCTION("""COMPUTED_VALUE"""),214.08)</f>
        <v>214.08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IFERROR(__xludf.DUMMYFUNCTION("""COMPUTED_VALUE"""),"Barvínková Eliška")</f>
        <v>Barvínková Eliška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IFERROR(__xludf.DUMMYFUNCTION("""COMPUTED_VALUE"""),231.474)</f>
        <v>231.474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/>
      </c>
      <c r="C28" s="2" t="b">
        <f>IFERROR(__xludf.DUMMYFUNCTION("""COMPUTED_VALUE"""),FALSE)</f>
        <v>0</v>
      </c>
      <c r="D28" s="2" t="str">
        <f>IFERROR(__xludf.DUMMYFUNCTION("""COMPUTED_VALUE"""),"Kursheva Diana")</f>
        <v>Kursheva Diana</v>
      </c>
      <c r="E28" s="2" t="str">
        <f>IFERROR(__xludf.DUMMYFUNCTION("""COMPUTED_VALUE"""),"Výroba")</f>
        <v>Výroba</v>
      </c>
      <c r="F28" s="2" t="str">
        <f>IFERROR(__xludf.DUMMYFUNCTION("""COMPUTED_VALUE"""),"Chodov")</f>
        <v>Chodov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IFERROR(__xludf.DUMMYFUNCTION("""COMPUTED_VALUE"""),250.20600000000002)</f>
        <v>250.206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IFERROR(__xludf.DUMMYFUNCTION("""COMPUTED_VALUE"""),"Kubík Martin")</f>
        <v>Kubík Martin</v>
      </c>
      <c r="E29" s="2" t="str">
        <f>IFERROR(__xludf.DUMMYFUNCTION("""COMPUTED_VALUE"""),"Libuš")</f>
        <v>Libuš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>Putna Jaroslav</v>
      </c>
      <c r="C30" s="2" t="b">
        <f>IFERROR(__xludf.DUMMYFUNCTION("""COMPUTED_VALUE"""),FALSE)</f>
        <v>0</v>
      </c>
      <c r="D30" s="2" t="str">
        <f>IFERROR(__xludf.DUMMYFUNCTION("""COMPUTED_VALUE"""),"Putna Jaroslav")</f>
        <v>Putna Jaroslav</v>
      </c>
      <c r="E30" s="2" t="str">
        <f>IFERROR(__xludf.DUMMYFUNCTION("""COMPUTED_VALUE"""),"Zličín")</f>
        <v>Zličín</v>
      </c>
      <c r="F30" s="2" t="str">
        <f>IFERROR(__xludf.DUMMYFUNCTION("""COMPUTED_VALUE"""),"Prosek")</f>
        <v>Prosek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Kopic Jakub</v>
      </c>
      <c r="C31" s="2" t="b">
        <f>IFERROR(__xludf.DUMMYFUNCTION("""COMPUTED_VALUE"""),FALSE)</f>
        <v>0</v>
      </c>
      <c r="D31" s="2" t="str">
        <f>IFERROR(__xludf.DUMMYFUNCTION("""COMPUTED_VALUE"""),"Kopic Jakub")</f>
        <v>Kopic Jakub</v>
      </c>
      <c r="E31" s="2" t="str">
        <f>IFERROR(__xludf.DUMMYFUNCTION("""COMPUTED_VALUE"""),"Malešice")</f>
        <v>Malešice</v>
      </c>
      <c r="F31" s="2" t="str">
        <f>IFERROR(__xludf.DUMMYFUNCTION("""COMPUTED_VALUE"""),"Prosek")</f>
        <v>Prosek</v>
      </c>
      <c r="G31" s="2" t="str">
        <f>IFERROR(__xludf.DUMMYFUNCTION("""COMPUTED_VALUE"""),"Libuš")</f>
        <v>Libuš</v>
      </c>
      <c r="H31" s="2" t="str">
        <f>IFERROR(__xludf.DUMMYFUNCTION("""COMPUTED_VALUE"""),"Prosek")</f>
        <v>Prosek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IFERROR(__xludf.DUMMYFUNCTION("""COMPUTED_VALUE"""),250.20600000000002)</f>
        <v>250.206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>Fáberová Kateřina</v>
      </c>
      <c r="C32" s="2" t="b">
        <f>IFERROR(__xludf.DUMMYFUNCTION("""COMPUTED_VALUE"""),FALSE)</f>
        <v>0</v>
      </c>
      <c r="D32" s="2" t="str">
        <f>IFERROR(__xludf.DUMMYFUNCTION("""COMPUTED_VALUE"""),"Fáberová Kateřina")</f>
        <v>Fáberová Kateřina</v>
      </c>
      <c r="E32" s="2" t="str">
        <f>IFERROR(__xludf.DUMMYFUNCTION("""COMPUTED_VALUE"""),"Prosek")</f>
        <v>Prosek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IFERROR(__xludf.DUMMYFUNCTION("""COMPUTED_VALUE"""),250.20600000000002)</f>
        <v>250.206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IFERROR(__xludf.DUMMYFUNCTION("""COMPUTED_VALUE"""),"Chlubnová Adéla")</f>
        <v>Chlubnová Adéla</v>
      </c>
      <c r="E33" s="2" t="str">
        <f>IFERROR(__xludf.DUMMYFUNCTION("""COMPUTED_VALUE"""),"Chodov")</f>
        <v>Chodov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IFERROR(__xludf.DUMMYFUNCTION("""COMPUTED_VALUE"""),250.20600000000002)</f>
        <v>250.206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IFERROR(__xludf.DUMMYFUNCTION("""COMPUTED_VALUE"""),"Prošek Václav")</f>
        <v>Prošek Václav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IFERROR(__xludf.DUMMYFUNCTION("""COMPUTED_VALUE"""),250.20600000000002)</f>
        <v>250.206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IFERROR(__xludf.DUMMYFUNCTION("""COMPUTED_VALUE"""),"Millington Emmanuel")</f>
        <v>Millington Emmanuel</v>
      </c>
      <c r="E35" s="2" t="str">
        <f>IFERROR(__xludf.DUMMYFUNCTION("""COMPUTED_VALUE"""),"Libuš")</f>
        <v>Libuš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IFERROR(__xludf.DUMMYFUNCTION("""COMPUTED_VALUE"""),"Kašpárek Jan")</f>
        <v>Kašpárek Jan</v>
      </c>
      <c r="E36" s="2" t="str">
        <f>IFERROR(__xludf.DUMMYFUNCTION("""COMPUTED_VALUE"""),"Libuš")</f>
        <v>Libuš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IFERROR(__xludf.DUMMYFUNCTION("""COMPUTED_VALUE"""),"Koteliuk Maryna")</f>
        <v>Koteliuk Maryna</v>
      </c>
      <c r="E37" s="2" t="str">
        <f>IFERROR(__xludf.DUMMYFUNCTION("""COMPUTED_VALUE"""),"Výroba")</f>
        <v>Výroba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/>
      </c>
      <c r="C38" s="2" t="b">
        <f>IFERROR(__xludf.DUMMYFUNCTION("""COMPUTED_VALUE"""),FALSE)</f>
        <v>0</v>
      </c>
      <c r="D38" s="2" t="str">
        <f>IFERROR(__xludf.DUMMYFUNCTION("""COMPUTED_VALUE"""),"Remač Jiří")</f>
        <v>Remač Jiří</v>
      </c>
      <c r="E38" s="2" t="str">
        <f>IFERROR(__xludf.DUMMYFUNCTION("""COMPUTED_VALUE"""),"Libuš")</f>
        <v>Libuš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/>
      </c>
      <c r="C39" s="2" t="b">
        <f>IFERROR(__xludf.DUMMYFUNCTION("""COMPUTED_VALUE"""),FALSE)</f>
        <v>0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IFERROR(__xludf.DUMMYFUNCTION("""COMPUTED_VALUE"""),0.0)</f>
        <v>0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/>
      </c>
      <c r="C40" s="2" t="b">
        <f>IFERROR(__xludf.DUMMYFUNCTION("""COMPUTED_VALUE"""),FALSE)</f>
        <v>0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IFERROR(__xludf.DUMMYFUNCTION("""COMPUTED_VALUE"""),0.0)</f>
        <v>0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IFERROR(__xludf.DUMMYFUNCTION("""COMPUTED_VALUE"""),0.0)</f>
        <v>0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 t="str">
        <f>IFERROR(__xludf.DUMMYFUNCTION("""COMPUTED_VALUE"""),"Malešice")</f>
        <v>Malešice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/>
      </c>
      <c r="C86" s="2" t="b">
        <f>IFERROR(__xludf.DUMMYFUNCTION("""COMPUTED_VALUE"""),FALSE)</f>
        <v>0</v>
      </c>
      <c r="D86" s="2" t="str">
        <f>IFERROR(__xludf.DUMMYFUNCTION("""COMPUTED_VALUE"""),"Hyský Aleš")</f>
        <v>Hyský Aleš</v>
      </c>
      <c r="E86" s="2" t="str">
        <f>IFERROR(__xludf.DUMMYFUNCTION("""COMPUTED_VALUE"""),"Chodov")</f>
        <v>Chodov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IFERROR(__xludf.DUMMYFUNCTION("""COMPUTED_VALUE"""),231.474)</f>
        <v>231.474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IFERROR(__xludf.DUMMYFUNCTION("""COMPUTED_VALUE"""),"Lažek Jaroslav")</f>
        <v>Lažek Jaroslav</v>
      </c>
      <c r="E87" s="2" t="str">
        <f>IFERROR(__xludf.DUMMYFUNCTION("""COMPUTED_VALUE"""),"Libuš")</f>
        <v>Libuš</v>
      </c>
      <c r="F87" s="2" t="str">
        <f>IFERROR(__xludf.DUMMYFUNCTION("""COMPUTED_VALUE"""),"Chodov")</f>
        <v>Chodov</v>
      </c>
      <c r="G87" s="2" t="str">
        <f>IFERROR(__xludf.DUMMYFUNCTION("""COMPUTED_VALUE"""),"Malešice")</f>
        <v>Malešice</v>
      </c>
      <c r="H87" s="2" t="str">
        <f>IFERROR(__xludf.DUMMYFUNCTION("""COMPUTED_VALUE"""),"Výroba")</f>
        <v>Výroba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IFERROR(__xludf.DUMMYFUNCTION("""COMPUTED_VALUE"""),170.0)</f>
        <v>170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Kormash Liubov</v>
      </c>
      <c r="C88" s="2" t="b">
        <f>IFERROR(__xludf.DUMMYFUNCTION("""COMPUTED_VALUE"""),FALSE)</f>
        <v>0</v>
      </c>
      <c r="D88" s="2" t="str">
        <f>IFERROR(__xludf.DUMMYFUNCTION("""COMPUTED_VALUE"""),"Kormash Liubov")</f>
        <v>Kormash Liubov</v>
      </c>
      <c r="E88" s="2" t="str">
        <f>IFERROR(__xludf.DUMMYFUNCTION("""COMPUTED_VALUE"""),"Zličín")</f>
        <v>Zličín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IFERROR(__xludf.DUMMYFUNCTION("""COMPUTED_VALUE"""),160.0)</f>
        <v>160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IFERROR(__xludf.DUMMYFUNCTION("""COMPUTED_VALUE"""),"Chlubna Tomáš")</f>
        <v>Chlubna Tomáš</v>
      </c>
      <c r="E89" s="2" t="str">
        <f>IFERROR(__xludf.DUMMYFUNCTION("""COMPUTED_VALUE"""),"Chodov")</f>
        <v>Chodov</v>
      </c>
      <c r="F89" s="2" t="str">
        <f>IFERROR(__xludf.DUMMYFUNCTION("""COMPUTED_VALUE"""),"Libuš")</f>
        <v>Libuš</v>
      </c>
      <c r="G89" s="2" t="str">
        <f>IFERROR(__xludf.DUMMYFUNCTION("""COMPUTED_VALUE"""),"Výroba")</f>
        <v>Výroba</v>
      </c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IFERROR(__xludf.DUMMYFUNCTION("""COMPUTED_VALUE"""),250.20600000000002)</f>
        <v>250.206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Vychivskyi Volodymyr</v>
      </c>
      <c r="C90" s="2" t="b">
        <f>IFERROR(__xludf.DUMMYFUNCTION("""COMPUTED_VALUE"""),FALSE)</f>
        <v>0</v>
      </c>
      <c r="D90" s="2" t="str">
        <f>IFERROR(__xludf.DUMMYFUNCTION("""COMPUTED_VALUE"""),"Vychivskyi Volodymyr")</f>
        <v>Vychivskyi Volodymyr</v>
      </c>
      <c r="E90" s="2" t="str">
        <f>IFERROR(__xludf.DUMMYFUNCTION("""COMPUTED_VALUE"""),"Malešice")</f>
        <v>Malešice</v>
      </c>
      <c r="F90" s="2" t="str">
        <f>IFERROR(__xludf.DUMMYFUNCTION("""COMPUTED_VALUE"""),"Prosek")</f>
        <v>Prosek</v>
      </c>
      <c r="G90" s="2" t="str">
        <f>IFERROR(__xludf.DUMMYFUNCTION("""COMPUTED_VALUE"""),"Zličín")</f>
        <v>Zličín</v>
      </c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IFERROR(__xludf.DUMMYFUNCTION("""COMPUTED_VALUE"""),250.20600000000002)</f>
        <v>250.206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>Hřebík Martin</v>
      </c>
      <c r="C91" s="2" t="b">
        <f>IFERROR(__xludf.DUMMYFUNCTION("""COMPUTED_VALUE"""),FALSE)</f>
        <v>0</v>
      </c>
      <c r="D91" s="2" t="str">
        <f>IFERROR(__xludf.DUMMYFUNCTION("""COMPUTED_VALUE"""),"Hřebík Martin")</f>
        <v>Hřebík Martin</v>
      </c>
      <c r="E91" s="2" t="str">
        <f>IFERROR(__xludf.DUMMYFUNCTION("""COMPUTED_VALUE"""),"Výroba")</f>
        <v>Výroba</v>
      </c>
      <c r="F91" s="2" t="str">
        <f>IFERROR(__xludf.DUMMYFUNCTION("""COMPUTED_VALUE"""),"Chodov")</f>
        <v>Chodov</v>
      </c>
      <c r="G91" s="2" t="str">
        <f>IFERROR(__xludf.DUMMYFUNCTION("""COMPUTED_VALUE"""),"Prosek")</f>
        <v>Prosek</v>
      </c>
      <c r="H91" s="2" t="str">
        <f>IFERROR(__xludf.DUMMYFUNCTION("""COMPUTED_VALUE"""),"Libuš")</f>
        <v>Libuš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IFERROR(__xludf.DUMMYFUNCTION("""COMPUTED_VALUE"""),386.68199999999996)</f>
        <v>386.682</v>
      </c>
      <c r="W91" s="190">
        <f>IFERROR(__xludf.DUMMYFUNCTION("""COMPUTED_VALUE"""),2494.722580645161)</f>
        <v>2494.722581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 t="str">
        <f>IFERROR(__xludf.DUMMYFUNCTION("""COMPUTED_VALUE"""),"Eszenyiová Patrícia")</f>
        <v>Eszenyiová Patrícia</v>
      </c>
      <c r="E92" s="2" t="str">
        <f>IFERROR(__xludf.DUMMYFUNCTION("""COMPUTED_VALUE"""),"Libuš")</f>
        <v>Libuš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IFERROR(__xludf.DUMMYFUNCTION("""COMPUTED_VALUE"""),250.20600000000002)</f>
        <v>250.206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>Reischl Jan</v>
      </c>
      <c r="C93" s="2" t="b">
        <f>IFERROR(__xludf.DUMMYFUNCTION("""COMPUTED_VALUE"""),FALSE)</f>
        <v>0</v>
      </c>
      <c r="D93" s="2" t="str">
        <f>IFERROR(__xludf.DUMMYFUNCTION("""COMPUTED_VALUE"""),"Reischl Jan")</f>
        <v>Reischl Jan</v>
      </c>
      <c r="E93" s="2" t="str">
        <f>IFERROR(__xludf.DUMMYFUNCTION("""COMPUTED_VALUE"""),"Malešice")</f>
        <v>Malešice</v>
      </c>
      <c r="F93" s="2" t="str">
        <f>IFERROR(__xludf.DUMMYFUNCTION("""COMPUTED_VALUE"""),"Chodov")</f>
        <v>Chodov</v>
      </c>
      <c r="G93" s="2" t="str">
        <f>IFERROR(__xludf.DUMMYFUNCTION("""COMPUTED_VALUE"""),"Libuš")</f>
        <v>Libuš</v>
      </c>
      <c r="H93" s="2" t="str">
        <f>IFERROR(__xludf.DUMMYFUNCTION("""COMPUTED_VALUE"""),"Prosek")</f>
        <v>Prosek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IFERROR(__xludf.DUMMYFUNCTION("""COMPUTED_VALUE"""),214.08)</f>
        <v>214.08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/>
      </c>
      <c r="C94" s="2" t="b">
        <f>IFERROR(__xludf.DUMMYFUNCTION("""COMPUTED_VALUE"""),FALSE)</f>
        <v>0</v>
      </c>
      <c r="D94" s="2" t="str">
        <f>IFERROR(__xludf.DUMMYFUNCTION("""COMPUTED_VALUE"""),"Mikešová Adéla")</f>
        <v>Mikešová Adéla</v>
      </c>
      <c r="E94" s="2" t="str">
        <f>IFERROR(__xludf.DUMMYFUNCTION("""COMPUTED_VALUE"""),"Bolevec")</f>
        <v>Bolevec</v>
      </c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IFERROR(__xludf.DUMMYFUNCTION("""COMPUTED_VALUE"""),214.08)</f>
        <v>214.08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 t="str">
        <f>IFERROR(__xludf.DUMMYFUNCTION("""COMPUTED_VALUE"""),"Chyský David")</f>
        <v>Chyský David</v>
      </c>
      <c r="E95" s="2" t="str">
        <f>IFERROR(__xludf.DUMMYFUNCTION("""COMPUTED_VALUE"""),"Chodov")</f>
        <v>Chodov</v>
      </c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IFERROR(__xludf.DUMMYFUNCTION("""COMPUTED_VALUE"""),231.474)</f>
        <v>231.474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/>
      </c>
      <c r="C96" s="2" t="b">
        <f>IFERROR(__xludf.DUMMYFUNCTION("""COMPUTED_VALUE"""),FALSE)</f>
        <v>0</v>
      </c>
      <c r="D96" s="2" t="str">
        <f>IFERROR(__xludf.DUMMYFUNCTION("""COMPUTED_VALUE"""),"Kalina Filip")</f>
        <v>Kalina Filip</v>
      </c>
      <c r="E96" s="2" t="str">
        <f>IFERROR(__xludf.DUMMYFUNCTION("""COMPUTED_VALUE"""),"Malešice")</f>
        <v>Malešice</v>
      </c>
      <c r="F96" s="2" t="str">
        <f>IFERROR(__xludf.DUMMYFUNCTION("""COMPUTED_VALUE"""),"Libuš")</f>
        <v>Libuš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IFERROR(__xludf.DUMMYFUNCTION("""COMPUTED_VALUE"""),231.474)</f>
        <v>231.474</v>
      </c>
      <c r="W96" s="190">
        <f>IFERROR(__xludf.DUMMYFUNCTION("""COMPUTED_VALUE"""),0.0)</f>
        <v>0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IFERROR(__xludf.DUMMYFUNCTION("""COMPUTED_VALUE"""),"Kaločai Rudolf")</f>
        <v>Kaločai Rudolf</v>
      </c>
      <c r="E97" s="2" t="str">
        <f>IFERROR(__xludf.DUMMYFUNCTION("""COMPUTED_VALUE"""),"Bolevec")</f>
        <v>Bolevec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IFERROR(__xludf.DUMMYFUNCTION("""COMPUTED_VALUE"""),140.0)</f>
        <v>140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/>
      </c>
      <c r="C98" s="2" t="b">
        <f>IFERROR(__xludf.DUMMYFUNCTION("""COMPUTED_VALUE"""),FALSE)</f>
        <v>0</v>
      </c>
      <c r="D98" s="2" t="str">
        <f>IFERROR(__xludf.DUMMYFUNCTION("""COMPUTED_VALUE"""),"Dušek Sam")</f>
        <v>Dušek Sam</v>
      </c>
      <c r="E98" s="2" t="str">
        <f>IFERROR(__xludf.DUMMYFUNCTION("""COMPUTED_VALUE"""),"Libuš")</f>
        <v>Libuš</v>
      </c>
      <c r="F98" s="2" t="str">
        <f>IFERROR(__xludf.DUMMYFUNCTION("""COMPUTED_VALUE"""),"Malešice")</f>
        <v>Malešice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IFERROR(__xludf.DUMMYFUNCTION("""COMPUTED_VALUE"""),250.20600000000002)</f>
        <v>250.206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IFERROR(__xludf.DUMMYFUNCTION("""COMPUTED_VALUE"""),"Banga Adam")</f>
        <v>Banga Adam</v>
      </c>
      <c r="E99" s="2" t="str">
        <f>IFERROR(__xludf.DUMMYFUNCTION("""COMPUTED_VALUE"""),"Zličín")</f>
        <v>Zličín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IFERROR(__xludf.DUMMYFUNCTION("""COMPUTED_VALUE"""),231.474)</f>
        <v>231.474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IFERROR(__xludf.DUMMYFUNCTION("""COMPUTED_VALUE"""),"Vopatová Anna")</f>
        <v>Vopatová Anna</v>
      </c>
      <c r="E100" s="2" t="str">
        <f>IFERROR(__xludf.DUMMYFUNCTION("""COMPUTED_VALUE"""),"Bolevec")</f>
        <v>Bolevec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IFERROR(__xludf.DUMMYFUNCTION("""COMPUTED_VALUE"""),214.08)</f>
        <v>214.08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IFERROR(__xludf.DUMMYFUNCTION("""COMPUTED_VALUE"""),"Vopatová Šárka")</f>
        <v>Vopatová Šárka</v>
      </c>
      <c r="E101" s="2" t="str">
        <f>IFERROR(__xludf.DUMMYFUNCTION("""COMPUTED_VALUE"""),"Bolevec")</f>
        <v>Bolevec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IFERROR(__xludf.DUMMYFUNCTION("""COMPUTED_VALUE"""),214.08)</f>
        <v>214.08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 t="str">
        <f>IFERROR(__xludf.DUMMYFUNCTION("""COMPUTED_VALUE"""),"Richterová Monika")</f>
        <v>Richterová Monika</v>
      </c>
      <c r="E102" s="2" t="str">
        <f>IFERROR(__xludf.DUMMYFUNCTION("""COMPUTED_VALUE"""),"Malešice")</f>
        <v>Malešice</v>
      </c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IFERROR(__xludf.DUMMYFUNCTION("""COMPUTED_VALUE"""),214.08)</f>
        <v>214.08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 t="str">
        <f>IFERROR(__xludf.DUMMYFUNCTION("""COMPUTED_VALUE"""),"Serin David")</f>
        <v>Serin David</v>
      </c>
      <c r="E103" s="2" t="str">
        <f>IFERROR(__xludf.DUMMYFUNCTION("""COMPUTED_VALUE"""),"Libuš")</f>
        <v>Libuš</v>
      </c>
      <c r="F103" s="2" t="str">
        <f>IFERROR(__xludf.DUMMYFUNCTION("""COMPUTED_VALUE"""),"Malešice")</f>
        <v>Malešice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IFERROR(__xludf.DUMMYFUNCTION("""COMPUTED_VALUE"""),250.20600000000002)</f>
        <v>250.206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/>
      </c>
      <c r="C104" s="2" t="b">
        <f>IFERROR(__xludf.DUMMYFUNCTION("""COMPUTED_VALUE"""),FALSE)</f>
        <v>0</v>
      </c>
      <c r="D104" s="2" t="str">
        <f>IFERROR(__xludf.DUMMYFUNCTION("""COMPUTED_VALUE"""),"Fabera Tomáš")</f>
        <v>Fabera Tomáš</v>
      </c>
      <c r="E104" s="2" t="str">
        <f>IFERROR(__xludf.DUMMYFUNCTION("""COMPUTED_VALUE"""),"Chodov")</f>
        <v>Chodov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IFERROR(__xludf.DUMMYFUNCTION("""COMPUTED_VALUE"""),"Hendrych Rostislav")</f>
        <v>Hendrych Rostislav</v>
      </c>
      <c r="E105" s="2" t="str">
        <f>IFERROR(__xludf.DUMMYFUNCTION("""COMPUTED_VALUE"""),"Malešice")</f>
        <v>Malešice</v>
      </c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IFERROR(__xludf.DUMMYFUNCTION("""COMPUTED_VALUE"""),250.20600000000002)</f>
        <v>250.206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 t="str">
        <f>IFERROR(__xludf.DUMMYFUNCTION("""COMPUTED_VALUE"""),"Světlík František")</f>
        <v>Světlík František</v>
      </c>
      <c r="E106" s="2" t="str">
        <f>IFERROR(__xludf.DUMMYFUNCTION("""COMPUTED_VALUE"""),"Bolevec")</f>
        <v>Bolevec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IFERROR(__xludf.DUMMYFUNCTION("""COMPUTED_VALUE"""),214.08)</f>
        <v>214.08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IFERROR(__xludf.DUMMYFUNCTION("""COMPUTED_VALUE"""),"Ženíšek Lukáš")</f>
        <v>Ženíšek Lukáš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IFERROR(__xludf.DUMMYFUNCTION("""COMPUTED_VALUE"""),214.08)</f>
        <v>214.08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IFERROR(__xludf.DUMMYFUNCTION("""COMPUTED_VALUE"""),"Roth Stanislav st.")</f>
        <v>Roth Stanislav st.</v>
      </c>
      <c r="E108" s="2" t="str">
        <f>IFERROR(__xludf.DUMMYFUNCTION("""COMPUTED_VALUE"""),"Bolevec")</f>
        <v>Bolevec</v>
      </c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IFERROR(__xludf.DUMMYFUNCTION("""COMPUTED_VALUE"""),49506.0)</f>
        <v>49506</v>
      </c>
      <c r="W108" s="190">
        <f>IFERROR(__xludf.DUMMYFUNCTION("""COMPUTED_VALUE"""),1596.967741935484)</f>
        <v>1596.967742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/>
      </c>
      <c r="C109" s="2" t="b">
        <f>IFERROR(__xludf.DUMMYFUNCTION("""COMPUTED_VALUE"""),FALSE)</f>
        <v>0</v>
      </c>
      <c r="D109" s="2" t="str">
        <f>IFERROR(__xludf.DUMMYFUNCTION("""COMPUTED_VALUE"""),"Vaníková Anna")</f>
        <v>Vaníková Anna</v>
      </c>
      <c r="E109" s="2" t="str">
        <f>IFERROR(__xludf.DUMMYFUNCTION("""COMPUTED_VALUE"""),"Zličín")</f>
        <v>Zličín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IFERROR(__xludf.DUMMYFUNCTION("""COMPUTED_VALUE"""),250.20600000000002)</f>
        <v>250.206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IFERROR(__xludf.DUMMYFUNCTION("""COMPUTED_VALUE"""),"Břicháč Pavel")</f>
        <v>Břicháč Pavel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IFERROR(__xludf.DUMMYFUNCTION("""COMPUTED_VALUE"""),231.474)</f>
        <v>231.474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IFERROR(__xludf.DUMMYFUNCTION("""COMPUTED_VALUE"""),"Čerešňák Michal")</f>
        <v>Čerešňák Michal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IFERROR(__xludf.DUMMYFUNCTION("""COMPUTED_VALUE"""),170.0)</f>
        <v>170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IFERROR(__xludf.DUMMYFUNCTION("""COMPUTED_VALUE"""),"Weindling Josef")</f>
        <v>Weindling Josef</v>
      </c>
      <c r="E112" s="2" t="str">
        <f>IFERROR(__xludf.DUMMYFUNCTION("""COMPUTED_VALUE"""),"Libuš")</f>
        <v>Libuš</v>
      </c>
      <c r="F112" s="2" t="str">
        <f>IFERROR(__xludf.DUMMYFUNCTION("""COMPUTED_VALUE"""),"Malešice")</f>
        <v>Malešice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IFERROR(__xludf.DUMMYFUNCTION("""COMPUTED_VALUE"""),231.474)</f>
        <v>231.474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IFERROR(__xludf.DUMMYFUNCTION("""COMPUTED_VALUE"""),"Fux Vojtěch")</f>
        <v>Fux Vojtěch</v>
      </c>
      <c r="E113" s="2" t="str">
        <f>IFERROR(__xludf.DUMMYFUNCTION("""COMPUTED_VALUE"""),"Chodov")</f>
        <v>Chodov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IFERROR(__xludf.DUMMYFUNCTION("""COMPUTED_VALUE"""),200.0)</f>
        <v>200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IFERROR(__xludf.DUMMYFUNCTION("""COMPUTED_VALUE"""),"Kumar Jatinder")</f>
        <v>Kumar Jatinder</v>
      </c>
      <c r="E114" s="2" t="str">
        <f>IFERROR(__xludf.DUMMYFUNCTION("""COMPUTED_VALUE"""),"Libuš")</f>
        <v>Libuš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IFERROR(__xludf.DUMMYFUNCTION("""COMPUTED_VALUE"""),231.474)</f>
        <v>231.474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IFERROR(__xludf.DUMMYFUNCTION("""COMPUTED_VALUE"""),"Stehlíková Magdaléna")</f>
        <v>Stehlíková Magdaléna</v>
      </c>
      <c r="E115" s="2" t="str">
        <f>IFERROR(__xludf.DUMMYFUNCTION("""COMPUTED_VALUE"""),"Bolevec")</f>
        <v>Bolevec</v>
      </c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IFERROR(__xludf.DUMMYFUNCTION("""COMPUTED_VALUE"""),214.08)</f>
        <v>214.08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IFERROR(__xludf.DUMMYFUNCTION("""COMPUTED_VALUE"""),"Dragoun Alfréd")</f>
        <v>Dragoun Alfréd</v>
      </c>
      <c r="E116" s="2" t="str">
        <f>IFERROR(__xludf.DUMMYFUNCTION("""COMPUTED_VALUE"""),"Zličín")</f>
        <v>Zličín</v>
      </c>
      <c r="F116" s="2" t="str">
        <f>IFERROR(__xludf.DUMMYFUNCTION("""COMPUTED_VALUE"""),"Malešice")</f>
        <v>Malešice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IFERROR(__xludf.DUMMYFUNCTION("""COMPUTED_VALUE"""),250.20600000000002)</f>
        <v>250.206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IFERROR(__xludf.DUMMYFUNCTION("""COMPUTED_VALUE"""),0.0)</f>
        <v>0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IFERROR(__xludf.DUMMYFUNCTION("""COMPUTED_VALUE"""),0.0)</f>
        <v>0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IFERROR(__xludf.DUMMYFUNCTION("""COMPUTED_VALUE"""),0.0)</f>
        <v>0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IFERROR(__xludf.DUMMYFUNCTION("""COMPUTED_VALUE"""),0.0)</f>
        <v>0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IFERROR(__xludf.DUMMYFUNCTION("""COMPUTED_VALUE"""),0.0)</f>
        <v>0</v>
      </c>
      <c r="W122" s="190">
        <f>IFERROR(__xludf.DUMMYFUNCTION("""COMPUTED_VALUE"""),0.0)</f>
        <v>0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IFERROR(__xludf.DUMMYFUNCTION("""COMPUTED_VALUE"""),0.0)</f>
        <v>0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IFERROR(__xludf.DUMMYFUNCTION("""COMPUTED_VALUE"""),0.0)</f>
        <v>0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IFERROR(__xludf.DUMMYFUNCTION("""COMPUTED_VALUE"""),0.0)</f>
        <v>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IFERROR(__xludf.DUMMYFUNCTION("""COMPUTED_VALUE"""),0.0)</f>
        <v>0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IFERROR(__xludf.DUMMYFUNCTION("""COMPUTED_VALUE"""),0.0)</f>
        <v>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 t="str">
        <f>IFERROR(__xludf.DUMMYFUNCTION("""COMPUTED_VALUE"""),"Chodov")</f>
        <v>Chodov</v>
      </c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IFERROR(__xludf.DUMMYFUNCTION("""COMPUTED_VALUE"""),231.474)</f>
        <v>231.474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190">
        <f>IFERROR(__xludf.DUMMYFUNCTION("""COMPUTED_VALUE"""),0.0)</f>
        <v>0</v>
      </c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659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660</v>
      </c>
      <c r="B2" s="4" t="s">
        <v>661</v>
      </c>
      <c r="C2" s="4" t="s">
        <v>662</v>
      </c>
      <c r="D2" s="4" t="s">
        <v>663</v>
      </c>
      <c r="E2" s="4" t="s">
        <v>664</v>
      </c>
      <c r="F2" s="4" t="s">
        <v>665</v>
      </c>
      <c r="G2" s="4" t="s">
        <v>666</v>
      </c>
      <c r="H2" s="4" t="s">
        <v>667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668</v>
      </c>
      <c r="B3" s="4" t="s">
        <v>669</v>
      </c>
      <c r="C3" s="185"/>
      <c r="D3" s="185"/>
      <c r="E3" s="4" t="s">
        <v>669</v>
      </c>
      <c r="F3" s="185"/>
      <c r="G3" s="4" t="s">
        <v>670</v>
      </c>
      <c r="H3" s="4" t="s">
        <v>671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672</v>
      </c>
      <c r="B4" s="4" t="s">
        <v>673</v>
      </c>
      <c r="C4" s="4" t="s">
        <v>673</v>
      </c>
      <c r="D4" s="185"/>
      <c r="E4" s="4" t="s">
        <v>674</v>
      </c>
      <c r="F4" s="4" t="s">
        <v>675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676</v>
      </c>
      <c r="B5" s="185"/>
      <c r="C5" s="4" t="s">
        <v>669</v>
      </c>
      <c r="D5" s="4" t="s">
        <v>669</v>
      </c>
      <c r="E5" s="185"/>
      <c r="F5" s="4" t="s">
        <v>670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677</v>
      </c>
      <c r="C6" s="185"/>
      <c r="D6" s="4" t="s">
        <v>674</v>
      </c>
      <c r="E6" s="185"/>
      <c r="F6" s="4" t="s">
        <v>674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678</v>
      </c>
      <c r="C7" s="185"/>
      <c r="D7" s="4" t="s">
        <v>679</v>
      </c>
      <c r="E7" s="4" t="s">
        <v>679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680</v>
      </c>
      <c r="D8" s="4" t="s">
        <v>681</v>
      </c>
      <c r="F8" s="185"/>
      <c r="H8" s="4" t="s">
        <v>681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682</v>
      </c>
      <c r="D9" s="185"/>
      <c r="E9" s="4" t="s">
        <v>683</v>
      </c>
      <c r="F9" s="4" t="s">
        <v>683</v>
      </c>
      <c r="G9" s="4" t="s">
        <v>683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684</v>
      </c>
      <c r="F10" s="185"/>
      <c r="G10" s="4" t="s">
        <v>685</v>
      </c>
      <c r="H10" s="4" t="s">
        <v>686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687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688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689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690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691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692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693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694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695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696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697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698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699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700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701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702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703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704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705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706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707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708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709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710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711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712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713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714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715</v>
      </c>
      <c r="AB141" s="4">
        <v>-10.0</v>
      </c>
    </row>
  </sheetData>
  <mergeCells count="1">
    <mergeCell ref="A1:H1"/>
  </mergeCells>
  <drawing r:id="rId1"/>
</worksheet>
</file>