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<sst xmlns="http://schemas.openxmlformats.org/spreadsheetml/2006/main" count="1937" uniqueCount="705">
  <si>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</si>
  <si>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</si>
  <si>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</si>
  <si>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</si>
  <si>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</si>
  <si>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</si>
  <si>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</si>
  <si>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</si>
  <si>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</si>
  <si>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</si>
  <si>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</si>
  <si>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</si>
  <si>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</si>
  <si>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</si>
  <si>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</si>
  <si>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</si>
  <si>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</si>
  <si>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</si>
  <si>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</si>
  <si>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</si>
  <si>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</si>
  <si>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</si>
  <si>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</si>
  <si>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</si>
  <si>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</si>
  <si>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</si>
  <si>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</si>
  <si>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</si>
  <si>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</si>
  <si>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</si>
  <si>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</si>
  <si>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</si>
  <si>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</si>
  <si>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</si>
  <si>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</si>
  <si>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</si>
  <si>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</si>
  <si>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</si>
  <si>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</si>
  <si>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</si>
  <si>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</si>
  <si>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</si>
  <si>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</si>
  <si>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</si>
  <si>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</si>
  <si>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</si>
  <si>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</si>
  <si>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</si>
  <si>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</si>
  <si>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</si>
  <si>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</si>
  <si>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</si>
  <si>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</si>
  <si>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</si>
  <si>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</si>
  <si>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</si>
  <si>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</si>
  <si>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</si>
  <si>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</si>
  <si>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</si>
  <si>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</si>
  <si>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</si>
  <si>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</si>
  <si>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</si>
  <si>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</si>
  <si>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</si>
  <si>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</si>
  <si>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</si>
  <si>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</si>
  <si>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</si>
  <si>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</si>
  <si>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</si>
  <si>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</si>
  <si>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</si>
  <si>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</si>
  <si>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</si>
  <si>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</si>
  <si>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</si>
  <si>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</si>
  <si>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</si>
  <si>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</si>
  <si>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</si>
  <si>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</si>
  <si>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</si>
  <si>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</si>
  <si>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</si>
  <si>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</si>
  <si>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</si>
  <si>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</si>
  <si>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</si>
  <si>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</si>
  <si>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</si>
  <si>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</si>
  <si>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</si>
  <si>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</si>
  <si>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</si>
  <si>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</si>
  <si>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</si>
  <si>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</si>
  <si>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</si>
  <si>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</si>
  <si>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</si>
  <si>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</si>
  <si>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</si>
  <si>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</si>
  <si>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</si>
  <si>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</si>
  <si>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</si>
  <si>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</si>
  <si>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</si>
  <si>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</si>
  <si>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</si>
  <si>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</si>
  <si>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</si>
  <si>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</si>
  <si>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</si>
  <si>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</si>
  <si>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</si>
  <si>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</si>
  <si>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</si>
  <si>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</si>
  <si>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</si>
  <si>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</si>
  <si>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</si>
  <si>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</si>
  <si>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</si>
  <si>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</si>
  <si>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</si>
  <si>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</si>
  <si>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</si>
  <si>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</si>
  <si>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</si>
  <si>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</si>
  <si>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</si>
  <si>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</si>
  <si>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</si>
  <si>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</si>
  <si>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</si>
  <si>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</si>
  <si>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</si>
  <si>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</si>
  <si>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</si>
  <si>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</si>
  <si>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</si>
  <si>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</si>
  <si>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</si>
  <si>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</si>
  <si>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</si>
  <si>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</si>
  <si>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</si>
  <si>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</si>
  <si>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</si>
  <si>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</si>
  <si>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</si>
  <si>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</si>
  <si>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</si>
  <si>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</si>
  <si>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</si>
  <si>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</si>
  <si>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</si>
  <si>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</si>
  <si>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</si>
  <si>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</si>
  <si>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</si>
  <si>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</si>
  <si>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</si>
  <si>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</si>
  <si>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</si>
  <si>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</si>
  <si>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</si>
  <si>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</si>
  <si>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</si>
  <si>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</si>
  <si>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</si>
  <si>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</si>
  <si>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</si>
  <si>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</si>
  <si>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</si>
  <si>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</si>
  <si>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</si>
  <si>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</si>
  <si>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</si>
  <si>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</si>
  <si>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</si>
  <si>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</si>
  <si>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</si>
  <si>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</si>
  <si>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</si>
  <si>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</si>
  <si>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</si>
  <si>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</si>
  <si>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</si>
  <si>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</si>
  <si>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</si>
  <si>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</si>
  <si>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</si>
  <si>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</si>
  <si>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</si>
  <si>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</si>
  <si>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</si>
  <si>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</si>
  <si>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</si>
  <si>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</si>
  <si>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</si>
  <si>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</si>
  <si>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</si>
  <si>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</si>
  <si>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</si>
  <si>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</si>
  <si>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</si>
  <si>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</si>
  <si>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</si>
  <si>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</si>
  <si>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</si>
  <si>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</si>
  <si>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</si>
  <si>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</si>
  <si>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</si>
  <si>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</si>
  <si>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</si>
  <si>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</si>
  <si>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</si>
  <si>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</si>
  <si>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</si>
  <si>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</si>
  <si>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</si>
  <si>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</si>
  <si>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</si>
  <si>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</si>
  <si>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</si>
  <si>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</si>
  <si>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</si>
  <si>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</si>
  <si>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</si>
  <si>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</si>
  <si>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</si>
  <si>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</si>
  <si>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</si>
  <si>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</si>
  <si>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</si>
  <si>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</si>
  <si>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</si>
  <si>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</si>
  <si>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</si>
  <si>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</si>
  <si>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</si>
  <si>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</si>
  <si>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</si>
  <si>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</si>
  <si>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</si>
  <si>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</si>
  <si>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</si>
  <si>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</si>
  <si>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</si>
  <si>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</si>
  <si>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</si>
  <si>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</si>
  <si>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</si>
  <si>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</si>
  <si>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</si>
  <si>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</si>
  <si>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</si>
  <si>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</si>
  <si>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</si>
  <si>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</si>
  <si>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</si>
  <si>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</si>
  <si>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</si>
  <si>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</si>
  <si>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</si>
  <si>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</si>
  <si>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</si>
  <si>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</si>
  <si>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</si>
  <si>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</si>
  <si>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</si>
  <si>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</si>
  <si>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</si>
  <si>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</si>
  <si>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</si>
  <si>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</si>
  <si>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</si>
  <si>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</si>
  <si>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</si>
  <si>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</si>
  <si>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</si>
  <si>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</si>
  <si>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</si>
  <si>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</si>
  <si>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</si>
  <si>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</si>
  <si>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</si>
  <si>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</si>
  <si>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</si>
  <si>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</si>
  <si>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</si>
  <si>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</si>
  <si>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</si>
  <si>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</si>
  <si>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</si>
  <si>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</si>
  <si>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</si>
  <si>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</si>
  <si>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</si>
  <si>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</si>
  <si>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</si>
  <si>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</si>
  <si>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</si>
  <si>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</si>
  <si>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</si>
  <si>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</si>
  <si>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</si>
  <si>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</si>
  <si>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</si>
  <si>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</si>
  <si>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</si>
  <si>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</si>
  <si>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</si>
  <si>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</si>
  <si>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</si>
  <si>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</si>
  <si>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</si>
  <si>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</si>
  <si>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</si>
  <si>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</si>
  <si>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</si>
  <si>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</si>
  <si>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</si>
  <si>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</si>
  <si>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</si>
  <si>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</si>
  <si>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</si>
  <si>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</si>
  <si>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</si>
  <si>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</si>
  <si>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</si>
  <si>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</si>
  <si>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</si>
  <si>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</si>
  <si>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</si>
  <si>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</si>
  <si>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</si>
  <si>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</si>
  <si>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</si>
  <si>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</si>
  <si>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</si>
  <si>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</si>
  <si>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</si>
  <si>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</si>
  <si>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</si>
  <si>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</si>
  <si>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</si>
  <si>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</si>
  <si>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</si>
  <si>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</si>
  <si>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</si>
  <si>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</si>
  <si>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</si>
  <si>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</si>
  <si>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</si>
  <si>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</si>
  <si>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</si>
  <si>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</si>
  <si>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</si>
  <si>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</si>
  <si>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</si>
  <si>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</si>
  <si>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</si>
  <si>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</si>
  <si>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</si>
  <si>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</si>
  <si>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</si>
  <si>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</si>
  <si>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</si>
  <si>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</si>
  <si>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</si>
  <si>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</si>
  <si>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</si>
  <si>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</si>
  <si>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</si>
  <si>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</si>
  <si>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</si>
  <si>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</si>
  <si>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</si>
  <si>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</si>
  <si>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</si>
  <si>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</si>
  <si>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</si>
  <si>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</si>
  <si>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</si>
  <si>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</si>
  <si>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</si>
  <si>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</si>
  <si>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</si>
  <si>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</si>
  <si>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</si>
  <si>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</si>
  <si>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</si>
  <si>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</si>
  <si>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</si>
  <si>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</si>
  <si>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</si>
  <si>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</si>
  <si>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</si>
  <si>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</si>
  <si>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</si>
  <si>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</si>
  <si>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</si>
  <si>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</si>
  <si>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</si>
  <si>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</si>
  <si>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</si>
  <si>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</si>
  <si>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</si>
  <si>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</si>
  <si>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</si>
  <si>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</si>
  <si>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</si>
  <si>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</si>
  <si>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</si>
  <si>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</si>
  <si>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</si>
  <si>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</si>
  <si>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</si>
  <si>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</si>
  <si>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</si>
  <si>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</si>
  <si>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</si>
  <si>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</si>
  <si>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</si>
  <si>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</si>
  <si>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</si>
  <si>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</si>
  <si>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</si>
  <si>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</si>
  <si>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</si>
  <si>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</si>
  <si>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</si>
  <si>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</si>
  <si>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</si>
  <si>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</si>
  <si>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</si>
  <si>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</si>
  <si>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</si>
  <si>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</si>
  <si>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</si>
  <si>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</si>
  <si>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</si>
  <si>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</si>
  <si>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</si>
  <si>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</si>
  <si>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</si>
  <si>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</si>
  <si>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</si>
  <si>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</si>
  <si>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</si>
  <si>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</si>
  <si>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</si>
  <si>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</si>
  <si>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</si>
  <si>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</si>
  <si>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</si>
  <si>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</si>
  <si>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</si>
  <si>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</si>
  <si>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</si>
  <si>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</si>
  <si>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</si>
  <si>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</si>
  <si>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</si>
  <si>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</si>
  <si>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</si>
  <si>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</si>
  <si>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</si>
  <si>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</si>
  <si>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</si>
  <si>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</si>
  <si>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</si>
  <si>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</si>
  <si>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</si>
  <si>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</si>
  <si>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</si>
  <si>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</si>
  <si>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</si>
  <si>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</si>
  <si>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</si>
  <si>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</si>
  <si>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</si>
  <si>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</si>
  <si>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</si>
  <si>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</si>
  <si>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</si>
  <si>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</si>
  <si>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</si>
  <si>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</si>
  <si>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</si>
  <si>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</si>
  <si>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</si>
  <si>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</si>
  <si>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</si>
  <si>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</si>
  <si>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</si>
  <si>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</si>
  <si>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</si>
  <si>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</si>
  <si>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</si>
  <si>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</si>
  <si>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</si>
  <si>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</si>
  <si>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</si>
  <si>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</si>
  <si>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</si>
  <si>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</si>
  <si>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</si>
  <si>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</si>
  <si>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</si>
  <si>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</si>
  <si>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</si>
  <si>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</si>
  <si>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</si>
  <si>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</si>
  <si>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</si>
  <si>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</si>
  <si>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</si>
  <si>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</si>
  <si>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</si>
  <si>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</si>
  <si>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</si>
  <si>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</si>
  <si>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</si>
  <si>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</si>
  <si>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</si>
  <si>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</si>
  <si>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</si>
  <si>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</si>
  <si>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</si>
  <si>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</si>
  <si>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</si>
  <si>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</si>
  <si>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</si>
  <si>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</si>
  <si>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</si>
  <si>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</si>
  <si>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</si>
  <si>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</si>
  <si>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</si>
  <si>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</si>
  <si>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</si>
  <si>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</si>
  <si>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</si>
  <si>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</si>
  <si>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</si>
  <si>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</si>
  <si>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</si>
  <si>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</si>
  <si>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</si>
  <si>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</si>
  <si>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</si>
  <si>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</si>
  <si>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</si>
  <si>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</si>
  <si>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</si>
  <si>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</si>
  <si>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</si>
  <si>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</si>
  <si>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</si>
  <si>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</si>
  <si>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</si>
  <si>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</si>
  <si>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</si>
  <si>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</si>
  <si>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</si>
  <si>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</si>
  <si>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</si>
  <si>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</si>
  <si>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</si>
  <si>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</si>
  <si>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</si>
  <si>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</si>
  <si>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</si>
  <si>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</si>
  <si>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</si>
  <si>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</si>
  <si>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</si>
  <si>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</si>
  <si>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</si>
  <si>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</si>
  <si>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</si>
  <si>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</si>
  <si>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</si>
  <si>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</si>
  <si>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</si>
  <si>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</si>
  <si>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</si>
  <si>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</si>
  <si>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</si>
  <si>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</si>
  <si>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</si>
  <si>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</si>
  <si>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</si>
  <si>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</si>
  <si>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</si>
  <si>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</si>
  <si>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</si>
  <si>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</si>
  <si>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</si>
  <si>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</si>
  <si>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</si>
  <si>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</si>
  <si>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</si>
  <si>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</si>
  <si>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</si>
  <si>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</si>
  <si>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</si>
  <si>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</si>
  <si>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</si>
  <si>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</si>
  <si>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</si>
  <si>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</si>
  <si>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</si>
  <si>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</si>
  <si>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</si>
  <si>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</si>
  <si>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</si>
  <si>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</si>
  <si>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</si>
  <si>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</si>
  <si>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</si>
  <si>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</si>
  <si>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</si>
  <si>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</si>
  <si>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</si>
  <si>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</si>
  <si>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</si>
  <si>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</si>
  <si>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Šebesta Tomáš</t>
  </si>
  <si>
    <t>22:00</t>
  </si>
  <si>
    <t>29:00</t>
  </si>
  <si>
    <t>Vychivskyi Volodymyr</t>
  </si>
  <si>
    <t>26:30</t>
  </si>
  <si>
    <t>Fáberová Kateřina</t>
  </si>
  <si>
    <t>7:00</t>
  </si>
  <si>
    <t>23:00</t>
  </si>
  <si>
    <t>Nováková Adéla</t>
  </si>
  <si>
    <t>13:00</t>
  </si>
  <si>
    <t>11 min 04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</si>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</sst>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46207.0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SUMIFS(RestiaCSV!C:C, RestiaCSV!B:B, "&lt;&gt;canceled", RestiaCSV!B:B, "&lt;&gt;expired")</f>
        <v>0</v>
      </c>
      <c r="K2" s="20"/>
      <c r="L2" s="22" t="s">
        <v>589</v>
      </c>
      <c r="M2" s="23">
        <f>SUMIFS(RestiaCSV!C:C, RestiaCSV!A:A, Report!L2, RestiaCSV!B:B, "&lt;&gt;canceled", RestiaCSV!B:B, "&lt;&gt;expired")</f>
        <v>0</v>
      </c>
    </row>
    <row r="3">
      <c r="A3" s="24"/>
      <c r="B3" s="25" t="str">
        <f>CHOOSE(WEEKDAY(D1), "Neděle", "Pondělí", "Úterý", "Středa", "Čtvrtek", "Pátek", "Sobota")</f>
        <v>Sobota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IF(H25,G25*40,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3">
        <f t="shared" si="3"/>
        <v>0</v>
      </c>
      <c r="J26" s="86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7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3">
        <f t="shared" si="3"/>
        <v>0</v>
      </c>
      <c r="J27" s="88" t="s">
        <v>625</v>
      </c>
      <c r="K27" s="89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3">
        <f t="shared" si="3"/>
        <v>0</v>
      </c>
      <c r="J28" s="90"/>
      <c r="K28" s="91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3">
        <f t="shared" si="3"/>
        <v>0</v>
      </c>
      <c r="J29" s="92">
        <f>COUNTIFS(RestiaCSV!M:M, "&gt;5", RestiaCSV!L:L, "&gt;5")</f>
        <v>0</v>
      </c>
      <c r="K29" s="93"/>
      <c r="L29" s="94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3">
        <f t="shared" si="3"/>
        <v>0</v>
      </c>
      <c r="J30" s="95"/>
      <c r="K30" s="95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3">
        <f t="shared" si="3"/>
        <v>0</v>
      </c>
      <c r="J31" s="95"/>
      <c r="K31" s="95"/>
      <c r="L31" s="84"/>
      <c r="M31" s="84"/>
    </row>
    <row r="32">
      <c r="A32" s="96"/>
      <c r="B32" s="97" t="s">
        <v>17</v>
      </c>
      <c r="C32" s="98" t="s">
        <v>630</v>
      </c>
      <c r="D32" s="27"/>
      <c r="E32" s="27"/>
      <c r="F32" s="99"/>
      <c r="G32" s="100">
        <f>COUNTIFS(RestiaCSV!E:E, "wolt kurýr", RestiaCSV!A:A, "&lt;&gt;wolt")</f>
        <v>0</v>
      </c>
      <c r="H32" s="101" t="b">
        <v>1</v>
      </c>
      <c r="I32" s="102">
        <f>G32*127</f>
        <v>0</v>
      </c>
      <c r="J32" s="103"/>
      <c r="K32" s="103"/>
      <c r="L32" s="94" t="str">
        <f>100%-L29</f>
        <v>#DIV/0!</v>
      </c>
      <c r="M32" s="94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"Hanibal Filip,Kormash Liubov,Vychivskyi Volodymyr,Hřebík Martin,Reischl Jan"</formula1>
    </dataValidation>
    <dataValidation type="list" allowBlank="1" sqref="B12:B21">
      <formula1>"Nedbal Michal,Ahurieva Viktoriia,Pešová Hana,Šebesta Tomáš,Coufal Jakub,Nováková Adéla,Yarushynskyi Vladyslav,Gorol Patrik,Putna Jaroslav,Kopic Jakub,Fáberová Kateřina"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4"/>
      <c r="B1" s="105" t="str">
        <f>Report!B1</f>
        <v>Prosek</v>
      </c>
      <c r="C1" s="106">
        <v>46204.0</v>
      </c>
      <c r="D1" s="107" t="s">
        <v>631</v>
      </c>
      <c r="E1" s="108">
        <v>46234.0</v>
      </c>
      <c r="F1" s="109" t="s">
        <v>586</v>
      </c>
      <c r="G1" s="12"/>
      <c r="H1" s="13"/>
      <c r="I1" s="109" t="s">
        <v>587</v>
      </c>
      <c r="J1" s="12"/>
      <c r="K1" s="13"/>
      <c r="L1" s="110" t="s">
        <v>588</v>
      </c>
      <c r="M1" s="20"/>
      <c r="N1" s="110"/>
    </row>
    <row r="2" ht="19.5" customHeight="1">
      <c r="A2" s="104"/>
      <c r="B2" s="16"/>
      <c r="C2" s="17"/>
      <c r="D2" s="16"/>
      <c r="E2" s="18"/>
      <c r="F2" s="111">
        <v>0.28180847808358267</v>
      </c>
      <c r="H2" s="20"/>
      <c r="I2" s="112">
        <v>75991.6</v>
      </c>
      <c r="K2" s="20"/>
      <c r="L2" s="113" t="s">
        <v>589</v>
      </c>
      <c r="M2" s="114">
        <v>35786.60000000002</v>
      </c>
      <c r="N2" s="115"/>
    </row>
    <row r="3">
      <c r="A3" s="116"/>
      <c r="B3" s="117" t="str">
        <f>CHOOSE(WEEKDAY(C1), "Neděle", "Pondělí", "Úterý", "Středa", "Čtvrtek", "Pátek", "Sobota")</f>
        <v>Středa</v>
      </c>
      <c r="C3" s="26"/>
      <c r="D3" s="117" t="str">
        <f>CHOOSE(WEEKDAY(E1), "Neděle", "Pondělí", "Úterý", "Středa", "Čtvrtek", "Pátek", "Sobota")</f>
        <v>Pátek</v>
      </c>
      <c r="E3" s="10"/>
      <c r="H3" s="20"/>
      <c r="K3" s="20"/>
      <c r="L3" s="118" t="s">
        <v>590</v>
      </c>
      <c r="M3" s="119">
        <v>8516.0</v>
      </c>
      <c r="N3" s="115"/>
    </row>
    <row r="4">
      <c r="A4" s="116"/>
      <c r="B4" s="17"/>
      <c r="C4" s="27"/>
      <c r="D4" s="17"/>
      <c r="E4" s="18"/>
      <c r="F4" s="27"/>
      <c r="G4" s="27"/>
      <c r="H4" s="18"/>
      <c r="I4" s="27"/>
      <c r="J4" s="27"/>
      <c r="K4" s="18"/>
      <c r="L4" s="118" t="s">
        <v>591</v>
      </c>
      <c r="M4" s="119">
        <v>12333.0</v>
      </c>
      <c r="N4" s="115"/>
    </row>
    <row r="5">
      <c r="A5" s="120"/>
      <c r="B5" s="121" t="s">
        <v>632</v>
      </c>
      <c r="C5" s="26"/>
      <c r="D5" s="26"/>
      <c r="E5" s="10"/>
      <c r="F5" s="122" t="s">
        <v>633</v>
      </c>
      <c r="G5" s="26"/>
      <c r="H5" s="26"/>
      <c r="I5" s="26"/>
      <c r="J5" s="26"/>
      <c r="K5" s="10"/>
      <c r="L5" s="123" t="s">
        <v>593</v>
      </c>
      <c r="M5" s="119">
        <v>8397.0</v>
      </c>
      <c r="N5" s="115"/>
    </row>
    <row r="6">
      <c r="A6" s="120"/>
      <c r="B6" s="17"/>
      <c r="C6" s="27"/>
      <c r="D6" s="27"/>
      <c r="E6" s="18"/>
      <c r="F6" s="27"/>
      <c r="G6" s="27"/>
      <c r="H6" s="27"/>
      <c r="I6" s="27"/>
      <c r="J6" s="27"/>
      <c r="K6" s="18"/>
      <c r="L6" s="123" t="s">
        <v>594</v>
      </c>
      <c r="M6" s="119">
        <v>309.0</v>
      </c>
      <c r="N6" s="115"/>
    </row>
    <row r="7">
      <c r="A7" s="124"/>
      <c r="B7" s="125">
        <f>TEXT(SUMPRODUCT((IFERROR(LEFT(D10:D30, FIND(":", D10:D30) - 1) * 60, 0) + IFERROR(MID(D10:D30, FIND(":", D10:D30) + 1, LEN(D10:D30) - FIND(":", D10:D30)), 0))), "[h]:mm")/60</f>
        <v>42</v>
      </c>
      <c r="C7" s="27"/>
      <c r="D7" s="27"/>
      <c r="E7" s="18"/>
      <c r="F7" s="126">
        <f>TEXT(SUMPRODUCT((IFERROR(LEFT(H10:H30, FIND(":", H10:H30) - 1) * 60, 0) + IFERROR(MID(H10:H30, FIND(":", H10:H30) + 1, LEN(H10:H30) - FIND(":", H10:H30)), 0))), "[h]:mm")/60</f>
        <v>26.5</v>
      </c>
      <c r="G7" s="12"/>
      <c r="H7" s="12"/>
      <c r="I7" s="12"/>
      <c r="J7" s="127"/>
      <c r="K7" s="127"/>
      <c r="L7" s="128" t="s">
        <v>595</v>
      </c>
      <c r="M7" s="129">
        <v>0.0</v>
      </c>
      <c r="N7" s="115"/>
    </row>
    <row r="8">
      <c r="A8" s="130"/>
      <c r="B8" s="131" t="s">
        <v>598</v>
      </c>
      <c r="C8" s="12"/>
      <c r="D8" s="12"/>
      <c r="E8" s="13"/>
      <c r="F8" s="132" t="s">
        <v>5</v>
      </c>
      <c r="G8" s="12"/>
      <c r="H8" s="12"/>
      <c r="I8" s="13"/>
      <c r="J8" s="133" t="s">
        <v>600</v>
      </c>
      <c r="K8" s="10"/>
      <c r="L8" s="134" t="s">
        <v>596</v>
      </c>
      <c r="M8" s="13"/>
      <c r="N8" s="110"/>
    </row>
    <row r="9">
      <c r="A9" s="135"/>
      <c r="B9" s="136" t="s">
        <v>602</v>
      </c>
      <c r="C9" s="137" t="s">
        <v>634</v>
      </c>
      <c r="D9" s="137" t="s">
        <v>606</v>
      </c>
      <c r="E9" s="138"/>
      <c r="F9" s="136" t="s">
        <v>602</v>
      </c>
      <c r="G9" s="137" t="s">
        <v>634</v>
      </c>
      <c r="H9" s="137" t="s">
        <v>606</v>
      </c>
      <c r="I9" s="139" t="s">
        <v>618</v>
      </c>
      <c r="J9" s="140">
        <v>7.275957614183426E-12</v>
      </c>
      <c r="K9" s="10"/>
      <c r="L9" s="141" t="s">
        <v>597</v>
      </c>
      <c r="M9" s="119">
        <v>6854.0</v>
      </c>
      <c r="N9" s="115"/>
    </row>
    <row r="10" ht="18.75" customHeight="1">
      <c r="A10" s="142"/>
      <c r="B10" s="143" t="s">
        <v>635</v>
      </c>
      <c r="C10" s="144">
        <v>2.0</v>
      </c>
      <c r="D10" s="144" t="s">
        <v>636</v>
      </c>
      <c r="E10" s="145" t="s">
        <v>637</v>
      </c>
      <c r="F10" s="143" t="s">
        <v>638</v>
      </c>
      <c r="G10" s="144">
        <v>2.0</v>
      </c>
      <c r="H10" s="144" t="s">
        <v>639</v>
      </c>
      <c r="I10" s="146">
        <v>10.0</v>
      </c>
      <c r="J10" s="35"/>
      <c r="K10" s="20"/>
      <c r="L10" s="141" t="s">
        <v>601</v>
      </c>
      <c r="M10" s="119">
        <v>0.0</v>
      </c>
      <c r="N10" s="115"/>
    </row>
    <row r="11" ht="18.75" customHeight="1">
      <c r="A11" s="142"/>
      <c r="B11" s="143" t="s">
        <v>640</v>
      </c>
      <c r="C11" s="144">
        <v>1.0</v>
      </c>
      <c r="D11" s="144" t="s">
        <v>641</v>
      </c>
      <c r="E11" s="145" t="s">
        <v>642</v>
      </c>
      <c r="F11" s="143"/>
      <c r="G11" s="144"/>
      <c r="H11" s="144"/>
      <c r="I11" s="146"/>
      <c r="J11" s="35"/>
      <c r="K11" s="20"/>
      <c r="L11" s="147" t="s">
        <v>596</v>
      </c>
      <c r="M11" s="148">
        <v>2556.0</v>
      </c>
      <c r="N11" s="115"/>
    </row>
    <row r="12" ht="18.75" customHeight="1">
      <c r="A12" s="142"/>
      <c r="B12" s="143" t="s">
        <v>643</v>
      </c>
      <c r="C12" s="144">
        <v>1.0</v>
      </c>
      <c r="D12" s="144" t="s">
        <v>644</v>
      </c>
      <c r="E12" s="145" t="s">
        <v>644</v>
      </c>
      <c r="F12" s="143"/>
      <c r="G12" s="144"/>
      <c r="H12" s="144"/>
      <c r="I12" s="146"/>
      <c r="J12" s="35"/>
      <c r="K12" s="20"/>
      <c r="L12" s="149" t="s">
        <v>607</v>
      </c>
      <c r="M12" s="18"/>
      <c r="N12" s="110"/>
    </row>
    <row r="13" ht="18.75" customHeight="1">
      <c r="A13" s="142"/>
      <c r="B13" s="143"/>
      <c r="C13" s="144"/>
      <c r="D13" s="144"/>
      <c r="E13" s="145" t="s">
        <v>644</v>
      </c>
      <c r="F13" s="143"/>
      <c r="G13" s="144"/>
      <c r="H13" s="144"/>
      <c r="I13" s="146"/>
      <c r="J13" s="35"/>
      <c r="K13" s="20"/>
      <c r="L13" s="141" t="s">
        <v>608</v>
      </c>
      <c r="M13" s="119">
        <v>700.0</v>
      </c>
      <c r="N13" s="115"/>
    </row>
    <row r="14" ht="18.75" customHeight="1">
      <c r="A14" s="142"/>
      <c r="B14" s="143"/>
      <c r="C14" s="144"/>
      <c r="D14" s="144"/>
      <c r="E14" s="145" t="s">
        <v>641</v>
      </c>
      <c r="F14" s="143"/>
      <c r="G14" s="144"/>
      <c r="H14" s="144"/>
      <c r="I14" s="146"/>
      <c r="J14" s="35"/>
      <c r="K14" s="20"/>
      <c r="L14" s="150" t="s">
        <v>609</v>
      </c>
      <c r="M14" s="119">
        <v>0.0</v>
      </c>
      <c r="N14" s="115"/>
    </row>
    <row r="15" ht="18.75" customHeight="1">
      <c r="A15" s="142"/>
      <c r="B15" s="143"/>
      <c r="C15" s="144"/>
      <c r="D15" s="144"/>
      <c r="E15" s="145" t="s">
        <v>641</v>
      </c>
      <c r="F15" s="143"/>
      <c r="G15" s="144"/>
      <c r="H15" s="144"/>
      <c r="I15" s="146"/>
      <c r="J15" s="35"/>
      <c r="K15" s="20"/>
      <c r="L15" s="150" t="s">
        <v>610</v>
      </c>
      <c r="M15" s="119">
        <v>140.0</v>
      </c>
      <c r="N15" s="115"/>
    </row>
    <row r="16" ht="18.75" customHeight="1">
      <c r="A16" s="142"/>
      <c r="B16" s="143"/>
      <c r="C16" s="144"/>
      <c r="D16" s="144"/>
      <c r="E16" s="151"/>
      <c r="F16" s="143"/>
      <c r="G16" s="144"/>
      <c r="H16" s="144"/>
      <c r="I16" s="146"/>
      <c r="J16" s="35"/>
      <c r="K16" s="20"/>
      <c r="L16" s="150" t="s">
        <v>611</v>
      </c>
      <c r="M16" s="119">
        <v>0.0</v>
      </c>
      <c r="N16" s="115"/>
    </row>
    <row r="17" ht="18.75" customHeight="1">
      <c r="A17" s="142"/>
      <c r="B17" s="143"/>
      <c r="C17" s="144"/>
      <c r="D17" s="144"/>
      <c r="E17" s="151"/>
      <c r="F17" s="143"/>
      <c r="G17" s="144"/>
      <c r="H17" s="144"/>
      <c r="I17" s="146"/>
      <c r="J17" s="17"/>
      <c r="K17" s="18"/>
      <c r="L17" s="152" t="s">
        <v>612</v>
      </c>
      <c r="M17" s="153">
        <v>400.0</v>
      </c>
      <c r="N17" s="115"/>
    </row>
    <row r="18" ht="18.75" customHeight="1">
      <c r="A18" s="142"/>
      <c r="B18" s="143"/>
      <c r="C18" s="144"/>
      <c r="D18" s="144"/>
      <c r="E18" s="151"/>
      <c r="F18" s="143"/>
      <c r="G18" s="144"/>
      <c r="H18" s="144"/>
      <c r="I18" s="146"/>
      <c r="J18" s="154"/>
      <c r="K18" s="12"/>
      <c r="L18" s="12"/>
      <c r="M18" s="13"/>
      <c r="N18" s="155"/>
    </row>
    <row r="19" ht="18.75" customHeight="1">
      <c r="A19" s="142"/>
      <c r="B19" s="143"/>
      <c r="C19" s="144"/>
      <c r="D19" s="144"/>
      <c r="E19" s="151"/>
      <c r="F19" s="143"/>
      <c r="G19" s="144"/>
      <c r="H19" s="144"/>
      <c r="I19" s="146"/>
      <c r="J19" s="156" t="s">
        <v>614</v>
      </c>
      <c r="K19" s="157" t="s">
        <v>615</v>
      </c>
      <c r="L19" s="158" t="s">
        <v>616</v>
      </c>
      <c r="M19" s="159" t="s">
        <v>617</v>
      </c>
      <c r="N19" s="160"/>
    </row>
    <row r="20" ht="18.75" customHeight="1">
      <c r="A20" s="142"/>
      <c r="B20" s="143"/>
      <c r="C20" s="144"/>
      <c r="D20" s="144"/>
      <c r="E20" s="151"/>
      <c r="F20" s="143"/>
      <c r="G20" s="144"/>
      <c r="H20" s="144"/>
      <c r="I20" s="146"/>
      <c r="J20" s="161"/>
      <c r="K20" s="84"/>
      <c r="L20" s="84"/>
      <c r="M20" s="162"/>
      <c r="N20" s="160"/>
    </row>
    <row r="21" ht="18.75" customHeight="1">
      <c r="A21" s="142"/>
      <c r="B21" s="143"/>
      <c r="C21" s="144"/>
      <c r="D21" s="144"/>
      <c r="E21" s="151"/>
      <c r="F21" s="143"/>
      <c r="G21" s="144"/>
      <c r="H21" s="144"/>
      <c r="I21" s="146"/>
      <c r="J21" s="163">
        <v>0.0</v>
      </c>
      <c r="K21" s="164">
        <v>0.0</v>
      </c>
      <c r="L21" s="165">
        <v>1.0</v>
      </c>
      <c r="M21" s="166" t="s">
        <v>645</v>
      </c>
      <c r="N21" s="155"/>
    </row>
    <row r="22" ht="18.75" customHeight="1">
      <c r="A22" s="142"/>
      <c r="B22" s="143"/>
      <c r="C22" s="144"/>
      <c r="D22" s="144"/>
      <c r="E22" s="151"/>
      <c r="F22" s="143"/>
      <c r="G22" s="144"/>
      <c r="H22" s="144"/>
      <c r="I22" s="146"/>
      <c r="J22" s="167" t="s">
        <v>621</v>
      </c>
      <c r="K22" s="168" t="s">
        <v>622</v>
      </c>
      <c r="L22" s="169" t="s">
        <v>623</v>
      </c>
      <c r="M22" s="170" t="s">
        <v>624</v>
      </c>
      <c r="N22" s="155"/>
    </row>
    <row r="23" ht="18.75" customHeight="1">
      <c r="A23" s="142"/>
      <c r="B23" s="143"/>
      <c r="C23" s="144"/>
      <c r="D23" s="144"/>
      <c r="E23" s="151"/>
      <c r="F23" s="143"/>
      <c r="G23" s="144"/>
      <c r="H23" s="144"/>
      <c r="I23" s="146"/>
      <c r="J23" s="161"/>
      <c r="K23" s="84"/>
      <c r="L23" s="84"/>
      <c r="M23" s="162"/>
      <c r="N23" s="155"/>
    </row>
    <row r="24" ht="18.75" customHeight="1">
      <c r="A24" s="142"/>
      <c r="B24" s="143"/>
      <c r="C24" s="144"/>
      <c r="D24" s="144"/>
      <c r="E24" s="151"/>
      <c r="F24" s="143"/>
      <c r="G24" s="144"/>
      <c r="H24" s="144"/>
      <c r="I24" s="146"/>
      <c r="J24" s="171">
        <v>2.0</v>
      </c>
      <c r="K24" s="165">
        <v>200.0</v>
      </c>
      <c r="L24" s="165">
        <v>13.0</v>
      </c>
      <c r="M24" s="172">
        <v>0.0</v>
      </c>
      <c r="N24" s="155"/>
    </row>
    <row r="25" ht="18.75" customHeight="1">
      <c r="A25" s="142"/>
      <c r="B25" s="143"/>
      <c r="C25" s="144"/>
      <c r="D25" s="144"/>
      <c r="E25" s="151"/>
      <c r="F25" s="143"/>
      <c r="G25" s="144"/>
      <c r="H25" s="144"/>
      <c r="I25" s="146"/>
      <c r="J25" s="173" t="s">
        <v>625</v>
      </c>
      <c r="K25" s="89"/>
      <c r="L25" s="174" t="s">
        <v>626</v>
      </c>
      <c r="M25" s="175" t="s">
        <v>627</v>
      </c>
      <c r="N25" s="155"/>
    </row>
    <row r="26" ht="21.75" customHeight="1">
      <c r="A26" s="142"/>
      <c r="B26" s="143"/>
      <c r="C26" s="144"/>
      <c r="D26" s="144"/>
      <c r="E26" s="151"/>
      <c r="F26" s="143"/>
      <c r="G26" s="144"/>
      <c r="H26" s="144"/>
      <c r="I26" s="146"/>
      <c r="J26" s="176"/>
      <c r="K26" s="91"/>
      <c r="L26" s="84"/>
      <c r="M26" s="162"/>
      <c r="N26" s="155"/>
    </row>
    <row r="27" ht="18.75" customHeight="1">
      <c r="A27" s="142"/>
      <c r="B27" s="143"/>
      <c r="C27" s="144"/>
      <c r="D27" s="144"/>
      <c r="E27" s="151"/>
      <c r="F27" s="143"/>
      <c r="G27" s="144"/>
      <c r="H27" s="144"/>
      <c r="I27" s="146"/>
      <c r="J27" s="177">
        <v>0.0</v>
      </c>
      <c r="K27" s="93"/>
      <c r="L27" s="178">
        <v>0.08333333333333333</v>
      </c>
      <c r="M27" s="179">
        <v>1.0</v>
      </c>
      <c r="N27" s="155"/>
    </row>
    <row r="28" ht="18.75" customHeight="1">
      <c r="A28" s="142"/>
      <c r="B28" s="143"/>
      <c r="C28" s="144"/>
      <c r="D28" s="144"/>
      <c r="E28" s="151"/>
      <c r="F28" s="143"/>
      <c r="G28" s="144"/>
      <c r="H28" s="144"/>
      <c r="I28" s="146"/>
      <c r="J28" s="180"/>
      <c r="L28" s="181" t="s">
        <v>628</v>
      </c>
      <c r="M28" s="175" t="s">
        <v>629</v>
      </c>
      <c r="N28" s="155"/>
    </row>
    <row r="29" ht="18.75" customHeight="1">
      <c r="A29" s="142"/>
      <c r="B29" s="143"/>
      <c r="C29" s="144"/>
      <c r="D29" s="144"/>
      <c r="E29" s="151"/>
      <c r="F29" s="143"/>
      <c r="G29" s="144"/>
      <c r="H29" s="144"/>
      <c r="I29" s="146"/>
      <c r="J29" s="35"/>
      <c r="L29" s="84"/>
      <c r="M29" s="162"/>
      <c r="N29" s="155"/>
    </row>
    <row r="30" ht="18.75" customHeight="1">
      <c r="A30" s="142"/>
      <c r="B30" s="143"/>
      <c r="C30" s="144"/>
      <c r="D30" s="144"/>
      <c r="E30" s="151"/>
      <c r="F30" s="143"/>
      <c r="G30" s="144"/>
      <c r="H30" s="144"/>
      <c r="I30" s="146"/>
      <c r="J30" s="17"/>
      <c r="K30" s="27"/>
      <c r="L30" s="182">
        <v>0.9166666666666667</v>
      </c>
      <c r="M30" s="183">
        <v>0.08333333333333333</v>
      </c>
      <c r="N30" s="155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</row>
    <row r="2">
      <c r="A2" s="4"/>
      <c r="B2" s="4"/>
      <c r="C2" s="185"/>
      <c r="D2" s="4"/>
      <c r="E2" s="4"/>
      <c r="F2" s="4"/>
      <c r="G2" s="4"/>
      <c r="H2" s="4"/>
      <c r="I2" s="4"/>
      <c r="J2" s="4"/>
      <c r="K2" s="184"/>
      <c r="L2" s="4"/>
      <c r="M2" s="4"/>
      <c r="N2" s="4"/>
      <c r="O2" s="4"/>
      <c r="P2" s="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</row>
    <row r="3">
      <c r="A3" s="4"/>
      <c r="B3" s="4"/>
      <c r="C3" s="185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</row>
    <row r="4">
      <c r="A4" s="4"/>
      <c r="B4" s="4"/>
      <c r="C4" s="185"/>
      <c r="D4" s="4"/>
      <c r="E4" s="184"/>
      <c r="F4" s="4"/>
      <c r="G4" s="4"/>
      <c r="H4" s="4"/>
      <c r="I4" s="4"/>
      <c r="J4" s="4"/>
      <c r="K4" s="184"/>
      <c r="L4" s="4"/>
      <c r="M4" s="4"/>
      <c r="N4" s="4"/>
      <c r="O4" s="4"/>
      <c r="P4" s="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  <c r="AC4" s="184"/>
      <c r="AD4" s="184"/>
      <c r="AE4" s="184"/>
      <c r="AF4" s="184"/>
    </row>
    <row r="5">
      <c r="A5" s="4"/>
      <c r="B5" s="185"/>
      <c r="C5" s="185"/>
      <c r="D5" s="4"/>
      <c r="E5" s="4"/>
      <c r="F5" s="4"/>
      <c r="G5" s="4"/>
      <c r="H5" s="4"/>
      <c r="I5" s="4"/>
      <c r="J5" s="4"/>
      <c r="K5" s="184"/>
      <c r="L5" s="4"/>
      <c r="M5" s="4"/>
      <c r="N5" s="4"/>
      <c r="O5" s="4"/>
      <c r="P5" s="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4"/>
      <c r="AF5" s="184"/>
    </row>
    <row r="6">
      <c r="A6" s="4"/>
      <c r="B6" s="4"/>
      <c r="C6" s="185"/>
      <c r="D6" s="4"/>
      <c r="E6" s="184"/>
      <c r="F6" s="4"/>
      <c r="G6" s="4"/>
      <c r="H6" s="4"/>
      <c r="I6" s="4"/>
      <c r="J6" s="4"/>
      <c r="K6" s="184"/>
      <c r="L6" s="4"/>
      <c r="M6" s="4"/>
      <c r="N6" s="4"/>
      <c r="O6" s="4"/>
      <c r="P6" s="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</row>
    <row r="7">
      <c r="A7" s="4"/>
      <c r="B7" s="4"/>
      <c r="C7" s="185"/>
      <c r="D7" s="4"/>
      <c r="E7" s="4"/>
      <c r="F7" s="4"/>
      <c r="G7" s="4"/>
      <c r="H7" s="4"/>
      <c r="I7" s="4"/>
      <c r="J7" s="4"/>
      <c r="K7" s="184"/>
      <c r="L7" s="4"/>
      <c r="M7" s="4"/>
      <c r="N7" s="4"/>
      <c r="O7" s="4"/>
      <c r="P7" s="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  <c r="AB7" s="184"/>
      <c r="AC7" s="184"/>
      <c r="AD7" s="184"/>
      <c r="AE7" s="184"/>
      <c r="AF7" s="184"/>
    </row>
    <row r="8">
      <c r="A8" s="4"/>
      <c r="B8" s="4"/>
      <c r="C8" s="185"/>
      <c r="D8" s="4"/>
      <c r="E8" s="4"/>
      <c r="F8" s="4"/>
      <c r="G8" s="4"/>
      <c r="H8" s="4"/>
      <c r="I8" s="4"/>
      <c r="J8" s="4"/>
      <c r="K8" s="184"/>
      <c r="L8" s="4"/>
      <c r="M8" s="4"/>
      <c r="N8" s="4"/>
      <c r="O8" s="4"/>
      <c r="P8" s="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  <c r="AB8" s="184"/>
      <c r="AC8" s="184"/>
      <c r="AD8" s="184"/>
      <c r="AE8" s="184"/>
      <c r="AF8" s="184"/>
    </row>
    <row r="9">
      <c r="A9" s="4"/>
      <c r="B9" s="4"/>
      <c r="C9" s="185"/>
      <c r="D9" s="4"/>
      <c r="E9" s="184"/>
      <c r="F9" s="4"/>
      <c r="G9" s="4"/>
      <c r="H9" s="4"/>
      <c r="I9" s="4"/>
      <c r="J9" s="4"/>
      <c r="K9" s="184"/>
      <c r="L9" s="4"/>
      <c r="M9" s="4"/>
      <c r="N9" s="4"/>
      <c r="O9" s="4"/>
      <c r="P9" s="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>
      <c r="A10" s="4"/>
      <c r="B10" s="4"/>
      <c r="C10" s="185"/>
      <c r="D10" s="4"/>
      <c r="E10" s="184"/>
      <c r="F10" s="4"/>
      <c r="G10" s="4"/>
      <c r="H10" s="4"/>
      <c r="I10" s="4"/>
      <c r="J10" s="4"/>
      <c r="K10" s="184"/>
      <c r="L10" s="4"/>
      <c r="M10" s="4"/>
      <c r="N10" s="4"/>
      <c r="O10" s="4"/>
      <c r="P10" s="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</row>
    <row r="11">
      <c r="A11" s="4"/>
      <c r="B11" s="4"/>
      <c r="C11" s="185"/>
      <c r="D11" s="4"/>
      <c r="E11" s="4"/>
      <c r="F11" s="4"/>
      <c r="G11" s="4"/>
      <c r="H11" s="4"/>
      <c r="I11" s="4"/>
      <c r="J11" s="4"/>
      <c r="K11" s="184"/>
      <c r="L11" s="4"/>
      <c r="M11" s="4"/>
      <c r="N11" s="4"/>
      <c r="O11" s="4"/>
      <c r="P11" s="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4"/>
      <c r="L12" s="4"/>
      <c r="M12" s="4"/>
      <c r="N12" s="4"/>
      <c r="O12" s="4"/>
      <c r="P12" s="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4"/>
    </row>
    <row r="13">
      <c r="A13" s="4"/>
      <c r="B13" s="4"/>
      <c r="C13" s="185"/>
      <c r="D13" s="4"/>
      <c r="E13" s="4"/>
      <c r="F13" s="4"/>
      <c r="G13" s="4"/>
      <c r="H13" s="4"/>
      <c r="I13" s="4"/>
      <c r="J13" s="4"/>
      <c r="K13" s="184"/>
      <c r="L13" s="4"/>
      <c r="M13" s="4"/>
      <c r="N13" s="4"/>
      <c r="O13" s="4"/>
      <c r="P13" s="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4"/>
    </row>
    <row r="14">
      <c r="A14" s="4"/>
      <c r="B14" s="4"/>
      <c r="C14" s="185"/>
      <c r="D14" s="4"/>
      <c r="E14" s="4"/>
      <c r="F14" s="4"/>
      <c r="G14" s="4"/>
      <c r="H14" s="4"/>
      <c r="I14" s="4"/>
      <c r="J14" s="4"/>
      <c r="K14" s="184"/>
      <c r="L14" s="4"/>
      <c r="M14" s="4"/>
      <c r="N14" s="4"/>
      <c r="O14" s="4"/>
      <c r="P14" s="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4"/>
    </row>
    <row r="15">
      <c r="A15" s="4"/>
      <c r="B15" s="4"/>
      <c r="C15" s="185"/>
      <c r="D15" s="4"/>
      <c r="E15" s="184"/>
      <c r="F15" s="4"/>
      <c r="G15" s="4"/>
      <c r="H15" s="4"/>
      <c r="I15" s="4"/>
      <c r="J15" s="4"/>
      <c r="K15" s="184"/>
      <c r="L15" s="4"/>
      <c r="M15" s="4"/>
      <c r="N15" s="4"/>
      <c r="O15" s="4"/>
      <c r="P15" s="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>
      <c r="A16" s="4"/>
      <c r="B16" s="4"/>
      <c r="C16" s="185"/>
      <c r="D16" s="4"/>
      <c r="E16" s="184"/>
      <c r="F16" s="4"/>
      <c r="G16" s="4"/>
      <c r="H16" s="4"/>
      <c r="I16" s="4"/>
      <c r="J16" s="4"/>
      <c r="K16" s="184"/>
      <c r="L16" s="4"/>
      <c r="M16" s="4"/>
      <c r="N16" s="4"/>
      <c r="O16" s="4"/>
      <c r="P16" s="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4"/>
    </row>
    <row r="17">
      <c r="A17" s="4"/>
      <c r="B17" s="185"/>
      <c r="C17" s="185"/>
      <c r="D17" s="4"/>
      <c r="E17" s="184"/>
      <c r="F17" s="4"/>
      <c r="G17" s="4"/>
      <c r="H17" s="4"/>
      <c r="I17" s="4"/>
      <c r="J17" s="4"/>
      <c r="K17" s="184"/>
      <c r="L17" s="4"/>
      <c r="M17" s="4"/>
      <c r="N17" s="4"/>
      <c r="O17" s="4"/>
      <c r="P17" s="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</row>
    <row r="18">
      <c r="A18" s="4"/>
      <c r="B18" s="185"/>
      <c r="C18" s="185"/>
      <c r="D18" s="4"/>
      <c r="E18" s="4"/>
      <c r="F18" s="4"/>
      <c r="G18" s="4"/>
      <c r="H18" s="4"/>
      <c r="I18" s="4"/>
      <c r="J18" s="4"/>
      <c r="K18" s="184"/>
      <c r="L18" s="4"/>
      <c r="M18" s="4"/>
      <c r="N18" s="4"/>
      <c r="O18" s="4"/>
      <c r="P18" s="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</row>
    <row r="19">
      <c r="A19" s="4"/>
      <c r="B19" s="4"/>
      <c r="C19" s="185"/>
      <c r="D19" s="4"/>
      <c r="E19" s="4"/>
      <c r="F19" s="4"/>
      <c r="G19" s="4"/>
      <c r="H19" s="4"/>
      <c r="I19" s="4"/>
      <c r="J19" s="4"/>
      <c r="K19" s="184"/>
      <c r="L19" s="4"/>
      <c r="M19" s="4"/>
      <c r="N19" s="4"/>
      <c r="O19" s="4"/>
      <c r="P19" s="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>
      <c r="A20" s="4"/>
      <c r="B20" s="4"/>
      <c r="C20" s="185"/>
      <c r="D20" s="4"/>
      <c r="E20" s="4"/>
      <c r="F20" s="4"/>
      <c r="G20" s="4"/>
      <c r="H20" s="4"/>
      <c r="I20" s="4"/>
      <c r="J20" s="4"/>
      <c r="K20" s="184"/>
      <c r="L20" s="4"/>
      <c r="M20" s="4"/>
      <c r="N20" s="4"/>
      <c r="O20" s="4"/>
      <c r="P20" s="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</row>
    <row r="21">
      <c r="A21" s="4"/>
      <c r="B21" s="4"/>
      <c r="C21" s="18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4"/>
      <c r="L22" s="4"/>
      <c r="M22" s="4"/>
      <c r="N22" s="4"/>
      <c r="O22" s="4"/>
      <c r="P22" s="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4"/>
    </row>
    <row r="23">
      <c r="A23" s="4"/>
      <c r="B23" s="185"/>
      <c r="C23" s="185"/>
      <c r="D23" s="4"/>
      <c r="E23" s="4"/>
      <c r="F23" s="4"/>
      <c r="G23" s="4"/>
      <c r="H23" s="4"/>
      <c r="I23" s="4"/>
      <c r="J23" s="4"/>
      <c r="K23" s="184"/>
      <c r="L23" s="4"/>
      <c r="M23" s="4"/>
      <c r="N23" s="4"/>
      <c r="O23" s="4"/>
      <c r="P23" s="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</row>
    <row r="24">
      <c r="A24" s="4"/>
      <c r="B24" s="185"/>
      <c r="C24" s="185"/>
      <c r="D24" s="4"/>
      <c r="E24" s="4"/>
      <c r="F24" s="4"/>
      <c r="G24" s="4"/>
      <c r="H24" s="4"/>
      <c r="I24" s="4"/>
      <c r="J24" s="4"/>
      <c r="K24" s="184"/>
      <c r="L24" s="4"/>
      <c r="M24" s="4"/>
      <c r="N24" s="4"/>
      <c r="O24" s="4"/>
      <c r="P24" s="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</row>
    <row r="25">
      <c r="A25" s="4"/>
      <c r="B25" s="185"/>
      <c r="C25" s="185"/>
      <c r="D25" s="4"/>
      <c r="E25" s="4"/>
      <c r="F25" s="4"/>
      <c r="G25" s="4"/>
      <c r="H25" s="4"/>
      <c r="I25" s="4"/>
      <c r="J25" s="4"/>
      <c r="K25" s="184"/>
      <c r="L25" s="4"/>
      <c r="M25" s="4"/>
      <c r="N25" s="4"/>
      <c r="O25" s="4"/>
      <c r="P25" s="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4"/>
    </row>
    <row r="26">
      <c r="A26" s="4"/>
      <c r="B26" s="4"/>
      <c r="C26" s="185"/>
      <c r="D26" s="4"/>
      <c r="E26" s="4"/>
      <c r="F26" s="4"/>
      <c r="G26" s="4"/>
      <c r="H26" s="4"/>
      <c r="I26" s="4"/>
      <c r="J26" s="4"/>
      <c r="K26" s="184"/>
      <c r="L26" s="4"/>
      <c r="M26" s="4"/>
      <c r="N26" s="4"/>
      <c r="O26" s="4"/>
      <c r="P26" s="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4"/>
    </row>
    <row r="27">
      <c r="A27" s="4"/>
      <c r="B27" s="185"/>
      <c r="C27" s="185"/>
      <c r="D27" s="4"/>
      <c r="E27" s="4"/>
      <c r="F27" s="4"/>
      <c r="G27" s="4"/>
      <c r="H27" s="4"/>
      <c r="I27" s="4"/>
      <c r="J27" s="4"/>
      <c r="K27" s="184"/>
      <c r="L27" s="4"/>
      <c r="M27" s="4"/>
      <c r="N27" s="4"/>
      <c r="O27" s="4"/>
      <c r="P27" s="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4"/>
    </row>
    <row r="28">
      <c r="A28" s="4"/>
      <c r="B28" s="185"/>
      <c r="C28" s="185"/>
      <c r="D28" s="4"/>
      <c r="E28" s="184"/>
      <c r="F28" s="4"/>
      <c r="G28" s="4"/>
      <c r="H28" s="4"/>
      <c r="I28" s="4"/>
      <c r="J28" s="4"/>
      <c r="K28" s="184"/>
      <c r="L28" s="4"/>
      <c r="M28" s="4"/>
      <c r="N28" s="4"/>
      <c r="O28" s="4"/>
      <c r="P28" s="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4"/>
    </row>
    <row r="29">
      <c r="A29" s="4"/>
      <c r="B29" s="185"/>
      <c r="C29" s="185"/>
      <c r="D29" s="4"/>
      <c r="E29" s="4"/>
      <c r="F29" s="4"/>
      <c r="G29" s="4"/>
      <c r="H29" s="4"/>
      <c r="I29" s="4"/>
      <c r="J29" s="4"/>
      <c r="K29" s="184"/>
      <c r="L29" s="4"/>
      <c r="M29" s="4"/>
      <c r="N29" s="4"/>
      <c r="O29" s="4"/>
      <c r="P29" s="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</row>
    <row r="30">
      <c r="A30" s="4"/>
      <c r="B30" s="185"/>
      <c r="C30" s="185"/>
      <c r="D30" s="4"/>
      <c r="E30" s="4"/>
      <c r="F30" s="4"/>
      <c r="G30" s="4"/>
      <c r="H30" s="4"/>
      <c r="I30" s="4"/>
      <c r="J30" s="4"/>
      <c r="K30" s="184"/>
      <c r="L30" s="4"/>
      <c r="M30" s="4"/>
      <c r="N30" s="4"/>
      <c r="O30" s="4"/>
      <c r="P30" s="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4"/>
    </row>
    <row r="31">
      <c r="A31" s="4"/>
      <c r="B31" s="4"/>
      <c r="C31" s="185"/>
      <c r="D31" s="4"/>
      <c r="E31" s="4"/>
      <c r="F31" s="4"/>
      <c r="G31" s="4"/>
      <c r="H31" s="4"/>
      <c r="I31" s="4"/>
      <c r="J31" s="4"/>
      <c r="K31" s="184"/>
      <c r="L31" s="4"/>
      <c r="M31" s="4"/>
      <c r="N31" s="4"/>
      <c r="O31" s="4"/>
      <c r="P31" s="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4"/>
    </row>
    <row r="32">
      <c r="A32" s="4"/>
      <c r="B32" s="4"/>
      <c r="C32" s="185"/>
      <c r="D32" s="4"/>
      <c r="E32" s="184"/>
      <c r="F32" s="4"/>
      <c r="G32" s="4"/>
      <c r="H32" s="4"/>
      <c r="I32" s="4"/>
      <c r="J32" s="4"/>
      <c r="K32" s="184"/>
      <c r="L32" s="4"/>
      <c r="M32" s="4"/>
      <c r="N32" s="4"/>
      <c r="O32" s="4"/>
      <c r="P32" s="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4"/>
    </row>
    <row r="33">
      <c r="A33" s="4"/>
      <c r="B33" s="4"/>
      <c r="C33" s="185"/>
      <c r="D33" s="4"/>
      <c r="E33" s="4"/>
      <c r="F33" s="4"/>
      <c r="G33" s="4"/>
      <c r="H33" s="4"/>
      <c r="I33" s="4"/>
      <c r="J33" s="4"/>
      <c r="K33" s="184"/>
      <c r="L33" s="4"/>
      <c r="M33" s="4"/>
      <c r="N33" s="4"/>
      <c r="O33" s="4"/>
      <c r="P33" s="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4"/>
    </row>
    <row r="34">
      <c r="A34" s="4"/>
      <c r="B34" s="4"/>
      <c r="C34" s="185"/>
      <c r="D34" s="4"/>
      <c r="E34" s="4"/>
      <c r="F34" s="4"/>
      <c r="G34" s="4"/>
      <c r="H34" s="4"/>
      <c r="I34" s="4"/>
      <c r="J34" s="4"/>
      <c r="K34" s="184"/>
      <c r="L34" s="4"/>
      <c r="M34" s="4"/>
      <c r="N34" s="4"/>
      <c r="O34" s="4"/>
      <c r="P34" s="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  <c r="AB34" s="184"/>
      <c r="AC34" s="184"/>
      <c r="AD34" s="184"/>
      <c r="AE34" s="184"/>
      <c r="AF34" s="184"/>
    </row>
    <row r="35">
      <c r="A35" s="4"/>
      <c r="B35" s="185"/>
      <c r="C35" s="185"/>
      <c r="D35" s="4"/>
      <c r="E35" s="4"/>
      <c r="F35" s="4"/>
      <c r="G35" s="4"/>
      <c r="H35" s="4"/>
      <c r="I35" s="4"/>
      <c r="J35" s="4"/>
      <c r="K35" s="184"/>
      <c r="L35" s="4"/>
      <c r="M35" s="4"/>
      <c r="N35" s="4"/>
      <c r="O35" s="4"/>
      <c r="P35" s="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4"/>
    </row>
    <row r="36">
      <c r="A36" s="4"/>
      <c r="B36" s="4"/>
      <c r="C36" s="185"/>
      <c r="D36" s="4"/>
      <c r="E36" s="4"/>
      <c r="F36" s="4"/>
      <c r="G36" s="4"/>
      <c r="H36" s="4"/>
      <c r="I36" s="4"/>
      <c r="J36" s="4"/>
      <c r="K36" s="184"/>
      <c r="L36" s="4"/>
      <c r="M36" s="4"/>
      <c r="N36" s="4"/>
      <c r="O36" s="4"/>
      <c r="P36" s="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  <c r="AB36" s="184"/>
      <c r="AC36" s="184"/>
      <c r="AD36" s="184"/>
      <c r="AE36" s="184"/>
      <c r="AF36" s="184"/>
    </row>
    <row r="37">
      <c r="A37" s="4"/>
      <c r="B37" s="4"/>
      <c r="C37" s="185"/>
      <c r="D37" s="4"/>
      <c r="E37" s="4"/>
      <c r="F37" s="4"/>
      <c r="G37" s="4"/>
      <c r="H37" s="4"/>
      <c r="I37" s="4"/>
      <c r="J37" s="4"/>
      <c r="K37" s="184"/>
      <c r="L37" s="4"/>
      <c r="M37" s="4"/>
      <c r="N37" s="4"/>
      <c r="O37" s="4"/>
      <c r="P37" s="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4"/>
    </row>
    <row r="38">
      <c r="A38" s="4"/>
      <c r="B38" s="185"/>
      <c r="C38" s="185"/>
      <c r="D38" s="4"/>
      <c r="E38" s="4"/>
      <c r="F38" s="4"/>
      <c r="G38" s="4"/>
      <c r="H38" s="4"/>
      <c r="I38" s="4"/>
      <c r="J38" s="4"/>
      <c r="K38" s="184"/>
      <c r="L38" s="4"/>
      <c r="M38" s="4"/>
      <c r="N38" s="4"/>
      <c r="O38" s="4"/>
      <c r="P38" s="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B38" s="184"/>
      <c r="AC38" s="184"/>
      <c r="AD38" s="184"/>
      <c r="AE38" s="184"/>
      <c r="AF38" s="184"/>
    </row>
    <row r="39">
      <c r="A39" s="4"/>
      <c r="B39" s="4"/>
      <c r="C39" s="185"/>
      <c r="D39" s="4"/>
      <c r="E39" s="4"/>
      <c r="F39" s="4"/>
      <c r="G39" s="4"/>
      <c r="H39" s="4"/>
      <c r="I39" s="4"/>
      <c r="J39" s="4"/>
      <c r="K39" s="184"/>
      <c r="L39" s="4"/>
      <c r="M39" s="4"/>
      <c r="N39" s="4"/>
      <c r="O39" s="4"/>
      <c r="P39" s="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  <c r="AB39" s="184"/>
      <c r="AC39" s="184"/>
      <c r="AD39" s="184"/>
      <c r="AE39" s="184"/>
      <c r="AF39" s="184"/>
    </row>
    <row r="40">
      <c r="A40" s="4"/>
      <c r="B40" s="4"/>
      <c r="C40" s="185"/>
      <c r="D40" s="4"/>
      <c r="E40" s="4"/>
      <c r="F40" s="4"/>
      <c r="G40" s="4"/>
      <c r="H40" s="4"/>
      <c r="I40" s="4"/>
      <c r="J40" s="4"/>
      <c r="K40" s="184"/>
      <c r="L40" s="4"/>
      <c r="M40" s="4"/>
      <c r="N40" s="4"/>
      <c r="O40" s="4"/>
      <c r="P40" s="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  <c r="AB40" s="184"/>
      <c r="AC40" s="184"/>
      <c r="AD40" s="184"/>
      <c r="AE40" s="184"/>
      <c r="AF40" s="184"/>
    </row>
    <row r="41">
      <c r="A41" s="4"/>
      <c r="B41" s="4"/>
      <c r="C41" s="18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  <c r="AB41" s="184"/>
      <c r="AC41" s="184"/>
      <c r="AD41" s="184"/>
      <c r="AE41" s="184"/>
      <c r="AF41" s="184"/>
    </row>
    <row r="42">
      <c r="A42" s="4"/>
      <c r="B42" s="4"/>
      <c r="C42" s="185"/>
      <c r="D42" s="4"/>
      <c r="E42" s="4"/>
      <c r="F42" s="4"/>
      <c r="G42" s="4"/>
      <c r="H42" s="4"/>
      <c r="I42" s="4"/>
      <c r="J42" s="4"/>
      <c r="K42" s="184"/>
      <c r="L42" s="4"/>
      <c r="M42" s="4"/>
      <c r="N42" s="4"/>
      <c r="O42" s="4"/>
      <c r="P42" s="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  <c r="AB42" s="184"/>
      <c r="AC42" s="184"/>
      <c r="AD42" s="184"/>
      <c r="AE42" s="184"/>
      <c r="AF42" s="184"/>
    </row>
    <row r="43">
      <c r="A43" s="4"/>
      <c r="B43" s="4"/>
      <c r="C43" s="185"/>
      <c r="D43" s="4"/>
      <c r="E43" s="184"/>
      <c r="F43" s="4"/>
      <c r="G43" s="4"/>
      <c r="H43" s="4"/>
      <c r="I43" s="4"/>
      <c r="J43" s="4"/>
      <c r="K43" s="184"/>
      <c r="L43" s="4"/>
      <c r="M43" s="4"/>
      <c r="N43" s="4"/>
      <c r="O43" s="4"/>
      <c r="P43" s="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  <c r="AB43" s="184"/>
      <c r="AC43" s="184"/>
      <c r="AD43" s="184"/>
      <c r="AE43" s="184"/>
      <c r="AF43" s="184"/>
    </row>
    <row r="44">
      <c r="A44" s="4"/>
      <c r="B44" s="4"/>
      <c r="C44" s="185"/>
      <c r="D44" s="4"/>
      <c r="E44" s="184"/>
      <c r="F44" s="4"/>
      <c r="G44" s="4"/>
      <c r="H44" s="4"/>
      <c r="I44" s="4"/>
      <c r="J44" s="4"/>
      <c r="K44" s="184"/>
      <c r="L44" s="4"/>
      <c r="M44" s="4"/>
      <c r="N44" s="4"/>
      <c r="O44" s="4"/>
      <c r="P44" s="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  <c r="AB44" s="184"/>
      <c r="AC44" s="184"/>
      <c r="AD44" s="184"/>
      <c r="AE44" s="184"/>
      <c r="AF44" s="184"/>
    </row>
    <row r="45">
      <c r="A45" s="4"/>
      <c r="B45" s="4"/>
      <c r="C45" s="185"/>
      <c r="D45" s="4"/>
      <c r="E45" s="4"/>
      <c r="F45" s="4"/>
      <c r="G45" s="4"/>
      <c r="H45" s="4"/>
      <c r="I45" s="4"/>
      <c r="J45" s="4"/>
      <c r="K45" s="184"/>
      <c r="L45" s="4"/>
      <c r="M45" s="4"/>
      <c r="N45" s="4"/>
      <c r="O45" s="4"/>
      <c r="P45" s="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  <c r="AB45" s="184"/>
      <c r="AC45" s="184"/>
      <c r="AD45" s="184"/>
      <c r="AE45" s="184"/>
      <c r="AF45" s="184"/>
    </row>
    <row r="46">
      <c r="A46" s="4"/>
      <c r="B46" s="4"/>
      <c r="C46" s="185"/>
      <c r="D46" s="4"/>
      <c r="E46" s="4"/>
      <c r="F46" s="4"/>
      <c r="G46" s="4"/>
      <c r="H46" s="4"/>
      <c r="I46" s="4"/>
      <c r="J46" s="4"/>
      <c r="K46" s="184"/>
      <c r="L46" s="4"/>
      <c r="M46" s="4"/>
      <c r="N46" s="4"/>
      <c r="O46" s="4"/>
      <c r="P46" s="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  <c r="AB46" s="184"/>
      <c r="AC46" s="184"/>
      <c r="AD46" s="184"/>
      <c r="AE46" s="184"/>
      <c r="AF46" s="184"/>
    </row>
    <row r="47">
      <c r="A47" s="4"/>
      <c r="B47" s="4"/>
      <c r="C47" s="185"/>
      <c r="D47" s="4"/>
      <c r="E47" s="184"/>
      <c r="F47" s="4"/>
      <c r="G47" s="4"/>
      <c r="H47" s="4"/>
      <c r="I47" s="4"/>
      <c r="J47" s="4"/>
      <c r="K47" s="184"/>
      <c r="L47" s="4"/>
      <c r="M47" s="4"/>
      <c r="N47" s="4"/>
      <c r="O47" s="4"/>
      <c r="P47" s="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  <c r="AB47" s="184"/>
      <c r="AC47" s="184"/>
      <c r="AD47" s="184"/>
      <c r="AE47" s="184"/>
      <c r="AF47" s="184"/>
    </row>
    <row r="48">
      <c r="A48" s="4"/>
      <c r="B48" s="4"/>
      <c r="C48" s="185"/>
      <c r="D48" s="4"/>
      <c r="E48" s="184"/>
      <c r="F48" s="4"/>
      <c r="G48" s="4"/>
      <c r="H48" s="4"/>
      <c r="I48" s="4"/>
      <c r="J48" s="4"/>
      <c r="K48" s="184"/>
      <c r="L48" s="4"/>
      <c r="M48" s="4"/>
      <c r="N48" s="4"/>
      <c r="O48" s="4"/>
      <c r="P48" s="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  <c r="AB48" s="184"/>
      <c r="AC48" s="184"/>
      <c r="AD48" s="184"/>
      <c r="AE48" s="184"/>
      <c r="AF48" s="184"/>
    </row>
    <row r="49">
      <c r="A49" s="4"/>
      <c r="B49" s="4"/>
      <c r="C49" s="185"/>
      <c r="D49" s="4"/>
      <c r="E49" s="4"/>
      <c r="F49" s="4"/>
      <c r="G49" s="4"/>
      <c r="H49" s="4"/>
      <c r="I49" s="4"/>
      <c r="J49" s="4"/>
      <c r="K49" s="184"/>
      <c r="L49" s="4"/>
      <c r="M49" s="4"/>
      <c r="N49" s="4"/>
      <c r="O49" s="4"/>
      <c r="P49" s="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  <c r="AB49" s="184"/>
      <c r="AC49" s="184"/>
      <c r="AD49" s="184"/>
      <c r="AE49" s="184"/>
      <c r="AF49" s="184"/>
    </row>
    <row r="50">
      <c r="A50" s="4"/>
      <c r="B50" s="4"/>
      <c r="C50" s="185"/>
      <c r="D50" s="4"/>
      <c r="E50" s="4"/>
      <c r="F50" s="4"/>
      <c r="G50" s="4"/>
      <c r="H50" s="4"/>
      <c r="I50" s="4"/>
      <c r="J50" s="4"/>
      <c r="K50" s="184"/>
      <c r="L50" s="4"/>
      <c r="M50" s="4"/>
      <c r="N50" s="4"/>
      <c r="O50" s="4"/>
      <c r="P50" s="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  <c r="AB50" s="184"/>
      <c r="AC50" s="184"/>
      <c r="AD50" s="184"/>
      <c r="AE50" s="184"/>
      <c r="AF50" s="184"/>
    </row>
    <row r="51">
      <c r="A51" s="4"/>
      <c r="B51" s="4"/>
      <c r="C51" s="185"/>
      <c r="D51" s="4"/>
      <c r="E51" s="184"/>
      <c r="F51" s="4"/>
      <c r="G51" s="4"/>
      <c r="H51" s="4"/>
      <c r="I51" s="4"/>
      <c r="J51" s="4"/>
      <c r="K51" s="184"/>
      <c r="L51" s="4"/>
      <c r="M51" s="4"/>
      <c r="N51" s="4"/>
      <c r="O51" s="4"/>
      <c r="P51" s="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  <c r="AB51" s="184"/>
      <c r="AC51" s="184"/>
      <c r="AD51" s="184"/>
      <c r="AE51" s="184"/>
      <c r="AF51" s="184"/>
    </row>
    <row r="52">
      <c r="A52" s="4"/>
      <c r="B52" s="185"/>
      <c r="C52" s="185"/>
      <c r="D52" s="4"/>
      <c r="E52" s="4"/>
      <c r="F52" s="4"/>
      <c r="G52" s="4"/>
      <c r="H52" s="4"/>
      <c r="I52" s="4"/>
      <c r="J52" s="4"/>
      <c r="K52" s="184"/>
      <c r="L52" s="4"/>
      <c r="M52" s="4"/>
      <c r="N52" s="4"/>
      <c r="O52" s="4"/>
      <c r="P52" s="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  <c r="AB52" s="184"/>
      <c r="AC52" s="184"/>
      <c r="AD52" s="184"/>
      <c r="AE52" s="184"/>
      <c r="AF52" s="184"/>
    </row>
    <row r="53">
      <c r="A53" s="4"/>
      <c r="B53" s="4"/>
      <c r="C53" s="185"/>
      <c r="D53" s="4"/>
      <c r="E53" s="4"/>
      <c r="F53" s="4"/>
      <c r="G53" s="4"/>
      <c r="H53" s="4"/>
      <c r="I53" s="4"/>
      <c r="J53" s="4"/>
      <c r="K53" s="184"/>
      <c r="L53" s="4"/>
      <c r="M53" s="4"/>
      <c r="N53" s="4"/>
      <c r="O53" s="4"/>
      <c r="P53" s="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  <c r="AB53" s="184"/>
      <c r="AC53" s="184"/>
      <c r="AD53" s="184"/>
      <c r="AE53" s="184"/>
      <c r="AF53" s="184"/>
    </row>
    <row r="54">
      <c r="A54" s="4"/>
      <c r="B54" s="4"/>
      <c r="C54" s="185"/>
      <c r="D54" s="4"/>
      <c r="E54" s="4"/>
      <c r="F54" s="4"/>
      <c r="G54" s="4"/>
      <c r="H54" s="4"/>
      <c r="I54" s="4"/>
      <c r="J54" s="4"/>
      <c r="K54" s="184"/>
      <c r="L54" s="4"/>
      <c r="M54" s="4"/>
      <c r="N54" s="4"/>
      <c r="O54" s="4"/>
      <c r="P54" s="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  <c r="AB54" s="184"/>
      <c r="AC54" s="184"/>
      <c r="AD54" s="184"/>
      <c r="AE54" s="184"/>
      <c r="AF54" s="184"/>
    </row>
    <row r="55">
      <c r="A55" s="4"/>
      <c r="B55" s="4"/>
      <c r="C55" s="185"/>
      <c r="D55" s="4"/>
      <c r="E55" s="4"/>
      <c r="F55" s="4"/>
      <c r="G55" s="4"/>
      <c r="H55" s="4"/>
      <c r="I55" s="4"/>
      <c r="J55" s="4"/>
      <c r="K55" s="184"/>
      <c r="L55" s="4"/>
      <c r="M55" s="4"/>
      <c r="N55" s="4"/>
      <c r="O55" s="4"/>
      <c r="P55" s="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  <c r="AB55" s="184"/>
      <c r="AC55" s="184"/>
      <c r="AD55" s="184"/>
      <c r="AE55" s="184"/>
      <c r="AF55" s="184"/>
    </row>
    <row r="56">
      <c r="A56" s="4"/>
      <c r="B56" s="4"/>
      <c r="C56" s="185"/>
      <c r="D56" s="4"/>
      <c r="E56" s="4"/>
      <c r="F56" s="4"/>
      <c r="G56" s="4"/>
      <c r="H56" s="4"/>
      <c r="I56" s="4"/>
      <c r="J56" s="4"/>
      <c r="K56" s="184"/>
      <c r="L56" s="4"/>
      <c r="M56" s="4"/>
      <c r="N56" s="4"/>
      <c r="O56" s="4"/>
      <c r="P56" s="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  <c r="AB56" s="184"/>
      <c r="AC56" s="184"/>
      <c r="AD56" s="184"/>
      <c r="AE56" s="184"/>
      <c r="AF56" s="184"/>
    </row>
    <row r="57">
      <c r="A57" s="4"/>
      <c r="B57" s="4"/>
      <c r="C57" s="185"/>
      <c r="D57" s="4"/>
      <c r="E57" s="184"/>
      <c r="F57" s="4"/>
      <c r="G57" s="4"/>
      <c r="H57" s="4"/>
      <c r="I57" s="4"/>
      <c r="J57" s="4"/>
      <c r="K57" s="184"/>
      <c r="L57" s="4"/>
      <c r="M57" s="4"/>
      <c r="N57" s="4"/>
      <c r="O57" s="4"/>
      <c r="P57" s="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  <c r="AB57" s="184"/>
      <c r="AC57" s="184"/>
      <c r="AD57" s="184"/>
      <c r="AE57" s="184"/>
      <c r="AF57" s="184"/>
    </row>
    <row r="58">
      <c r="A58" s="4"/>
      <c r="B58" s="4"/>
      <c r="C58" s="185"/>
      <c r="D58" s="4"/>
      <c r="E58" s="184"/>
      <c r="F58" s="4"/>
      <c r="G58" s="4"/>
      <c r="H58" s="4"/>
      <c r="I58" s="4"/>
      <c r="J58" s="4"/>
      <c r="K58" s="184"/>
      <c r="L58" s="4"/>
      <c r="M58" s="4"/>
      <c r="N58" s="4"/>
      <c r="O58" s="4"/>
      <c r="P58" s="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  <c r="AB58" s="184"/>
      <c r="AC58" s="184"/>
      <c r="AD58" s="184"/>
      <c r="AE58" s="184"/>
      <c r="AF58" s="184"/>
    </row>
    <row r="59">
      <c r="A59" s="4"/>
      <c r="B59" s="4"/>
      <c r="C59" s="18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  <c r="AB59" s="184"/>
      <c r="AC59" s="184"/>
      <c r="AD59" s="184"/>
      <c r="AE59" s="184"/>
      <c r="AF59" s="184"/>
    </row>
    <row r="60">
      <c r="A60" s="4"/>
      <c r="B60" s="4"/>
      <c r="C60" s="185"/>
      <c r="D60" s="4"/>
      <c r="E60" s="184"/>
      <c r="F60" s="4"/>
      <c r="G60" s="4"/>
      <c r="H60" s="4"/>
      <c r="I60" s="4"/>
      <c r="J60" s="4"/>
      <c r="K60" s="184"/>
      <c r="L60" s="4"/>
      <c r="M60" s="4"/>
      <c r="N60" s="4"/>
      <c r="O60" s="4"/>
      <c r="P60" s="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  <c r="AB60" s="184"/>
      <c r="AC60" s="184"/>
      <c r="AD60" s="184"/>
      <c r="AE60" s="184"/>
      <c r="AF60" s="184"/>
    </row>
    <row r="61">
      <c r="A61" s="4"/>
      <c r="B61" s="4"/>
      <c r="C61" s="185"/>
      <c r="D61" s="4"/>
      <c r="E61" s="4"/>
      <c r="F61" s="4"/>
      <c r="G61" s="4"/>
      <c r="H61" s="4"/>
      <c r="I61" s="4"/>
      <c r="J61" s="4"/>
      <c r="K61" s="184"/>
      <c r="L61" s="4"/>
      <c r="M61" s="4"/>
      <c r="N61" s="4"/>
      <c r="O61" s="4"/>
      <c r="P61" s="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  <c r="AB61" s="184"/>
      <c r="AC61" s="184"/>
      <c r="AD61" s="184"/>
      <c r="AE61" s="184"/>
      <c r="AF61" s="184"/>
    </row>
    <row r="62">
      <c r="A62" s="4"/>
      <c r="B62" s="4"/>
      <c r="C62" s="18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  <c r="AB62" s="184"/>
      <c r="AC62" s="184"/>
      <c r="AD62" s="184"/>
      <c r="AE62" s="184"/>
      <c r="AF62" s="184"/>
    </row>
    <row r="63">
      <c r="A63" s="4"/>
      <c r="B63" s="4"/>
      <c r="C63" s="185"/>
      <c r="D63" s="4"/>
      <c r="E63" s="184"/>
      <c r="F63" s="4"/>
      <c r="G63" s="4"/>
      <c r="H63" s="4"/>
      <c r="I63" s="4"/>
      <c r="J63" s="4"/>
      <c r="K63" s="184"/>
      <c r="L63" s="4"/>
      <c r="M63" s="4"/>
      <c r="N63" s="4"/>
      <c r="O63" s="4"/>
      <c r="P63" s="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</row>
    <row r="64">
      <c r="A64" s="4"/>
      <c r="B64" s="4"/>
      <c r="C64" s="185"/>
      <c r="D64" s="4"/>
      <c r="E64" s="184"/>
      <c r="F64" s="4"/>
      <c r="G64" s="4"/>
      <c r="H64" s="4"/>
      <c r="I64" s="4"/>
      <c r="J64" s="4"/>
      <c r="K64" s="184"/>
      <c r="L64" s="4"/>
      <c r="M64" s="4"/>
      <c r="N64" s="4"/>
      <c r="O64" s="4"/>
      <c r="P64" s="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</row>
    <row r="65">
      <c r="A65" s="4"/>
      <c r="B65" s="4"/>
      <c r="C65" s="185"/>
      <c r="D65" s="4"/>
      <c r="E65" s="4"/>
      <c r="F65" s="4"/>
      <c r="G65" s="4"/>
      <c r="H65" s="4"/>
      <c r="I65" s="4"/>
      <c r="J65" s="4"/>
      <c r="K65" s="184"/>
      <c r="L65" s="4"/>
      <c r="M65" s="4"/>
      <c r="N65" s="4"/>
      <c r="O65" s="4"/>
      <c r="P65" s="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  <c r="AB65" s="184"/>
      <c r="AC65" s="184"/>
      <c r="AD65" s="184"/>
      <c r="AE65" s="184"/>
      <c r="AF65" s="184"/>
    </row>
    <row r="66">
      <c r="A66" s="4"/>
      <c r="B66" s="4"/>
      <c r="C66" s="185"/>
      <c r="D66" s="4"/>
      <c r="E66" s="184"/>
      <c r="F66" s="4"/>
      <c r="G66" s="4"/>
      <c r="H66" s="4"/>
      <c r="I66" s="4"/>
      <c r="J66" s="4"/>
      <c r="K66" s="184"/>
      <c r="L66" s="4"/>
      <c r="M66" s="4"/>
      <c r="N66" s="4"/>
      <c r="O66" s="4"/>
      <c r="P66" s="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  <c r="AB66" s="184"/>
      <c r="AC66" s="184"/>
      <c r="AD66" s="184"/>
      <c r="AE66" s="184"/>
      <c r="AF66" s="184"/>
    </row>
    <row r="67">
      <c r="A67" s="4"/>
      <c r="B67" s="4"/>
      <c r="C67" s="185"/>
      <c r="D67" s="4"/>
      <c r="E67" s="4"/>
      <c r="F67" s="4"/>
      <c r="G67" s="4"/>
      <c r="H67" s="4"/>
      <c r="I67" s="4"/>
      <c r="J67" s="4"/>
      <c r="K67" s="184"/>
      <c r="L67" s="4"/>
      <c r="M67" s="4"/>
      <c r="N67" s="4"/>
      <c r="O67" s="4"/>
      <c r="P67" s="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  <c r="AB67" s="184"/>
      <c r="AC67" s="184"/>
      <c r="AE67" s="184"/>
      <c r="AF67" s="184"/>
    </row>
    <row r="68">
      <c r="A68" s="4"/>
      <c r="B68" s="4"/>
      <c r="C68" s="185"/>
      <c r="D68" s="4"/>
      <c r="E68" s="184"/>
      <c r="F68" s="4"/>
      <c r="G68" s="4"/>
      <c r="H68" s="4"/>
      <c r="I68" s="4"/>
      <c r="J68" s="4"/>
      <c r="K68" s="184"/>
      <c r="L68" s="4"/>
      <c r="M68" s="4"/>
      <c r="N68" s="4"/>
      <c r="O68" s="4"/>
      <c r="P68" s="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  <c r="AB68" s="184"/>
      <c r="AC68" s="184"/>
      <c r="AD68" s="184"/>
      <c r="AE68" s="184"/>
      <c r="AF68" s="18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4"/>
      <c r="L69" s="4"/>
      <c r="M69" s="4"/>
      <c r="N69" s="4"/>
      <c r="O69" s="4"/>
      <c r="P69" s="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  <c r="AB69" s="184"/>
      <c r="AC69" s="184"/>
      <c r="AD69" s="184"/>
      <c r="AE69" s="184"/>
      <c r="AF69" s="184"/>
    </row>
    <row r="70">
      <c r="A70" s="4"/>
      <c r="B70" s="4"/>
      <c r="C70" s="185"/>
      <c r="D70" s="4"/>
      <c r="E70" s="4"/>
      <c r="F70" s="4"/>
      <c r="G70" s="4"/>
      <c r="H70" s="4"/>
      <c r="I70" s="4"/>
      <c r="J70" s="4"/>
      <c r="K70" s="184"/>
      <c r="L70" s="4"/>
      <c r="M70" s="4"/>
      <c r="N70" s="4"/>
      <c r="O70" s="4"/>
      <c r="P70" s="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  <c r="AB70" s="184"/>
      <c r="AC70" s="184"/>
      <c r="AD70" s="184"/>
      <c r="AE70" s="184"/>
      <c r="AF70" s="184"/>
    </row>
    <row r="71">
      <c r="A71" s="4"/>
      <c r="B71" s="4"/>
      <c r="C71" s="185"/>
      <c r="D71" s="4"/>
      <c r="E71" s="4"/>
      <c r="F71" s="4"/>
      <c r="G71" s="4"/>
      <c r="H71" s="4"/>
      <c r="I71" s="4"/>
      <c r="J71" s="4"/>
      <c r="K71" s="184"/>
      <c r="L71" s="4"/>
      <c r="M71" s="4"/>
      <c r="N71" s="4"/>
      <c r="O71" s="4"/>
      <c r="P71" s="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  <c r="AB71" s="184"/>
      <c r="AC71" s="184"/>
      <c r="AD71" s="184"/>
      <c r="AE71" s="184"/>
      <c r="AF71" s="18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84"/>
      <c r="L72" s="4"/>
      <c r="M72" s="4"/>
      <c r="N72" s="4"/>
      <c r="O72" s="4"/>
      <c r="P72" s="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  <c r="AB72" s="184"/>
      <c r="AC72" s="184"/>
      <c r="AD72" s="184"/>
      <c r="AE72" s="184"/>
      <c r="AF72" s="184"/>
    </row>
    <row r="73">
      <c r="A73" s="4"/>
      <c r="B73" s="4"/>
      <c r="C73" s="185"/>
      <c r="D73" s="4"/>
      <c r="E73" s="4"/>
      <c r="F73" s="4"/>
      <c r="G73" s="4"/>
      <c r="H73" s="4"/>
      <c r="I73" s="4"/>
      <c r="J73" s="4"/>
      <c r="K73" s="184"/>
      <c r="L73" s="4"/>
      <c r="M73" s="4"/>
      <c r="N73" s="4"/>
      <c r="O73" s="4"/>
      <c r="P73" s="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  <c r="AB73" s="184"/>
      <c r="AC73" s="184"/>
      <c r="AD73" s="184"/>
      <c r="AE73" s="184"/>
      <c r="AF73" s="184"/>
    </row>
    <row r="74">
      <c r="A74" s="4"/>
      <c r="B74" s="185"/>
      <c r="C74" s="185"/>
      <c r="D74" s="4"/>
      <c r="E74" s="4"/>
      <c r="F74" s="4"/>
      <c r="G74" s="4"/>
      <c r="H74" s="4"/>
      <c r="I74" s="4"/>
      <c r="J74" s="4"/>
      <c r="K74" s="184"/>
      <c r="L74" s="4"/>
      <c r="M74" s="4"/>
      <c r="N74" s="4"/>
      <c r="O74" s="4"/>
      <c r="P74" s="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  <c r="AB74" s="184"/>
      <c r="AC74" s="184"/>
      <c r="AD74" s="184"/>
      <c r="AE74" s="184"/>
      <c r="AF74" s="184"/>
    </row>
    <row r="75">
      <c r="A75" s="4"/>
      <c r="B75" s="4"/>
      <c r="C75" s="4"/>
      <c r="D75" s="4"/>
      <c r="E75" s="184"/>
      <c r="F75" s="4"/>
      <c r="G75" s="4"/>
      <c r="H75" s="4"/>
      <c r="I75" s="4"/>
      <c r="J75" s="4"/>
      <c r="K75" s="184"/>
      <c r="L75" s="4"/>
      <c r="M75" s="4"/>
      <c r="N75" s="4"/>
      <c r="O75" s="4"/>
      <c r="P75" s="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  <c r="AB75" s="184"/>
      <c r="AC75" s="184"/>
      <c r="AD75" s="184"/>
      <c r="AE75" s="184"/>
      <c r="AF75" s="18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84"/>
      <c r="L76" s="4"/>
      <c r="M76" s="4"/>
      <c r="N76" s="4"/>
      <c r="O76" s="4"/>
      <c r="P76" s="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  <c r="AB76" s="184"/>
      <c r="AC76" s="184"/>
      <c r="AD76" s="184"/>
      <c r="AE76" s="184"/>
      <c r="AF76" s="18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4"/>
      <c r="L77" s="4"/>
      <c r="M77" s="4"/>
      <c r="N77" s="4"/>
      <c r="O77" s="4"/>
      <c r="P77" s="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  <c r="AB77" s="184"/>
      <c r="AC77" s="184"/>
      <c r="AD77" s="184"/>
      <c r="AE77" s="184"/>
      <c r="AF77" s="184"/>
    </row>
    <row r="78">
      <c r="A78" s="4"/>
      <c r="B78" s="4"/>
      <c r="C78" s="18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  <c r="AB78" s="184"/>
      <c r="AC78" s="184"/>
      <c r="AD78" s="184"/>
      <c r="AE78" s="184"/>
      <c r="AF78" s="184"/>
    </row>
    <row r="79">
      <c r="A79" s="4"/>
      <c r="B79" s="4"/>
      <c r="C79" s="185"/>
      <c r="D79" s="4"/>
      <c r="E79" s="4"/>
      <c r="F79" s="4"/>
      <c r="G79" s="4"/>
      <c r="H79" s="4"/>
      <c r="I79" s="4"/>
      <c r="J79" s="4"/>
      <c r="K79" s="184"/>
      <c r="L79" s="4"/>
      <c r="M79" s="4"/>
      <c r="N79" s="4"/>
      <c r="O79" s="4"/>
      <c r="P79" s="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  <c r="AB79" s="184"/>
      <c r="AC79" s="184"/>
      <c r="AD79" s="184"/>
      <c r="AE79" s="184"/>
      <c r="AF79" s="184"/>
    </row>
    <row r="80">
      <c r="A80" s="4"/>
      <c r="B80" s="4"/>
      <c r="C80" s="185"/>
      <c r="D80" s="4"/>
      <c r="E80" s="184"/>
      <c r="F80" s="4"/>
      <c r="G80" s="4"/>
      <c r="H80" s="4"/>
      <c r="I80" s="4"/>
      <c r="J80" s="4"/>
      <c r="K80" s="184"/>
      <c r="L80" s="4"/>
      <c r="M80" s="4"/>
      <c r="N80" s="4"/>
      <c r="O80" s="4"/>
      <c r="P80" s="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  <c r="AB80" s="184"/>
      <c r="AC80" s="184"/>
      <c r="AD80" s="184"/>
      <c r="AE80" s="184"/>
      <c r="AF80" s="184"/>
    </row>
    <row r="81">
      <c r="A81" s="4"/>
      <c r="B81" s="4"/>
      <c r="C81" s="185"/>
      <c r="D81" s="4"/>
      <c r="E81" s="4"/>
      <c r="F81" s="4"/>
      <c r="G81" s="4"/>
      <c r="H81" s="4"/>
      <c r="I81" s="4"/>
      <c r="J81" s="4"/>
      <c r="K81" s="184"/>
      <c r="L81" s="4"/>
      <c r="M81" s="4"/>
      <c r="N81" s="4"/>
      <c r="O81" s="4"/>
      <c r="P81" s="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  <c r="AB81" s="184"/>
      <c r="AC81" s="184"/>
      <c r="AD81" s="184"/>
      <c r="AE81" s="184"/>
      <c r="AF81" s="184"/>
    </row>
    <row r="82">
      <c r="A82" s="4"/>
      <c r="B82" s="4"/>
      <c r="C82" s="4"/>
      <c r="D82" s="4"/>
      <c r="E82" s="184"/>
      <c r="F82" s="4"/>
      <c r="G82" s="4"/>
      <c r="H82" s="4"/>
      <c r="I82" s="4"/>
      <c r="J82" s="4"/>
      <c r="K82" s="184"/>
      <c r="L82" s="4"/>
      <c r="M82" s="4"/>
      <c r="N82" s="4"/>
      <c r="O82" s="4"/>
      <c r="P82" s="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  <c r="AB82" s="184"/>
      <c r="AC82" s="184"/>
      <c r="AD82" s="184"/>
      <c r="AE82" s="184"/>
      <c r="AF82" s="184"/>
    </row>
    <row r="83">
      <c r="A83" s="4"/>
      <c r="B83" s="4"/>
      <c r="C83" s="4"/>
      <c r="D83" s="4"/>
      <c r="E83" s="184"/>
      <c r="F83" s="4"/>
      <c r="G83" s="4"/>
      <c r="H83" s="4"/>
      <c r="I83" s="4"/>
      <c r="J83" s="4"/>
      <c r="K83" s="184"/>
      <c r="L83" s="4"/>
      <c r="M83" s="4"/>
      <c r="N83" s="4"/>
      <c r="O83" s="4"/>
      <c r="P83" s="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  <c r="AB83" s="184"/>
      <c r="AC83" s="184"/>
      <c r="AD83" s="184"/>
      <c r="AE83" s="184"/>
      <c r="AF83" s="184"/>
    </row>
    <row r="84">
      <c r="A84" s="4"/>
      <c r="B84" s="4"/>
      <c r="C84" s="185"/>
      <c r="D84" s="4"/>
      <c r="E84" s="184"/>
      <c r="F84" s="4"/>
      <c r="G84" s="4"/>
      <c r="H84" s="4"/>
      <c r="I84" s="4"/>
      <c r="J84" s="4"/>
      <c r="K84" s="184"/>
      <c r="L84" s="4"/>
      <c r="M84" s="4"/>
      <c r="N84" s="4"/>
      <c r="O84" s="4"/>
      <c r="P84" s="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  <c r="AB84" s="184"/>
      <c r="AC84" s="184"/>
      <c r="AD84" s="184"/>
      <c r="AE84" s="184"/>
      <c r="AF84" s="184"/>
    </row>
    <row r="85">
      <c r="A85" s="4"/>
      <c r="B85" s="4"/>
      <c r="C85" s="18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  <c r="AB85" s="184"/>
      <c r="AC85" s="184"/>
      <c r="AD85" s="184"/>
      <c r="AE85" s="184"/>
      <c r="AF85" s="184"/>
    </row>
    <row r="86">
      <c r="A86" s="4"/>
      <c r="B86" s="4"/>
      <c r="C86" s="185"/>
      <c r="D86" s="4"/>
      <c r="E86" s="4"/>
      <c r="F86" s="4"/>
      <c r="G86" s="4"/>
      <c r="H86" s="4"/>
      <c r="I86" s="4"/>
      <c r="J86" s="4"/>
      <c r="K86" s="184"/>
      <c r="L86" s="4"/>
      <c r="M86" s="4"/>
      <c r="N86" s="4"/>
      <c r="O86" s="4"/>
      <c r="P86" s="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  <c r="AB86" s="184"/>
      <c r="AC86" s="184"/>
      <c r="AD86" s="184"/>
      <c r="AE86" s="184"/>
      <c r="AF86" s="184"/>
    </row>
    <row r="87">
      <c r="A87" s="4"/>
      <c r="B87" s="4"/>
      <c r="C87" s="185"/>
      <c r="D87" s="4"/>
      <c r="E87" s="184"/>
      <c r="F87" s="4"/>
      <c r="G87" s="4"/>
      <c r="H87" s="4"/>
      <c r="I87" s="4"/>
      <c r="J87" s="4"/>
      <c r="K87" s="184"/>
      <c r="L87" s="4"/>
      <c r="M87" s="4"/>
      <c r="N87" s="4"/>
      <c r="O87" s="4"/>
      <c r="P87" s="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  <c r="AB87" s="184"/>
      <c r="AC87" s="184"/>
      <c r="AD87" s="184"/>
      <c r="AE87" s="184"/>
      <c r="AF87" s="184"/>
    </row>
    <row r="88">
      <c r="A88" s="4"/>
      <c r="B88" s="4"/>
      <c r="C88" s="185"/>
      <c r="D88" s="4"/>
      <c r="E88" s="184"/>
      <c r="F88" s="4"/>
      <c r="G88" s="4"/>
      <c r="H88" s="4"/>
      <c r="I88" s="4"/>
      <c r="J88" s="4"/>
      <c r="K88" s="184"/>
      <c r="L88" s="4"/>
      <c r="M88" s="4"/>
      <c r="N88" s="4"/>
      <c r="O88" s="4"/>
      <c r="P88" s="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  <c r="AB88" s="184"/>
      <c r="AC88" s="184"/>
      <c r="AD88" s="184"/>
      <c r="AE88" s="184"/>
      <c r="AF88" s="184"/>
    </row>
    <row r="89">
      <c r="A89" s="4"/>
      <c r="B89" s="4"/>
      <c r="C89" s="185"/>
      <c r="D89" s="4"/>
      <c r="E89" s="4"/>
      <c r="F89" s="4"/>
      <c r="G89" s="4"/>
      <c r="H89" s="4"/>
      <c r="I89" s="4"/>
      <c r="J89" s="4"/>
      <c r="K89" s="184"/>
      <c r="L89" s="4"/>
      <c r="M89" s="4"/>
      <c r="N89" s="4"/>
      <c r="O89" s="4"/>
      <c r="P89" s="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  <c r="AB89" s="184"/>
      <c r="AC89" s="184"/>
      <c r="AD89" s="184"/>
      <c r="AE89" s="184"/>
      <c r="AF89" s="184"/>
    </row>
    <row r="90">
      <c r="A90" s="4"/>
      <c r="B90" s="4"/>
      <c r="C90" s="185"/>
      <c r="D90" s="4"/>
      <c r="E90" s="184"/>
      <c r="F90" s="4"/>
      <c r="G90" s="4"/>
      <c r="H90" s="4"/>
      <c r="I90" s="4"/>
      <c r="J90" s="4"/>
      <c r="K90" s="184"/>
      <c r="L90" s="4"/>
      <c r="M90" s="4"/>
      <c r="N90" s="4"/>
      <c r="O90" s="4"/>
      <c r="P90" s="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  <c r="AB90" s="184"/>
      <c r="AC90" s="184"/>
      <c r="AD90" s="184"/>
      <c r="AE90" s="184"/>
      <c r="AF90" s="184"/>
    </row>
    <row r="91">
      <c r="A91" s="4"/>
      <c r="B91" s="4"/>
      <c r="C91" s="4"/>
      <c r="D91" s="4"/>
      <c r="E91" s="184"/>
      <c r="F91" s="4"/>
      <c r="G91" s="4"/>
      <c r="H91" s="4"/>
      <c r="I91" s="4"/>
      <c r="J91" s="4"/>
      <c r="K91" s="184"/>
      <c r="L91" s="4"/>
      <c r="M91" s="4"/>
      <c r="N91" s="4"/>
      <c r="O91" s="4"/>
      <c r="P91" s="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  <c r="AB91" s="184"/>
      <c r="AC91" s="184"/>
      <c r="AE91" s="184"/>
      <c r="AF91" s="18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84"/>
      <c r="L92" s="4"/>
      <c r="M92" s="4"/>
      <c r="N92" s="4"/>
      <c r="O92" s="4"/>
      <c r="P92" s="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  <c r="AB92" s="184"/>
      <c r="AC92" s="184"/>
      <c r="AE92" s="184"/>
      <c r="AF92" s="18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184"/>
      <c r="L93" s="4"/>
      <c r="M93" s="4"/>
      <c r="N93" s="4"/>
      <c r="O93" s="4"/>
      <c r="P93" s="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  <c r="AB93" s="184"/>
      <c r="AC93" s="184"/>
      <c r="AD93" s="184"/>
      <c r="AE93" s="184"/>
      <c r="AF93" s="18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84"/>
      <c r="L94" s="4"/>
      <c r="M94" s="4"/>
      <c r="N94" s="4"/>
      <c r="O94" s="4"/>
      <c r="P94" s="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  <c r="AB94" s="184"/>
      <c r="AC94" s="184"/>
      <c r="AE94" s="184"/>
      <c r="AF94" s="18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84"/>
      <c r="L95" s="4"/>
      <c r="M95" s="4"/>
      <c r="N95" s="4"/>
      <c r="O95" s="4"/>
      <c r="P95" s="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  <c r="AB95" s="184"/>
      <c r="AC95" s="184"/>
      <c r="AE95" s="184"/>
      <c r="AF95" s="18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84"/>
      <c r="L96" s="4"/>
      <c r="M96" s="4"/>
      <c r="N96" s="4"/>
      <c r="O96" s="4"/>
      <c r="P96" s="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  <c r="AB96" s="184"/>
      <c r="AC96" s="184"/>
      <c r="AE96" s="184"/>
      <c r="AF96" s="184"/>
    </row>
    <row r="97">
      <c r="A97" s="4"/>
      <c r="B97" s="4"/>
      <c r="C97" s="185"/>
      <c r="D97" s="4"/>
      <c r="E97" s="184"/>
      <c r="F97" s="4"/>
      <c r="G97" s="4"/>
      <c r="H97" s="4"/>
      <c r="I97" s="4"/>
      <c r="J97" s="4"/>
      <c r="K97" s="184"/>
      <c r="L97" s="4"/>
      <c r="M97" s="4"/>
      <c r="N97" s="4"/>
      <c r="O97" s="4"/>
      <c r="P97" s="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</row>
    <row r="98">
      <c r="A98" s="4"/>
      <c r="B98" s="4"/>
      <c r="C98" s="4"/>
      <c r="D98" s="4"/>
      <c r="E98" s="184"/>
      <c r="F98" s="4"/>
      <c r="G98" s="4"/>
      <c r="H98" s="4"/>
      <c r="I98" s="4"/>
      <c r="J98" s="4"/>
      <c r="K98" s="184"/>
      <c r="L98" s="4"/>
      <c r="M98" s="4"/>
      <c r="N98" s="4"/>
      <c r="O98" s="4"/>
      <c r="P98" s="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  <c r="AB98" s="184"/>
      <c r="AC98" s="184"/>
      <c r="AE98" s="184"/>
      <c r="AF98" s="184"/>
    </row>
    <row r="99">
      <c r="A99" s="4"/>
      <c r="B99" s="4"/>
      <c r="C99" s="185"/>
      <c r="D99" s="4"/>
      <c r="E99" s="4"/>
      <c r="F99" s="4"/>
      <c r="G99" s="4"/>
      <c r="H99" s="4"/>
      <c r="I99" s="4"/>
      <c r="J99" s="4"/>
      <c r="K99" s="184"/>
      <c r="L99" s="4"/>
      <c r="M99" s="4"/>
      <c r="N99" s="4"/>
      <c r="O99" s="4"/>
      <c r="P99" s="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  <c r="AB99" s="184"/>
      <c r="AC99" s="184"/>
      <c r="AD99" s="184"/>
      <c r="AE99" s="184"/>
      <c r="AF99" s="184"/>
    </row>
    <row r="100">
      <c r="A100" s="4"/>
      <c r="B100" s="4"/>
      <c r="C100" s="185"/>
      <c r="D100" s="4"/>
      <c r="E100" s="184"/>
      <c r="F100" s="4"/>
      <c r="G100" s="4"/>
      <c r="H100" s="4"/>
      <c r="I100" s="4"/>
      <c r="J100" s="4"/>
      <c r="K100" s="184"/>
      <c r="L100" s="4"/>
      <c r="M100" s="4"/>
      <c r="N100" s="4"/>
      <c r="O100" s="4"/>
      <c r="P100" s="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  <c r="AB100" s="184"/>
      <c r="AC100" s="184"/>
      <c r="AE100" s="184"/>
      <c r="AF100" s="184"/>
    </row>
    <row r="101">
      <c r="A101" s="4"/>
      <c r="B101" s="4"/>
      <c r="C101" s="4"/>
      <c r="D101" s="4"/>
      <c r="E101" s="184"/>
      <c r="F101" s="4"/>
      <c r="G101" s="4"/>
      <c r="H101" s="4"/>
      <c r="I101" s="4"/>
      <c r="J101" s="4"/>
      <c r="K101" s="184"/>
      <c r="L101" s="4"/>
      <c r="M101" s="4"/>
      <c r="N101" s="4"/>
      <c r="O101" s="4"/>
      <c r="P101" s="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  <c r="AB101" s="184"/>
      <c r="AC101" s="184"/>
      <c r="AE101" s="184"/>
      <c r="AF101" s="184"/>
    </row>
    <row r="102">
      <c r="A102" s="4"/>
      <c r="B102" s="4"/>
      <c r="C102" s="185"/>
      <c r="D102" s="4"/>
      <c r="E102" s="184"/>
      <c r="F102" s="4"/>
      <c r="G102" s="4"/>
      <c r="H102" s="4"/>
      <c r="I102" s="4"/>
      <c r="J102" s="4"/>
      <c r="K102" s="184"/>
      <c r="L102" s="4"/>
      <c r="M102" s="4"/>
      <c r="N102" s="4"/>
      <c r="O102" s="4"/>
      <c r="P102" s="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  <c r="AB102" s="184"/>
      <c r="AC102" s="184"/>
      <c r="AE102" s="184"/>
      <c r="AF102" s="184"/>
    </row>
    <row r="103">
      <c r="A103" s="4"/>
      <c r="B103" s="4"/>
      <c r="C103" s="185"/>
      <c r="D103" s="4"/>
      <c r="E103" s="184"/>
      <c r="F103" s="4"/>
      <c r="G103" s="4"/>
      <c r="H103" s="4"/>
      <c r="I103" s="4"/>
      <c r="J103" s="4"/>
      <c r="K103" s="184"/>
      <c r="L103" s="4"/>
      <c r="M103" s="4"/>
      <c r="N103" s="4"/>
      <c r="O103" s="4"/>
      <c r="P103" s="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  <c r="AB103" s="184"/>
      <c r="AC103" s="184"/>
      <c r="AD103" s="184"/>
      <c r="AE103" s="184"/>
      <c r="AF103" s="18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84"/>
      <c r="L104" s="4"/>
      <c r="M104" s="4"/>
      <c r="N104" s="4"/>
      <c r="O104" s="4"/>
      <c r="P104" s="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  <c r="AB104" s="184"/>
      <c r="AC104" s="184"/>
      <c r="AD104" s="184"/>
      <c r="AE104" s="184"/>
      <c r="AF104" s="184"/>
    </row>
    <row r="105">
      <c r="A105" s="4"/>
      <c r="B105" s="4"/>
      <c r="C105" s="185"/>
      <c r="D105" s="4"/>
      <c r="E105" s="4"/>
      <c r="F105" s="4"/>
      <c r="G105" s="4"/>
      <c r="H105" s="4"/>
      <c r="I105" s="4"/>
      <c r="J105" s="4"/>
      <c r="K105" s="184"/>
      <c r="L105" s="4"/>
      <c r="M105" s="4"/>
      <c r="N105" s="4"/>
      <c r="O105" s="4"/>
      <c r="P105" s="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  <c r="AB105" s="184"/>
      <c r="AC105" s="184"/>
      <c r="AD105" s="184"/>
      <c r="AE105" s="184"/>
      <c r="AF105" s="18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84"/>
      <c r="L106" s="4"/>
      <c r="M106" s="4"/>
      <c r="N106" s="4"/>
      <c r="O106" s="4"/>
      <c r="P106" s="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  <c r="AB106" s="184"/>
      <c r="AC106" s="184"/>
      <c r="AD106" s="184"/>
      <c r="AE106" s="184"/>
      <c r="AF106" s="18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84"/>
      <c r="L107" s="4"/>
      <c r="M107" s="4"/>
      <c r="N107" s="4"/>
      <c r="O107" s="4"/>
      <c r="P107" s="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  <c r="AB107" s="184"/>
      <c r="AC107" s="184"/>
      <c r="AD107" s="184"/>
      <c r="AE107" s="184"/>
      <c r="AF107" s="184"/>
    </row>
    <row r="108">
      <c r="A108" s="4"/>
      <c r="B108" s="4"/>
      <c r="C108" s="18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  <c r="AB108" s="184"/>
      <c r="AC108" s="184"/>
      <c r="AD108" s="184"/>
      <c r="AE108" s="184"/>
      <c r="AF108" s="18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84"/>
      <c r="L109" s="4"/>
      <c r="M109" s="4"/>
      <c r="N109" s="4"/>
      <c r="O109" s="4"/>
      <c r="P109" s="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  <c r="AB109" s="184"/>
      <c r="AC109" s="184"/>
      <c r="AD109" s="184"/>
      <c r="AE109" s="184"/>
      <c r="AF109" s="184"/>
    </row>
    <row r="110">
      <c r="A110" s="4"/>
      <c r="B110" s="4"/>
      <c r="C110" s="18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  <c r="AB110" s="184"/>
      <c r="AC110" s="184"/>
      <c r="AE110" s="184"/>
      <c r="AF110" s="18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184"/>
      <c r="L111" s="4"/>
      <c r="M111" s="4"/>
      <c r="N111" s="4"/>
      <c r="O111" s="4"/>
      <c r="P111" s="4"/>
      <c r="Q111" s="184"/>
      <c r="S111" s="184"/>
      <c r="T111" s="184"/>
      <c r="U111" s="184"/>
      <c r="V111" s="184"/>
      <c r="W111" s="184"/>
      <c r="X111" s="184"/>
      <c r="Y111" s="184"/>
      <c r="Z111" s="184"/>
      <c r="AB111" s="184"/>
      <c r="AC111" s="184"/>
      <c r="AE111" s="184"/>
      <c r="AF111" s="184"/>
    </row>
    <row r="112">
      <c r="A112" s="4"/>
      <c r="B112" s="4"/>
      <c r="C112" s="4"/>
      <c r="D112" s="4"/>
      <c r="E112" s="184"/>
      <c r="F112" s="4"/>
      <c r="G112" s="4"/>
      <c r="H112" s="4"/>
      <c r="I112" s="4"/>
      <c r="J112" s="4"/>
      <c r="K112" s="184"/>
      <c r="L112" s="4"/>
      <c r="M112" s="4"/>
      <c r="N112" s="4"/>
      <c r="O112" s="4"/>
      <c r="P112" s="4"/>
      <c r="Q112" s="184"/>
      <c r="S112" s="184"/>
      <c r="T112" s="184"/>
      <c r="U112" s="184"/>
      <c r="V112" s="184"/>
      <c r="W112" s="184"/>
      <c r="X112" s="184"/>
      <c r="Y112" s="184"/>
      <c r="Z112" s="184"/>
      <c r="AB112" s="184"/>
      <c r="AC112" s="184"/>
      <c r="AD112" s="184"/>
      <c r="AE112" s="184"/>
      <c r="AF112" s="184"/>
    </row>
    <row r="113">
      <c r="A113" s="4"/>
      <c r="B113" s="4"/>
      <c r="C113" s="18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  <c r="AB113" s="184"/>
      <c r="AC113" s="184"/>
      <c r="AE113" s="184"/>
      <c r="AF113" s="184"/>
    </row>
    <row r="114">
      <c r="A114" s="4"/>
      <c r="B114" s="4"/>
      <c r="C114" s="4"/>
      <c r="D114" s="4"/>
      <c r="E114" s="184"/>
      <c r="F114" s="4"/>
      <c r="G114" s="4"/>
      <c r="H114" s="4"/>
      <c r="I114" s="4"/>
      <c r="J114" s="4"/>
      <c r="K114" s="184"/>
      <c r="L114" s="4"/>
      <c r="M114" s="4"/>
      <c r="N114" s="4"/>
      <c r="O114" s="4"/>
      <c r="P114" s="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  <c r="AB114" s="184"/>
      <c r="AC114" s="184"/>
      <c r="AD114" s="184"/>
      <c r="AE114" s="184"/>
      <c r="AF114" s="184"/>
    </row>
    <row r="115">
      <c r="A115" s="4"/>
      <c r="B115" s="4"/>
      <c r="C115" s="4"/>
      <c r="D115" s="4"/>
      <c r="E115" s="184"/>
      <c r="F115" s="4"/>
      <c r="G115" s="4"/>
      <c r="H115" s="4"/>
      <c r="I115" s="4"/>
      <c r="J115" s="4"/>
      <c r="K115" s="184"/>
      <c r="L115" s="4"/>
      <c r="M115" s="4"/>
      <c r="N115" s="4"/>
      <c r="O115" s="4"/>
      <c r="P115" s="4"/>
      <c r="Q115" s="184"/>
      <c r="S115" s="184"/>
      <c r="T115" s="184"/>
      <c r="U115" s="184"/>
      <c r="V115" s="184"/>
      <c r="W115" s="184"/>
      <c r="X115" s="184"/>
      <c r="Y115" s="184"/>
      <c r="Z115" s="184"/>
      <c r="AB115" s="184"/>
      <c r="AC115" s="184"/>
      <c r="AE115" s="184"/>
      <c r="AF115" s="18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184"/>
      <c r="L116" s="4"/>
      <c r="M116" s="4"/>
      <c r="N116" s="4"/>
      <c r="O116" s="4"/>
      <c r="P116" s="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  <c r="AB116" s="184"/>
      <c r="AC116" s="184"/>
      <c r="AE116" s="184"/>
      <c r="AF116" s="18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  <c r="AB117" s="184"/>
      <c r="AC117" s="184"/>
      <c r="AD117" s="184"/>
      <c r="AE117" s="184"/>
      <c r="AF117" s="18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184"/>
      <c r="L118" s="4"/>
      <c r="M118" s="4"/>
      <c r="N118" s="4"/>
      <c r="O118" s="4"/>
      <c r="P118" s="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  <c r="AB118" s="184"/>
      <c r="AC118" s="184"/>
      <c r="AE118" s="184"/>
      <c r="AF118" s="18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184"/>
      <c r="L119" s="4"/>
      <c r="M119" s="4"/>
      <c r="N119" s="4"/>
      <c r="O119" s="4"/>
      <c r="P119" s="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  <c r="AB119" s="184"/>
      <c r="AC119" s="184"/>
      <c r="AD119" s="184"/>
      <c r="AE119" s="184"/>
      <c r="AF119" s="18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184"/>
      <c r="L120" s="4"/>
      <c r="M120" s="4"/>
      <c r="N120" s="4"/>
      <c r="O120" s="4"/>
      <c r="P120" s="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  <c r="AB120" s="184"/>
      <c r="AC120" s="184"/>
      <c r="AE120" s="184"/>
      <c r="AF120" s="184"/>
    </row>
    <row r="121">
      <c r="A121" s="4"/>
      <c r="B121" s="4"/>
      <c r="C121" s="185"/>
      <c r="D121" s="4"/>
      <c r="E121" s="4"/>
      <c r="F121" s="4"/>
      <c r="G121" s="4"/>
      <c r="H121" s="4"/>
      <c r="I121" s="4"/>
      <c r="J121" s="4"/>
      <c r="K121" s="184"/>
      <c r="L121" s="4"/>
      <c r="M121" s="4"/>
      <c r="N121" s="4"/>
      <c r="O121" s="4"/>
      <c r="P121" s="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  <c r="AB121" s="184"/>
      <c r="AC121" s="184"/>
      <c r="AE121" s="184"/>
      <c r="AF121" s="184"/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  <c r="AB122" s="184"/>
      <c r="AC122" s="184"/>
      <c r="AE122" s="184"/>
      <c r="AF122" s="184"/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  <c r="AB123" s="184"/>
      <c r="AC123" s="184"/>
      <c r="AE123" s="184"/>
      <c r="AF123" s="184"/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  <c r="AB124" s="184"/>
      <c r="AC124" s="184"/>
      <c r="AD124" s="184"/>
      <c r="AE124" s="184"/>
      <c r="AF124" s="184"/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O125" s="184"/>
      <c r="P125" s="184"/>
      <c r="Q125" s="184"/>
      <c r="S125" s="184"/>
      <c r="T125" s="184"/>
      <c r="U125" s="184"/>
      <c r="V125" s="184"/>
      <c r="W125" s="184"/>
      <c r="X125" s="184"/>
      <c r="Y125" s="184"/>
      <c r="Z125" s="184"/>
      <c r="AB125" s="184"/>
      <c r="AC125" s="184"/>
      <c r="AE125" s="184"/>
      <c r="AF125" s="184"/>
    </row>
    <row r="128">
      <c r="C128" s="186"/>
    </row>
    <row r="132">
      <c r="C132" s="186"/>
    </row>
    <row r="150">
      <c r="C150" s="186"/>
    </row>
    <row r="157">
      <c r="C157" s="186"/>
    </row>
    <row r="161">
      <c r="C161" s="186"/>
    </row>
    <row r="164">
      <c r="C164" s="186"/>
    </row>
    <row r="179">
      <c r="C179" s="186"/>
    </row>
    <row r="187">
      <c r="C187" s="186"/>
    </row>
    <row r="202">
      <c r="C202" s="186"/>
    </row>
    <row r="224">
      <c r="C224" s="186"/>
    </row>
    <row r="414">
      <c r="C414" s="186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7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8">
        <f>IFERROR(__xludf.DUMMYFUNCTION("IMPORTRANGE(""1TpIiNTfR1pnpn85VWQTTdvQ2Xcr0GStmWJ2UvfKxG_A"", ""Mzdy!ac1:ad200"")"),31.0)</f>
        <v>31</v>
      </c>
      <c r="W1" s="189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89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89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0" t="s">
        <v>646</v>
      </c>
      <c r="B4" s="190" t="s">
        <v>647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89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1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89">
        <f>IFERROR(__xludf.DUMMYFUNCTION("""COMPUTED_VALUE"""),432.3078)</f>
        <v>432.3078</v>
      </c>
      <c r="W5" s="189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1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89">
        <f>IFERROR(__xludf.DUMMYFUNCTION("""COMPUTED_VALUE"""),432.3078)</f>
        <v>432.3078</v>
      </c>
      <c r="W6" s="189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1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89">
        <f>IFERROR(__xludf.DUMMYFUNCTION("""COMPUTED_VALUE"""),341.19)</f>
        <v>341.19</v>
      </c>
      <c r="W7" s="189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1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89">
        <f>IFERROR(__xludf.DUMMYFUNCTION("""COMPUTED_VALUE"""),432.3078)</f>
        <v>432.3078</v>
      </c>
      <c r="W8" s="189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1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89">
        <f>IFERROR(__xludf.DUMMYFUNCTION("""COMPUTED_VALUE"""),341.19)</f>
        <v>341.19</v>
      </c>
      <c r="W9" s="189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1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89">
        <f>IFERROR(__xludf.DUMMYFUNCTION("""COMPUTED_VALUE"""),432.3078)</f>
        <v>432.3078</v>
      </c>
      <c r="W10" s="189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1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89">
        <f>IFERROR(__xludf.DUMMYFUNCTION("""COMPUTED_VALUE"""),295.698)</f>
        <v>295.698</v>
      </c>
      <c r="W11" s="189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1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89">
        <f>IFERROR(__xludf.DUMMYFUNCTION("""COMPUTED_VALUE"""),0.0)</f>
        <v>0</v>
      </c>
      <c r="W12" s="189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1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89">
        <f>IFERROR(__xludf.DUMMYFUNCTION("""COMPUTED_VALUE"""),341.19)</f>
        <v>341.19</v>
      </c>
      <c r="W13" s="189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1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89">
        <f>IFERROR(__xludf.DUMMYFUNCTION("""COMPUTED_VALUE"""),250.20600000000002)</f>
        <v>250.206</v>
      </c>
      <c r="W14" s="189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1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IFERROR(__xludf.DUMMYFUNCTION("""COMPUTED_VALUE"""),"Bolevec")</f>
        <v>Bolevec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89">
        <f>IFERROR(__xludf.DUMMYFUNCTION("""COMPUTED_VALUE"""),341.19)</f>
        <v>341.19</v>
      </c>
      <c r="W15" s="189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1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89">
        <f>IFERROR(__xludf.DUMMYFUNCTION("""COMPUTED_VALUE"""),341.19)</f>
        <v>341.19</v>
      </c>
      <c r="W16" s="189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1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89">
        <f>IFERROR(__xludf.DUMMYFUNCTION("""COMPUTED_VALUE"""),267.6)</f>
        <v>267.6</v>
      </c>
      <c r="W17" s="189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1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IFERROR(__xludf.DUMMYFUNCTION("""COMPUTED_VALUE"""),"Pánková Vendula")</f>
        <v>Pánková Vendula</v>
      </c>
      <c r="E18" s="2" t="str">
        <f>IFERROR(__xludf.DUMMYFUNCTION("""COMPUTED_VALUE"""),"Zličín")</f>
        <v>Zličín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89">
        <f>IFERROR(__xludf.DUMMYFUNCTION("""COMPUTED_VALUE"""),267.6)</f>
        <v>267.6</v>
      </c>
      <c r="W18" s="189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1" t="str">
        <f>IF(OR(E19=Report!$B$1, F19=Report!$B$1, G19=Report!$B$1, H19=Report!$B$1), D19, "")</f>
        <v/>
      </c>
      <c r="C19" s="2" t="b">
        <f>IFERROR(__xludf.DUMMYFUNCTION("""COMPUTED_VALUE"""),TRUE)</f>
        <v>1</v>
      </c>
      <c r="D19" s="2" t="str">
        <f>IFERROR(__xludf.DUMMYFUNCTION("""COMPUTED_VALUE"""),"Hegedüs Erik")</f>
        <v>Hegedüs Erik</v>
      </c>
      <c r="E19" s="2" t="str">
        <f>IFERROR(__xludf.DUMMYFUNCTION("""COMPUTED_VALUE"""),"Libuš")</f>
        <v>Libuš</v>
      </c>
      <c r="F19" s="2" t="str">
        <f>IFERROR(__xludf.DUMMYFUNCTION("""COMPUTED_VALUE"""),"Chodov")</f>
        <v>Chodov</v>
      </c>
      <c r="G19" s="2" t="str">
        <f>IFERROR(__xludf.DUMMYFUNCTION("""COMPUTED_VALUE"""),"Malešice")</f>
        <v>Malešice</v>
      </c>
      <c r="H19" s="2" t="str">
        <f>IFERROR(__xludf.DUMMYFUNCTION("""COMPUTED_VALUE"""),"Zličín")</f>
        <v>Zličín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89">
        <f>IFERROR(__xludf.DUMMYFUNCTION("""COMPUTED_VALUE"""),432.3078)</f>
        <v>432.3078</v>
      </c>
      <c r="W19" s="189">
        <f>IFERROR(__xludf.DUMMYFUNCTION("""COMPUTED_VALUE"""),2789.082580645161)</f>
        <v>2789.082581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1" t="str">
        <f>IF(OR(E20=Report!$B$1, F20=Report!$B$1, G20=Report!$B$1, H20=Report!$B$1), D20, "")</f>
        <v/>
      </c>
      <c r="C20" s="2" t="b">
        <f>IFERROR(__xludf.DUMMYFUNCTION("""COMPUTED_VALUE"""),TRUE)</f>
        <v>1</v>
      </c>
      <c r="D20" s="2" t="str">
        <f>IFERROR(__xludf.DUMMYFUNCTION("""COMPUTED_VALUE"""),"Roth Stanislav ml.")</f>
        <v>Roth Stanislav ml.</v>
      </c>
      <c r="E20" s="2" t="str">
        <f>IFERROR(__xludf.DUMMYFUNCTION("""COMPUTED_VALUE"""),"Bolevec")</f>
        <v>Bolevec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89">
        <f>IFERROR(__xludf.DUMMYFUNCTION("""COMPUTED_VALUE"""),432.3078)</f>
        <v>432.3078</v>
      </c>
      <c r="W20" s="189">
        <f>IFERROR(__xludf.DUMMYFUNCTION("""COMPUTED_VALUE"""),2789.082580645161)</f>
        <v>2789.082581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1" t="str">
        <f>IF(OR(E21=Report!$B$1, F21=Report!$B$1, G21=Report!$B$1, H21=Report!$B$1), D21, "")</f>
        <v/>
      </c>
      <c r="C21" s="2" t="b">
        <f>IFERROR(__xludf.DUMMYFUNCTION("""COMPUTED_VALUE"""),FALSE)</f>
        <v>0</v>
      </c>
      <c r="D21" s="2" t="str">
        <f>IFERROR(__xludf.DUMMYFUNCTION("""COMPUTED_VALUE"""),"Bubník Martin")</f>
        <v>Bubník Martin</v>
      </c>
      <c r="E21" s="2" t="str">
        <f>IFERROR(__xludf.DUMMYFUNCTION("""COMPUTED_VALUE"""),"Libuš")</f>
        <v>Libuš</v>
      </c>
      <c r="F21" s="2" t="str">
        <f>IFERROR(__xludf.DUMMYFUNCTION("""COMPUTED_VALUE"""),"Malešice")</f>
        <v>Malešice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89">
        <f>IFERROR(__xludf.DUMMYFUNCTION("""COMPUTED_VALUE"""),267.6)</f>
        <v>267.6</v>
      </c>
      <c r="W21" s="189">
        <f>IFERROR(__xludf.DUMMYFUNCTION("""COMPUTED_VALUE"""),0.0)</f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1" t="str">
        <f>IF(OR(E22=Report!$B$1, F22=Report!$B$1, G22=Report!$B$1, H22=Report!$B$1), D22, "")</f>
        <v/>
      </c>
      <c r="C22" s="2" t="b">
        <f>IFERROR(__xludf.DUMMYFUNCTION("""COMPUTED_VALUE"""),FALSE)</f>
        <v>0</v>
      </c>
      <c r="D22" s="2" t="str">
        <f>IFERROR(__xludf.DUMMYFUNCTION("""COMPUTED_VALUE"""),"Berdar Vasyl")</f>
        <v>Berdar Vasyl</v>
      </c>
      <c r="E22" s="2" t="str">
        <f>IFERROR(__xludf.DUMMYFUNCTION("""COMPUTED_VALUE"""),"Libuš")</f>
        <v>Libuš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89">
        <f>IFERROR(__xludf.DUMMYFUNCTION("""COMPUTED_VALUE"""),286.332)</f>
        <v>286.332</v>
      </c>
      <c r="W22" s="189">
        <f>IFERROR(__xludf.DUMMYFUNCTION("""COMPUTED_VALUE"""),0.0)</f>
        <v>0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1" t="str">
        <f>IF(OR(E23=Report!$B$1, F23=Report!$B$1, G23=Report!$B$1, H23=Report!$B$1), D23, "")</f>
        <v>Yarushynskyi Vladyslav</v>
      </c>
      <c r="C23" s="2" t="b">
        <f>IFERROR(__xludf.DUMMYFUNCTION("""COMPUTED_VALUE"""),FALSE)</f>
        <v>0</v>
      </c>
      <c r="D23" s="2" t="str">
        <f>IFERROR(__xludf.DUMMYFUNCTION("""COMPUTED_VALUE"""),"Yarushynskyi Vladyslav")</f>
        <v>Yarushynskyi Vladyslav</v>
      </c>
      <c r="E23" s="2" t="str">
        <f>IFERROR(__xludf.DUMMYFUNCTION("""COMPUTED_VALUE"""),"Malešice")</f>
        <v>Malešice</v>
      </c>
      <c r="F23" s="2" t="str">
        <f>IFERROR(__xludf.DUMMYFUNCTION("""COMPUTED_VALUE"""),"Chodov")</f>
        <v>Chodov</v>
      </c>
      <c r="G23" s="2" t="str">
        <f>IFERROR(__xludf.DUMMYFUNCTION("""COMPUTED_VALUE"""),"Zličín")</f>
        <v>Zličín</v>
      </c>
      <c r="H23" s="2" t="str">
        <f>IFERROR(__xludf.DUMMYFUNCTION("""COMPUTED_VALUE"""),"Prosek")</f>
        <v>Prosek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89">
        <f>IFERROR(__xludf.DUMMYFUNCTION("""COMPUTED_VALUE"""),267.6)</f>
        <v>267.6</v>
      </c>
      <c r="W23" s="189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1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IFERROR(__xludf.DUMMYFUNCTION("""COMPUTED_VALUE"""),"Židek Petr")</f>
        <v>Židek Petr</v>
      </c>
      <c r="E24" s="2" t="str">
        <f>IFERROR(__xludf.DUMMYFUNCTION("""COMPUTED_VALUE"""),"Chodov")</f>
        <v>Chodov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89">
        <f>IFERROR(__xludf.DUMMYFUNCTION("""COMPUTED_VALUE"""),250.20600000000002)</f>
        <v>250.206</v>
      </c>
      <c r="W24" s="189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1" t="str">
        <f>IF(OR(E25=Report!$B$1, F25=Report!$B$1, G25=Report!$B$1, H25=Report!$B$1), D25, "")</f>
        <v>Gorol Patrik</v>
      </c>
      <c r="C25" s="2" t="b">
        <f>IFERROR(__xludf.DUMMYFUNCTION("""COMPUTED_VALUE"""),FALSE)</f>
        <v>0</v>
      </c>
      <c r="D25" s="2" t="str">
        <f>IFERROR(__xludf.DUMMYFUNCTION("""COMPUTED_VALUE"""),"Gorol Patrik")</f>
        <v>Gorol Patrik</v>
      </c>
      <c r="E25" s="2" t="str">
        <f>IFERROR(__xludf.DUMMYFUNCTION("""COMPUTED_VALUE"""),"Malešice")</f>
        <v>Malešice</v>
      </c>
      <c r="F25" s="2" t="str">
        <f>IFERROR(__xludf.DUMMYFUNCTION("""COMPUTED_VALUE"""),"Libuš")</f>
        <v>Libuš</v>
      </c>
      <c r="G25" s="2" t="str">
        <f>IFERROR(__xludf.DUMMYFUNCTION("""COMPUTED_VALUE"""),"Prosek")</f>
        <v>Prosek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89">
        <f>IFERROR(__xludf.DUMMYFUNCTION("""COMPUTED_VALUE"""),231.474)</f>
        <v>231.474</v>
      </c>
      <c r="W25" s="189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1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 t="str">
        <f>IFERROR(__xludf.DUMMYFUNCTION("""COMPUTED_VALUE"""),"Hegedüs Gergö")</f>
        <v>Hegedüs Gergö</v>
      </c>
      <c r="E26" s="2" t="str">
        <f>IFERROR(__xludf.DUMMYFUNCTION("""COMPUTED_VALUE"""),"Libuš")</f>
        <v>Libuš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89">
        <f>IFERROR(__xludf.DUMMYFUNCTION("""COMPUTED_VALUE"""),214.08)</f>
        <v>214.08</v>
      </c>
      <c r="W26" s="189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1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IFERROR(__xludf.DUMMYFUNCTION("""COMPUTED_VALUE"""),"Barvínková Eliška")</f>
        <v>Barvínková Eliška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89">
        <f>IFERROR(__xludf.DUMMYFUNCTION("""COMPUTED_VALUE"""),231.474)</f>
        <v>231.474</v>
      </c>
      <c r="W27" s="189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1" t="str">
        <f>IF(OR(E28=Report!$B$1, F28=Report!$B$1, G28=Report!$B$1, H28=Report!$B$1), D28, "")</f>
        <v/>
      </c>
      <c r="C28" s="2" t="b">
        <f>IFERROR(__xludf.DUMMYFUNCTION("""COMPUTED_VALUE"""),FALSE)</f>
        <v>0</v>
      </c>
      <c r="D28" s="2" t="str">
        <f>IFERROR(__xludf.DUMMYFUNCTION("""COMPUTED_VALUE"""),"Kursheva Diana")</f>
        <v>Kursheva Diana</v>
      </c>
      <c r="E28" s="2" t="str">
        <f>IFERROR(__xludf.DUMMYFUNCTION("""COMPUTED_VALUE"""),"Výroba")</f>
        <v>Výroba</v>
      </c>
      <c r="F28" s="2" t="str">
        <f>IFERROR(__xludf.DUMMYFUNCTION("""COMPUTED_VALUE"""),"Chodov")</f>
        <v>Chodov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89">
        <f>IFERROR(__xludf.DUMMYFUNCTION("""COMPUTED_VALUE"""),250.20600000000002)</f>
        <v>250.206</v>
      </c>
      <c r="W28" s="189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1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IFERROR(__xludf.DUMMYFUNCTION("""COMPUTED_VALUE"""),"Kubík Martin")</f>
        <v>Kubík Martin</v>
      </c>
      <c r="E29" s="2" t="str">
        <f>IFERROR(__xludf.DUMMYFUNCTION("""COMPUTED_VALUE"""),"Libuš")</f>
        <v>Libuš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89">
        <f>IFERROR(__xludf.DUMMYFUNCTION("""COMPUTED_VALUE"""),250.20600000000002)</f>
        <v>250.206</v>
      </c>
      <c r="W29" s="189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1" t="str">
        <f>IF(OR(E30=Report!$B$1, F30=Report!$B$1, G30=Report!$B$1, H30=Report!$B$1), D30, "")</f>
        <v>Putna Jaroslav</v>
      </c>
      <c r="C30" s="2" t="b">
        <f>IFERROR(__xludf.DUMMYFUNCTION("""COMPUTED_VALUE"""),FALSE)</f>
        <v>0</v>
      </c>
      <c r="D30" s="2" t="str">
        <f>IFERROR(__xludf.DUMMYFUNCTION("""COMPUTED_VALUE"""),"Putna Jaroslav")</f>
        <v>Putna Jaroslav</v>
      </c>
      <c r="E30" s="2" t="str">
        <f>IFERROR(__xludf.DUMMYFUNCTION("""COMPUTED_VALUE"""),"Zličín")</f>
        <v>Zličín</v>
      </c>
      <c r="F30" s="2" t="str">
        <f>IFERROR(__xludf.DUMMYFUNCTION("""COMPUTED_VALUE"""),"Prosek")</f>
        <v>Prosek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89">
        <f>IFERROR(__xludf.DUMMYFUNCTION("""COMPUTED_VALUE"""),250.20600000000002)</f>
        <v>250.206</v>
      </c>
      <c r="W30" s="189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1" t="str">
        <f>IF(OR(E31=Report!$B$1, F31=Report!$B$1, G31=Report!$B$1, H31=Report!$B$1), D31, "")</f>
        <v>Kopic Jakub</v>
      </c>
      <c r="C31" s="2" t="b">
        <f>IFERROR(__xludf.DUMMYFUNCTION("""COMPUTED_VALUE"""),FALSE)</f>
        <v>0</v>
      </c>
      <c r="D31" s="2" t="str">
        <f>IFERROR(__xludf.DUMMYFUNCTION("""COMPUTED_VALUE"""),"Kopic Jakub")</f>
        <v>Kopic Jakub</v>
      </c>
      <c r="E31" s="2" t="str">
        <f>IFERROR(__xludf.DUMMYFUNCTION("""COMPUTED_VALUE"""),"Malešice")</f>
        <v>Malešice</v>
      </c>
      <c r="F31" s="2" t="str">
        <f>IFERROR(__xludf.DUMMYFUNCTION("""COMPUTED_VALUE"""),"Prosek")</f>
        <v>Prosek</v>
      </c>
      <c r="G31" s="2" t="str">
        <f>IFERROR(__xludf.DUMMYFUNCTION("""COMPUTED_VALUE"""),"Libuš")</f>
        <v>Libuš</v>
      </c>
      <c r="H31" s="2" t="str">
        <f>IFERROR(__xludf.DUMMYFUNCTION("""COMPUTED_VALUE"""),"Prosek")</f>
        <v>Prosek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89">
        <f>IFERROR(__xludf.DUMMYFUNCTION("""COMPUTED_VALUE"""),250.20600000000002)</f>
        <v>250.206</v>
      </c>
      <c r="W31" s="189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1" t="str">
        <f>IF(OR(E32=Report!$B$1, F32=Report!$B$1, G32=Report!$B$1, H32=Report!$B$1), D32, "")</f>
        <v>Fáberová Kateřina</v>
      </c>
      <c r="C32" s="2" t="b">
        <f>IFERROR(__xludf.DUMMYFUNCTION("""COMPUTED_VALUE"""),FALSE)</f>
        <v>0</v>
      </c>
      <c r="D32" s="2" t="str">
        <f>IFERROR(__xludf.DUMMYFUNCTION("""COMPUTED_VALUE"""),"Fáberová Kateřina")</f>
        <v>Fáberová Kateřina</v>
      </c>
      <c r="E32" s="2" t="str">
        <f>IFERROR(__xludf.DUMMYFUNCTION("""COMPUTED_VALUE"""),"Prosek")</f>
        <v>Prosek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89">
        <f>IFERROR(__xludf.DUMMYFUNCTION("""COMPUTED_VALUE"""),250.20600000000002)</f>
        <v>250.206</v>
      </c>
      <c r="W32" s="189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1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IFERROR(__xludf.DUMMYFUNCTION("""COMPUTED_VALUE"""),"Chlubnová Adéla")</f>
        <v>Chlubnová Adéla</v>
      </c>
      <c r="E33" s="2" t="str">
        <f>IFERROR(__xludf.DUMMYFUNCTION("""COMPUTED_VALUE"""),"Chodov")</f>
        <v>Chodov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89">
        <f>IFERROR(__xludf.DUMMYFUNCTION("""COMPUTED_VALUE"""),250.20600000000002)</f>
        <v>250.206</v>
      </c>
      <c r="W33" s="189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1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IFERROR(__xludf.DUMMYFUNCTION("""COMPUTED_VALUE"""),"Prošek Václav")</f>
        <v>Prošek Václav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89">
        <f>IFERROR(__xludf.DUMMYFUNCTION("""COMPUTED_VALUE"""),250.20600000000002)</f>
        <v>250.206</v>
      </c>
      <c r="W34" s="189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1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IFERROR(__xludf.DUMMYFUNCTION("""COMPUTED_VALUE"""),"Millington Emmanuel")</f>
        <v>Millington Emmanuel</v>
      </c>
      <c r="E35" s="2" t="str">
        <f>IFERROR(__xludf.DUMMYFUNCTION("""COMPUTED_VALUE"""),"Libuš")</f>
        <v>Libuš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89">
        <f>IFERROR(__xludf.DUMMYFUNCTION("""COMPUTED_VALUE"""),250.20600000000002)</f>
        <v>250.206</v>
      </c>
      <c r="W35" s="189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1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IFERROR(__xludf.DUMMYFUNCTION("""COMPUTED_VALUE"""),"Kašpárek Jan")</f>
        <v>Kašpárek Jan</v>
      </c>
      <c r="E36" s="2" t="str">
        <f>IFERROR(__xludf.DUMMYFUNCTION("""COMPUTED_VALUE"""),"Libuš")</f>
        <v>Libuš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89">
        <f>IFERROR(__xludf.DUMMYFUNCTION("""COMPUTED_VALUE"""),250.20600000000002)</f>
        <v>250.206</v>
      </c>
      <c r="W36" s="189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1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IFERROR(__xludf.DUMMYFUNCTION("""COMPUTED_VALUE"""),"Koteliuk Maryna")</f>
        <v>Koteliuk Maryna</v>
      </c>
      <c r="E37" s="2" t="str">
        <f>IFERROR(__xludf.DUMMYFUNCTION("""COMPUTED_VALUE"""),"Výroba")</f>
        <v>Výroba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89">
        <f>IFERROR(__xludf.DUMMYFUNCTION("""COMPUTED_VALUE"""),250.20600000000002)</f>
        <v>250.206</v>
      </c>
      <c r="W37" s="189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1" t="str">
        <f>IF(OR(E38=Report!$B$1, F38=Report!$B$1, G38=Report!$B$1, H38=Report!$B$1), D38, "")</f>
        <v/>
      </c>
      <c r="C38" s="2" t="b">
        <f>IFERROR(__xludf.DUMMYFUNCTION("""COMPUTED_VALUE"""),FALSE)</f>
        <v>0</v>
      </c>
      <c r="D38" s="2" t="str">
        <f>IFERROR(__xludf.DUMMYFUNCTION("""COMPUTED_VALUE"""),"Remač Jiří")</f>
        <v>Remač Jiří</v>
      </c>
      <c r="E38" s="2" t="str">
        <f>IFERROR(__xludf.DUMMYFUNCTION("""COMPUTED_VALUE"""),"Libuš")</f>
        <v>Libuš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89">
        <f>IFERROR(__xludf.DUMMYFUNCTION("""COMPUTED_VALUE"""),250.20600000000002)</f>
        <v>250.206</v>
      </c>
      <c r="W38" s="189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1" t="str">
        <f>IF(OR(E39=Report!$B$1, F39=Report!$B$1, G39=Report!$B$1, H39=Report!$B$1), D39, "")</f>
        <v/>
      </c>
      <c r="C39" s="2" t="b">
        <f>IFERROR(__xludf.DUMMYFUNCTION("""COMPUTED_VALUE"""),FALSE)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89">
        <f>IFERROR(__xludf.DUMMYFUNCTION("""COMPUTED_VALUE"""),0.0)</f>
        <v>0</v>
      </c>
      <c r="W39" s="189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1" t="str">
        <f>IF(OR(E40=Report!$B$1, F40=Report!$B$1, G40=Report!$B$1, H40=Report!$B$1), D40, "")</f>
        <v/>
      </c>
      <c r="C40" s="2" t="b">
        <f>IFERROR(__xludf.DUMMYFUNCTION("""COMPUTED_VALUE"""),FALSE)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89">
        <f>IFERROR(__xludf.DUMMYFUNCTION("""COMPUTED_VALUE"""),0.0)</f>
        <v>0</v>
      </c>
      <c r="W40" s="189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1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89">
        <f>IFERROR(__xludf.DUMMYFUNCTION("""COMPUTED_VALUE"""),0.0)</f>
        <v>0</v>
      </c>
      <c r="W41" s="189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1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89">
        <f>IFERROR(__xludf.DUMMYFUNCTION("""COMPUTED_VALUE"""),0.0)</f>
        <v>0</v>
      </c>
      <c r="W42" s="189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1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89">
        <f>IFERROR(__xludf.DUMMYFUNCTION("""COMPUTED_VALUE"""),0.0)</f>
        <v>0</v>
      </c>
      <c r="W43" s="189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2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89">
        <f>IFERROR(__xludf.DUMMYFUNCTION("""COMPUTED_VALUE"""),0.0)</f>
        <v>0</v>
      </c>
      <c r="W44" s="189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2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89">
        <f>IFERROR(__xludf.DUMMYFUNCTION("""COMPUTED_VALUE"""),0.0)</f>
        <v>0</v>
      </c>
      <c r="W45" s="189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2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89">
        <f>IFERROR(__xludf.DUMMYFUNCTION("""COMPUTED_VALUE"""),0.0)</f>
        <v>0</v>
      </c>
      <c r="W46" s="189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2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89">
        <f>IFERROR(__xludf.DUMMYFUNCTION("""COMPUTED_VALUE"""),0.0)</f>
        <v>0</v>
      </c>
      <c r="W47" s="189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2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89">
        <f>IFERROR(__xludf.DUMMYFUNCTION("""COMPUTED_VALUE"""),0.0)</f>
        <v>0</v>
      </c>
      <c r="W48" s="189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2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89">
        <f>IFERROR(__xludf.DUMMYFUNCTION("""COMPUTED_VALUE"""),0.0)</f>
        <v>0</v>
      </c>
      <c r="W49" s="189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2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89">
        <f>IFERROR(__xludf.DUMMYFUNCTION("""COMPUTED_VALUE"""),0.0)</f>
        <v>0</v>
      </c>
      <c r="W50" s="189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2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89">
        <f>IFERROR(__xludf.DUMMYFUNCTION("""COMPUTED_VALUE"""),0.0)</f>
        <v>0</v>
      </c>
      <c r="W51" s="189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2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89">
        <f>IFERROR(__xludf.DUMMYFUNCTION("""COMPUTED_VALUE"""),0.0)</f>
        <v>0</v>
      </c>
      <c r="W52" s="189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2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89">
        <f>IFERROR(__xludf.DUMMYFUNCTION("""COMPUTED_VALUE"""),0.0)</f>
        <v>0</v>
      </c>
      <c r="W53" s="189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2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89">
        <f>IFERROR(__xludf.DUMMYFUNCTION("""COMPUTED_VALUE"""),0.0)</f>
        <v>0</v>
      </c>
      <c r="W54" s="189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2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89">
        <f>IFERROR(__xludf.DUMMYFUNCTION("""COMPUTED_VALUE"""),0.0)</f>
        <v>0</v>
      </c>
      <c r="W55" s="189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2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89">
        <f>IFERROR(__xludf.DUMMYFUNCTION("""COMPUTED_VALUE"""),250.20600000000002)</f>
        <v>250.206</v>
      </c>
      <c r="W56" s="189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2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89">
        <f>IFERROR(__xludf.DUMMYFUNCTION("""COMPUTED_VALUE"""),0.0)</f>
        <v>0</v>
      </c>
      <c r="W57" s="189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2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89">
        <f>IFERROR(__xludf.DUMMYFUNCTION("""COMPUTED_VALUE"""),0.0)</f>
        <v>0</v>
      </c>
      <c r="W58" s="189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2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89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2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89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1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89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1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89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1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89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1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89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1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89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1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89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1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89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1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89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1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89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1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89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1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89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1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89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1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89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1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89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1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89">
        <f>IFERROR(__xludf.DUMMYFUNCTION("""COMPUTED_VALUE"""),150.0)</f>
        <v>150</v>
      </c>
      <c r="W75" s="189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1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89">
        <f>IFERROR(__xludf.DUMMYFUNCTION("""COMPUTED_VALUE"""),267.6)</f>
        <v>267.6</v>
      </c>
      <c r="W76" s="189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1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89">
        <f>IFERROR(__xludf.DUMMYFUNCTION("""COMPUTED_VALUE"""),231.474)</f>
        <v>231.474</v>
      </c>
      <c r="W77" s="189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1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89">
        <f>IFERROR(__xludf.DUMMYFUNCTION("""COMPUTED_VALUE"""),267.6)</f>
        <v>267.6</v>
      </c>
      <c r="W78" s="189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1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89">
        <f>IFERROR(__xludf.DUMMYFUNCTION("""COMPUTED_VALUE"""),231.474)</f>
        <v>231.474</v>
      </c>
      <c r="W79" s="189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1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89">
        <f>IFERROR(__xludf.DUMMYFUNCTION("""COMPUTED_VALUE"""),250.20600000000002)</f>
        <v>250.206</v>
      </c>
      <c r="W80" s="189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1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89">
        <f>IFERROR(__xludf.DUMMYFUNCTION("""COMPUTED_VALUE"""),231.474)</f>
        <v>231.474</v>
      </c>
      <c r="W81" s="189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1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89">
        <f>IFERROR(__xludf.DUMMYFUNCTION("""COMPUTED_VALUE"""),231.474)</f>
        <v>231.474</v>
      </c>
      <c r="W82" s="189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1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 t="str">
        <f>IFERROR(__xludf.DUMMYFUNCTION("""COMPUTED_VALUE"""),"Malešice")</f>
        <v>Malešice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89">
        <f>IFERROR(__xludf.DUMMYFUNCTION("""COMPUTED_VALUE"""),231.474)</f>
        <v>231.474</v>
      </c>
      <c r="W83" s="189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1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89">
        <f>IFERROR(__xludf.DUMMYFUNCTION("""COMPUTED_VALUE"""),250.20600000000002)</f>
        <v>250.206</v>
      </c>
      <c r="W84" s="189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1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89">
        <f>IFERROR(__xludf.DUMMYFUNCTION("""COMPUTED_VALUE"""),150.0)</f>
        <v>150</v>
      </c>
      <c r="W85" s="189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1" t="str">
        <f>IF(OR(E86=Report!$B$1, F86=Report!$B$1, G86=Report!$B$1, H86=Report!$B$1), D86, "")</f>
        <v/>
      </c>
      <c r="C86" s="2" t="b">
        <f>IFERROR(__xludf.DUMMYFUNCTION("""COMPUTED_VALUE"""),FALSE)</f>
        <v>0</v>
      </c>
      <c r="D86" s="2" t="str">
        <f>IFERROR(__xludf.DUMMYFUNCTION("""COMPUTED_VALUE"""),"Hyský Aleš")</f>
        <v>Hyský Aleš</v>
      </c>
      <c r="E86" s="2" t="str">
        <f>IFERROR(__xludf.DUMMYFUNCTION("""COMPUTED_VALUE"""),"Chodov")</f>
        <v>Chodov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89">
        <f>IFERROR(__xludf.DUMMYFUNCTION("""COMPUTED_VALUE"""),231.474)</f>
        <v>231.474</v>
      </c>
      <c r="W86" s="189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1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IFERROR(__xludf.DUMMYFUNCTION("""COMPUTED_VALUE"""),"Lažek Jaroslav")</f>
        <v>Lažek Jaroslav</v>
      </c>
      <c r="E87" s="2" t="str">
        <f>IFERROR(__xludf.DUMMYFUNCTION("""COMPUTED_VALUE"""),"Libuš")</f>
        <v>Libuš</v>
      </c>
      <c r="F87" s="2" t="str">
        <f>IFERROR(__xludf.DUMMYFUNCTION("""COMPUTED_VALUE"""),"Chodov")</f>
        <v>Chodov</v>
      </c>
      <c r="G87" s="2" t="str">
        <f>IFERROR(__xludf.DUMMYFUNCTION("""COMPUTED_VALUE"""),"Malešice")</f>
        <v>Malešice</v>
      </c>
      <c r="H87" s="2" t="str">
        <f>IFERROR(__xludf.DUMMYFUNCTION("""COMPUTED_VALUE"""),"Výroba")</f>
        <v>Výroba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89">
        <f>IFERROR(__xludf.DUMMYFUNCTION("""COMPUTED_VALUE"""),170.0)</f>
        <v>170</v>
      </c>
      <c r="W87" s="189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1" t="str">
        <f>IF(OR(E88=Report!$B$1, F88=Report!$B$1, G88=Report!$B$1, H88=Report!$B$1), D88, "")</f>
        <v>Kormash Liubov</v>
      </c>
      <c r="C88" s="2" t="b">
        <f>IFERROR(__xludf.DUMMYFUNCTION("""COMPUTED_VALUE"""),FALSE)</f>
        <v>0</v>
      </c>
      <c r="D88" s="2" t="str">
        <f>IFERROR(__xludf.DUMMYFUNCTION("""COMPUTED_VALUE"""),"Kormash Liubov")</f>
        <v>Kormash Liubov</v>
      </c>
      <c r="E88" s="2" t="str">
        <f>IFERROR(__xludf.DUMMYFUNCTION("""COMPUTED_VALUE"""),"Zličín")</f>
        <v>Zličín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89">
        <f>IFERROR(__xludf.DUMMYFUNCTION("""COMPUTED_VALUE"""),160.0)</f>
        <v>160</v>
      </c>
      <c r="W88" s="189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1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IFERROR(__xludf.DUMMYFUNCTION("""COMPUTED_VALUE"""),"Chlubna Tomáš")</f>
        <v>Chlubna Tomáš</v>
      </c>
      <c r="E89" s="2" t="str">
        <f>IFERROR(__xludf.DUMMYFUNCTION("""COMPUTED_VALUE"""),"Chodov")</f>
        <v>Chodov</v>
      </c>
      <c r="F89" s="2" t="str">
        <f>IFERROR(__xludf.DUMMYFUNCTION("""COMPUTED_VALUE"""),"Libuš")</f>
        <v>Libuš</v>
      </c>
      <c r="G89" s="2" t="str">
        <f>IFERROR(__xludf.DUMMYFUNCTION("""COMPUTED_VALUE"""),"Výroba")</f>
        <v>Výroba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89">
        <f>IFERROR(__xludf.DUMMYFUNCTION("""COMPUTED_VALUE"""),250.20600000000002)</f>
        <v>250.206</v>
      </c>
      <c r="W89" s="189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1" t="str">
        <f>IF(OR(E90=Report!$B$1, F90=Report!$B$1, G90=Report!$B$1, H90=Report!$B$1), D90, "")</f>
        <v>Vychivskyi Volodymyr</v>
      </c>
      <c r="C90" s="2" t="b">
        <f>IFERROR(__xludf.DUMMYFUNCTION("""COMPUTED_VALUE"""),FALSE)</f>
        <v>0</v>
      </c>
      <c r="D90" s="2" t="str">
        <f>IFERROR(__xludf.DUMMYFUNCTION("""COMPUTED_VALUE"""),"Vychivskyi Volodymyr")</f>
        <v>Vychivskyi Volodymyr</v>
      </c>
      <c r="E90" s="2" t="str">
        <f>IFERROR(__xludf.DUMMYFUNCTION("""COMPUTED_VALUE"""),"Malešice")</f>
        <v>Malešice</v>
      </c>
      <c r="F90" s="2" t="str">
        <f>IFERROR(__xludf.DUMMYFUNCTION("""COMPUTED_VALUE"""),"Prosek")</f>
        <v>Prosek</v>
      </c>
      <c r="G90" s="2" t="str">
        <f>IFERROR(__xludf.DUMMYFUNCTION("""COMPUTED_VALUE"""),"Zličín")</f>
        <v>Zličín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89">
        <f>IFERROR(__xludf.DUMMYFUNCTION("""COMPUTED_VALUE"""),250.20600000000002)</f>
        <v>250.206</v>
      </c>
      <c r="W90" s="189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1" t="str">
        <f>IF(OR(E91=Report!$B$1, F91=Report!$B$1, G91=Report!$B$1, H91=Report!$B$1), D91, "")</f>
        <v>Hřebík Martin</v>
      </c>
      <c r="C91" s="2" t="b">
        <f>IFERROR(__xludf.DUMMYFUNCTION("""COMPUTED_VALUE"""),FALSE)</f>
        <v>0</v>
      </c>
      <c r="D91" s="2" t="str">
        <f>IFERROR(__xludf.DUMMYFUNCTION("""COMPUTED_VALUE"""),"Hřebík Martin")</f>
        <v>Hřebík Martin</v>
      </c>
      <c r="E91" s="2" t="str">
        <f>IFERROR(__xludf.DUMMYFUNCTION("""COMPUTED_VALUE"""),"Výroba")</f>
        <v>Výroba</v>
      </c>
      <c r="F91" s="2" t="str">
        <f>IFERROR(__xludf.DUMMYFUNCTION("""COMPUTED_VALUE"""),"Chodov")</f>
        <v>Chodov</v>
      </c>
      <c r="G91" s="2" t="str">
        <f>IFERROR(__xludf.DUMMYFUNCTION("""COMPUTED_VALUE"""),"Prosek")</f>
        <v>Prosek</v>
      </c>
      <c r="H91" s="2" t="str">
        <f>IFERROR(__xludf.DUMMYFUNCTION("""COMPUTED_VALUE"""),"Libuš")</f>
        <v>Libuš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89">
        <f>IFERROR(__xludf.DUMMYFUNCTION("""COMPUTED_VALUE"""),386.68199999999996)</f>
        <v>386.682</v>
      </c>
      <c r="W91" s="189">
        <f>IFERROR(__xludf.DUMMYFUNCTION("""COMPUTED_VALUE"""),2494.722580645161)</f>
        <v>2494.722581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1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 t="str">
        <f>IFERROR(__xludf.DUMMYFUNCTION("""COMPUTED_VALUE"""),"Eszenyiová Patrícia")</f>
        <v>Eszenyiová Patrícia</v>
      </c>
      <c r="E92" s="2" t="str">
        <f>IFERROR(__xludf.DUMMYFUNCTION("""COMPUTED_VALUE"""),"Libuš")</f>
        <v>Libuš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89">
        <f>IFERROR(__xludf.DUMMYFUNCTION("""COMPUTED_VALUE"""),250.20600000000002)</f>
        <v>250.206</v>
      </c>
      <c r="W92" s="189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1" t="str">
        <f>IF(OR(E93=Report!$B$1, F93=Report!$B$1, G93=Report!$B$1, H93=Report!$B$1), D93, "")</f>
        <v>Reischl Jan</v>
      </c>
      <c r="C93" s="2" t="b">
        <f>IFERROR(__xludf.DUMMYFUNCTION("""COMPUTED_VALUE"""),FALSE)</f>
        <v>0</v>
      </c>
      <c r="D93" s="2" t="str">
        <f>IFERROR(__xludf.DUMMYFUNCTION("""COMPUTED_VALUE"""),"Reischl Jan")</f>
        <v>Reischl Jan</v>
      </c>
      <c r="E93" s="2" t="str">
        <f>IFERROR(__xludf.DUMMYFUNCTION("""COMPUTED_VALUE"""),"Malešice")</f>
        <v>Malešice</v>
      </c>
      <c r="F93" s="2" t="str">
        <f>IFERROR(__xludf.DUMMYFUNCTION("""COMPUTED_VALUE"""),"Chodov")</f>
        <v>Chodov</v>
      </c>
      <c r="G93" s="2" t="str">
        <f>IFERROR(__xludf.DUMMYFUNCTION("""COMPUTED_VALUE"""),"Libuš")</f>
        <v>Libuš</v>
      </c>
      <c r="H93" s="2" t="str">
        <f>IFERROR(__xludf.DUMMYFUNCTION("""COMPUTED_VALUE"""),"Prosek")</f>
        <v>Prosek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89">
        <f>IFERROR(__xludf.DUMMYFUNCTION("""COMPUTED_VALUE"""),214.08)</f>
        <v>214.08</v>
      </c>
      <c r="W93" s="189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1" t="str">
        <f>IF(OR(E94=Report!$B$1, F94=Report!$B$1, G94=Report!$B$1, H94=Report!$B$1), D94, "")</f>
        <v/>
      </c>
      <c r="C94" s="2" t="b">
        <f>IFERROR(__xludf.DUMMYFUNCTION("""COMPUTED_VALUE"""),FALSE)</f>
        <v>0</v>
      </c>
      <c r="D94" s="2" t="str">
        <f>IFERROR(__xludf.DUMMYFUNCTION("""COMPUTED_VALUE"""),"Mikešová Adéla")</f>
        <v>Mikešová Adéla</v>
      </c>
      <c r="E94" s="2" t="str">
        <f>IFERROR(__xludf.DUMMYFUNCTION("""COMPUTED_VALUE"""),"Bolevec")</f>
        <v>Bolevec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89">
        <f>IFERROR(__xludf.DUMMYFUNCTION("""COMPUTED_VALUE"""),214.08)</f>
        <v>214.08</v>
      </c>
      <c r="W94" s="189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1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 t="str">
        <f>IFERROR(__xludf.DUMMYFUNCTION("""COMPUTED_VALUE"""),"Chyský David")</f>
        <v>Chyský David</v>
      </c>
      <c r="E95" s="2" t="str">
        <f>IFERROR(__xludf.DUMMYFUNCTION("""COMPUTED_VALUE"""),"Chodov")</f>
        <v>Chodov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89">
        <f>IFERROR(__xludf.DUMMYFUNCTION("""COMPUTED_VALUE"""),231.474)</f>
        <v>231.474</v>
      </c>
      <c r="W95" s="189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1" t="str">
        <f>IF(OR(E96=Report!$B$1, F96=Report!$B$1, G96=Report!$B$1, H96=Report!$B$1), D96, "")</f>
        <v/>
      </c>
      <c r="C96" s="2" t="b">
        <f>IFERROR(__xludf.DUMMYFUNCTION("""COMPUTED_VALUE"""),FALSE)</f>
        <v>0</v>
      </c>
      <c r="D96" s="2" t="str">
        <f>IFERROR(__xludf.DUMMYFUNCTION("""COMPUTED_VALUE"""),"Kalina Filip")</f>
        <v>Kalina Filip</v>
      </c>
      <c r="E96" s="2" t="str">
        <f>IFERROR(__xludf.DUMMYFUNCTION("""COMPUTED_VALUE"""),"Malešice")</f>
        <v>Malešice</v>
      </c>
      <c r="F96" s="2" t="str">
        <f>IFERROR(__xludf.DUMMYFUNCTION("""COMPUTED_VALUE"""),"Libuš")</f>
        <v>Libuš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89">
        <f>IFERROR(__xludf.DUMMYFUNCTION("""COMPUTED_VALUE"""),231.474)</f>
        <v>231.474</v>
      </c>
      <c r="W96" s="189">
        <f>IFERROR(__xludf.DUMMYFUNCTION("""COMPUTED_VALUE"""),0.0)</f>
        <v>0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1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IFERROR(__xludf.DUMMYFUNCTION("""COMPUTED_VALUE"""),"Kaločai Rudolf")</f>
        <v>Kaločai Rudolf</v>
      </c>
      <c r="E97" s="2" t="str">
        <f>IFERROR(__xludf.DUMMYFUNCTION("""COMPUTED_VALUE"""),"Bolevec")</f>
        <v>Bolevec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89">
        <f>IFERROR(__xludf.DUMMYFUNCTION("""COMPUTED_VALUE"""),140.0)</f>
        <v>140</v>
      </c>
      <c r="W97" s="189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1" t="str">
        <f>IF(OR(E98=Report!$B$1, F98=Report!$B$1, G98=Report!$B$1, H98=Report!$B$1), D98, "")</f>
        <v/>
      </c>
      <c r="C98" s="2" t="b">
        <f>IFERROR(__xludf.DUMMYFUNCTION("""COMPUTED_VALUE"""),FALSE)</f>
        <v>0</v>
      </c>
      <c r="D98" s="2" t="str">
        <f>IFERROR(__xludf.DUMMYFUNCTION("""COMPUTED_VALUE"""),"Dušek Sam")</f>
        <v>Dušek Sam</v>
      </c>
      <c r="E98" s="2" t="str">
        <f>IFERROR(__xludf.DUMMYFUNCTION("""COMPUTED_VALUE"""),"Libuš")</f>
        <v>Libuš</v>
      </c>
      <c r="F98" s="2" t="str">
        <f>IFERROR(__xludf.DUMMYFUNCTION("""COMPUTED_VALUE"""),"Malešice")</f>
        <v>Malešice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89">
        <f>IFERROR(__xludf.DUMMYFUNCTION("""COMPUTED_VALUE"""),250.20600000000002)</f>
        <v>250.206</v>
      </c>
      <c r="W98" s="189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1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IFERROR(__xludf.DUMMYFUNCTION("""COMPUTED_VALUE"""),"Banga Adam")</f>
        <v>Banga Adam</v>
      </c>
      <c r="E99" s="2" t="str">
        <f>IFERROR(__xludf.DUMMYFUNCTION("""COMPUTED_VALUE"""),"Zličín")</f>
        <v>Zličín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89">
        <f>IFERROR(__xludf.DUMMYFUNCTION("""COMPUTED_VALUE"""),231.474)</f>
        <v>231.474</v>
      </c>
      <c r="W99" s="189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1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IFERROR(__xludf.DUMMYFUNCTION("""COMPUTED_VALUE"""),"Vopatová Anna")</f>
        <v>Vopatová Anna</v>
      </c>
      <c r="E100" s="2" t="str">
        <f>IFERROR(__xludf.DUMMYFUNCTION("""COMPUTED_VALUE"""),"Bolevec")</f>
        <v>Bolevec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89">
        <f>IFERROR(__xludf.DUMMYFUNCTION("""COMPUTED_VALUE"""),214.08)</f>
        <v>214.08</v>
      </c>
      <c r="W100" s="189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1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IFERROR(__xludf.DUMMYFUNCTION("""COMPUTED_VALUE"""),"Vopatová Šárka")</f>
        <v>Vopatová Šárka</v>
      </c>
      <c r="E101" s="2" t="str">
        <f>IFERROR(__xludf.DUMMYFUNCTION("""COMPUTED_VALUE"""),"Bolevec")</f>
        <v>Bolevec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89">
        <f>IFERROR(__xludf.DUMMYFUNCTION("""COMPUTED_VALUE"""),214.08)</f>
        <v>214.08</v>
      </c>
      <c r="W101" s="189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1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 t="str">
        <f>IFERROR(__xludf.DUMMYFUNCTION("""COMPUTED_VALUE"""),"Richterová Monika")</f>
        <v>Richterová Monika</v>
      </c>
      <c r="E102" s="2" t="str">
        <f>IFERROR(__xludf.DUMMYFUNCTION("""COMPUTED_VALUE"""),"Malešice")</f>
        <v>Malešice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89">
        <f>IFERROR(__xludf.DUMMYFUNCTION("""COMPUTED_VALUE"""),214.08)</f>
        <v>214.08</v>
      </c>
      <c r="W102" s="189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1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 t="str">
        <f>IFERROR(__xludf.DUMMYFUNCTION("""COMPUTED_VALUE"""),"Serin David")</f>
        <v>Serin David</v>
      </c>
      <c r="E103" s="2" t="str">
        <f>IFERROR(__xludf.DUMMYFUNCTION("""COMPUTED_VALUE"""),"Libuš")</f>
        <v>Libuš</v>
      </c>
      <c r="F103" s="2" t="str">
        <f>IFERROR(__xludf.DUMMYFUNCTION("""COMPUTED_VALUE"""),"Malešice")</f>
        <v>Malešice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89">
        <f>IFERROR(__xludf.DUMMYFUNCTION("""COMPUTED_VALUE"""),250.20600000000002)</f>
        <v>250.206</v>
      </c>
      <c r="W103" s="189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1" t="str">
        <f>IF(OR(E104=Report!$B$1, F104=Report!$B$1, G104=Report!$B$1, H104=Report!$B$1), D104, "")</f>
        <v/>
      </c>
      <c r="C104" s="2" t="b">
        <f>IFERROR(__xludf.DUMMYFUNCTION("""COMPUTED_VALUE"""),FALSE)</f>
        <v>0</v>
      </c>
      <c r="D104" s="2" t="str">
        <f>IFERROR(__xludf.DUMMYFUNCTION("""COMPUTED_VALUE"""),"Fabera Tomáš")</f>
        <v>Fabera Tomáš</v>
      </c>
      <c r="E104" s="2" t="str">
        <f>IFERROR(__xludf.DUMMYFUNCTION("""COMPUTED_VALUE"""),"Chodov")</f>
        <v>Chodov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89">
        <f>IFERROR(__xludf.DUMMYFUNCTION("""COMPUTED_VALUE"""),231.474)</f>
        <v>231.474</v>
      </c>
      <c r="W104" s="189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1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IFERROR(__xludf.DUMMYFUNCTION("""COMPUTED_VALUE"""),"Hendrych Rostislav")</f>
        <v>Hendrych Rostislav</v>
      </c>
      <c r="E105" s="2" t="str">
        <f>IFERROR(__xludf.DUMMYFUNCTION("""COMPUTED_VALUE"""),"Malešice")</f>
        <v>Malešice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89">
        <f>IFERROR(__xludf.DUMMYFUNCTION("""COMPUTED_VALUE"""),250.20600000000002)</f>
        <v>250.206</v>
      </c>
      <c r="W105" s="189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1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 t="str">
        <f>IFERROR(__xludf.DUMMYFUNCTION("""COMPUTED_VALUE"""),"Světlík František")</f>
        <v>Světlík František</v>
      </c>
      <c r="E106" s="2" t="str">
        <f>IFERROR(__xludf.DUMMYFUNCTION("""COMPUTED_VALUE"""),"Bolevec")</f>
        <v>Bolevec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89">
        <f>IFERROR(__xludf.DUMMYFUNCTION("""COMPUTED_VALUE"""),214.08)</f>
        <v>214.08</v>
      </c>
      <c r="W106" s="189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1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IFERROR(__xludf.DUMMYFUNCTION("""COMPUTED_VALUE"""),"Ženíšek Lukáš")</f>
        <v>Ženíšek Lukáš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89">
        <f>IFERROR(__xludf.DUMMYFUNCTION("""COMPUTED_VALUE"""),214.08)</f>
        <v>214.08</v>
      </c>
      <c r="W107" s="189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1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IFERROR(__xludf.DUMMYFUNCTION("""COMPUTED_VALUE"""),"Roth Stanislav st.")</f>
        <v>Roth Stanislav st.</v>
      </c>
      <c r="E108" s="2" t="str">
        <f>IFERROR(__xludf.DUMMYFUNCTION("""COMPUTED_VALUE"""),"Bolevec")</f>
        <v>Bolevec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89">
        <f>IFERROR(__xludf.DUMMYFUNCTION("""COMPUTED_VALUE"""),49506.0)</f>
        <v>49506</v>
      </c>
      <c r="W108" s="189">
        <f>IFERROR(__xludf.DUMMYFUNCTION("""COMPUTED_VALUE"""),1596.967741935484)</f>
        <v>1596.967742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1" t="str">
        <f>IF(OR(E109=Report!$B$1, F109=Report!$B$1, G109=Report!$B$1, H109=Report!$B$1), D109, "")</f>
        <v/>
      </c>
      <c r="C109" s="2" t="b">
        <f>IFERROR(__xludf.DUMMYFUNCTION("""COMPUTED_VALUE"""),FALSE)</f>
        <v>0</v>
      </c>
      <c r="D109" s="2" t="str">
        <f>IFERROR(__xludf.DUMMYFUNCTION("""COMPUTED_VALUE"""),"Vaníková Anna")</f>
        <v>Vaníková Anna</v>
      </c>
      <c r="E109" s="2" t="str">
        <f>IFERROR(__xludf.DUMMYFUNCTION("""COMPUTED_VALUE"""),"Zličín")</f>
        <v>Zličín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89">
        <f>IFERROR(__xludf.DUMMYFUNCTION("""COMPUTED_VALUE"""),250.20600000000002)</f>
        <v>250.206</v>
      </c>
      <c r="W109" s="189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1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IFERROR(__xludf.DUMMYFUNCTION("""COMPUTED_VALUE"""),"Břicháč Pavel")</f>
        <v>Břicháč Pavel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89">
        <f>IFERROR(__xludf.DUMMYFUNCTION("""COMPUTED_VALUE"""),231.474)</f>
        <v>231.474</v>
      </c>
      <c r="W110" s="189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1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IFERROR(__xludf.DUMMYFUNCTION("""COMPUTED_VALUE"""),"Čerešňák Michal")</f>
        <v>Čerešňák Michal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89">
        <f>IFERROR(__xludf.DUMMYFUNCTION("""COMPUTED_VALUE"""),170.0)</f>
        <v>170</v>
      </c>
      <c r="W111" s="189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1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IFERROR(__xludf.DUMMYFUNCTION("""COMPUTED_VALUE"""),"Weindling Josef")</f>
        <v>Weindling Josef</v>
      </c>
      <c r="E112" s="2" t="str">
        <f>IFERROR(__xludf.DUMMYFUNCTION("""COMPUTED_VALUE"""),"Libuš")</f>
        <v>Libuš</v>
      </c>
      <c r="F112" s="2" t="str">
        <f>IFERROR(__xludf.DUMMYFUNCTION("""COMPUTED_VALUE"""),"Malešice")</f>
        <v>Malešice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89">
        <f>IFERROR(__xludf.DUMMYFUNCTION("""COMPUTED_VALUE"""),231.474)</f>
        <v>231.474</v>
      </c>
      <c r="W112" s="189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1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IFERROR(__xludf.DUMMYFUNCTION("""COMPUTED_VALUE"""),"Fux Vojtěch")</f>
        <v>Fux Vojtěch</v>
      </c>
      <c r="E113" s="2" t="str">
        <f>IFERROR(__xludf.DUMMYFUNCTION("""COMPUTED_VALUE"""),"Chodov")</f>
        <v>Chodov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89">
        <f>IFERROR(__xludf.DUMMYFUNCTION("""COMPUTED_VALUE"""),200.0)</f>
        <v>200</v>
      </c>
      <c r="W113" s="189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1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IFERROR(__xludf.DUMMYFUNCTION("""COMPUTED_VALUE"""),"Kumar Jatinder")</f>
        <v>Kumar Jatinder</v>
      </c>
      <c r="E114" s="2" t="str">
        <f>IFERROR(__xludf.DUMMYFUNCTION("""COMPUTED_VALUE"""),"Libuš")</f>
        <v>Libuš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89">
        <f>IFERROR(__xludf.DUMMYFUNCTION("""COMPUTED_VALUE"""),231.474)</f>
        <v>231.474</v>
      </c>
      <c r="W114" s="189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1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IFERROR(__xludf.DUMMYFUNCTION("""COMPUTED_VALUE"""),"Stehlíková Magdaléna")</f>
        <v>Stehlíková Magdaléna</v>
      </c>
      <c r="E115" s="2" t="str">
        <f>IFERROR(__xludf.DUMMYFUNCTION("""COMPUTED_VALUE"""),"Bolevec")</f>
        <v>Bolevec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89">
        <f>IFERROR(__xludf.DUMMYFUNCTION("""COMPUTED_VALUE"""),214.08)</f>
        <v>214.08</v>
      </c>
      <c r="W115" s="189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1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IFERROR(__xludf.DUMMYFUNCTION("""COMPUTED_VALUE"""),"Dragoun Alfréd")</f>
        <v>Dragoun Alfréd</v>
      </c>
      <c r="E116" s="2" t="str">
        <f>IFERROR(__xludf.DUMMYFUNCTION("""COMPUTED_VALUE"""),"Zličín")</f>
        <v>Zličín</v>
      </c>
      <c r="F116" s="2" t="str">
        <f>IFERROR(__xludf.DUMMYFUNCTION("""COMPUTED_VALUE"""),"Malešice")</f>
        <v>Malešice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89">
        <f>IFERROR(__xludf.DUMMYFUNCTION("""COMPUTED_VALUE"""),250.20600000000002)</f>
        <v>250.206</v>
      </c>
      <c r="W116" s="189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1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89">
        <f>IFERROR(__xludf.DUMMYFUNCTION("""COMPUTED_VALUE"""),0.0)</f>
        <v>0</v>
      </c>
      <c r="W117" s="189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1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89">
        <f>IFERROR(__xludf.DUMMYFUNCTION("""COMPUTED_VALUE"""),0.0)</f>
        <v>0</v>
      </c>
      <c r="W118" s="189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1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89">
        <f>IFERROR(__xludf.DUMMYFUNCTION("""COMPUTED_VALUE"""),0.0)</f>
        <v>0</v>
      </c>
      <c r="W119" s="189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1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89">
        <f>IFERROR(__xludf.DUMMYFUNCTION("""COMPUTED_VALUE"""),0.0)</f>
        <v>0</v>
      </c>
      <c r="W120" s="189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1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89">
        <f>IFERROR(__xludf.DUMMYFUNCTION("""COMPUTED_VALUE"""),0.0)</f>
        <v>0</v>
      </c>
      <c r="W121" s="189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1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89">
        <f>IFERROR(__xludf.DUMMYFUNCTION("""COMPUTED_VALUE"""),0.0)</f>
        <v>0</v>
      </c>
      <c r="W122" s="189">
        <f>IFERROR(__xludf.DUMMYFUNCTION("""COMPUTED_VALUE"""),0.0)</f>
        <v>0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1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89">
        <f>IFERROR(__xludf.DUMMYFUNCTION("""COMPUTED_VALUE"""),0.0)</f>
        <v>0</v>
      </c>
      <c r="W123" s="189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1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89">
        <f>IFERROR(__xludf.DUMMYFUNCTION("""COMPUTED_VALUE"""),0.0)</f>
        <v>0</v>
      </c>
      <c r="W124" s="189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1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89">
        <f>IFERROR(__xludf.DUMMYFUNCTION("""COMPUTED_VALUE"""),0.0)</f>
        <v>0</v>
      </c>
      <c r="W125" s="189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1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89">
        <f>IFERROR(__xludf.DUMMYFUNCTION("""COMPUTED_VALUE"""),0.0)</f>
        <v>0</v>
      </c>
      <c r="W126" s="189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1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89">
        <f>IFERROR(__xludf.DUMMYFUNCTION("""COMPUTED_VALUE"""),0.0)</f>
        <v>0</v>
      </c>
      <c r="W127" s="189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1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89">
        <f>IFERROR(__xludf.DUMMYFUNCTION("""COMPUTED_VALUE"""),0.0)</f>
        <v>0</v>
      </c>
      <c r="W128" s="189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1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89">
        <f>IFERROR(__xludf.DUMMYFUNCTION("""COMPUTED_VALUE"""),0.0)</f>
        <v>0</v>
      </c>
      <c r="W129" s="189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1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 t="str">
        <f>IFERROR(__xludf.DUMMYFUNCTION("""COMPUTED_VALUE"""),"Chodov")</f>
        <v>Chodov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89">
        <f>IFERROR(__xludf.DUMMYFUNCTION("""COMPUTED_VALUE"""),231.474)</f>
        <v>231.474</v>
      </c>
      <c r="W130" s="189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1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189">
        <f>IFERROR(__xludf.DUMMYFUNCTION("""COMPUTED_VALUE"""),0.0)</f>
        <v>0</v>
      </c>
      <c r="W131" s="189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1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89">
        <f>IFERROR(__xludf.DUMMYFUNCTION("""COMPUTED_VALUE"""),0.0)</f>
        <v>0</v>
      </c>
      <c r="W132" s="189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1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89">
        <f>IFERROR(__xludf.DUMMYFUNCTION("""COMPUTED_VALUE"""),0.0)</f>
        <v>0</v>
      </c>
      <c r="W133" s="189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1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89">
        <f>IFERROR(__xludf.DUMMYFUNCTION("""COMPUTED_VALUE"""),0.0)</f>
        <v>0</v>
      </c>
      <c r="W134" s="189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1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89">
        <f>IFERROR(__xludf.DUMMYFUNCTION("""COMPUTED_VALUE"""),0.0)</f>
        <v>0</v>
      </c>
      <c r="W135" s="189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1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89">
        <f>IFERROR(__xludf.DUMMYFUNCTION("""COMPUTED_VALUE"""),0.0)</f>
        <v>0</v>
      </c>
      <c r="W136" s="189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1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89">
        <f>IFERROR(__xludf.DUMMYFUNCTION("""COMPUTED_VALUE"""),0.0)</f>
        <v>0</v>
      </c>
      <c r="W137" s="189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1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89">
        <f>IFERROR(__xludf.DUMMYFUNCTION("""COMPUTED_VALUE"""),0.0)</f>
        <v>0</v>
      </c>
      <c r="W138" s="189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1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89">
        <f>IFERROR(__xludf.DUMMYFUNCTION("""COMPUTED_VALUE"""),0.0)</f>
        <v>0</v>
      </c>
      <c r="W139" s="189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1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89">
        <f>IFERROR(__xludf.DUMMYFUNCTION("""COMPUTED_VALUE"""),0.0)</f>
        <v>0</v>
      </c>
      <c r="W140" s="189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1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89">
        <f>IFERROR(__xludf.DUMMYFUNCTION("""COMPUTED_VALUE"""),0.0)</f>
        <v>0</v>
      </c>
      <c r="W141" s="189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1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89">
        <f>IFERROR(__xludf.DUMMYFUNCTION("""COMPUTED_VALUE"""),0.0)</f>
        <v>0</v>
      </c>
      <c r="W142" s="189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1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89">
        <f>IFERROR(__xludf.DUMMYFUNCTION("""COMPUTED_VALUE"""),0.0)</f>
        <v>0</v>
      </c>
      <c r="W143" s="189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1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89">
        <f>IFERROR(__xludf.DUMMYFUNCTION("""COMPUTED_VALUE"""),0.0)</f>
        <v>0</v>
      </c>
      <c r="W144" s="189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1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89">
        <f>IFERROR(__xludf.DUMMYFUNCTION("""COMPUTED_VALUE"""),0.0)</f>
        <v>0</v>
      </c>
      <c r="W145" s="189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1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89">
        <f>IFERROR(__xludf.DUMMYFUNCTION("""COMPUTED_VALUE"""),0.0)</f>
        <v>0</v>
      </c>
      <c r="W146" s="189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1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89">
        <f>IFERROR(__xludf.DUMMYFUNCTION("""COMPUTED_VALUE"""),0.0)</f>
        <v>0</v>
      </c>
      <c r="W147" s="189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1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89">
        <f>IFERROR(__xludf.DUMMYFUNCTION("""COMPUTED_VALUE"""),0.0)</f>
        <v>0</v>
      </c>
      <c r="W148" s="189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1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89">
        <f>IFERROR(__xludf.DUMMYFUNCTION("""COMPUTED_VALUE"""),0.0)</f>
        <v>0</v>
      </c>
      <c r="W149" s="189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1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89">
        <f>IFERROR(__xludf.DUMMYFUNCTION("""COMPUTED_VALUE"""),0.0)</f>
        <v>0</v>
      </c>
      <c r="W150" s="189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1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89">
        <f>IFERROR(__xludf.DUMMYFUNCTION("""COMPUTED_VALUE"""),100.0)</f>
        <v>100</v>
      </c>
      <c r="W151" s="189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1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89">
        <f>IFERROR(__xludf.DUMMYFUNCTION("""COMPUTED_VALUE"""),100.0)</f>
        <v>100</v>
      </c>
      <c r="W152" s="189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1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89">
        <f>IFERROR(__xludf.DUMMYFUNCTION("""COMPUTED_VALUE"""),100.0)</f>
        <v>100</v>
      </c>
      <c r="W153" s="189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1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89">
        <f>IFERROR(__xludf.DUMMYFUNCTION("""COMPUTED_VALUE"""),100.0)</f>
        <v>100</v>
      </c>
      <c r="W154" s="189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1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89">
        <f>IFERROR(__xludf.DUMMYFUNCTION("""COMPUTED_VALUE"""),100.0)</f>
        <v>100</v>
      </c>
      <c r="W155" s="189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1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89">
        <f>IFERROR(__xludf.DUMMYFUNCTION("""COMPUTED_VALUE"""),100.0)</f>
        <v>100</v>
      </c>
      <c r="W156" s="189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1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89">
        <f>IFERROR(__xludf.DUMMYFUNCTION("""COMPUTED_VALUE"""),100.0)</f>
        <v>100</v>
      </c>
      <c r="W157" s="189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1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89">
        <f>IFERROR(__xludf.DUMMYFUNCTION("""COMPUTED_VALUE"""),100.0)</f>
        <v>100</v>
      </c>
      <c r="W158" s="189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1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89">
        <f>IFERROR(__xludf.DUMMYFUNCTION("""COMPUTED_VALUE"""),100.0)</f>
        <v>100</v>
      </c>
      <c r="W159" s="189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1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89">
        <f>IFERROR(__xludf.DUMMYFUNCTION("""COMPUTED_VALUE"""),100.0)</f>
        <v>100</v>
      </c>
      <c r="W160" s="189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1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89">
        <f>IFERROR(__xludf.DUMMYFUNCTION("""COMPUTED_VALUE"""),100.0)</f>
        <v>100</v>
      </c>
      <c r="W161" s="189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1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89">
        <f>IFERROR(__xludf.DUMMYFUNCTION("""COMPUTED_VALUE"""),100.0)</f>
        <v>100</v>
      </c>
      <c r="W162" s="189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1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89">
        <f>IFERROR(__xludf.DUMMYFUNCTION("""COMPUTED_VALUE"""),100.0)</f>
        <v>100</v>
      </c>
      <c r="W163" s="189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1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89">
        <f>IFERROR(__xludf.DUMMYFUNCTION("""COMPUTED_VALUE"""),100.0)</f>
        <v>100</v>
      </c>
      <c r="W164" s="189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1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89">
        <f>IFERROR(__xludf.DUMMYFUNCTION("""COMPUTED_VALUE"""),100.0)</f>
        <v>100</v>
      </c>
      <c r="W165" s="189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1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89">
        <f>IFERROR(__xludf.DUMMYFUNCTION("""COMPUTED_VALUE"""),100.0)</f>
        <v>100</v>
      </c>
      <c r="W166" s="189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1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89">
        <f>IFERROR(__xludf.DUMMYFUNCTION("""COMPUTED_VALUE"""),100.0)</f>
        <v>100</v>
      </c>
      <c r="W167" s="189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1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89">
        <f>IFERROR(__xludf.DUMMYFUNCTION("""COMPUTED_VALUE"""),100.0)</f>
        <v>100</v>
      </c>
      <c r="W168" s="189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1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89">
        <f>IFERROR(__xludf.DUMMYFUNCTION("""COMPUTED_VALUE"""),100.0)</f>
        <v>100</v>
      </c>
      <c r="W169" s="189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1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89">
        <f>IFERROR(__xludf.DUMMYFUNCTION("""COMPUTED_VALUE"""),100.0)</f>
        <v>100</v>
      </c>
      <c r="W170" s="189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1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89">
        <f>IFERROR(__xludf.DUMMYFUNCTION("""COMPUTED_VALUE"""),100.0)</f>
        <v>100</v>
      </c>
      <c r="W171" s="189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1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89">
        <f>IFERROR(__xludf.DUMMYFUNCTION("""COMPUTED_VALUE"""),100.0)</f>
        <v>100</v>
      </c>
      <c r="W172" s="189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1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89">
        <f>IFERROR(__xludf.DUMMYFUNCTION("""COMPUTED_VALUE"""),100.0)</f>
        <v>100</v>
      </c>
      <c r="W173" s="189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1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89">
        <f>IFERROR(__xludf.DUMMYFUNCTION("""COMPUTED_VALUE"""),100.0)</f>
        <v>100</v>
      </c>
      <c r="W174" s="189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1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89">
        <f>IFERROR(__xludf.DUMMYFUNCTION("""COMPUTED_VALUE"""),100.0)</f>
        <v>100</v>
      </c>
      <c r="W175" s="189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1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89">
        <f>IFERROR(__xludf.DUMMYFUNCTION("""COMPUTED_VALUE"""),100.0)</f>
        <v>100</v>
      </c>
      <c r="W176" s="189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1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89">
        <f>IFERROR(__xludf.DUMMYFUNCTION("""COMPUTED_VALUE"""),100.0)</f>
        <v>100</v>
      </c>
      <c r="W177" s="189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1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89">
        <f>IFERROR(__xludf.DUMMYFUNCTION("""COMPUTED_VALUE"""),100.0)</f>
        <v>100</v>
      </c>
      <c r="W178" s="189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1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89">
        <f>IFERROR(__xludf.DUMMYFUNCTION("""COMPUTED_VALUE"""),100.0)</f>
        <v>100</v>
      </c>
      <c r="W179" s="189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89">
        <f>IFERROR(__xludf.DUMMYFUNCTION("""COMPUTED_VALUE"""),100.0)</f>
        <v>100</v>
      </c>
      <c r="W180" s="189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89">
        <f>IFERROR(__xludf.DUMMYFUNCTION("""COMPUTED_VALUE"""),100.0)</f>
        <v>100</v>
      </c>
      <c r="W181" s="189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89">
        <f>IFERROR(__xludf.DUMMYFUNCTION("""COMPUTED_VALUE"""),100.0)</f>
        <v>100</v>
      </c>
      <c r="W182" s="189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89">
        <f>IFERROR(__xludf.DUMMYFUNCTION("""COMPUTED_VALUE"""),100.0)</f>
        <v>100</v>
      </c>
      <c r="W183" s="189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89">
        <f>IFERROR(__xludf.DUMMYFUNCTION("""COMPUTED_VALUE"""),100.0)</f>
        <v>100</v>
      </c>
      <c r="W184" s="189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89">
        <f>IFERROR(__xludf.DUMMYFUNCTION("""COMPUTED_VALUE"""),100.0)</f>
        <v>100</v>
      </c>
      <c r="W185" s="189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89">
        <f>IFERROR(__xludf.DUMMYFUNCTION("""COMPUTED_VALUE"""),100.0)</f>
        <v>100</v>
      </c>
      <c r="W186" s="189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89">
        <f>IFERROR(__xludf.DUMMYFUNCTION("""COMPUTED_VALUE"""),100.0)</f>
        <v>100</v>
      </c>
      <c r="W187" s="189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89">
        <f>IFERROR(__xludf.DUMMYFUNCTION("""COMPUTED_VALUE"""),100.0)</f>
        <v>100</v>
      </c>
      <c r="W188" s="189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89">
        <f>IFERROR(__xludf.DUMMYFUNCTION("""COMPUTED_VALUE"""),100.0)</f>
        <v>100</v>
      </c>
      <c r="W189" s="189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89">
        <f>IFERROR(__xludf.DUMMYFUNCTION("""COMPUTED_VALUE"""),100.0)</f>
        <v>100</v>
      </c>
      <c r="W190" s="189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89">
        <f>IFERROR(__xludf.DUMMYFUNCTION("""COMPUTED_VALUE"""),100.0)</f>
        <v>100</v>
      </c>
      <c r="W191" s="189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89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89">
        <f>IFERROR(__xludf.DUMMYFUNCTION("""COMPUTED_VALUE"""),0.0)</f>
        <v>0</v>
      </c>
      <c r="W193" s="189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89">
        <f>IFERROR(__xludf.DUMMYFUNCTION("""COMPUTED_VALUE"""),0.0)</f>
        <v>0</v>
      </c>
      <c r="W194" s="189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89">
        <f>IFERROR(__xludf.DUMMYFUNCTION("""COMPUTED_VALUE"""),0.0)</f>
        <v>0</v>
      </c>
      <c r="W195" s="189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89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89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89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89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89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89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89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89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89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89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89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89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89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89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89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89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89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89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89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89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89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89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89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89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89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89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89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89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89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89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89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89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89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89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89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89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89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89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89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89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89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89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89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89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89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89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89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89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89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89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89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89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89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89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89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89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89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89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89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89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89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89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89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89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89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89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89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89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89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89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89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89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89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89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89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89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89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89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89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89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89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89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89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89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89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89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89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89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89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89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89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89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89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89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89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89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89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89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89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89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89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89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89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89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89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89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89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89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89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89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89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89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89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89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89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89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89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89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89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89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89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89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89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89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89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89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89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89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89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89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89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89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89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89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89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89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89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89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89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89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89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89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89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89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89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89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89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89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89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89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89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89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89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89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89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89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89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89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89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89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89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89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89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89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89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89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89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89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89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89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89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89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89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89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89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89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89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89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89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89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89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89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89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89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89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89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89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89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89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89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89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89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89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89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89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89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89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89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89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89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89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89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89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89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89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89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89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89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89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89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89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89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89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89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89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89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89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89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89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89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89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89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89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89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89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89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89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89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89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89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89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89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89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89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89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89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89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89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89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89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89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89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89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89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89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89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89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89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89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89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89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89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89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89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89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89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89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89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89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89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89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89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89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89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89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89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89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89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89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89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89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89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89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89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89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89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89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89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89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89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89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89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89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89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89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89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89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89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89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89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89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89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89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89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89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89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89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89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89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89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89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89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89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89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89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89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89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89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89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89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89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89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89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89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89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89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89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89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89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89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89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89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89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89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89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89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89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89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89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89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89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89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89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89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89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89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89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89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89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89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89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89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89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89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89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89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89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89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89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89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89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89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89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89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89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89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89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89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89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89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89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89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89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89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89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89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89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89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89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89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89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89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89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89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89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89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89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89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89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89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89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89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89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89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89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89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89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89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89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89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89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89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89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89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89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89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89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89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89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89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89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89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89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89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89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89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89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89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89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89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89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89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89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89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89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89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89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89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89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89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89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89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89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89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89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89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89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89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89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89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89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89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89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89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89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89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89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89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89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89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89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89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89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89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89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89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89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89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89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89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89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89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89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89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89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89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89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89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89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89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89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89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89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89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89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89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89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89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89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89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89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89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89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89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89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89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89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89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89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89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89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89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89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89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89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89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89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89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89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89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89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89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89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89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89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89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89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89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89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89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89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89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89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89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89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89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89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89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89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89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89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89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89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89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89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89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89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89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89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89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89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89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89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89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89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89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89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89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89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89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89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89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89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89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89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89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89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89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89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89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89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89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89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89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89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89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89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89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89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89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89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89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89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89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89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89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89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89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89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89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89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89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89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89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89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89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89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89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89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89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89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89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89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89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89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89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89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89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89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89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89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89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89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89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89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89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89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89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89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89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89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89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89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89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89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89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89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89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89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89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89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89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89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89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89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89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89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89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89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89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89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89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89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89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89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89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89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89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89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89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89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89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89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89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89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89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89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89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89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89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89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89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89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89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89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89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89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89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89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89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89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89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89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89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89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89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89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89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89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89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89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89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89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89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89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89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89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89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89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89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89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89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89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89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89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89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89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89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89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89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89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89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89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89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89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89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89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89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89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89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89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89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89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89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89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89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89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89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89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89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89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89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89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89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89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89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89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89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89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89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89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89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89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89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89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89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89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89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89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89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89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89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89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89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89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89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89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89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89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89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89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89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89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89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89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89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89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89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89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89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89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89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89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89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89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89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89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89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89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89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89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89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89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89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89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89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89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89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89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89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89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89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89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89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89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89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89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89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89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89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89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89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89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89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89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89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89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89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89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89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89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89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89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89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89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89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89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89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89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89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89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89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89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89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89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89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89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89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89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89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89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89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89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89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89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89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89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89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89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89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89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89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89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89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89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3" t="s">
        <v>648</v>
      </c>
      <c r="B1" s="12"/>
      <c r="C1" s="12"/>
      <c r="D1" s="12"/>
      <c r="E1" s="12"/>
      <c r="F1" s="12"/>
      <c r="G1" s="12"/>
      <c r="H1" s="13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</row>
    <row r="2">
      <c r="A2" s="4" t="s">
        <v>649</v>
      </c>
      <c r="B2" s="4" t="s">
        <v>650</v>
      </c>
      <c r="C2" s="4" t="s">
        <v>651</v>
      </c>
      <c r="D2" s="4" t="s">
        <v>652</v>
      </c>
      <c r="E2" s="4" t="s">
        <v>653</v>
      </c>
      <c r="F2" s="4" t="s">
        <v>654</v>
      </c>
      <c r="G2" s="4" t="s">
        <v>655</v>
      </c>
      <c r="H2" s="4" t="s">
        <v>656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4" t="s">
        <v>11</v>
      </c>
      <c r="AB2" s="4" t="s">
        <v>12</v>
      </c>
    </row>
    <row r="3">
      <c r="A3" s="4" t="s">
        <v>657</v>
      </c>
      <c r="B3" s="4" t="s">
        <v>658</v>
      </c>
      <c r="C3" s="184"/>
      <c r="D3" s="184"/>
      <c r="E3" s="4" t="s">
        <v>658</v>
      </c>
      <c r="F3" s="184"/>
      <c r="G3" s="4" t="s">
        <v>659</v>
      </c>
      <c r="H3" s="4" t="s">
        <v>660</v>
      </c>
      <c r="I3" s="184"/>
      <c r="J3" s="184"/>
      <c r="K3" s="184"/>
      <c r="L3" s="184"/>
      <c r="M3" s="184"/>
      <c r="O3" s="184"/>
      <c r="P3" s="184"/>
      <c r="Q3" s="184"/>
      <c r="S3" s="184"/>
      <c r="T3" s="184"/>
      <c r="U3" s="184"/>
      <c r="V3" s="184"/>
      <c r="Y3" s="184"/>
      <c r="Z3" s="184"/>
      <c r="AB3" s="4">
        <v>0.0</v>
      </c>
    </row>
    <row r="4">
      <c r="A4" s="4" t="s">
        <v>661</v>
      </c>
      <c r="B4" s="4" t="s">
        <v>662</v>
      </c>
      <c r="C4" s="4" t="s">
        <v>662</v>
      </c>
      <c r="D4" s="184"/>
      <c r="E4" s="4" t="s">
        <v>663</v>
      </c>
      <c r="F4" s="4" t="s">
        <v>664</v>
      </c>
      <c r="G4" s="184"/>
      <c r="H4" s="184"/>
      <c r="I4" s="184"/>
      <c r="J4" s="184"/>
      <c r="K4" s="184"/>
      <c r="L4" s="184"/>
      <c r="M4" s="184"/>
      <c r="O4" s="184"/>
      <c r="P4" s="184"/>
      <c r="Q4" s="184"/>
      <c r="S4" s="184"/>
      <c r="T4" s="184"/>
      <c r="U4" s="184"/>
      <c r="V4" s="184"/>
      <c r="Y4" s="184"/>
      <c r="Z4" s="184"/>
      <c r="AB4" s="4">
        <v>0.0</v>
      </c>
    </row>
    <row r="5">
      <c r="A5" s="4" t="s">
        <v>665</v>
      </c>
      <c r="B5" s="184"/>
      <c r="C5" s="4" t="s">
        <v>658</v>
      </c>
      <c r="D5" s="4" t="s">
        <v>658</v>
      </c>
      <c r="E5" s="184"/>
      <c r="F5" s="4" t="s">
        <v>659</v>
      </c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S5" s="184"/>
      <c r="T5" s="184"/>
      <c r="U5" s="184"/>
      <c r="V5" s="184"/>
      <c r="W5" s="184"/>
      <c r="X5" s="184"/>
      <c r="Y5" s="184"/>
      <c r="Z5" s="184"/>
      <c r="AB5" s="4">
        <v>-8.0</v>
      </c>
    </row>
    <row r="6">
      <c r="A6" s="4" t="s">
        <v>666</v>
      </c>
      <c r="C6" s="184"/>
      <c r="D6" s="4" t="s">
        <v>663</v>
      </c>
      <c r="E6" s="184"/>
      <c r="F6" s="4" t="s">
        <v>663</v>
      </c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S6" s="184"/>
      <c r="T6" s="184"/>
      <c r="U6" s="184"/>
      <c r="V6" s="184"/>
      <c r="W6" s="184"/>
      <c r="X6" s="184"/>
      <c r="Y6" s="184"/>
      <c r="Z6" s="184"/>
      <c r="AB6" s="4">
        <v>-9.0</v>
      </c>
    </row>
    <row r="7">
      <c r="A7" s="4" t="s">
        <v>667</v>
      </c>
      <c r="C7" s="184"/>
      <c r="D7" s="4" t="s">
        <v>668</v>
      </c>
      <c r="E7" s="4" t="s">
        <v>668</v>
      </c>
      <c r="G7" s="184"/>
      <c r="I7" s="184"/>
      <c r="J7" s="184"/>
      <c r="K7" s="184"/>
      <c r="L7" s="184"/>
      <c r="M7" s="184"/>
      <c r="O7" s="184"/>
      <c r="P7" s="184"/>
      <c r="Q7" s="184"/>
      <c r="T7" s="184"/>
      <c r="U7" s="184"/>
      <c r="V7" s="184"/>
      <c r="W7" s="184"/>
      <c r="X7" s="184"/>
      <c r="Y7" s="184"/>
      <c r="Z7" s="184"/>
      <c r="AB7" s="4">
        <v>-38.0</v>
      </c>
    </row>
    <row r="8">
      <c r="A8" s="4" t="s">
        <v>669</v>
      </c>
      <c r="D8" s="4" t="s">
        <v>670</v>
      </c>
      <c r="F8" s="184"/>
      <c r="H8" s="4" t="s">
        <v>670</v>
      </c>
      <c r="I8" s="184"/>
      <c r="J8" s="184"/>
      <c r="K8" s="184"/>
      <c r="L8" s="184"/>
      <c r="M8" s="184"/>
      <c r="N8" s="184"/>
      <c r="O8" s="184"/>
      <c r="P8" s="184"/>
      <c r="Q8" s="184"/>
      <c r="S8" s="184"/>
      <c r="T8" s="184"/>
      <c r="U8" s="184"/>
      <c r="V8" s="184"/>
      <c r="W8" s="184"/>
      <c r="X8" s="184"/>
      <c r="Y8" s="184"/>
      <c r="Z8" s="184"/>
      <c r="AB8" s="4">
        <v>-6.0</v>
      </c>
    </row>
    <row r="9">
      <c r="A9" s="4" t="s">
        <v>671</v>
      </c>
      <c r="D9" s="184"/>
      <c r="E9" s="4" t="s">
        <v>672</v>
      </c>
      <c r="F9" s="4" t="s">
        <v>672</v>
      </c>
      <c r="G9" s="4" t="s">
        <v>672</v>
      </c>
      <c r="H9" s="184"/>
      <c r="I9" s="184"/>
      <c r="J9" s="184"/>
      <c r="K9" s="184"/>
      <c r="L9" s="184"/>
      <c r="M9" s="184"/>
      <c r="O9" s="184"/>
      <c r="P9" s="184"/>
      <c r="Q9" s="184"/>
      <c r="S9" s="184"/>
      <c r="T9" s="184"/>
      <c r="U9" s="184"/>
      <c r="V9" s="184"/>
      <c r="W9" s="184"/>
      <c r="X9" s="184"/>
      <c r="Y9" s="184"/>
      <c r="Z9" s="184"/>
      <c r="AB9" s="4">
        <v>1.0</v>
      </c>
    </row>
    <row r="10">
      <c r="A10" s="4" t="s">
        <v>673</v>
      </c>
      <c r="F10" s="184"/>
      <c r="G10" s="4" t="s">
        <v>674</v>
      </c>
      <c r="H10" s="4" t="s">
        <v>675</v>
      </c>
      <c r="I10" s="184"/>
      <c r="J10" s="184"/>
      <c r="K10" s="184"/>
      <c r="L10" s="184"/>
      <c r="M10" s="184"/>
      <c r="N10" s="184"/>
      <c r="O10" s="184"/>
      <c r="P10" s="184"/>
      <c r="Q10" s="184"/>
      <c r="S10" s="184"/>
      <c r="T10" s="184"/>
      <c r="U10" s="184"/>
      <c r="V10" s="184"/>
      <c r="W10" s="184"/>
      <c r="X10" s="184"/>
      <c r="Y10" s="184"/>
      <c r="Z10" s="184"/>
      <c r="AB10" s="4">
        <v>-7.0</v>
      </c>
    </row>
    <row r="11">
      <c r="I11" s="184"/>
      <c r="J11" s="184"/>
      <c r="K11" s="184"/>
      <c r="L11" s="184"/>
      <c r="M11" s="184"/>
      <c r="O11" s="184"/>
      <c r="P11" s="184"/>
      <c r="Q11" s="184"/>
      <c r="S11" s="184"/>
      <c r="T11" s="184"/>
      <c r="U11" s="184"/>
      <c r="V11" s="184"/>
      <c r="W11" s="184"/>
      <c r="X11" s="184"/>
      <c r="Y11" s="184"/>
      <c r="Z11" s="184"/>
      <c r="AB11" s="4">
        <v>2.0</v>
      </c>
    </row>
    <row r="12">
      <c r="I12" s="184"/>
      <c r="J12" s="184"/>
      <c r="K12" s="184"/>
      <c r="L12" s="184"/>
      <c r="M12" s="184"/>
      <c r="N12" s="184"/>
      <c r="O12" s="184"/>
      <c r="P12" s="184"/>
      <c r="Q12" s="184"/>
      <c r="S12" s="184"/>
      <c r="T12" s="184"/>
      <c r="U12" s="184"/>
      <c r="V12" s="184"/>
      <c r="W12" s="184"/>
      <c r="X12" s="184"/>
      <c r="Y12" s="184"/>
      <c r="Z12" s="184"/>
      <c r="AB12" s="4">
        <v>-2.0</v>
      </c>
    </row>
    <row r="13">
      <c r="I13" s="184"/>
      <c r="J13" s="184"/>
      <c r="K13" s="184"/>
      <c r="L13" s="184"/>
      <c r="M13" s="184"/>
      <c r="O13" s="184"/>
      <c r="P13" s="184"/>
      <c r="Q13" s="184"/>
      <c r="S13" s="184"/>
      <c r="T13" s="184"/>
      <c r="U13" s="184"/>
      <c r="V13" s="184"/>
      <c r="W13" s="184"/>
      <c r="X13" s="184"/>
      <c r="Y13" s="184"/>
      <c r="Z13" s="184"/>
      <c r="AB13" s="4">
        <v>4.0</v>
      </c>
    </row>
    <row r="14">
      <c r="I14" s="184"/>
      <c r="J14" s="184"/>
      <c r="K14" s="184"/>
      <c r="L14" s="184"/>
      <c r="M14" s="184"/>
      <c r="O14" s="184"/>
      <c r="P14" s="184"/>
      <c r="Q14" s="184"/>
      <c r="S14" s="184"/>
      <c r="T14" s="184"/>
      <c r="U14" s="184"/>
      <c r="V14" s="184"/>
      <c r="W14" s="184"/>
      <c r="X14" s="184"/>
      <c r="Y14" s="184"/>
      <c r="Z14" s="184"/>
      <c r="AB14" s="4">
        <v>3.0</v>
      </c>
    </row>
    <row r="15">
      <c r="I15" s="184"/>
      <c r="J15" s="184"/>
      <c r="K15" s="184"/>
      <c r="L15" s="184"/>
      <c r="M15" s="184"/>
      <c r="N15" s="184"/>
      <c r="O15" s="184"/>
      <c r="P15" s="184"/>
      <c r="Q15" s="184"/>
      <c r="T15" s="184"/>
      <c r="U15" s="184"/>
      <c r="V15" s="184"/>
      <c r="W15" s="184"/>
      <c r="X15" s="184"/>
      <c r="Y15" s="184"/>
      <c r="Z15" s="184"/>
      <c r="AB15" s="4">
        <v>-8.0</v>
      </c>
    </row>
    <row r="16">
      <c r="I16" s="184"/>
      <c r="J16" s="184"/>
      <c r="K16" s="184"/>
      <c r="L16" s="184"/>
      <c r="M16" s="184"/>
      <c r="N16" s="184"/>
      <c r="O16" s="184"/>
      <c r="P16" s="184"/>
      <c r="Q16" s="184"/>
      <c r="T16" s="184"/>
      <c r="U16" s="184"/>
      <c r="V16" s="184"/>
      <c r="W16" s="184"/>
      <c r="X16" s="184"/>
      <c r="Y16" s="184"/>
      <c r="Z16" s="184"/>
      <c r="AB16" s="4">
        <v>-5.0</v>
      </c>
    </row>
    <row r="17">
      <c r="I17" s="184"/>
      <c r="J17" s="184"/>
      <c r="K17" s="184"/>
      <c r="L17" s="184"/>
      <c r="M17" s="184"/>
      <c r="N17" s="184"/>
      <c r="O17" s="184"/>
      <c r="P17" s="184"/>
      <c r="Q17" s="184"/>
      <c r="S17" s="184"/>
      <c r="T17" s="184"/>
      <c r="U17" s="184"/>
      <c r="V17" s="184"/>
      <c r="W17" s="184"/>
      <c r="X17" s="184"/>
      <c r="Y17" s="184"/>
      <c r="Z17" s="184"/>
      <c r="AB17" s="4">
        <v>-6.0</v>
      </c>
    </row>
    <row r="18">
      <c r="I18" s="184"/>
      <c r="J18" s="184"/>
      <c r="K18" s="184"/>
      <c r="L18" s="184"/>
      <c r="M18" s="184"/>
      <c r="O18" s="184"/>
      <c r="P18" s="184"/>
      <c r="Q18" s="184"/>
      <c r="S18" s="184"/>
      <c r="T18" s="184"/>
      <c r="U18" s="184"/>
      <c r="V18" s="184"/>
      <c r="W18" s="184"/>
      <c r="X18" s="184"/>
      <c r="Y18" s="184"/>
      <c r="Z18" s="184"/>
      <c r="AB18" s="4">
        <v>2.0</v>
      </c>
    </row>
    <row r="19"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4" t="s">
        <v>676</v>
      </c>
      <c r="AB19" s="4">
        <v>-11.0</v>
      </c>
    </row>
    <row r="20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O20" s="184"/>
      <c r="P20" s="184"/>
      <c r="Q20" s="184"/>
      <c r="S20" s="184"/>
      <c r="T20" s="184"/>
      <c r="U20" s="184"/>
      <c r="V20" s="184"/>
      <c r="W20" s="184"/>
      <c r="X20" s="184"/>
      <c r="Y20" s="184"/>
      <c r="Z20" s="184"/>
      <c r="AB20" s="4">
        <v>0.0</v>
      </c>
    </row>
    <row r="21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O21" s="184"/>
      <c r="P21" s="184"/>
      <c r="Q21" s="184"/>
      <c r="S21" s="184"/>
      <c r="T21" s="184"/>
      <c r="U21" s="184"/>
      <c r="V21" s="184"/>
      <c r="W21" s="184"/>
      <c r="X21" s="184"/>
      <c r="Y21" s="184"/>
      <c r="Z21" s="184"/>
      <c r="AB21" s="4">
        <v>5.0</v>
      </c>
    </row>
    <row r="22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T22" s="184"/>
      <c r="U22" s="184"/>
      <c r="V22" s="184"/>
      <c r="W22" s="184"/>
      <c r="X22" s="184"/>
      <c r="Y22" s="184"/>
      <c r="Z22" s="184"/>
      <c r="AB22" s="4">
        <v>-7.0</v>
      </c>
    </row>
    <row r="23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O23" s="184"/>
      <c r="P23" s="184"/>
      <c r="Q23" s="184"/>
      <c r="S23" s="184"/>
      <c r="T23" s="184"/>
      <c r="U23" s="184"/>
      <c r="V23" s="184"/>
      <c r="W23" s="184"/>
      <c r="X23" s="184"/>
      <c r="Y23" s="184"/>
      <c r="Z23" s="184"/>
      <c r="AB23" s="4">
        <v>1.0</v>
      </c>
    </row>
    <row r="24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O24" s="184"/>
      <c r="P24" s="184"/>
      <c r="Q24" s="184"/>
      <c r="S24" s="184"/>
      <c r="T24" s="184"/>
      <c r="U24" s="184"/>
      <c r="V24" s="184"/>
      <c r="W24" s="184"/>
      <c r="X24" s="184"/>
      <c r="Y24" s="184"/>
      <c r="Z24" s="184"/>
      <c r="AB24" s="4">
        <v>-2.0</v>
      </c>
    </row>
    <row r="25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O25" s="184"/>
      <c r="P25" s="184"/>
      <c r="Q25" s="184"/>
      <c r="S25" s="184"/>
      <c r="T25" s="184"/>
      <c r="U25" s="184"/>
      <c r="V25" s="184"/>
      <c r="W25" s="184"/>
      <c r="X25" s="184"/>
      <c r="Y25" s="184"/>
      <c r="Z25" s="184"/>
      <c r="AB25" s="4">
        <v>-1.0</v>
      </c>
    </row>
    <row r="26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O26" s="184"/>
      <c r="P26" s="184"/>
      <c r="Q26" s="184"/>
      <c r="S26" s="184"/>
      <c r="T26" s="184"/>
      <c r="U26" s="184"/>
      <c r="V26" s="184"/>
      <c r="W26" s="184"/>
      <c r="X26" s="184"/>
      <c r="Y26" s="184"/>
      <c r="Z26" s="184"/>
      <c r="AB26" s="4">
        <v>0.0</v>
      </c>
    </row>
    <row r="27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S27" s="184"/>
      <c r="T27" s="184"/>
      <c r="U27" s="184"/>
      <c r="V27" s="184"/>
      <c r="W27" s="184"/>
      <c r="X27" s="184"/>
      <c r="Y27" s="184"/>
      <c r="Z27" s="184"/>
      <c r="AB27" s="4">
        <v>-7.0</v>
      </c>
    </row>
    <row r="28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O28" s="184"/>
      <c r="P28" s="184"/>
      <c r="Q28" s="184"/>
      <c r="S28" s="184"/>
      <c r="T28" s="184"/>
      <c r="U28" s="184"/>
      <c r="V28" s="184"/>
      <c r="W28" s="184"/>
      <c r="X28" s="184"/>
      <c r="Y28" s="184"/>
      <c r="Z28" s="184"/>
      <c r="AB28" s="4">
        <v>-9.0</v>
      </c>
    </row>
    <row r="29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O29" s="184"/>
      <c r="P29" s="184"/>
      <c r="Q29" s="184"/>
      <c r="S29" s="184"/>
      <c r="T29" s="184"/>
      <c r="U29" s="184"/>
      <c r="V29" s="184"/>
      <c r="W29" s="184"/>
      <c r="X29" s="184"/>
      <c r="Y29" s="184"/>
      <c r="Z29" s="184"/>
      <c r="AB29" s="4">
        <v>0.0</v>
      </c>
    </row>
    <row r="30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4" t="s">
        <v>677</v>
      </c>
      <c r="AB30" s="4">
        <v>-8.0</v>
      </c>
    </row>
    <row r="31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T31" s="184"/>
      <c r="U31" s="184"/>
      <c r="V31" s="184"/>
      <c r="W31" s="184"/>
      <c r="X31" s="184"/>
      <c r="Y31" s="184"/>
      <c r="Z31" s="184"/>
      <c r="AB31" s="4">
        <v>-7.0</v>
      </c>
    </row>
    <row r="32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O32" s="184"/>
      <c r="P32" s="184"/>
      <c r="Q32" s="184"/>
      <c r="S32" s="184"/>
      <c r="T32" s="184"/>
      <c r="U32" s="184"/>
      <c r="V32" s="184"/>
      <c r="W32" s="184"/>
      <c r="X32" s="184"/>
      <c r="Y32" s="184"/>
      <c r="Z32" s="184"/>
      <c r="AB32" s="4">
        <v>-2.0</v>
      </c>
    </row>
    <row r="33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T33" s="184"/>
      <c r="U33" s="184"/>
      <c r="V33" s="184"/>
      <c r="W33" s="184"/>
      <c r="X33" s="184"/>
      <c r="Y33" s="184"/>
      <c r="Z33" s="184"/>
      <c r="AB33" s="4">
        <v>-8.0</v>
      </c>
    </row>
    <row r="34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4" t="s">
        <v>678</v>
      </c>
      <c r="AB34" s="4">
        <v>0.0</v>
      </c>
    </row>
    <row r="35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O35" s="184"/>
      <c r="P35" s="184"/>
      <c r="Q35" s="184"/>
      <c r="S35" s="184"/>
      <c r="T35" s="184"/>
      <c r="U35" s="184"/>
      <c r="V35" s="184"/>
      <c r="W35" s="184"/>
      <c r="X35" s="184"/>
      <c r="Y35" s="184"/>
      <c r="Z35" s="184"/>
      <c r="AB35" s="4">
        <v>1.0</v>
      </c>
    </row>
    <row r="36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O36" s="184"/>
      <c r="P36" s="184"/>
      <c r="Q36" s="184"/>
      <c r="S36" s="184"/>
      <c r="T36" s="184"/>
      <c r="U36" s="184"/>
      <c r="V36" s="184"/>
      <c r="Y36" s="184"/>
      <c r="Z36" s="184"/>
      <c r="AB36" s="4">
        <v>0.0</v>
      </c>
    </row>
    <row r="37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O37" s="184"/>
      <c r="P37" s="184"/>
      <c r="Q37" s="184"/>
      <c r="S37" s="184"/>
      <c r="T37" s="184"/>
      <c r="U37" s="184"/>
      <c r="V37" s="184"/>
      <c r="W37" s="184"/>
      <c r="X37" s="184"/>
      <c r="Y37" s="184"/>
      <c r="Z37" s="184"/>
      <c r="AB37" s="4">
        <v>4.0</v>
      </c>
    </row>
    <row r="38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4" t="s">
        <v>679</v>
      </c>
      <c r="AB38" s="4">
        <v>-12.0</v>
      </c>
    </row>
    <row r="39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4" t="s">
        <v>680</v>
      </c>
      <c r="AB39" s="4">
        <v>0.0</v>
      </c>
    </row>
    <row r="40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O40" s="184"/>
      <c r="P40" s="184"/>
      <c r="Q40" s="184"/>
      <c r="S40" s="184"/>
      <c r="T40" s="184"/>
      <c r="U40" s="184"/>
      <c r="V40" s="184"/>
      <c r="W40" s="184"/>
      <c r="X40" s="184"/>
      <c r="Y40" s="184"/>
      <c r="Z40" s="184"/>
      <c r="AB40" s="4">
        <v>-2.0</v>
      </c>
    </row>
    <row r="41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O41" s="184"/>
      <c r="P41" s="184"/>
      <c r="Q41" s="184"/>
      <c r="S41" s="184"/>
      <c r="T41" s="184"/>
      <c r="U41" s="184"/>
      <c r="V41" s="184"/>
      <c r="W41" s="184"/>
      <c r="X41" s="184"/>
      <c r="Y41" s="184"/>
      <c r="Z41" s="184"/>
      <c r="AB41" s="4">
        <v>-10.0</v>
      </c>
    </row>
    <row r="42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4" t="s">
        <v>681</v>
      </c>
      <c r="AB42" s="4">
        <v>6.0</v>
      </c>
    </row>
    <row r="43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T43" s="184"/>
      <c r="U43" s="184"/>
      <c r="V43" s="184"/>
      <c r="W43" s="184"/>
      <c r="X43" s="184"/>
      <c r="Y43" s="184"/>
      <c r="Z43" s="184"/>
      <c r="AB43" s="4">
        <v>-7.0</v>
      </c>
    </row>
    <row r="44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O44" s="184"/>
      <c r="P44" s="184"/>
      <c r="Q44" s="184"/>
      <c r="S44" s="184"/>
      <c r="T44" s="184"/>
      <c r="U44" s="184"/>
      <c r="V44" s="184"/>
      <c r="W44" s="184"/>
      <c r="X44" s="184"/>
      <c r="Y44" s="184"/>
      <c r="Z44" s="184"/>
      <c r="AB44" s="4">
        <v>-2.0</v>
      </c>
    </row>
    <row r="45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O45" s="184"/>
      <c r="P45" s="184"/>
      <c r="Q45" s="184"/>
      <c r="S45" s="184"/>
      <c r="T45" s="184"/>
      <c r="U45" s="184"/>
      <c r="V45" s="184"/>
      <c r="W45" s="184"/>
      <c r="X45" s="184"/>
      <c r="Y45" s="184"/>
      <c r="Z45" s="184"/>
      <c r="AB45" s="4">
        <v>0.0</v>
      </c>
    </row>
    <row r="46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T46" s="184"/>
      <c r="U46" s="184"/>
      <c r="V46" s="184"/>
      <c r="W46" s="184"/>
      <c r="X46" s="184"/>
      <c r="Y46" s="184"/>
      <c r="Z46" s="184"/>
      <c r="AB46" s="4">
        <v>-2.0</v>
      </c>
    </row>
    <row r="47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O47" s="184"/>
      <c r="P47" s="184"/>
      <c r="Q47" s="184"/>
      <c r="S47" s="184"/>
      <c r="T47" s="184"/>
      <c r="U47" s="184"/>
      <c r="V47" s="184"/>
      <c r="W47" s="184"/>
      <c r="X47" s="184"/>
      <c r="Y47" s="184"/>
      <c r="Z47" s="184"/>
      <c r="AB47" s="4">
        <v>0.0</v>
      </c>
    </row>
    <row r="48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4" t="s">
        <v>682</v>
      </c>
      <c r="AB48" s="4">
        <v>-13.0</v>
      </c>
    </row>
    <row r="49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T49" s="184"/>
      <c r="U49" s="184"/>
      <c r="V49" s="184"/>
      <c r="W49" s="184"/>
      <c r="X49" s="184"/>
      <c r="Y49" s="184"/>
      <c r="Z49" s="184"/>
      <c r="AB49" s="4">
        <v>-6.0</v>
      </c>
    </row>
    <row r="50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O50" s="184"/>
      <c r="P50" s="184"/>
      <c r="Q50" s="184"/>
      <c r="S50" s="184"/>
      <c r="T50" s="184"/>
      <c r="U50" s="184"/>
      <c r="V50" s="184"/>
      <c r="W50" s="184"/>
      <c r="X50" s="184"/>
      <c r="Y50" s="184"/>
      <c r="Z50" s="184"/>
      <c r="AB50" s="4">
        <v>0.0</v>
      </c>
    </row>
    <row r="51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O51" s="184"/>
      <c r="P51" s="184"/>
      <c r="Q51" s="184"/>
      <c r="S51" s="184"/>
      <c r="T51" s="184"/>
      <c r="U51" s="184"/>
      <c r="V51" s="184"/>
      <c r="W51" s="184"/>
      <c r="X51" s="184"/>
      <c r="Y51" s="184"/>
      <c r="Z51" s="184"/>
      <c r="AB51" s="4">
        <v>-6.0</v>
      </c>
    </row>
    <row r="52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4" t="s">
        <v>683</v>
      </c>
      <c r="AB52" s="4">
        <v>5.0</v>
      </c>
    </row>
    <row r="53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O53" s="184"/>
      <c r="P53" s="184"/>
      <c r="Q53" s="184"/>
      <c r="S53" s="184"/>
      <c r="T53" s="184"/>
      <c r="U53" s="184"/>
      <c r="V53" s="184"/>
      <c r="W53" s="184"/>
      <c r="X53" s="184"/>
      <c r="Y53" s="184"/>
      <c r="Z53" s="184"/>
      <c r="AB53" s="4">
        <v>0.0</v>
      </c>
    </row>
    <row r="54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O54" s="184"/>
      <c r="P54" s="184"/>
      <c r="Q54" s="184"/>
      <c r="S54" s="184"/>
      <c r="T54" s="184"/>
      <c r="U54" s="184"/>
      <c r="V54" s="184"/>
      <c r="W54" s="184"/>
      <c r="X54" s="184"/>
      <c r="Y54" s="184"/>
      <c r="Z54" s="184"/>
      <c r="AB54" s="4">
        <v>0.0</v>
      </c>
    </row>
    <row r="55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T55" s="184"/>
      <c r="U55" s="184"/>
      <c r="V55" s="184"/>
      <c r="W55" s="184"/>
      <c r="X55" s="184"/>
      <c r="Y55" s="184"/>
      <c r="Z55" s="184"/>
      <c r="AB55" s="4">
        <v>-8.0</v>
      </c>
    </row>
    <row r="5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T56" s="184"/>
      <c r="U56" s="184"/>
      <c r="V56" s="184"/>
      <c r="W56" s="184"/>
      <c r="X56" s="184"/>
      <c r="Y56" s="184"/>
      <c r="Z56" s="184"/>
      <c r="AB56" s="4">
        <v>-11.0</v>
      </c>
    </row>
    <row r="57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T57" s="184"/>
      <c r="U57" s="184"/>
      <c r="V57" s="184"/>
      <c r="W57" s="184"/>
      <c r="X57" s="184"/>
      <c r="Y57" s="184"/>
      <c r="Z57" s="184"/>
      <c r="AB57" s="4">
        <v>-6.0</v>
      </c>
    </row>
    <row r="58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O58" s="184"/>
      <c r="P58" s="184"/>
      <c r="Q58" s="184"/>
      <c r="S58" s="184"/>
      <c r="T58" s="184"/>
      <c r="U58" s="184"/>
      <c r="V58" s="184"/>
      <c r="W58" s="184"/>
      <c r="X58" s="184"/>
      <c r="Y58" s="184"/>
      <c r="Z58" s="184"/>
      <c r="AB58" s="4">
        <v>-2.0</v>
      </c>
    </row>
    <row r="59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4" t="s">
        <v>684</v>
      </c>
      <c r="AB59" s="4">
        <v>-9.0</v>
      </c>
    </row>
    <row r="60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T60" s="184"/>
      <c r="U60" s="184"/>
      <c r="V60" s="184"/>
      <c r="W60" s="184"/>
      <c r="X60" s="184"/>
      <c r="Y60" s="184"/>
      <c r="Z60" s="184"/>
      <c r="AB60" s="4">
        <v>-9.0</v>
      </c>
    </row>
    <row r="61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O61" s="184"/>
      <c r="P61" s="184"/>
      <c r="Q61" s="184"/>
      <c r="S61" s="184"/>
      <c r="T61" s="184"/>
      <c r="U61" s="184"/>
      <c r="V61" s="184"/>
      <c r="W61" s="184"/>
      <c r="X61" s="184"/>
      <c r="Y61" s="184"/>
      <c r="Z61" s="184"/>
      <c r="AB61" s="4">
        <v>-2.0</v>
      </c>
    </row>
    <row r="62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T62" s="184"/>
      <c r="U62" s="184"/>
      <c r="V62" s="184"/>
      <c r="W62" s="184"/>
      <c r="X62" s="184"/>
      <c r="Y62" s="184"/>
      <c r="Z62" s="184"/>
      <c r="AB62" s="4">
        <v>-8.0</v>
      </c>
    </row>
    <row r="63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4" t="s">
        <v>685</v>
      </c>
      <c r="AB63" s="4">
        <v>-19.0</v>
      </c>
    </row>
    <row r="64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O64" s="184"/>
      <c r="P64" s="184"/>
      <c r="Q64" s="184"/>
      <c r="S64" s="184"/>
      <c r="T64" s="184"/>
      <c r="U64" s="184"/>
      <c r="V64" s="184"/>
      <c r="W64" s="184"/>
      <c r="X64" s="184"/>
      <c r="Y64" s="184"/>
      <c r="Z64" s="184"/>
      <c r="AB64" s="4">
        <v>-12.0</v>
      </c>
    </row>
    <row r="65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T65" s="184"/>
      <c r="U65" s="184"/>
      <c r="V65" s="184"/>
      <c r="W65" s="184"/>
      <c r="X65" s="184"/>
      <c r="Y65" s="184"/>
      <c r="Z65" s="184"/>
      <c r="AB65" s="4">
        <v>-7.0</v>
      </c>
    </row>
    <row r="6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T66" s="184"/>
      <c r="U66" s="184"/>
      <c r="V66" s="184"/>
      <c r="W66" s="184"/>
      <c r="X66" s="184"/>
      <c r="Y66" s="184"/>
      <c r="Z66" s="184"/>
      <c r="AB66" s="4">
        <v>-9.0</v>
      </c>
    </row>
    <row r="67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O67" s="184"/>
      <c r="P67" s="184"/>
      <c r="Q67" s="184"/>
      <c r="S67" s="184"/>
      <c r="T67" s="184"/>
      <c r="U67" s="184"/>
      <c r="V67" s="184"/>
      <c r="W67" s="184"/>
      <c r="X67" s="184"/>
      <c r="Y67" s="184"/>
      <c r="Z67" s="184"/>
      <c r="AB67" s="4">
        <v>-9.0</v>
      </c>
    </row>
    <row r="68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O68" s="184"/>
      <c r="P68" s="184"/>
      <c r="Q68" s="184"/>
      <c r="S68" s="184"/>
      <c r="T68" s="184"/>
      <c r="U68" s="184"/>
      <c r="V68" s="184"/>
      <c r="W68" s="184"/>
      <c r="X68" s="184"/>
      <c r="Y68" s="184"/>
      <c r="Z68" s="184"/>
      <c r="AB68" s="4">
        <v>-11.0</v>
      </c>
    </row>
    <row r="69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O69" s="184"/>
      <c r="P69" s="184"/>
      <c r="Q69" s="184"/>
      <c r="S69" s="184"/>
      <c r="T69" s="184"/>
      <c r="U69" s="184"/>
      <c r="V69" s="184"/>
      <c r="W69" s="184"/>
      <c r="X69" s="184"/>
      <c r="Y69" s="184"/>
      <c r="Z69" s="184"/>
      <c r="AB69" s="4">
        <v>3.0</v>
      </c>
    </row>
    <row r="70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4" t="s">
        <v>686</v>
      </c>
      <c r="AB70" s="4">
        <v>-14.0</v>
      </c>
    </row>
    <row r="71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O71" s="184"/>
      <c r="P71" s="184"/>
      <c r="Q71" s="184"/>
      <c r="S71" s="184"/>
      <c r="T71" s="184"/>
      <c r="U71" s="184"/>
      <c r="V71" s="184"/>
      <c r="W71" s="184"/>
      <c r="X71" s="184"/>
      <c r="Y71" s="184"/>
      <c r="Z71" s="184"/>
      <c r="AB71" s="4">
        <v>1.0</v>
      </c>
    </row>
    <row r="72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O72" s="184"/>
      <c r="P72" s="184"/>
      <c r="Q72" s="184"/>
      <c r="S72" s="184"/>
      <c r="T72" s="184"/>
      <c r="U72" s="184"/>
      <c r="V72" s="184"/>
      <c r="W72" s="184"/>
      <c r="X72" s="184"/>
      <c r="Y72" s="184"/>
      <c r="Z72" s="184"/>
      <c r="AB72" s="4">
        <v>-2.0</v>
      </c>
    </row>
    <row r="73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O73" s="184"/>
      <c r="P73" s="184"/>
      <c r="Q73" s="184"/>
      <c r="S73" s="184"/>
      <c r="T73" s="184"/>
      <c r="U73" s="184"/>
      <c r="V73" s="184"/>
      <c r="W73" s="184"/>
      <c r="X73" s="184"/>
      <c r="Y73" s="184"/>
      <c r="Z73" s="184"/>
      <c r="AB73" s="4">
        <v>1.0</v>
      </c>
    </row>
    <row r="74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O74" s="184"/>
      <c r="P74" s="184"/>
      <c r="Q74" s="184"/>
      <c r="S74" s="184"/>
      <c r="T74" s="184"/>
      <c r="U74" s="184"/>
      <c r="V74" s="184"/>
      <c r="W74" s="184"/>
      <c r="X74" s="184"/>
      <c r="Y74" s="184"/>
      <c r="Z74" s="184"/>
      <c r="AB74" s="4">
        <v>-1.0</v>
      </c>
    </row>
    <row r="75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T75" s="184"/>
      <c r="U75" s="184"/>
      <c r="V75" s="184"/>
      <c r="W75" s="184"/>
      <c r="X75" s="184"/>
      <c r="Y75" s="184"/>
      <c r="Z75" s="184"/>
      <c r="AB75" s="4">
        <v>-9.0</v>
      </c>
    </row>
    <row r="7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O76" s="184"/>
      <c r="P76" s="184"/>
      <c r="Q76" s="184"/>
      <c r="S76" s="184"/>
      <c r="T76" s="184"/>
      <c r="U76" s="184"/>
      <c r="V76" s="184"/>
      <c r="W76" s="184"/>
      <c r="X76" s="184"/>
      <c r="Y76" s="184"/>
      <c r="Z76" s="184"/>
      <c r="AB76" s="4">
        <v>0.0</v>
      </c>
    </row>
    <row r="77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T77" s="184"/>
      <c r="U77" s="184"/>
      <c r="V77" s="184"/>
      <c r="W77" s="184"/>
      <c r="X77" s="184"/>
      <c r="Y77" s="184"/>
      <c r="Z77" s="184"/>
      <c r="AB77" s="4">
        <v>-7.0</v>
      </c>
    </row>
    <row r="78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O78" s="184"/>
      <c r="P78" s="184"/>
      <c r="Q78" s="184"/>
      <c r="S78" s="184"/>
      <c r="T78" s="184"/>
      <c r="U78" s="184"/>
      <c r="V78" s="184"/>
      <c r="W78" s="184"/>
      <c r="X78" s="184"/>
      <c r="Y78" s="184"/>
      <c r="Z78" s="184"/>
      <c r="AB78" s="4">
        <v>0.0</v>
      </c>
    </row>
    <row r="79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T79" s="184"/>
      <c r="U79" s="184"/>
      <c r="V79" s="184"/>
      <c r="W79" s="184"/>
      <c r="X79" s="184"/>
      <c r="Y79" s="184"/>
      <c r="Z79" s="184"/>
      <c r="AB79" s="4">
        <v>-8.0</v>
      </c>
    </row>
    <row r="80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O80" s="184"/>
      <c r="P80" s="184"/>
      <c r="Q80" s="184"/>
      <c r="S80" s="184"/>
      <c r="T80" s="184"/>
      <c r="U80" s="184"/>
      <c r="V80" s="184"/>
      <c r="W80" s="184"/>
      <c r="X80" s="184"/>
      <c r="Y80" s="184"/>
      <c r="Z80" s="184"/>
      <c r="AB80" s="4">
        <v>0.0</v>
      </c>
    </row>
    <row r="81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O81" s="184"/>
      <c r="P81" s="184"/>
      <c r="Q81" s="184"/>
      <c r="S81" s="184"/>
      <c r="T81" s="184"/>
      <c r="U81" s="184"/>
      <c r="V81" s="184"/>
      <c r="W81" s="184"/>
      <c r="X81" s="184"/>
      <c r="Y81" s="184"/>
      <c r="Z81" s="184"/>
      <c r="AB81" s="4">
        <v>1.0</v>
      </c>
    </row>
    <row r="82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T82" s="184"/>
      <c r="U82" s="184"/>
      <c r="V82" s="184"/>
      <c r="W82" s="184"/>
      <c r="X82" s="184"/>
      <c r="Y82" s="184"/>
      <c r="Z82" s="184"/>
      <c r="AB82" s="4">
        <v>-7.0</v>
      </c>
    </row>
    <row r="83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O83" s="184"/>
      <c r="P83" s="184"/>
      <c r="Q83" s="184"/>
      <c r="S83" s="184"/>
      <c r="T83" s="184"/>
      <c r="U83" s="184"/>
      <c r="V83" s="184"/>
      <c r="W83" s="184"/>
      <c r="X83" s="184"/>
      <c r="Y83" s="184"/>
      <c r="Z83" s="184"/>
      <c r="AB83" s="4">
        <v>0.0</v>
      </c>
    </row>
    <row r="84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O84" s="184"/>
      <c r="P84" s="184"/>
      <c r="Q84" s="184"/>
      <c r="S84" s="184"/>
      <c r="T84" s="184"/>
      <c r="U84" s="184"/>
      <c r="V84" s="184"/>
      <c r="W84" s="184"/>
      <c r="X84" s="184"/>
      <c r="Y84" s="184"/>
      <c r="Z84" s="184"/>
      <c r="AB84" s="4">
        <v>-11.0</v>
      </c>
    </row>
    <row r="85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O85" s="184"/>
      <c r="P85" s="184"/>
      <c r="Q85" s="184"/>
      <c r="S85" s="184"/>
      <c r="T85" s="184"/>
      <c r="U85" s="184"/>
      <c r="V85" s="184"/>
      <c r="W85" s="184"/>
      <c r="X85" s="184"/>
      <c r="Y85" s="184"/>
      <c r="Z85" s="184"/>
      <c r="AB85" s="4">
        <v>-13.0</v>
      </c>
    </row>
    <row r="8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4" t="s">
        <v>687</v>
      </c>
      <c r="AB86" s="4">
        <v>-21.0</v>
      </c>
    </row>
    <row r="87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4" t="s">
        <v>688</v>
      </c>
      <c r="AB87" s="4">
        <v>-7.0</v>
      </c>
    </row>
    <row r="88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4" t="s">
        <v>689</v>
      </c>
      <c r="AB88" s="4">
        <v>-10.0</v>
      </c>
    </row>
    <row r="89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4" t="s">
        <v>690</v>
      </c>
      <c r="AB89" s="4">
        <v>-6.0</v>
      </c>
    </row>
    <row r="90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S90" s="184"/>
      <c r="T90" s="184"/>
      <c r="U90" s="184"/>
      <c r="V90" s="184"/>
      <c r="W90" s="184"/>
      <c r="X90" s="184"/>
      <c r="Y90" s="184"/>
      <c r="Z90" s="184"/>
      <c r="AB90" s="4">
        <v>-7.0</v>
      </c>
    </row>
    <row r="91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O91" s="184"/>
      <c r="P91" s="184"/>
      <c r="Q91" s="184"/>
      <c r="S91" s="184"/>
      <c r="T91" s="184"/>
      <c r="U91" s="184"/>
      <c r="V91" s="184"/>
      <c r="W91" s="184"/>
      <c r="X91" s="184"/>
      <c r="Y91" s="184"/>
      <c r="Z91" s="184"/>
      <c r="AB91" s="4">
        <v>-2.0</v>
      </c>
    </row>
    <row r="92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4" t="s">
        <v>691</v>
      </c>
      <c r="AB92" s="4">
        <v>-17.0</v>
      </c>
    </row>
    <row r="93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O93" s="184"/>
      <c r="P93" s="184"/>
      <c r="Q93" s="184"/>
      <c r="S93" s="184"/>
      <c r="T93" s="184"/>
      <c r="U93" s="184"/>
      <c r="V93" s="184"/>
      <c r="W93" s="184"/>
      <c r="X93" s="184"/>
      <c r="Y93" s="184"/>
      <c r="Z93" s="184"/>
      <c r="AB93" s="4">
        <v>-12.0</v>
      </c>
    </row>
    <row r="94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T94" s="184"/>
      <c r="U94" s="184"/>
      <c r="V94" s="184"/>
      <c r="W94" s="184"/>
      <c r="X94" s="184"/>
      <c r="Y94" s="184"/>
      <c r="Z94" s="184"/>
      <c r="AB94" s="4">
        <v>-4.0</v>
      </c>
    </row>
    <row r="95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T95" s="184"/>
      <c r="U95" s="184"/>
      <c r="V95" s="184"/>
      <c r="W95" s="184"/>
      <c r="X95" s="184"/>
      <c r="Y95" s="184"/>
      <c r="Z95" s="184"/>
      <c r="AB95" s="4">
        <v>-11.0</v>
      </c>
    </row>
    <row r="9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O96" s="184"/>
      <c r="P96" s="184"/>
      <c r="Q96" s="184"/>
      <c r="S96" s="184"/>
      <c r="T96" s="184"/>
      <c r="U96" s="184"/>
      <c r="V96" s="184"/>
      <c r="W96" s="184"/>
      <c r="X96" s="184"/>
      <c r="Y96" s="184"/>
      <c r="Z96" s="184"/>
      <c r="AB96" s="4">
        <v>1.0</v>
      </c>
    </row>
    <row r="97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O97" s="184"/>
      <c r="P97" s="184"/>
      <c r="Q97" s="184"/>
      <c r="S97" s="184"/>
      <c r="T97" s="184"/>
      <c r="U97" s="184"/>
      <c r="V97" s="184"/>
      <c r="W97" s="184"/>
      <c r="X97" s="184"/>
      <c r="Y97" s="184"/>
      <c r="Z97" s="184"/>
      <c r="AB97" s="4">
        <v>0.0</v>
      </c>
    </row>
    <row r="98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T98" s="184"/>
      <c r="U98" s="184"/>
      <c r="V98" s="184"/>
      <c r="W98" s="184"/>
      <c r="X98" s="184"/>
      <c r="Y98" s="184"/>
      <c r="Z98" s="184"/>
      <c r="AB98" s="4">
        <v>-9.0</v>
      </c>
    </row>
    <row r="99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O99" s="184"/>
      <c r="P99" s="184"/>
      <c r="Q99" s="184"/>
      <c r="S99" s="184"/>
      <c r="T99" s="184"/>
      <c r="U99" s="184"/>
      <c r="V99" s="184"/>
      <c r="W99" s="184"/>
      <c r="X99" s="184"/>
      <c r="Y99" s="184"/>
      <c r="Z99" s="184"/>
      <c r="AB99" s="4">
        <v>1.0</v>
      </c>
    </row>
    <row r="100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T100" s="184"/>
      <c r="U100" s="184"/>
      <c r="V100" s="184"/>
      <c r="W100" s="184"/>
      <c r="X100" s="184"/>
      <c r="Y100" s="184"/>
      <c r="Z100" s="184"/>
      <c r="AB100" s="4">
        <v>-8.0</v>
      </c>
    </row>
    <row r="101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4" t="s">
        <v>692</v>
      </c>
      <c r="AB101" s="4">
        <v>-6.0</v>
      </c>
    </row>
    <row r="102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4" t="s">
        <v>693</v>
      </c>
      <c r="AB102" s="4">
        <v>1.0</v>
      </c>
    </row>
    <row r="103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O103" s="184"/>
      <c r="P103" s="184"/>
      <c r="Q103" s="184"/>
      <c r="S103" s="184"/>
      <c r="T103" s="184"/>
      <c r="U103" s="184"/>
      <c r="V103" s="184"/>
      <c r="W103" s="184"/>
      <c r="X103" s="184"/>
      <c r="Y103" s="184"/>
      <c r="Z103" s="184"/>
      <c r="AB103" s="4">
        <v>-1.0</v>
      </c>
    </row>
    <row r="104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T104" s="184"/>
      <c r="U104" s="184"/>
      <c r="V104" s="184"/>
      <c r="W104" s="184"/>
      <c r="X104" s="184"/>
      <c r="Y104" s="184"/>
      <c r="Z104" s="184"/>
      <c r="AB104" s="4">
        <v>-5.0</v>
      </c>
    </row>
    <row r="105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4" t="s">
        <v>694</v>
      </c>
      <c r="AB105" s="4">
        <v>-2.0</v>
      </c>
    </row>
    <row r="10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O106" s="184"/>
      <c r="P106" s="184"/>
      <c r="Q106" s="184"/>
      <c r="S106" s="184"/>
      <c r="T106" s="184"/>
      <c r="U106" s="184"/>
      <c r="V106" s="184"/>
      <c r="W106" s="184"/>
      <c r="X106" s="184"/>
      <c r="Y106" s="184"/>
      <c r="Z106" s="184"/>
      <c r="AB106" s="4">
        <v>1.0</v>
      </c>
    </row>
    <row r="107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4" t="s">
        <v>695</v>
      </c>
      <c r="AB107" s="4">
        <v>-12.0</v>
      </c>
    </row>
    <row r="108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O108" s="184"/>
      <c r="P108" s="184"/>
      <c r="Q108" s="184"/>
      <c r="S108" s="184"/>
      <c r="T108" s="184"/>
      <c r="U108" s="184"/>
      <c r="V108" s="184"/>
      <c r="W108" s="184"/>
      <c r="X108" s="184"/>
      <c r="Y108" s="184"/>
      <c r="Z108" s="184"/>
      <c r="AB108" s="4">
        <v>0.0</v>
      </c>
    </row>
    <row r="109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O109" s="184"/>
      <c r="P109" s="184"/>
      <c r="Q109" s="184"/>
      <c r="S109" s="184"/>
      <c r="T109" s="184"/>
      <c r="U109" s="184"/>
      <c r="V109" s="184"/>
      <c r="W109" s="184"/>
      <c r="X109" s="184"/>
      <c r="Y109" s="184"/>
      <c r="Z109" s="184"/>
      <c r="AB109" s="4">
        <v>-1.0</v>
      </c>
    </row>
    <row r="110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4" t="s">
        <v>696</v>
      </c>
      <c r="AB110" s="4">
        <v>-14.0</v>
      </c>
    </row>
    <row r="111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4" t="s">
        <v>697</v>
      </c>
      <c r="AB111" s="4">
        <v>-6.0</v>
      </c>
    </row>
    <row r="112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4" t="s">
        <v>698</v>
      </c>
      <c r="AB112" s="4">
        <v>-11.0</v>
      </c>
    </row>
    <row r="113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T113" s="184"/>
      <c r="U113" s="184"/>
      <c r="V113" s="184"/>
      <c r="W113" s="184"/>
      <c r="X113" s="184"/>
      <c r="Y113" s="184"/>
      <c r="Z113" s="184"/>
      <c r="AB113" s="4">
        <v>-8.0</v>
      </c>
    </row>
    <row r="114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4" t="s">
        <v>699</v>
      </c>
      <c r="AB114" s="4">
        <v>-1.0</v>
      </c>
    </row>
    <row r="115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O115" s="184"/>
      <c r="P115" s="184"/>
      <c r="Q115" s="184"/>
      <c r="S115" s="184"/>
      <c r="T115" s="184"/>
      <c r="U115" s="184"/>
      <c r="V115" s="184"/>
      <c r="W115" s="184"/>
      <c r="X115" s="184"/>
      <c r="Y115" s="184"/>
      <c r="Z115" s="184"/>
      <c r="AB115" s="4">
        <v>4.0</v>
      </c>
    </row>
    <row r="11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O116" s="184"/>
      <c r="P116" s="184"/>
      <c r="Q116" s="184"/>
      <c r="S116" s="184"/>
      <c r="T116" s="184"/>
      <c r="U116" s="184"/>
      <c r="V116" s="184"/>
      <c r="W116" s="184"/>
      <c r="X116" s="184"/>
      <c r="Y116" s="184"/>
      <c r="Z116" s="184"/>
      <c r="AB116" s="4">
        <v>-7.0</v>
      </c>
    </row>
    <row r="117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4" t="s">
        <v>700</v>
      </c>
      <c r="AB117" s="4">
        <v>12.0</v>
      </c>
    </row>
    <row r="118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O118" s="184"/>
      <c r="P118" s="184"/>
      <c r="Q118" s="184"/>
      <c r="S118" s="184"/>
      <c r="T118" s="184"/>
      <c r="U118" s="184"/>
      <c r="V118" s="184"/>
      <c r="W118" s="184"/>
      <c r="X118" s="184"/>
      <c r="Y118" s="184"/>
      <c r="Z118" s="184"/>
      <c r="AB118" s="4">
        <v>-1.0</v>
      </c>
    </row>
    <row r="119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4" t="s">
        <v>701</v>
      </c>
      <c r="AB119" s="4">
        <v>-17.0</v>
      </c>
    </row>
    <row r="120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T120" s="184"/>
      <c r="U120" s="184"/>
      <c r="V120" s="184"/>
      <c r="W120" s="184"/>
      <c r="X120" s="184"/>
      <c r="Y120" s="184"/>
      <c r="Z120" s="184"/>
      <c r="AB120" s="4">
        <v>-5.0</v>
      </c>
    </row>
    <row r="121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T121" s="184"/>
      <c r="U121" s="184"/>
      <c r="V121" s="184"/>
      <c r="W121" s="184"/>
      <c r="X121" s="184"/>
      <c r="Y121" s="184"/>
      <c r="Z121" s="184"/>
      <c r="AB121" s="4">
        <v>-6.0</v>
      </c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T122" s="184"/>
      <c r="U122" s="184"/>
      <c r="V122" s="184"/>
      <c r="W122" s="184"/>
      <c r="X122" s="184"/>
      <c r="Y122" s="184"/>
      <c r="Z122" s="184"/>
      <c r="AB122" s="4">
        <v>-6.0</v>
      </c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4" t="s">
        <v>702</v>
      </c>
      <c r="AB123" s="4">
        <v>-15.0</v>
      </c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S124" s="184"/>
      <c r="T124" s="184"/>
      <c r="U124" s="184"/>
      <c r="V124" s="184"/>
      <c r="W124" s="184"/>
      <c r="X124" s="184"/>
      <c r="Y124" s="184"/>
      <c r="Z124" s="184"/>
      <c r="AB124" s="4">
        <v>-6.0</v>
      </c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O125" s="184"/>
      <c r="P125" s="184"/>
      <c r="Q125" s="184"/>
      <c r="S125" s="184"/>
      <c r="T125" s="184"/>
      <c r="U125" s="184"/>
      <c r="V125" s="184"/>
      <c r="W125" s="184"/>
      <c r="X125" s="184"/>
      <c r="Y125" s="184"/>
      <c r="Z125" s="184"/>
      <c r="AB125" s="4">
        <v>0.0</v>
      </c>
    </row>
    <row r="1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O126" s="184"/>
      <c r="P126" s="184"/>
      <c r="Q126" s="184"/>
      <c r="S126" s="184"/>
      <c r="T126" s="184"/>
      <c r="U126" s="184"/>
      <c r="V126" s="184"/>
      <c r="W126" s="184"/>
      <c r="X126" s="184"/>
      <c r="Y126" s="184"/>
      <c r="Z126" s="184"/>
      <c r="AB126" s="4">
        <v>-12.0</v>
      </c>
    </row>
    <row r="127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O127" s="184"/>
      <c r="P127" s="184"/>
      <c r="Q127" s="184"/>
      <c r="S127" s="184"/>
      <c r="T127" s="184"/>
      <c r="U127" s="184"/>
      <c r="V127" s="184"/>
      <c r="W127" s="184"/>
      <c r="X127" s="184"/>
      <c r="Y127" s="184"/>
      <c r="Z127" s="184"/>
      <c r="AB127" s="4">
        <v>-11.0</v>
      </c>
    </row>
    <row r="128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4" t="s">
        <v>703</v>
      </c>
      <c r="AB128" s="4">
        <v>-11.0</v>
      </c>
    </row>
    <row r="129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T129" s="184"/>
      <c r="U129" s="184"/>
      <c r="V129" s="184"/>
      <c r="W129" s="184"/>
      <c r="X129" s="184"/>
      <c r="Y129" s="184"/>
      <c r="Z129" s="184"/>
      <c r="AB129" s="4">
        <v>-6.0</v>
      </c>
    </row>
    <row r="130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T130" s="184"/>
      <c r="U130" s="184"/>
      <c r="V130" s="184"/>
      <c r="W130" s="184"/>
      <c r="X130" s="184"/>
      <c r="Y130" s="184"/>
      <c r="Z130" s="184"/>
      <c r="AB130" s="4">
        <v>-8.0</v>
      </c>
    </row>
    <row r="131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O131" s="184"/>
      <c r="P131" s="184"/>
      <c r="Q131" s="184"/>
      <c r="S131" s="184"/>
      <c r="T131" s="184"/>
      <c r="U131" s="184"/>
      <c r="V131" s="184"/>
      <c r="W131" s="184"/>
      <c r="X131" s="184"/>
      <c r="Y131" s="184"/>
      <c r="Z131" s="184"/>
      <c r="AB131" s="4">
        <v>0.0</v>
      </c>
    </row>
    <row r="132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O132" s="184"/>
      <c r="P132" s="184"/>
      <c r="Q132" s="184"/>
      <c r="S132" s="184"/>
      <c r="T132" s="184"/>
      <c r="U132" s="184"/>
      <c r="V132" s="184"/>
      <c r="W132" s="184"/>
      <c r="X132" s="184"/>
      <c r="Y132" s="184"/>
      <c r="Z132" s="184"/>
      <c r="AB132" s="4">
        <v>0.0</v>
      </c>
    </row>
    <row r="133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O133" s="184"/>
      <c r="P133" s="184"/>
      <c r="Q133" s="184"/>
      <c r="S133" s="184"/>
      <c r="T133" s="184"/>
      <c r="U133" s="184"/>
      <c r="V133" s="184"/>
      <c r="W133" s="184"/>
      <c r="X133" s="184"/>
      <c r="Y133" s="184"/>
      <c r="Z133" s="184"/>
      <c r="AB133" s="4">
        <v>-8.0</v>
      </c>
    </row>
    <row r="134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S134" s="184"/>
      <c r="T134" s="184"/>
      <c r="U134" s="184"/>
      <c r="V134" s="184"/>
      <c r="W134" s="184"/>
      <c r="X134" s="184"/>
      <c r="Y134" s="184"/>
      <c r="Z134" s="184"/>
      <c r="AB134" s="4">
        <v>-8.0</v>
      </c>
    </row>
    <row r="135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S135" s="184"/>
      <c r="T135" s="184"/>
      <c r="U135" s="184"/>
      <c r="V135" s="184"/>
      <c r="W135" s="184"/>
      <c r="X135" s="184"/>
      <c r="Y135" s="184"/>
      <c r="Z135" s="184"/>
      <c r="AB135" s="4">
        <v>-8.0</v>
      </c>
    </row>
    <row r="13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O136" s="184"/>
      <c r="P136" s="184"/>
      <c r="Q136" s="184"/>
      <c r="S136" s="184"/>
      <c r="T136" s="184"/>
      <c r="U136" s="184"/>
      <c r="V136" s="184"/>
      <c r="W136" s="184"/>
      <c r="X136" s="184"/>
      <c r="Y136" s="184"/>
      <c r="Z136" s="184"/>
      <c r="AB136" s="4">
        <v>0.0</v>
      </c>
    </row>
    <row r="137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T137" s="184"/>
      <c r="U137" s="184"/>
      <c r="V137" s="184"/>
      <c r="W137" s="184"/>
      <c r="X137" s="184"/>
      <c r="Y137" s="184"/>
      <c r="Z137" s="184"/>
      <c r="AB137" s="4">
        <v>-5.0</v>
      </c>
    </row>
    <row r="138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O138" s="184"/>
      <c r="P138" s="184"/>
      <c r="Q138" s="184"/>
      <c r="S138" s="184"/>
      <c r="T138" s="184"/>
      <c r="U138" s="184"/>
      <c r="V138" s="184"/>
      <c r="W138" s="184"/>
      <c r="X138" s="184"/>
      <c r="Y138" s="184"/>
      <c r="Z138" s="184"/>
      <c r="AB138" s="4">
        <v>0.0</v>
      </c>
    </row>
    <row r="139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S139" s="184"/>
      <c r="T139" s="184"/>
      <c r="U139" s="184"/>
      <c r="V139" s="184"/>
      <c r="W139" s="184"/>
      <c r="X139" s="184"/>
      <c r="Y139" s="184"/>
      <c r="Z139" s="184"/>
      <c r="AB139" s="4">
        <v>-10.0</v>
      </c>
    </row>
    <row r="140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O140" s="184"/>
      <c r="P140" s="184"/>
      <c r="Q140" s="184"/>
      <c r="S140" s="184"/>
      <c r="T140" s="184"/>
      <c r="U140" s="184"/>
      <c r="V140" s="184"/>
      <c r="W140" s="184"/>
      <c r="X140" s="184"/>
      <c r="Y140" s="184"/>
      <c r="Z140" s="184"/>
      <c r="AB140" s="4">
        <v>-12.0</v>
      </c>
    </row>
    <row r="141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4" t="s">
        <v>704</v>
      </c>
      <c r="AB141" s="4">
        <v>-10.0</v>
      </c>
    </row>
  </sheetData>
  <mergeCells count="1">
    <mergeCell ref="A1:H1"/>
  </mergeCells>
  <drawing r:id="rId1"/>
</worksheet>
</file>