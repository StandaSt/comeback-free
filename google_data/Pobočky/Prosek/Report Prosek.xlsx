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<sst xmlns="http://schemas.openxmlformats.org/spreadsheetml/2006/main" count="1948" uniqueCount="710">
  <si>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</si>
  <si>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</si>
  <si>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</si>
  <si>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</si>
  <si>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</si>
  <si>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</si>
  <si>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</si>
  <si>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</si>
  <si>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</si>
  <si>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</si>
  <si>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</si>
  <si>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</si>
  <si>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</si>
  <si>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</si>
  <si>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</si>
  <si>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</si>
  <si>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</si>
  <si>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</si>
  <si>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</si>
  <si>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</si>
  <si>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</si>
  <si>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</si>
  <si>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</si>
  <si>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</si>
  <si>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</si>
  <si>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</si>
  <si>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</si>
  <si>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</si>
  <si>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</si>
  <si>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</si>
  <si>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</si>
  <si>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</si>
  <si>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</si>
  <si>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</si>
  <si>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</si>
  <si>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</si>
  <si>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</si>
  <si>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</si>
  <si>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</si>
  <si>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</si>
  <si>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</si>
  <si>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</si>
  <si>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</si>
  <si>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</si>
  <si>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</si>
  <si>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</si>
  <si>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</si>
  <si>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</si>
  <si>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</si>
  <si>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</si>
  <si>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</si>
  <si>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</si>
  <si>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</si>
  <si>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</si>
  <si>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</si>
  <si>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</si>
  <si>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</si>
  <si>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</si>
  <si>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</si>
  <si>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</si>
  <si>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</si>
  <si>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</si>
  <si>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</si>
  <si>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</si>
  <si>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</si>
  <si>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</si>
  <si>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</si>
  <si>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</si>
  <si>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</si>
  <si>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</si>
  <si>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</si>
  <si>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</si>
  <si>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</si>
  <si>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</si>
  <si>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</si>
  <si>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</si>
  <si>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</si>
  <si>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</si>
  <si>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</si>
  <si>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</si>
  <si>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</si>
  <si>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</si>
  <si>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</si>
  <si>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</si>
  <si>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</si>
  <si>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</si>
  <si>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</si>
  <si>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</si>
  <si>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</si>
  <si>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</si>
  <si>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</si>
  <si>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</si>
  <si>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</si>
  <si>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</si>
  <si>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</si>
  <si>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</si>
  <si>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</si>
  <si>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</si>
  <si>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</si>
  <si>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</si>
  <si>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</si>
  <si>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</si>
  <si>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</si>
  <si>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</si>
  <si>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</si>
  <si>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</si>
  <si>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</si>
  <si>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</si>
  <si>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</si>
  <si>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</si>
  <si>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</si>
  <si>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</si>
  <si>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</si>
  <si>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</si>
  <si>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</si>
  <si>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</si>
  <si>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</si>
  <si>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</si>
  <si>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</si>
  <si>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</si>
  <si>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</si>
  <si>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</si>
  <si>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</si>
  <si>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</si>
  <si>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</si>
  <si>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</si>
  <si>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</si>
  <si>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</si>
  <si>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</si>
  <si>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</si>
  <si>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</si>
  <si>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</si>
  <si>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</si>
  <si>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</si>
  <si>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</si>
  <si>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</si>
  <si>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</si>
  <si>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</si>
  <si>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</si>
  <si>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</si>
  <si>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</si>
  <si>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</si>
  <si>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</si>
  <si>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</si>
  <si>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</si>
  <si>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</si>
  <si>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</si>
  <si>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</si>
  <si>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</si>
  <si>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</si>
  <si>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</si>
  <si>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</si>
  <si>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</si>
  <si>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</si>
  <si>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</si>
  <si>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</si>
  <si>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</si>
  <si>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</si>
  <si>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</si>
  <si>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</si>
  <si>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</si>
  <si>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</si>
  <si>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</si>
  <si>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</si>
  <si>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</si>
  <si>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</si>
  <si>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</si>
  <si>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</si>
  <si>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</si>
  <si>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</si>
  <si>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</si>
  <si>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</si>
  <si>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</si>
  <si>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</si>
  <si>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</si>
  <si>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</si>
  <si>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</si>
  <si>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</si>
  <si>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</si>
  <si>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</si>
  <si>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</si>
  <si>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</si>
  <si>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</si>
  <si>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</si>
  <si>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</si>
  <si>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</si>
  <si>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</si>
  <si>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</si>
  <si>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</si>
  <si>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</si>
  <si>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</si>
  <si>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</si>
  <si>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</si>
  <si>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</si>
  <si>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</si>
  <si>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</si>
  <si>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</si>
  <si>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</si>
  <si>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</si>
  <si>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</si>
  <si>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</si>
  <si>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</si>
  <si>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</si>
  <si>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</si>
  <si>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</si>
  <si>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</si>
  <si>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</si>
  <si>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</si>
  <si>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</si>
  <si>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</si>
  <si>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</si>
  <si>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</si>
  <si>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</si>
  <si>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</si>
  <si>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</si>
  <si>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</si>
  <si>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</si>
  <si>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</si>
  <si>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</si>
  <si>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</si>
  <si>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</si>
  <si>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</si>
  <si>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</si>
  <si>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</si>
  <si>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</si>
  <si>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</si>
  <si>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</si>
  <si>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</si>
  <si>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</si>
  <si>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</si>
  <si>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</si>
  <si>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</si>
  <si>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</si>
  <si>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</si>
  <si>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</si>
  <si>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</si>
  <si>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</si>
  <si>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</si>
  <si>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</si>
  <si>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</si>
  <si>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</si>
  <si>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</si>
  <si>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</si>
  <si>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</si>
  <si>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</si>
  <si>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</si>
  <si>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</si>
  <si>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</si>
  <si>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</si>
  <si>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</si>
  <si>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</si>
  <si>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</si>
  <si>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</si>
  <si>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</si>
  <si>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</si>
  <si>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</si>
  <si>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</si>
  <si>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</si>
  <si>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</si>
  <si>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</si>
  <si>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</si>
  <si>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</si>
  <si>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</si>
  <si>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</si>
  <si>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</si>
  <si>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</si>
  <si>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</si>
  <si>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</si>
  <si>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</si>
  <si>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</si>
  <si>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</si>
  <si>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</si>
  <si>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</si>
  <si>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</si>
  <si>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</si>
  <si>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</si>
  <si>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</si>
  <si>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</si>
  <si>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</si>
  <si>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</si>
  <si>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</si>
  <si>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</si>
  <si>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</si>
  <si>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</si>
  <si>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</si>
  <si>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</si>
  <si>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</si>
  <si>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</si>
  <si>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</si>
  <si>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</si>
  <si>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</si>
  <si>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</si>
  <si>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</si>
  <si>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</si>
  <si>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</si>
  <si>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</si>
  <si>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</si>
  <si>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</si>
  <si>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</si>
  <si>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</si>
  <si>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</si>
  <si>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</si>
  <si>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</si>
  <si>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</si>
  <si>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</si>
  <si>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</si>
  <si>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</si>
  <si>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</si>
  <si>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</si>
  <si>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</si>
  <si>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</si>
  <si>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</si>
  <si>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</si>
  <si>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</si>
  <si>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</si>
  <si>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</si>
  <si>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</si>
  <si>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</si>
  <si>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</si>
  <si>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</si>
  <si>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</si>
  <si>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</si>
  <si>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</si>
  <si>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</si>
  <si>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</si>
  <si>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</si>
  <si>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</si>
  <si>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</si>
  <si>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</si>
  <si>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</si>
  <si>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</si>
  <si>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</si>
  <si>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</si>
  <si>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</si>
  <si>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</si>
  <si>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</si>
  <si>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</si>
  <si>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</si>
  <si>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</si>
  <si>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</si>
  <si>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</si>
  <si>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</si>
  <si>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</si>
  <si>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</si>
  <si>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</si>
  <si>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</si>
  <si>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</si>
  <si>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</si>
  <si>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</si>
  <si>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</si>
  <si>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</si>
  <si>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</si>
  <si>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</si>
  <si>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</si>
  <si>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</si>
  <si>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</si>
  <si>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</si>
  <si>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</si>
  <si>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</si>
  <si>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</si>
  <si>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</si>
  <si>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</si>
  <si>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</si>
  <si>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</si>
  <si>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</si>
  <si>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</si>
  <si>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</si>
  <si>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</si>
  <si>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</si>
  <si>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</si>
  <si>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</si>
  <si>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</si>
  <si>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</si>
  <si>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</si>
  <si>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</si>
  <si>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</si>
  <si>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</si>
  <si>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</si>
  <si>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</si>
  <si>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</si>
  <si>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</si>
  <si>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</si>
  <si>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</si>
  <si>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</si>
  <si>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</si>
  <si>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</si>
  <si>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</si>
  <si>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</si>
  <si>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</si>
  <si>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</si>
  <si>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</si>
  <si>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</si>
  <si>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</si>
  <si>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</si>
  <si>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</si>
  <si>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</si>
  <si>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</si>
  <si>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</si>
  <si>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</si>
  <si>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</si>
  <si>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</si>
  <si>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</si>
  <si>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</si>
  <si>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</si>
  <si>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</si>
  <si>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</si>
  <si>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</si>
  <si>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</si>
  <si>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</si>
  <si>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</si>
  <si>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</si>
  <si>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</si>
  <si>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</si>
  <si>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</si>
  <si>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</si>
  <si>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</si>
  <si>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</si>
  <si>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</si>
  <si>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</si>
  <si>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</si>
  <si>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</si>
  <si>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</si>
  <si>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</si>
  <si>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</si>
  <si>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</si>
  <si>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</si>
  <si>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</si>
  <si>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</si>
  <si>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</si>
  <si>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</si>
  <si>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</si>
  <si>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</si>
  <si>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</si>
  <si>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</si>
  <si>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</si>
  <si>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</si>
  <si>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</si>
  <si>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</si>
  <si>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</si>
  <si>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</si>
  <si>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</si>
  <si>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</si>
  <si>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</si>
  <si>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</si>
  <si>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</si>
  <si>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</si>
  <si>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</si>
  <si>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</si>
  <si>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</si>
  <si>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</si>
  <si>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</si>
  <si>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</si>
  <si>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</si>
  <si>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</si>
  <si>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</si>
  <si>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</si>
  <si>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</si>
  <si>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</si>
  <si>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</si>
  <si>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</si>
  <si>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</si>
  <si>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</si>
  <si>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</si>
  <si>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</si>
  <si>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</si>
  <si>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</si>
  <si>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</si>
  <si>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</si>
  <si>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</si>
  <si>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</si>
  <si>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</si>
  <si>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</si>
  <si>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</si>
  <si>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</si>
  <si>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</si>
  <si>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</si>
  <si>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</si>
  <si>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</si>
  <si>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</si>
  <si>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</si>
  <si>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</si>
  <si>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</si>
  <si>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</si>
  <si>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</si>
  <si>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</si>
  <si>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</si>
  <si>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</si>
  <si>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</si>
  <si>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</si>
  <si>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</si>
  <si>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</si>
  <si>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</si>
  <si>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</si>
  <si>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</si>
  <si>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</si>
  <si>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</si>
  <si>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</si>
  <si>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</si>
  <si>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</si>
  <si>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</si>
  <si>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</si>
  <si>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</si>
  <si>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</si>
  <si>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</si>
  <si>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</si>
  <si>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</si>
  <si>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</si>
  <si>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</si>
  <si>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</si>
  <si>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</si>
  <si>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</si>
  <si>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</si>
  <si>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</si>
  <si>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</si>
  <si>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</si>
  <si>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</si>
  <si>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</si>
  <si>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</si>
  <si>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</si>
  <si>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</si>
  <si>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</si>
  <si>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</si>
  <si>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</si>
  <si>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</si>
  <si>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</si>
  <si>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</si>
  <si>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</si>
  <si>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</si>
  <si>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</si>
  <si>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</si>
  <si>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</si>
  <si>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</si>
  <si>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</si>
  <si>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</si>
  <si>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</si>
  <si>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</si>
  <si>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</si>
  <si>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</si>
  <si>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</si>
  <si>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</si>
  <si>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</si>
  <si>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</si>
  <si>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</si>
  <si>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</si>
  <si>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</si>
  <si>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</si>
  <si>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</si>
  <si>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</si>
  <si>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</si>
  <si>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</si>
  <si>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</si>
  <si>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</si>
  <si>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</si>
  <si>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</si>
  <si>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</si>
  <si>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</si>
  <si>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</si>
  <si>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</si>
  <si>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</si>
  <si>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</si>
  <si>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</si>
  <si>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</si>
  <si>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</si>
  <si>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</si>
  <si>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</si>
  <si>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</si>
  <si>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</si>
  <si>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</si>
  <si>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</si>
  <si>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</si>
  <si>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</si>
  <si>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</si>
  <si>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</si>
  <si>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</si>
  <si>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</si>
  <si>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</si>
  <si>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</si>
  <si>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</si>
  <si>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</si>
  <si>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</si>
  <si>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</si>
  <si>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</si>
  <si>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</si>
  <si>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</si>
  <si>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</si>
  <si>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</si>
  <si>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</si>
  <si>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</si>
  <si>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</si>
  <si>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</si>
  <si>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</si>
  <si>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</si>
  <si>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</si>
  <si>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</si>
  <si>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</si>
  <si>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</si>
  <si>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</si>
  <si>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</si>
  <si>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</si>
  <si>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</si>
  <si>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</si>
  <si>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</si>
  <si>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</si>
  <si>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</si>
  <si>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</si>
  <si>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</si>
  <si>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</si>
  <si>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Putna Jaroslav</t>
  </si>
  <si>
    <t>10:00</t>
  </si>
  <si>
    <t>18:00</t>
  </si>
  <si>
    <t>Výdaje</t>
  </si>
  <si>
    <t>Nováková Adéla</t>
  </si>
  <si>
    <t>01:00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</si>
  <si>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</si>
  <si>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</si>
  <si>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</si>
  <si>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</si>
  <si>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</si>
  <si>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</si>
  <si>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</si>
  <si>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</si>
  <si>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</si>
  <si>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</si>
  <si>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</si>
  <si>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</si>
  <si>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</si>
  <si>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</si>
  <si>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</si>
  <si>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</si>
  <si>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</si>
  <si>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Vychivskyi Volodymyr</t>
  </si>
  <si>
    <t>11:00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</si>
  <si>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</si>
  <si>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</si>
  <si>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</si>
  <si>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</si>
  <si>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</si>
  <si>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</si>
  <si>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</si>
  <si>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</si>
  <si>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</si>
  <si>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</si>
  <si>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Yarushynskyi Vladyslav</t>
  </si>
  <si>
    <t>12:00</t>
  </si>
  <si>
    <t>29:00</t>
  </si>
  <si>
    <t>14:00</t>
  </si>
  <si>
    <t>Šebesta Tomáš</t>
  </si>
  <si>
    <t>23:00</t>
  </si>
  <si>
    <t>13:00</t>
  </si>
  <si>
    <t>7:00</t>
  </si>
  <si>
    <t>10 min 13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</si>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</sst>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46177.0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SUM(RestiaCSV!C:C) - SUMIFS(RestiaCSV!C:C, RestiaCSV!B:B, "canceled")</f>
        <v>0</v>
      </c>
      <c r="K2" s="20"/>
      <c r="L2" s="22" t="s">
        <v>589</v>
      </c>
      <c r="M2" s="23">
        <f>SUMIFS(RestiaCSV!C:C, RestiaCSV!A:A, Report!L2, RestiaCSV!B:B, "&lt;&gt;canceled")</f>
        <v>0</v>
      </c>
    </row>
    <row r="3">
      <c r="A3" s="24"/>
      <c r="B3" s="25" t="str">
        <f>CHOOSE(WEEKDAY(D1), "Neděle", "Pondělí", "Úterý", "Středa", "Čtvrtek", "Pátek", "Sobota")</f>
        <v>Čtvrtek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 t="s">
        <v>607</v>
      </c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2001.648</v>
      </c>
      <c r="B12" s="50" t="s">
        <v>607</v>
      </c>
      <c r="C12" s="51" t="s">
        <v>608</v>
      </c>
      <c r="D12" s="51" t="s">
        <v>609</v>
      </c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08:00</v>
      </c>
      <c r="I12" s="20"/>
      <c r="J12" s="35"/>
      <c r="K12" s="20"/>
      <c r="L12" s="54" t="s">
        <v>610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 t="s">
        <v>611</v>
      </c>
      <c r="C13" s="51" t="s">
        <v>609</v>
      </c>
      <c r="D13" s="51" t="s">
        <v>612</v>
      </c>
      <c r="E13" s="52"/>
      <c r="F13" s="53" t="str">
        <f t="shared" si="1"/>
        <v>07:00</v>
      </c>
      <c r="G13" s="27"/>
      <c r="H13" s="27"/>
      <c r="I13" s="18"/>
      <c r="J13" s="35"/>
      <c r="K13" s="20"/>
      <c r="L13" s="22" t="s">
        <v>613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614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615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616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617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618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 t="s">
        <v>611</v>
      </c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619</v>
      </c>
      <c r="K22" s="70" t="s">
        <v>620</v>
      </c>
      <c r="L22" s="71" t="s">
        <v>621</v>
      </c>
      <c r="M22" s="71" t="s">
        <v>622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623</v>
      </c>
      <c r="H24" s="75" t="s">
        <v>624</v>
      </c>
      <c r="I24" s="76" t="s">
        <v>625</v>
      </c>
      <c r="J24" s="77" t="s">
        <v>626</v>
      </c>
      <c r="K24" s="78" t="s">
        <v>627</v>
      </c>
      <c r="L24" s="77" t="s">
        <v>628</v>
      </c>
      <c r="M24" s="78" t="s">
        <v>629</v>
      </c>
    </row>
    <row r="25">
      <c r="A25" s="49">
        <f t="array" ref="A25">IF(ISBLANK(B25), 0, IF(ISNUMBER(MATCH(B25, HR!A:A, 0)), 0, IF(ISNUMBER(MATCH(B25, HR!B:B, 0)), INDEX(HR!V:V, MATCH(B25, HR!B:B, 0)) * (F25 * 24), 0)))</f>
        <v>3502.884</v>
      </c>
      <c r="B25" s="50" t="s">
        <v>630</v>
      </c>
      <c r="C25" s="79" t="s">
        <v>631</v>
      </c>
      <c r="D25" s="79" t="s">
        <v>612</v>
      </c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14:00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6">
        <f t="shared" si="3"/>
        <v>0</v>
      </c>
      <c r="J27" s="89" t="s">
        <v>632</v>
      </c>
      <c r="K27" s="90"/>
      <c r="L27" s="77" t="s">
        <v>633</v>
      </c>
      <c r="M27" s="78" t="s">
        <v>634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635</v>
      </c>
      <c r="M30" s="78" t="s">
        <v>636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637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Tomáš,Coufal Jakub,Nováková Adéla,Makula Radek,Yarushynskyi Vladyslav,Gorol Patrik,Putna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  <dataValidation type="list" allowBlank="1" sqref="G11 G19">
      <formula1>"Putna Jaroslav,Nováková Adéla"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46174.0</v>
      </c>
      <c r="D1" s="108" t="s">
        <v>638</v>
      </c>
      <c r="E1" s="109">
        <v>46203.0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0.3441024629731718</v>
      </c>
      <c r="H2" s="20"/>
      <c r="I2" s="113">
        <v>58728.10999999999</v>
      </c>
      <c r="K2" s="20"/>
      <c r="L2" s="114" t="s">
        <v>589</v>
      </c>
      <c r="M2" s="115">
        <v>25378.1</v>
      </c>
      <c r="N2" s="116"/>
    </row>
    <row r="3">
      <c r="A3" s="117"/>
      <c r="B3" s="118" t="str">
        <f>CHOOSE(WEEKDAY(C1), "Neděle", "Pondělí", "Úterý", "Středa", "Čtvrtek", "Pátek", "Sobota")</f>
        <v>Pondělí</v>
      </c>
      <c r="C3" s="26"/>
      <c r="D3" s="118" t="str">
        <f>CHOOSE(WEEKDAY(E1), "Neděle", "Pondělí", "Úterý", "Středa", "Čtvrtek", "Pátek", "Sobota")</f>
        <v>Úterý</v>
      </c>
      <c r="E3" s="10"/>
      <c r="H3" s="20"/>
      <c r="K3" s="20"/>
      <c r="L3" s="119" t="s">
        <v>590</v>
      </c>
      <c r="M3" s="120">
        <v>15822.0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5305.01</v>
      </c>
      <c r="N4" s="116"/>
    </row>
    <row r="5">
      <c r="A5" s="121"/>
      <c r="B5" s="122" t="s">
        <v>639</v>
      </c>
      <c r="C5" s="26"/>
      <c r="D5" s="26"/>
      <c r="E5" s="10"/>
      <c r="F5" s="123" t="s">
        <v>640</v>
      </c>
      <c r="G5" s="26"/>
      <c r="H5" s="26"/>
      <c r="I5" s="26"/>
      <c r="J5" s="26"/>
      <c r="K5" s="10"/>
      <c r="L5" s="124" t="s">
        <v>593</v>
      </c>
      <c r="M5" s="120">
        <v>4430.0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0.0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42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14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641</v>
      </c>
      <c r="D9" s="138" t="s">
        <v>606</v>
      </c>
      <c r="E9" s="139"/>
      <c r="F9" s="137" t="s">
        <v>602</v>
      </c>
      <c r="G9" s="138" t="s">
        <v>641</v>
      </c>
      <c r="H9" s="138" t="s">
        <v>606</v>
      </c>
      <c r="I9" s="140" t="s">
        <v>623</v>
      </c>
      <c r="J9" s="141">
        <v>4.000000000003638</v>
      </c>
      <c r="K9" s="10"/>
      <c r="L9" s="142" t="s">
        <v>597</v>
      </c>
      <c r="M9" s="120">
        <v>4042.0</v>
      </c>
      <c r="N9" s="116"/>
    </row>
    <row r="10" ht="18.75" customHeight="1">
      <c r="A10" s="143"/>
      <c r="B10" s="144" t="s">
        <v>642</v>
      </c>
      <c r="C10" s="145">
        <v>1.0</v>
      </c>
      <c r="D10" s="145" t="s">
        <v>643</v>
      </c>
      <c r="E10" s="146" t="s">
        <v>644</v>
      </c>
      <c r="F10" s="144" t="s">
        <v>630</v>
      </c>
      <c r="G10" s="145">
        <v>1.0</v>
      </c>
      <c r="H10" s="145" t="s">
        <v>645</v>
      </c>
      <c r="I10" s="147">
        <v>4.0</v>
      </c>
      <c r="J10" s="35"/>
      <c r="K10" s="20"/>
      <c r="L10" s="142" t="s">
        <v>601</v>
      </c>
      <c r="M10" s="120">
        <v>0.0</v>
      </c>
      <c r="N10" s="116"/>
    </row>
    <row r="11" ht="18.75" customHeight="1">
      <c r="A11" s="143"/>
      <c r="B11" s="144" t="s">
        <v>646</v>
      </c>
      <c r="C11" s="145">
        <v>2.0</v>
      </c>
      <c r="D11" s="145" t="s">
        <v>609</v>
      </c>
      <c r="E11" s="146" t="s">
        <v>647</v>
      </c>
      <c r="F11" s="144"/>
      <c r="G11" s="145"/>
      <c r="H11" s="145"/>
      <c r="I11" s="147"/>
      <c r="J11" s="35"/>
      <c r="K11" s="20"/>
      <c r="L11" s="148" t="s">
        <v>596</v>
      </c>
      <c r="M11" s="149">
        <v>3575.0</v>
      </c>
      <c r="N11" s="116"/>
    </row>
    <row r="12" ht="18.75" customHeight="1">
      <c r="A12" s="143"/>
      <c r="B12" s="144" t="s">
        <v>611</v>
      </c>
      <c r="C12" s="145">
        <v>1.0</v>
      </c>
      <c r="D12" s="145" t="s">
        <v>643</v>
      </c>
      <c r="E12" s="146" t="s">
        <v>648</v>
      </c>
      <c r="F12" s="144"/>
      <c r="G12" s="145"/>
      <c r="H12" s="145"/>
      <c r="I12" s="147"/>
      <c r="J12" s="35"/>
      <c r="K12" s="20"/>
      <c r="L12" s="150" t="s">
        <v>610</v>
      </c>
      <c r="M12" s="18"/>
      <c r="N12" s="111"/>
    </row>
    <row r="13" ht="18.75" customHeight="1">
      <c r="A13" s="143"/>
      <c r="B13" s="144"/>
      <c r="C13" s="145"/>
      <c r="D13" s="145"/>
      <c r="E13" s="146" t="s">
        <v>648</v>
      </c>
      <c r="F13" s="144"/>
      <c r="G13" s="145"/>
      <c r="H13" s="145"/>
      <c r="I13" s="147"/>
      <c r="J13" s="35"/>
      <c r="K13" s="20"/>
      <c r="L13" s="142" t="s">
        <v>613</v>
      </c>
      <c r="M13" s="120">
        <v>0.0</v>
      </c>
      <c r="N13" s="116"/>
    </row>
    <row r="14" ht="18.75" customHeight="1">
      <c r="A14" s="143"/>
      <c r="B14" s="144"/>
      <c r="C14" s="145"/>
      <c r="D14" s="145"/>
      <c r="E14" s="146" t="s">
        <v>649</v>
      </c>
      <c r="F14" s="144"/>
      <c r="G14" s="145"/>
      <c r="H14" s="145"/>
      <c r="I14" s="147"/>
      <c r="J14" s="35"/>
      <c r="K14" s="20"/>
      <c r="L14" s="151" t="s">
        <v>614</v>
      </c>
      <c r="M14" s="120">
        <v>0.0</v>
      </c>
      <c r="N14" s="116"/>
    </row>
    <row r="15" ht="18.75" customHeight="1">
      <c r="A15" s="143"/>
      <c r="B15" s="144"/>
      <c r="C15" s="145"/>
      <c r="D15" s="145"/>
      <c r="E15" s="146" t="s">
        <v>649</v>
      </c>
      <c r="F15" s="144"/>
      <c r="G15" s="145"/>
      <c r="H15" s="145"/>
      <c r="I15" s="147"/>
      <c r="J15" s="35"/>
      <c r="K15" s="20"/>
      <c r="L15" s="151" t="s">
        <v>615</v>
      </c>
      <c r="M15" s="120">
        <v>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616</v>
      </c>
      <c r="M16" s="120">
        <v>0.0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617</v>
      </c>
      <c r="M17" s="154">
        <v>180.0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619</v>
      </c>
      <c r="K19" s="158" t="s">
        <v>620</v>
      </c>
      <c r="L19" s="159" t="s">
        <v>621</v>
      </c>
      <c r="M19" s="160" t="s">
        <v>622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1.0</v>
      </c>
      <c r="K21" s="165">
        <v>817.0</v>
      </c>
      <c r="L21" s="166">
        <v>0.0</v>
      </c>
      <c r="M21" s="167" t="s">
        <v>650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626</v>
      </c>
      <c r="K22" s="169" t="s">
        <v>627</v>
      </c>
      <c r="L22" s="170" t="s">
        <v>628</v>
      </c>
      <c r="M22" s="171" t="s">
        <v>629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1.0</v>
      </c>
      <c r="K24" s="166">
        <v>130.0</v>
      </c>
      <c r="L24" s="166">
        <v>11.0</v>
      </c>
      <c r="M24" s="173">
        <v>0.0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632</v>
      </c>
      <c r="K25" s="90"/>
      <c r="L25" s="175" t="s">
        <v>633</v>
      </c>
      <c r="M25" s="176" t="s">
        <v>634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0.0</v>
      </c>
      <c r="K27" s="94"/>
      <c r="L27" s="179">
        <v>0.0</v>
      </c>
      <c r="M27" s="180">
        <v>0.0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635</v>
      </c>
      <c r="M28" s="176" t="s">
        <v>636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1.0</v>
      </c>
      <c r="M30" s="184">
        <v>0.0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185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185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185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4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185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E6" s="185"/>
      <c r="AF6" s="185"/>
    </row>
    <row r="7">
      <c r="A7" s="4"/>
      <c r="B7" s="4"/>
      <c r="C7" s="186"/>
      <c r="D7" s="4"/>
      <c r="E7" s="4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</row>
    <row r="8">
      <c r="A8" s="4"/>
      <c r="B8" s="4"/>
      <c r="C8" s="186"/>
      <c r="D8" s="4"/>
      <c r="E8" s="4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185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185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E11" s="185"/>
      <c r="AF11" s="185"/>
    </row>
    <row r="12">
      <c r="A12" s="4"/>
      <c r="B12" s="4"/>
      <c r="C12" s="4"/>
      <c r="D12" s="4"/>
      <c r="E12" s="185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185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4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185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185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185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185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185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185"/>
      <c r="F21" s="4"/>
      <c r="G21" s="4"/>
      <c r="H21" s="4"/>
      <c r="I21" s="185"/>
      <c r="J21" s="185"/>
      <c r="K21" s="185"/>
      <c r="L21" s="4"/>
      <c r="M21" s="4"/>
      <c r="N21" s="185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185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185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185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4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4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4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185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185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185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185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185"/>
      <c r="F36" s="4"/>
      <c r="G36" s="4"/>
      <c r="H36" s="4"/>
      <c r="I36" s="4"/>
      <c r="J36" s="4"/>
      <c r="K36" s="185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185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4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</row>
    <row r="41">
      <c r="A41" s="4"/>
      <c r="B41" s="4"/>
      <c r="C41" s="186"/>
      <c r="D41" s="4"/>
      <c r="E41" s="4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4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185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4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185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4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185"/>
      <c r="F48" s="4"/>
      <c r="G48" s="4"/>
      <c r="H48" s="4"/>
      <c r="I48" s="4"/>
      <c r="J48" s="4"/>
      <c r="K48" s="185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185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4"/>
      <c r="F52" s="4"/>
      <c r="G52" s="4"/>
      <c r="H52" s="4"/>
      <c r="I52" s="4"/>
      <c r="J52" s="4"/>
      <c r="K52" s="185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185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185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4"/>
      <c r="F56" s="4"/>
      <c r="G56" s="4"/>
      <c r="H56" s="4"/>
      <c r="I56" s="4"/>
      <c r="J56" s="4"/>
      <c r="K56" s="185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185"/>
      <c r="F57" s="4"/>
      <c r="G57" s="4"/>
      <c r="H57" s="4"/>
      <c r="I57" s="4"/>
      <c r="J57" s="4"/>
      <c r="K57" s="185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185"/>
      <c r="F58" s="4"/>
      <c r="G58" s="4"/>
      <c r="H58" s="4"/>
      <c r="I58" s="4"/>
      <c r="J58" s="4"/>
      <c r="K58" s="185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4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4"/>
      <c r="F60" s="4"/>
      <c r="G60" s="4"/>
      <c r="H60" s="4"/>
      <c r="I60" s="4"/>
      <c r="J60" s="4"/>
      <c r="K60" s="185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185"/>
      <c r="F61" s="4"/>
      <c r="G61" s="4"/>
      <c r="H61" s="4"/>
      <c r="I61" s="4"/>
      <c r="J61" s="4"/>
      <c r="K61" s="185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185"/>
      <c r="F62" s="4"/>
      <c r="G62" s="4"/>
      <c r="H62" s="4"/>
      <c r="I62" s="4"/>
      <c r="J62" s="4"/>
      <c r="K62" s="185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4"/>
      <c r="F63" s="4"/>
      <c r="G63" s="4"/>
      <c r="H63" s="4"/>
      <c r="I63" s="4"/>
      <c r="J63" s="4"/>
      <c r="K63" s="185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4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185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E65" s="185"/>
      <c r="AF65" s="185"/>
    </row>
    <row r="66">
      <c r="A66" s="4"/>
      <c r="B66" s="4"/>
      <c r="C66" s="186"/>
      <c r="D66" s="4"/>
      <c r="E66" s="4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185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4"/>
      <c r="B68" s="4"/>
      <c r="C68" s="4"/>
      <c r="D68" s="4"/>
      <c r="E68" s="185"/>
      <c r="F68" s="4"/>
      <c r="G68" s="4"/>
      <c r="H68" s="4"/>
      <c r="I68" s="4"/>
      <c r="J68" s="4"/>
      <c r="K68" s="185"/>
      <c r="L68" s="4"/>
      <c r="M68" s="4"/>
      <c r="N68" s="4"/>
      <c r="O68" s="4"/>
      <c r="P68" s="4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4"/>
      <c r="B69" s="4"/>
      <c r="C69" s="4"/>
      <c r="D69" s="4"/>
      <c r="E69" s="185"/>
      <c r="F69" s="4"/>
      <c r="G69" s="4"/>
      <c r="H69" s="4"/>
      <c r="I69" s="4"/>
      <c r="J69" s="4"/>
      <c r="K69" s="185"/>
      <c r="L69" s="4"/>
      <c r="M69" s="4"/>
      <c r="N69" s="4"/>
      <c r="O69" s="4"/>
      <c r="P69" s="4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4"/>
      <c r="B70" s="4"/>
      <c r="C70" s="186"/>
      <c r="D70" s="4"/>
      <c r="E70" s="185"/>
      <c r="F70" s="4"/>
      <c r="G70" s="4"/>
      <c r="H70" s="4"/>
      <c r="I70" s="4"/>
      <c r="J70" s="4"/>
      <c r="K70" s="185"/>
      <c r="L70" s="4"/>
      <c r="M70" s="4"/>
      <c r="N70" s="4"/>
      <c r="O70" s="4"/>
      <c r="P70" s="4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4"/>
      <c r="B71" s="4"/>
      <c r="C71" s="186"/>
      <c r="D71" s="4"/>
      <c r="E71" s="185"/>
      <c r="F71" s="4"/>
      <c r="G71" s="4"/>
      <c r="H71" s="4"/>
      <c r="I71" s="4"/>
      <c r="J71" s="4"/>
      <c r="K71" s="185"/>
      <c r="L71" s="4"/>
      <c r="M71" s="4"/>
      <c r="N71" s="4"/>
      <c r="O71" s="4"/>
      <c r="P71" s="4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E71" s="185"/>
      <c r="AF71" s="185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85"/>
      <c r="L72" s="4"/>
      <c r="M72" s="4"/>
      <c r="N72" s="4"/>
      <c r="O72" s="4"/>
      <c r="P72" s="4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E72" s="185"/>
      <c r="AF72" s="185"/>
    </row>
    <row r="73">
      <c r="A73" s="4"/>
      <c r="B73" s="4"/>
      <c r="C73" s="186"/>
      <c r="D73" s="4"/>
      <c r="E73" s="4"/>
      <c r="F73" s="4"/>
      <c r="G73" s="4"/>
      <c r="H73" s="4"/>
      <c r="I73" s="4"/>
      <c r="J73" s="4"/>
      <c r="K73" s="185"/>
      <c r="L73" s="4"/>
      <c r="M73" s="4"/>
      <c r="N73" s="4"/>
      <c r="O73" s="4"/>
      <c r="P73" s="4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4"/>
      <c r="B74" s="186"/>
      <c r="C74" s="186"/>
      <c r="D74" s="4"/>
      <c r="E74" s="4"/>
      <c r="F74" s="4"/>
      <c r="G74" s="4"/>
      <c r="H74" s="4"/>
      <c r="I74" s="4"/>
      <c r="J74" s="4"/>
      <c r="K74" s="185"/>
      <c r="L74" s="4"/>
      <c r="M74" s="4"/>
      <c r="N74" s="4"/>
      <c r="O74" s="4"/>
      <c r="P74" s="4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85"/>
      <c r="L75" s="4"/>
      <c r="M75" s="4"/>
      <c r="N75" s="4"/>
      <c r="O75" s="4"/>
      <c r="P75" s="4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4"/>
      <c r="B76" s="4"/>
      <c r="C76" s="4"/>
      <c r="D76" s="4"/>
      <c r="E76" s="185"/>
      <c r="F76" s="4"/>
      <c r="G76" s="4"/>
      <c r="H76" s="4"/>
      <c r="I76" s="4"/>
      <c r="J76" s="4"/>
      <c r="K76" s="185"/>
      <c r="L76" s="4"/>
      <c r="M76" s="4"/>
      <c r="N76" s="4"/>
      <c r="O76" s="4"/>
      <c r="P76" s="4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4"/>
      <c r="B77" s="4"/>
      <c r="C77" s="4"/>
      <c r="D77" s="4"/>
      <c r="E77" s="185"/>
      <c r="F77" s="4"/>
      <c r="G77" s="4"/>
      <c r="H77" s="4"/>
      <c r="I77" s="4"/>
      <c r="J77" s="4"/>
      <c r="K77" s="185"/>
      <c r="L77" s="4"/>
      <c r="M77" s="4"/>
      <c r="N77" s="4"/>
      <c r="O77" s="4"/>
      <c r="P77" s="4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</row>
    <row r="78">
      <c r="A78" s="4"/>
      <c r="B78" s="4"/>
      <c r="C78" s="186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</row>
    <row r="79">
      <c r="A79" s="4"/>
      <c r="B79" s="4"/>
      <c r="C79" s="186"/>
      <c r="D79" s="4"/>
      <c r="E79" s="4"/>
      <c r="F79" s="4"/>
      <c r="G79" s="4"/>
      <c r="H79" s="4"/>
      <c r="I79" s="4"/>
      <c r="J79" s="4"/>
      <c r="K79" s="185"/>
      <c r="L79" s="4"/>
      <c r="M79" s="4"/>
      <c r="N79" s="4"/>
      <c r="O79" s="4"/>
      <c r="P79" s="4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4"/>
      <c r="B80" s="4"/>
      <c r="C80" s="186"/>
      <c r="D80" s="4"/>
      <c r="E80" s="185"/>
      <c r="F80" s="4"/>
      <c r="G80" s="4"/>
      <c r="H80" s="4"/>
      <c r="I80" s="4"/>
      <c r="J80" s="4"/>
      <c r="K80" s="185"/>
      <c r="L80" s="4"/>
      <c r="M80" s="4"/>
      <c r="N80" s="4"/>
      <c r="O80" s="4"/>
      <c r="P80" s="4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D80" s="185"/>
      <c r="AE80" s="185"/>
      <c r="AF80" s="185"/>
    </row>
    <row r="81">
      <c r="A81" s="4"/>
      <c r="B81" s="4"/>
      <c r="C81" s="186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185"/>
      <c r="B84" s="185"/>
      <c r="C84" s="187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185"/>
      <c r="B85" s="185"/>
      <c r="C85" s="187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E85" s="185"/>
      <c r="AF85" s="185"/>
    </row>
    <row r="86">
      <c r="A86" s="185"/>
      <c r="B86" s="185"/>
      <c r="C86" s="187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D86" s="185"/>
      <c r="AE86" s="185"/>
      <c r="AF86" s="185"/>
    </row>
    <row r="87">
      <c r="A87" s="185"/>
      <c r="B87" s="185"/>
      <c r="C87" s="187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185"/>
      <c r="B88" s="185"/>
      <c r="C88" s="187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E88" s="185"/>
      <c r="AF88" s="185"/>
    </row>
    <row r="89">
      <c r="A89" s="185"/>
      <c r="B89" s="185"/>
      <c r="C89" s="187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E89" s="185"/>
      <c r="AF89" s="185"/>
    </row>
    <row r="90">
      <c r="A90" s="185"/>
      <c r="B90" s="185"/>
      <c r="C90" s="187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S102" s="185"/>
      <c r="T102" s="185"/>
      <c r="U102" s="185"/>
      <c r="V102" s="185"/>
      <c r="W102" s="185"/>
      <c r="X102" s="185"/>
      <c r="Y102" s="185"/>
      <c r="Z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  <c r="AC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E107" s="185"/>
      <c r="AF107" s="185"/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S110" s="185"/>
      <c r="T110" s="185"/>
      <c r="U110" s="185"/>
      <c r="V110" s="185"/>
      <c r="W110" s="185"/>
      <c r="X110" s="185"/>
      <c r="Y110" s="185"/>
      <c r="Z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  <c r="AC114" s="185"/>
      <c r="AD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S119" s="185"/>
      <c r="T119" s="185"/>
      <c r="U119" s="185"/>
      <c r="V119" s="185"/>
      <c r="W119" s="185"/>
      <c r="X119" s="185"/>
      <c r="Y119" s="185"/>
      <c r="Z119" s="185"/>
      <c r="AB119" s="185"/>
      <c r="AC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S120" s="185"/>
      <c r="T120" s="185"/>
      <c r="U120" s="185"/>
      <c r="V120" s="185"/>
      <c r="W120" s="185"/>
      <c r="X120" s="185"/>
      <c r="Y120" s="185"/>
      <c r="Z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O122" s="185"/>
      <c r="P122" s="185"/>
      <c r="Q122" s="185"/>
      <c r="S122" s="185"/>
      <c r="T122" s="185"/>
      <c r="U122" s="185"/>
      <c r="V122" s="185"/>
      <c r="W122" s="185"/>
      <c r="X122" s="185"/>
      <c r="Y122" s="185"/>
      <c r="Z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S123" s="185"/>
      <c r="T123" s="185"/>
      <c r="U123" s="185"/>
      <c r="V123" s="185"/>
      <c r="W123" s="185"/>
      <c r="X123" s="185"/>
      <c r="Y123" s="185"/>
      <c r="Z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185"/>
      <c r="AC124" s="185"/>
      <c r="AE124" s="185"/>
      <c r="AF124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""Mzdy!ac1:ad200"")"),31.0)</f>
        <v>31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651</v>
      </c>
      <c r="B4" s="191" t="s">
        <v>652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IFERROR(__xludf.DUMMYFUNCTION("""COMPUTED_VALUE"""),2789.082580645161)</f>
        <v>2789.082581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IFERROR(__xludf.DUMMYFUNCTION("""COMPUTED_VALUE"""),2789.082580645161)</f>
        <v>2789.082581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IFERROR(__xludf.DUMMYFUNCTION("""COMPUTED_VALUE"""),2201.2258064516127)</f>
        <v>2201.225806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IFERROR(__xludf.DUMMYFUNCTION("""COMPUTED_VALUE"""),"Výroba")</f>
        <v>Výroba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IFERROR(__xludf.DUMMYFUNCTION("""COMPUTED_VALUE"""),2789.082580645161)</f>
        <v>2789.082581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IFERROR(__xludf.DUMMYFUNCTION("""COMPUTED_VALUE"""),2201.2258064516127)</f>
        <v>2201.225806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IFERROR(__xludf.DUMMYFUNCTION("""COMPUTED_VALUE"""),2789.082580645161)</f>
        <v>2789.082581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IFERROR(__xludf.DUMMYFUNCTION("""COMPUTED_VALUE"""),2201.2258064516127)</f>
        <v>2201.225806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IFERROR(__xludf.DUMMYFUNCTION("""COMPUTED_VALUE"""),2201.2258064516127)</f>
        <v>2201.225806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IFERROR(__xludf.DUMMYFUNCTION("""COMPUTED_VALUE"""),2201.2258064516127)</f>
        <v>2201.225806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IFERROR(__xludf.DUMMYFUNCTION("""COMPUTED_VALUE"""),"Stepanenko Solomiia")</f>
        <v>Stepanenko Solomiia</v>
      </c>
      <c r="E18" s="2" t="str">
        <f>IFERROR(__xludf.DUMMYFUNCTION("""COMPUTED_VALUE"""),"Výroba")</f>
        <v>Výroba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IFERROR(__xludf.DUMMYFUNCTION("""COMPUTED_VALUE"""),286.332)</f>
        <v>286.332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 t="str">
        <f>IFERROR(__xludf.DUMMYFUNCTION("""COMPUTED_VALUE"""),"Rothová Anastasia")</f>
        <v>Rothová Anastasia</v>
      </c>
      <c r="E19" s="2" t="str">
        <f>IFERROR(__xludf.DUMMYFUNCTION("""COMPUTED_VALUE"""),"Bolevec")</f>
        <v>Bolevec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IFERROR(__xludf.DUMMYFUNCTION("""COMPUTED_VALUE"""),341.19)</f>
        <v>341.19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 t="str">
        <f>IFERROR(__xludf.DUMMYFUNCTION("""COMPUTED_VALUE"""),"Zličín")</f>
        <v>Zličín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IFERROR(__xludf.DUMMYFUNCTION("""COMPUTED_VALUE"""),2789.082580645161)</f>
        <v>2789.082581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IFERROR(__xludf.DUMMYFUNCTION("""COMPUTED_VALUE"""),2789.082580645161)</f>
        <v>2789.082581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>Yarushynskyi Vladyslav</v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IFERROR(__xludf.DUMMYFUNCTION("""COMPUTED_VALUE"""),"Malešice")</f>
        <v>Malešice</v>
      </c>
      <c r="F28" s="2" t="str">
        <f>IFERROR(__xludf.DUMMYFUNCTION("""COMPUTED_VALUE"""),"Chodov")</f>
        <v>Chodov</v>
      </c>
      <c r="G28" s="2" t="str">
        <f>IFERROR(__xludf.DUMMYFUNCTION("""COMPUTED_VALUE"""),"Zličín")</f>
        <v>Zličín</v>
      </c>
      <c r="H28" s="2" t="str">
        <f>IFERROR(__xludf.DUMMYFUNCTION("""COMPUTED_VALUE"""),"Prosek")</f>
        <v>Prosek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IFERROR(__xludf.DUMMYFUNCTION("""COMPUTED_VALUE"""),"Raboch Tomáš")</f>
        <v>Raboch Tomáš</v>
      </c>
      <c r="E29" s="2" t="str">
        <f>IFERROR(__xludf.DUMMYFUNCTION("""COMPUTED_VALUE"""),"Bolevec")</f>
        <v>Bolevec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>Gorol Patrik</v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 t="str">
        <f>IFERROR(__xludf.DUMMYFUNCTION("""COMPUTED_VALUE"""),"Prosek")</f>
        <v>Prosek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IFERROR(__xludf.DUMMYFUNCTION("""COMPUTED_VALUE"""),0.0)</f>
        <v>0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 t="str">
        <f>IFERROR(__xludf.DUMMYFUNCTION("""COMPUTED_VALUE"""),"Výroba")</f>
        <v>Výroba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IFERROR(__xludf.DUMMYFUNCTION("""COMPUTED_VALUE"""),0.0)</f>
        <v>0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IFERROR(__xludf.DUMMYFUNCTION("""COMPUTED_VALUE"""),2494.722580645161)</f>
        <v>2494.722581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IFERROR(__xludf.DUMMYFUNCTION("""COMPUTED_VALUE"""),214.08)</f>
        <v>214.08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IFERROR(__xludf.DUMMYFUNCTION("""COMPUTED_VALUE"""),1596.967741935484)</f>
        <v>1596.967742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IFERROR(__xludf.DUMMYFUNCTION("""COMPUTED_VALUE"""),231.474)</f>
        <v>231.474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IFERROR(__xludf.DUMMYFUNCTION("""COMPUTED_VALUE"""),"Břicháč Pavel")</f>
        <v>Břicháč Pavel</v>
      </c>
      <c r="E126" s="2" t="str">
        <f>IFERROR(__xludf.DUMMYFUNCTION("""COMPUTED_VALUE"""),"Libuš")</f>
        <v>Libuš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IFERROR(__xludf.DUMMYFUNCTION("""COMPUTED_VALUE"""),231.474)</f>
        <v>231.474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 t="str">
        <f>IFERROR(__xludf.DUMMYFUNCTION("""COMPUTED_VALUE"""),"Čerešňák Michal")</f>
        <v>Čerešňák Michal</v>
      </c>
      <c r="E127" s="2" t="str">
        <f>IFERROR(__xludf.DUMMYFUNCTION("""COMPUTED_VALUE"""),"Zličín")</f>
        <v>Zličín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IFERROR(__xludf.DUMMYFUNCTION("""COMPUTED_VALUE"""),170.0)</f>
        <v>170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 t="str">
        <f>IFERROR(__xludf.DUMMYFUNCTION("""COMPUTED_VALUE"""),"Weindling Josef")</f>
        <v>Weindling Josef</v>
      </c>
      <c r="E128" s="2" t="str">
        <f>IFERROR(__xludf.DUMMYFUNCTION("""COMPUTED_VALUE"""),"Libuš")</f>
        <v>Libuš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IFERROR(__xludf.DUMMYFUNCTION("""COMPUTED_VALUE"""),231.474)</f>
        <v>231.474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 t="str">
        <f>IFERROR(__xludf.DUMMYFUNCTION("""COMPUTED_VALUE"""),"Fux Vojtěch")</f>
        <v>Fux Vojtěch</v>
      </c>
      <c r="E129" s="2" t="str">
        <f>IFERROR(__xludf.DUMMYFUNCTION("""COMPUTED_VALUE"""),"Chodov")</f>
        <v>Chodov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IFERROR(__xludf.DUMMYFUNCTION("""COMPUTED_VALUE"""),170.0)</f>
        <v>170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IFERROR(__xludf.DUMMYFUNCTION("""COMPUTED_VALUE"""),0.0)</f>
        <v>0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653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654</v>
      </c>
      <c r="B2" s="4" t="s">
        <v>655</v>
      </c>
      <c r="C2" s="4" t="s">
        <v>656</v>
      </c>
      <c r="D2" s="4" t="s">
        <v>657</v>
      </c>
      <c r="E2" s="4" t="s">
        <v>658</v>
      </c>
      <c r="F2" s="4" t="s">
        <v>659</v>
      </c>
      <c r="G2" s="4" t="s">
        <v>660</v>
      </c>
      <c r="H2" s="4" t="s">
        <v>661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662</v>
      </c>
      <c r="B3" s="4" t="s">
        <v>663</v>
      </c>
      <c r="C3" s="185"/>
      <c r="D3" s="185"/>
      <c r="E3" s="4" t="s">
        <v>663</v>
      </c>
      <c r="F3" s="185"/>
      <c r="G3" s="4" t="s">
        <v>664</v>
      </c>
      <c r="H3" s="4" t="s">
        <v>665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666</v>
      </c>
      <c r="B4" s="4" t="s">
        <v>667</v>
      </c>
      <c r="C4" s="4" t="s">
        <v>667</v>
      </c>
      <c r="D4" s="185"/>
      <c r="E4" s="4" t="s">
        <v>668</v>
      </c>
      <c r="F4" s="4" t="s">
        <v>669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670</v>
      </c>
      <c r="B5" s="185"/>
      <c r="C5" s="4" t="s">
        <v>663</v>
      </c>
      <c r="D5" s="4" t="s">
        <v>663</v>
      </c>
      <c r="E5" s="185"/>
      <c r="F5" s="4" t="s">
        <v>664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671</v>
      </c>
      <c r="C6" s="185"/>
      <c r="D6" s="4" t="s">
        <v>668</v>
      </c>
      <c r="E6" s="185"/>
      <c r="F6" s="4" t="s">
        <v>668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672</v>
      </c>
      <c r="C7" s="185"/>
      <c r="D7" s="4" t="s">
        <v>673</v>
      </c>
      <c r="E7" s="4" t="s">
        <v>673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674</v>
      </c>
      <c r="D8" s="4" t="s">
        <v>675</v>
      </c>
      <c r="F8" s="185"/>
      <c r="H8" s="4" t="s">
        <v>675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676</v>
      </c>
      <c r="D9" s="185"/>
      <c r="E9" s="4" t="s">
        <v>677</v>
      </c>
      <c r="F9" s="4" t="s">
        <v>677</v>
      </c>
      <c r="G9" s="4" t="s">
        <v>677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678</v>
      </c>
      <c r="F10" s="185"/>
      <c r="G10" s="4" t="s">
        <v>679</v>
      </c>
      <c r="H10" s="4" t="s">
        <v>680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681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682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683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684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685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686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687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688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689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690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691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692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693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694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695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696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697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698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699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700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701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702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703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704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705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706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707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708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709</v>
      </c>
      <c r="AB141" s="4">
        <v>-10.0</v>
      </c>
    </row>
  </sheetData>
  <mergeCells count="1">
    <mergeCell ref="A1:H1"/>
  </mergeCells>
  <drawing r:id="rId1"/>
</worksheet>
</file>