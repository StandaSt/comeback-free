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<sst xmlns="http://schemas.openxmlformats.org/spreadsheetml/2006/main" count="1941" uniqueCount="710">
  <si>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</si>
  <si>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</si>
  <si>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</si>
  <si>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</si>
  <si>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</si>
  <si>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</si>
  <si>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</si>
  <si>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</si>
  <si>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</si>
  <si>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</si>
  <si>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</si>
  <si>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</si>
  <si>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</si>
  <si>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</si>
  <si>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</si>
  <si>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</si>
  <si>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</si>
  <si>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</si>
  <si>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</si>
  <si>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</si>
  <si>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</si>
  <si>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</si>
  <si>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</si>
  <si>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</si>
  <si>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</si>
  <si>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</si>
  <si>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</si>
  <si>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</si>
  <si>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</si>
  <si>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</si>
  <si>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</si>
  <si>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</si>
  <si>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</si>
  <si>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</si>
  <si>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</si>
  <si>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</si>
  <si>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</si>
  <si>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</si>
  <si>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</si>
  <si>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</si>
  <si>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</si>
  <si>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</si>
  <si>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</si>
  <si>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</si>
  <si>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</si>
  <si>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</si>
  <si>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</si>
  <si>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</si>
  <si>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</si>
  <si>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</si>
  <si>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</si>
  <si>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</si>
  <si>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</si>
  <si>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</si>
  <si>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</si>
  <si>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</si>
  <si>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</si>
  <si>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</si>
  <si>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</si>
  <si>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</si>
  <si>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</si>
  <si>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</si>
  <si>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</si>
  <si>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</si>
  <si>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</si>
  <si>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</si>
  <si>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</si>
  <si>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</si>
  <si>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</si>
  <si>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</si>
  <si>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</si>
  <si>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</si>
  <si>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</si>
  <si>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</si>
  <si>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</si>
  <si>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</si>
  <si>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</si>
  <si>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</si>
  <si>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</si>
  <si>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</si>
  <si>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</si>
  <si>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</si>
  <si>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</si>
  <si>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</si>
  <si>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</si>
  <si>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</si>
  <si>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</si>
  <si>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</si>
  <si>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</si>
  <si>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</si>
  <si>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</si>
  <si>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</si>
  <si>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</si>
  <si>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</si>
  <si>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</si>
  <si>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</si>
  <si>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</si>
  <si>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</si>
  <si>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</si>
  <si>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</si>
  <si>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</si>
  <si>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</si>
  <si>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</si>
  <si>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</si>
  <si>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</si>
  <si>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</si>
  <si>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</si>
  <si>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</si>
  <si>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</si>
  <si>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</si>
  <si>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</si>
  <si>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</si>
  <si>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</si>
  <si>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</si>
  <si>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</si>
  <si>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</si>
  <si>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</si>
  <si>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</si>
  <si>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</si>
  <si>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</si>
  <si>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</si>
  <si>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</si>
  <si>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</si>
  <si>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</si>
  <si>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</si>
  <si>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</si>
  <si>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</si>
  <si>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</si>
  <si>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</si>
  <si>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</si>
  <si>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</si>
  <si>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</si>
  <si>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</si>
  <si>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</si>
  <si>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</si>
  <si>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</si>
  <si>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</si>
  <si>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</si>
  <si>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</si>
  <si>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</si>
  <si>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</si>
  <si>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</si>
  <si>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</si>
  <si>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</si>
  <si>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</si>
  <si>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</si>
  <si>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</si>
  <si>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</si>
  <si>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</si>
  <si>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</si>
  <si>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</si>
  <si>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</si>
  <si>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</si>
  <si>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</si>
  <si>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</si>
  <si>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</si>
  <si>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</si>
  <si>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</si>
  <si>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</si>
  <si>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</si>
  <si>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</si>
  <si>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</si>
  <si>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</si>
  <si>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</si>
  <si>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</si>
  <si>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</si>
  <si>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</si>
  <si>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</si>
  <si>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</si>
  <si>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</si>
  <si>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</si>
  <si>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</si>
  <si>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</si>
  <si>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</si>
  <si>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</si>
  <si>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</si>
  <si>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</si>
  <si>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</si>
  <si>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</si>
  <si>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</si>
  <si>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</si>
  <si>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</si>
  <si>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</si>
  <si>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</si>
  <si>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</si>
  <si>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</si>
  <si>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</si>
  <si>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</si>
  <si>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</si>
  <si>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</si>
  <si>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</si>
  <si>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</si>
  <si>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</si>
  <si>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</si>
  <si>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</si>
  <si>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</si>
  <si>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</si>
  <si>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</si>
  <si>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</si>
  <si>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</si>
  <si>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</si>
  <si>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</si>
  <si>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</si>
  <si>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</si>
  <si>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</si>
  <si>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</si>
  <si>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</si>
  <si>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</si>
  <si>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</si>
  <si>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</si>
  <si>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</si>
  <si>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</si>
  <si>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</si>
  <si>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</si>
  <si>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</si>
  <si>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</si>
  <si>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</si>
  <si>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</si>
  <si>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</si>
  <si>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</si>
  <si>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</si>
  <si>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</si>
  <si>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</si>
  <si>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</si>
  <si>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</si>
  <si>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</si>
  <si>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</si>
  <si>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</si>
  <si>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</si>
  <si>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</si>
  <si>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</si>
  <si>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</si>
  <si>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</si>
  <si>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</si>
  <si>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</si>
  <si>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</si>
  <si>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</si>
  <si>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</si>
  <si>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</si>
  <si>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</si>
  <si>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</si>
  <si>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</si>
  <si>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</si>
  <si>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</si>
  <si>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</si>
  <si>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</si>
  <si>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</si>
  <si>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</si>
  <si>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</si>
  <si>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</si>
  <si>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</si>
  <si>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</si>
  <si>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</si>
  <si>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</si>
  <si>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</si>
  <si>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</si>
  <si>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</si>
  <si>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</si>
  <si>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</si>
  <si>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</si>
  <si>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</si>
  <si>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</si>
  <si>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</si>
  <si>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</si>
  <si>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</si>
  <si>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</si>
  <si>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</si>
  <si>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</si>
  <si>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</si>
  <si>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</si>
  <si>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</si>
  <si>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</si>
  <si>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</si>
  <si>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</si>
  <si>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</si>
  <si>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</si>
  <si>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</si>
  <si>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</si>
  <si>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</si>
  <si>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</si>
  <si>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</si>
  <si>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</si>
  <si>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</si>
  <si>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</si>
  <si>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</si>
  <si>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</si>
  <si>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</si>
  <si>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</si>
  <si>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</si>
  <si>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</si>
  <si>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</si>
  <si>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</si>
  <si>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</si>
  <si>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</si>
  <si>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</si>
  <si>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</si>
  <si>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</si>
  <si>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</si>
  <si>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</si>
  <si>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</si>
  <si>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</si>
  <si>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</si>
  <si>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</si>
  <si>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</si>
  <si>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</si>
  <si>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</si>
  <si>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</si>
  <si>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</si>
  <si>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</si>
  <si>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</si>
  <si>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</si>
  <si>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</si>
  <si>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</si>
  <si>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</si>
  <si>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</si>
  <si>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</si>
  <si>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</si>
  <si>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</si>
  <si>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</si>
  <si>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</si>
  <si>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</si>
  <si>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</si>
  <si>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</si>
  <si>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</si>
  <si>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</si>
  <si>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</si>
  <si>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</si>
  <si>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</si>
  <si>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</si>
  <si>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</si>
  <si>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</si>
  <si>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</si>
  <si>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</si>
  <si>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</si>
  <si>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</si>
  <si>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</si>
  <si>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</si>
  <si>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</si>
  <si>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</si>
  <si>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</si>
  <si>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</si>
  <si>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</si>
  <si>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</si>
  <si>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</si>
  <si>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</si>
  <si>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</si>
  <si>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</si>
  <si>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</si>
  <si>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</si>
  <si>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</si>
  <si>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</si>
  <si>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</si>
  <si>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</si>
  <si>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</si>
  <si>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</si>
  <si>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</si>
  <si>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</si>
  <si>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</si>
  <si>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</si>
  <si>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</si>
  <si>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</si>
  <si>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</si>
  <si>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</si>
  <si>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</si>
  <si>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</si>
  <si>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</si>
  <si>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</si>
  <si>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</si>
  <si>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</si>
  <si>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</si>
  <si>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</si>
  <si>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</si>
  <si>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</si>
  <si>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</si>
  <si>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</si>
  <si>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</si>
  <si>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</si>
  <si>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</si>
  <si>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</si>
  <si>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</si>
  <si>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</si>
  <si>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</si>
  <si>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</si>
  <si>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</si>
  <si>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</si>
  <si>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</si>
  <si>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</si>
  <si>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</si>
  <si>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</si>
  <si>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</si>
  <si>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</si>
  <si>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</si>
  <si>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</si>
  <si>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</si>
  <si>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</si>
  <si>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</si>
  <si>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</si>
  <si>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</si>
  <si>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</si>
  <si>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</si>
  <si>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</si>
  <si>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</si>
  <si>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</si>
  <si>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</si>
  <si>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</si>
  <si>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</si>
  <si>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</si>
  <si>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</si>
  <si>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</si>
  <si>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</si>
  <si>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</si>
  <si>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</si>
  <si>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</si>
  <si>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</si>
  <si>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</si>
  <si>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</si>
  <si>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</si>
  <si>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</si>
  <si>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</si>
  <si>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</si>
  <si>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</si>
  <si>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</si>
  <si>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</si>
  <si>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</si>
  <si>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</si>
  <si>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</si>
  <si>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</si>
  <si>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</si>
  <si>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</si>
  <si>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</si>
  <si>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</si>
  <si>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</si>
  <si>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</si>
  <si>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</si>
  <si>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</si>
  <si>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</si>
  <si>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</si>
  <si>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</si>
  <si>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</si>
  <si>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</si>
  <si>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</si>
  <si>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</si>
  <si>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</si>
  <si>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</si>
  <si>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</si>
  <si>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</si>
  <si>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</si>
  <si>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</si>
  <si>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</si>
  <si>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</si>
  <si>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</si>
  <si>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</si>
  <si>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</si>
  <si>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</si>
  <si>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</si>
  <si>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</si>
  <si>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</si>
  <si>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</si>
  <si>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</si>
  <si>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</si>
  <si>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</si>
  <si>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</si>
  <si>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</si>
  <si>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</si>
  <si>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</si>
  <si>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</si>
  <si>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</si>
  <si>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</si>
  <si>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</si>
  <si>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</si>
  <si>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</si>
  <si>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</si>
  <si>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</si>
  <si>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</si>
  <si>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</si>
  <si>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</si>
  <si>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</si>
  <si>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</si>
  <si>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</si>
  <si>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</si>
  <si>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</si>
  <si>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</si>
  <si>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</si>
  <si>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</si>
  <si>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</si>
  <si>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</si>
  <si>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</si>
  <si>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</si>
  <si>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</si>
  <si>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</si>
  <si>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</si>
  <si>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</si>
  <si>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</si>
  <si>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</si>
  <si>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</si>
  <si>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</si>
  <si>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</si>
  <si>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</si>
  <si>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</si>
  <si>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</si>
  <si>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</si>
  <si>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</si>
  <si>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</si>
  <si>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</si>
  <si>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</si>
  <si>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</si>
  <si>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</si>
  <si>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</si>
  <si>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</si>
  <si>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</si>
  <si>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</si>
  <si>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</si>
  <si>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</si>
  <si>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</si>
  <si>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</si>
  <si>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</si>
  <si>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</si>
  <si>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</si>
  <si>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</si>
  <si>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</si>
  <si>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</si>
  <si>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</si>
  <si>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</si>
  <si>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</si>
  <si>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</si>
  <si>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</si>
  <si>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</si>
  <si>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</si>
  <si>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</si>
  <si>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</si>
  <si>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</si>
  <si>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</si>
  <si>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</si>
  <si>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</si>
  <si>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</si>
  <si>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</si>
  <si>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</si>
  <si>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</si>
  <si>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</si>
  <si>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</si>
  <si>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</si>
  <si>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</si>
  <si>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</si>
  <si>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</si>
  <si>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</si>
  <si>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</si>
  <si>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</si>
  <si>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</si>
  <si>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</si>
  <si>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</si>
  <si>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</si>
  <si>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</si>
  <si>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</si>
  <si>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</si>
  <si>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</si>
  <si>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</si>
  <si>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</si>
  <si>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</si>
  <si>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</si>
  <si>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</si>
  <si>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</si>
  <si>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</si>
  <si>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</si>
  <si>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</si>
  <si>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</si>
  <si>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</si>
  <si>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</si>
  <si>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</si>
  <si>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</si>
  <si>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</si>
  <si>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</si>
  <si>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</si>
  <si>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</si>
  <si>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</si>
  <si>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</si>
  <si>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</si>
  <si>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</si>
  <si>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</si>
  <si>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</si>
  <si>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</si>
  <si>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</si>
  <si>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</si>
  <si>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</si>
  <si>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</si>
  <si>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</si>
  <si>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</si>
  <si>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</si>
  <si>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</si>
  <si>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</si>
  <si>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</si>
  <si>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</si>
  <si>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</si>
  <si>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</si>
  <si>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</si>
  <si>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</si>
  <si>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</si>
  <si>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</si>
  <si>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</si>
  <si>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</si>
  <si>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</si>
  <si>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</si>
  <si>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</si>
  <si>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</si>
  <si>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</si>
  <si>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</si>
  <si>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</si>
  <si>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</si>
  <si>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</si>
  <si>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</si>
  <si>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</si>
  <si>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</si>
  <si>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</si>
  <si>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</si>
  <si>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</si>
  <si>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</si>
  <si>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</si>
  <si>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</si>
  <si>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</si>
  <si>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</si>
  <si>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</si>
  <si>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</si>
  <si>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</si>
  <si>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</si>
  <si>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</si>
  <si>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</si>
  <si>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</si>
  <si>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</si>
  <si>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</si>
  <si>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</si>
  <si>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</si>
  <si>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</si>
  <si>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</si>
  <si>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</si>
  <si>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</si>
  <si>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</si>
  <si>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</si>
  <si>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</si>
  <si>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</si>
  <si>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Vychivskyi Volodymyr</t>
  </si>
  <si>
    <t>112:00</t>
  </si>
  <si>
    <t>Šebesta Tomáš</t>
  </si>
  <si>
    <t>95:30</t>
  </si>
  <si>
    <t>23:00</t>
  </si>
  <si>
    <t>Nováková Adéla</t>
  </si>
  <si>
    <t>13:00</t>
  </si>
  <si>
    <t>Putna Jaroslav</t>
  </si>
  <si>
    <t>117:00</t>
  </si>
  <si>
    <t>Fáberová Kateřina</t>
  </si>
  <si>
    <t>16:00</t>
  </si>
  <si>
    <t>7:00</t>
  </si>
  <si>
    <t>12 min 35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</si>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</sst>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46191.0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SUMIFS(RestiaCSV!C:C, RestiaCSV!B:B, "&lt;&gt;canceled", RestiaCSV!B:B, "&lt;&gt;expired")</f>
        <v>0</v>
      </c>
      <c r="K2" s="20"/>
      <c r="L2" s="22" t="s">
        <v>589</v>
      </c>
      <c r="M2" s="23">
        <f>SUMIFS(RestiaCSV!C:C, RestiaCSV!A:A, Report!L2, RestiaCSV!B:B, "&lt;&gt;canceled", RestiaCSV!B:B, "&lt;&gt;expired")</f>
        <v>0</v>
      </c>
    </row>
    <row r="3">
      <c r="A3" s="24"/>
      <c r="B3" s="25" t="str">
        <f>CHOOSE(WEEKDAY(D1), "Neděle", "Pondělí", "Úterý", "Středa", "Čtvrtek", "Pátek", "Sobota")</f>
        <v>Čtvrtek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46174.0</v>
      </c>
      <c r="D1" s="108" t="s">
        <v>631</v>
      </c>
      <c r="E1" s="109">
        <v>46203.0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0.3180380822647522</v>
      </c>
      <c r="H2" s="20"/>
      <c r="I2" s="113">
        <v>575843.4400000001</v>
      </c>
      <c r="K2" s="20"/>
      <c r="L2" s="114" t="s">
        <v>589</v>
      </c>
      <c r="M2" s="115">
        <v>238081.89000000007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Úterý</v>
      </c>
      <c r="E3" s="10"/>
      <c r="H3" s="20"/>
      <c r="K3" s="20"/>
      <c r="L3" s="119" t="s">
        <v>590</v>
      </c>
      <c r="M3" s="120">
        <v>90909.0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98299.65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73263.0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4961.0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336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112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7.100000000064028</v>
      </c>
      <c r="K9" s="10"/>
      <c r="L9" s="142" t="s">
        <v>597</v>
      </c>
      <c r="M9" s="120">
        <v>42625.0</v>
      </c>
      <c r="N9" s="116"/>
    </row>
    <row r="10" ht="18.75" customHeight="1">
      <c r="A10" s="143"/>
      <c r="B10" s="144" t="s">
        <v>635</v>
      </c>
      <c r="C10" s="145">
        <v>1.0</v>
      </c>
      <c r="D10" s="145" t="s">
        <v>636</v>
      </c>
      <c r="E10" s="146" t="s">
        <v>637</v>
      </c>
      <c r="F10" s="144" t="s">
        <v>638</v>
      </c>
      <c r="G10" s="145">
        <v>10.0</v>
      </c>
      <c r="H10" s="145" t="s">
        <v>639</v>
      </c>
      <c r="I10" s="147">
        <v>49.0</v>
      </c>
      <c r="J10" s="35"/>
      <c r="K10" s="20"/>
      <c r="L10" s="142" t="s">
        <v>601</v>
      </c>
      <c r="M10" s="120">
        <v>1245.0</v>
      </c>
      <c r="N10" s="116"/>
    </row>
    <row r="11" ht="18.75" customHeight="1">
      <c r="A11" s="143"/>
      <c r="B11" s="144" t="s">
        <v>640</v>
      </c>
      <c r="C11" s="145">
        <v>11.0</v>
      </c>
      <c r="D11" s="145" t="s">
        <v>641</v>
      </c>
      <c r="E11" s="146" t="s">
        <v>642</v>
      </c>
      <c r="F11" s="144"/>
      <c r="G11" s="145"/>
      <c r="H11" s="145"/>
      <c r="I11" s="147"/>
      <c r="J11" s="35"/>
      <c r="K11" s="20"/>
      <c r="L11" s="148" t="s">
        <v>596</v>
      </c>
      <c r="M11" s="149">
        <v>21256.0</v>
      </c>
      <c r="N11" s="116"/>
    </row>
    <row r="12" ht="18.75" customHeight="1">
      <c r="A12" s="143"/>
      <c r="B12" s="144" t="s">
        <v>643</v>
      </c>
      <c r="C12" s="145">
        <v>10.0</v>
      </c>
      <c r="D12" s="145" t="s">
        <v>641</v>
      </c>
      <c r="E12" s="146" t="s">
        <v>644</v>
      </c>
      <c r="F12" s="144"/>
      <c r="G12" s="145"/>
      <c r="H12" s="145"/>
      <c r="I12" s="147"/>
      <c r="J12" s="35"/>
      <c r="K12" s="20"/>
      <c r="L12" s="150" t="s">
        <v>607</v>
      </c>
      <c r="M12" s="18"/>
      <c r="N12" s="111"/>
    </row>
    <row r="13" ht="18.75" customHeight="1">
      <c r="A13" s="143"/>
      <c r="B13" s="144" t="s">
        <v>645</v>
      </c>
      <c r="C13" s="145">
        <v>12.0</v>
      </c>
      <c r="D13" s="145" t="s">
        <v>646</v>
      </c>
      <c r="E13" s="146" t="s">
        <v>644</v>
      </c>
      <c r="F13" s="144"/>
      <c r="G13" s="145"/>
      <c r="H13" s="145"/>
      <c r="I13" s="147"/>
      <c r="J13" s="35"/>
      <c r="K13" s="20"/>
      <c r="L13" s="142" t="s">
        <v>608</v>
      </c>
      <c r="M13" s="120">
        <v>1700.0</v>
      </c>
      <c r="N13" s="116"/>
    </row>
    <row r="14" ht="18.75" customHeight="1">
      <c r="A14" s="143"/>
      <c r="B14" s="144" t="s">
        <v>647</v>
      </c>
      <c r="C14" s="145">
        <v>2.0</v>
      </c>
      <c r="D14" s="145" t="s">
        <v>648</v>
      </c>
      <c r="E14" s="146" t="s">
        <v>649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649</v>
      </c>
      <c r="F15" s="144"/>
      <c r="G15" s="145"/>
      <c r="H15" s="145"/>
      <c r="I15" s="147"/>
      <c r="J15" s="35"/>
      <c r="K15" s="20"/>
      <c r="L15" s="151" t="s">
        <v>610</v>
      </c>
      <c r="M15" s="120">
        <v>140.0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1165.0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2205.0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13.0</v>
      </c>
      <c r="K21" s="165">
        <v>5894.6</v>
      </c>
      <c r="L21" s="166">
        <v>24.0</v>
      </c>
      <c r="M21" s="167" t="s">
        <v>650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9.0</v>
      </c>
      <c r="K24" s="166">
        <v>1461.0</v>
      </c>
      <c r="L24" s="166">
        <v>140.0</v>
      </c>
      <c r="M24" s="173">
        <v>28.0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12.0</v>
      </c>
      <c r="K27" s="94"/>
      <c r="L27" s="179">
        <v>0.14754623440285208</v>
      </c>
      <c r="M27" s="180">
        <v>19.0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0.852453765597148</v>
      </c>
      <c r="M30" s="184">
        <v>0.11956420825906121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4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4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4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185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185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4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185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185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185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185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185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185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185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185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185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4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4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185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185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4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185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185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185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4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4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185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185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185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185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4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4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4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</row>
    <row r="66">
      <c r="A66" s="4"/>
      <c r="B66" s="4"/>
      <c r="C66" s="186"/>
      <c r="D66" s="4"/>
      <c r="E66" s="185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4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185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185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4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185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D71" s="185"/>
      <c r="AE71" s="185"/>
      <c r="AF71" s="185"/>
    </row>
    <row r="72">
      <c r="A72" s="4"/>
      <c r="B72" s="4"/>
      <c r="C72" s="4"/>
      <c r="D72" s="4"/>
      <c r="E72" s="185"/>
      <c r="F72" s="4"/>
      <c r="G72" s="4"/>
      <c r="H72" s="4"/>
      <c r="I72" s="4"/>
      <c r="J72" s="4"/>
      <c r="K72" s="185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D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4"/>
      <c r="F74" s="4"/>
      <c r="G74" s="4"/>
      <c r="H74" s="4"/>
      <c r="I74" s="4"/>
      <c r="J74" s="4"/>
      <c r="K74" s="185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185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185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</row>
    <row r="79">
      <c r="A79" s="4"/>
      <c r="B79" s="4"/>
      <c r="C79" s="186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4"/>
      <c r="F80" s="4"/>
      <c r="G80" s="4"/>
      <c r="H80" s="4"/>
      <c r="I80" s="4"/>
      <c r="J80" s="4"/>
      <c r="K80" s="185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D80" s="185"/>
      <c r="AE80" s="185"/>
      <c r="AF80" s="185"/>
    </row>
    <row r="81">
      <c r="A81" s="4"/>
      <c r="B81" s="4"/>
      <c r="C81" s="186"/>
      <c r="D81" s="4"/>
      <c r="E81" s="4"/>
      <c r="F81" s="4"/>
      <c r="G81" s="4"/>
      <c r="H81" s="4"/>
      <c r="I81" s="4"/>
      <c r="J81" s="4"/>
      <c r="K81" s="185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4"/>
      <c r="B83" s="4"/>
      <c r="C83" s="4"/>
      <c r="D83" s="4"/>
      <c r="E83" s="185"/>
      <c r="F83" s="4"/>
      <c r="G83" s="4"/>
      <c r="H83" s="4"/>
      <c r="I83" s="4"/>
      <c r="J83" s="4"/>
      <c r="K83" s="185"/>
      <c r="L83" s="4"/>
      <c r="M83" s="4"/>
      <c r="N83" s="4"/>
      <c r="O83" s="4"/>
      <c r="P83" s="4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4"/>
      <c r="B84" s="4"/>
      <c r="C84" s="186"/>
      <c r="D84" s="4"/>
      <c r="E84" s="185"/>
      <c r="F84" s="4"/>
      <c r="G84" s="4"/>
      <c r="H84" s="4"/>
      <c r="I84" s="4"/>
      <c r="J84" s="4"/>
      <c r="K84" s="185"/>
      <c r="L84" s="4"/>
      <c r="M84" s="4"/>
      <c r="N84" s="4"/>
      <c r="O84" s="4"/>
      <c r="P84" s="4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4"/>
      <c r="B85" s="4"/>
      <c r="C85" s="186"/>
      <c r="D85" s="4"/>
      <c r="E85" s="4"/>
      <c r="F85" s="4"/>
      <c r="G85" s="4"/>
      <c r="H85" s="4"/>
      <c r="I85" s="4"/>
      <c r="J85" s="4"/>
      <c r="K85" s="185"/>
      <c r="L85" s="4"/>
      <c r="M85" s="4"/>
      <c r="N85" s="4"/>
      <c r="O85" s="4"/>
      <c r="P85" s="4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D85" s="185"/>
      <c r="AE85" s="185"/>
      <c r="AF85" s="185"/>
    </row>
    <row r="86">
      <c r="A86" s="4"/>
      <c r="B86" s="4"/>
      <c r="C86" s="186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4"/>
      <c r="B87" s="4"/>
      <c r="C87" s="186"/>
      <c r="D87" s="4"/>
      <c r="E87" s="4"/>
      <c r="F87" s="4"/>
      <c r="G87" s="4"/>
      <c r="H87" s="4"/>
      <c r="I87" s="4"/>
      <c r="J87" s="4"/>
      <c r="K87" s="185"/>
      <c r="L87" s="4"/>
      <c r="M87" s="4"/>
      <c r="N87" s="4"/>
      <c r="O87" s="4"/>
      <c r="P87" s="4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4"/>
      <c r="B88" s="4"/>
      <c r="C88" s="186"/>
      <c r="D88" s="4"/>
      <c r="E88" s="185"/>
      <c r="F88" s="4"/>
      <c r="G88" s="4"/>
      <c r="H88" s="4"/>
      <c r="I88" s="4"/>
      <c r="J88" s="4"/>
      <c r="K88" s="185"/>
      <c r="L88" s="4"/>
      <c r="M88" s="4"/>
      <c r="N88" s="4"/>
      <c r="O88" s="4"/>
      <c r="P88" s="4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</row>
    <row r="89">
      <c r="A89" s="4"/>
      <c r="B89" s="4"/>
      <c r="C89" s="186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D89" s="185"/>
      <c r="AE89" s="185"/>
      <c r="AF89" s="185"/>
    </row>
    <row r="90">
      <c r="A90" s="4"/>
      <c r="B90" s="4"/>
      <c r="C90" s="186"/>
      <c r="D90" s="4"/>
      <c r="E90" s="185"/>
      <c r="F90" s="4"/>
      <c r="G90" s="4"/>
      <c r="H90" s="4"/>
      <c r="I90" s="4"/>
      <c r="J90" s="4"/>
      <c r="K90" s="185"/>
      <c r="L90" s="4"/>
      <c r="M90" s="4"/>
      <c r="N90" s="4"/>
      <c r="O90" s="4"/>
      <c r="P90" s="4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4"/>
      <c r="B91" s="4"/>
      <c r="C91" s="4"/>
      <c r="D91" s="4"/>
      <c r="E91" s="185"/>
      <c r="F91" s="4"/>
      <c r="G91" s="4"/>
      <c r="H91" s="4"/>
      <c r="I91" s="4"/>
      <c r="J91" s="4"/>
      <c r="K91" s="185"/>
      <c r="L91" s="4"/>
      <c r="M91" s="4"/>
      <c r="N91" s="4"/>
      <c r="O91" s="4"/>
      <c r="P91" s="4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4"/>
      <c r="B92" s="4"/>
      <c r="C92" s="4"/>
      <c r="D92" s="4"/>
      <c r="E92" s="185"/>
      <c r="F92" s="4"/>
      <c r="G92" s="4"/>
      <c r="H92" s="4"/>
      <c r="I92" s="4"/>
      <c r="J92" s="4"/>
      <c r="K92" s="185"/>
      <c r="L92" s="4"/>
      <c r="M92" s="4"/>
      <c r="N92" s="4"/>
      <c r="O92" s="4"/>
      <c r="P92" s="4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4"/>
      <c r="B93" s="4"/>
      <c r="C93" s="4"/>
      <c r="D93" s="4"/>
      <c r="E93" s="185"/>
      <c r="F93" s="4"/>
      <c r="G93" s="4"/>
      <c r="H93" s="4"/>
      <c r="I93" s="185"/>
      <c r="J93" s="185"/>
      <c r="K93" s="185"/>
      <c r="L93" s="4"/>
      <c r="M93" s="4"/>
      <c r="N93" s="185"/>
      <c r="O93" s="4"/>
      <c r="P93" s="4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4"/>
      <c r="B94" s="4"/>
      <c r="C94" s="4"/>
      <c r="D94" s="4"/>
      <c r="E94" s="185"/>
      <c r="F94" s="4"/>
      <c r="G94" s="4"/>
      <c r="H94" s="4"/>
      <c r="I94" s="4"/>
      <c r="J94" s="4"/>
      <c r="K94" s="185"/>
      <c r="L94" s="4"/>
      <c r="M94" s="4"/>
      <c r="N94" s="4"/>
      <c r="O94" s="4"/>
      <c r="P94" s="4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4"/>
      <c r="B95" s="4"/>
      <c r="C95" s="4"/>
      <c r="D95" s="4"/>
      <c r="E95" s="185"/>
      <c r="F95" s="4"/>
      <c r="G95" s="4"/>
      <c r="H95" s="4"/>
      <c r="I95" s="185"/>
      <c r="J95" s="185"/>
      <c r="K95" s="185"/>
      <c r="L95" s="4"/>
      <c r="M95" s="4"/>
      <c r="N95" s="185"/>
      <c r="O95" s="4"/>
      <c r="P95" s="4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85"/>
      <c r="L96" s="4"/>
      <c r="M96" s="4"/>
      <c r="N96" s="4"/>
      <c r="O96" s="4"/>
      <c r="P96" s="4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4"/>
      <c r="B97" s="4"/>
      <c r="C97" s="4"/>
      <c r="D97" s="4"/>
      <c r="E97" s="185"/>
      <c r="F97" s="4"/>
      <c r="G97" s="4"/>
      <c r="H97" s="4"/>
      <c r="I97" s="4"/>
      <c r="J97" s="4"/>
      <c r="K97" s="185"/>
      <c r="L97" s="4"/>
      <c r="M97" s="4"/>
      <c r="N97" s="4"/>
      <c r="O97" s="4"/>
      <c r="P97" s="4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4"/>
      <c r="B98" s="4"/>
      <c r="C98" s="4"/>
      <c r="D98" s="4"/>
      <c r="E98" s="185"/>
      <c r="F98" s="4"/>
      <c r="G98" s="4"/>
      <c r="H98" s="4"/>
      <c r="I98" s="4"/>
      <c r="J98" s="4"/>
      <c r="K98" s="185"/>
      <c r="L98" s="4"/>
      <c r="M98" s="4"/>
      <c r="N98" s="4"/>
      <c r="O98" s="4"/>
      <c r="P98" s="4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D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</row>
    <row r="108">
      <c r="A108" s="185"/>
      <c r="B108" s="185"/>
      <c r="C108" s="187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D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""Mzdy!ac1:ad200"")"),30.0)</f>
        <v>30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651</v>
      </c>
      <c r="B4" s="191" t="s">
        <v>652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IFERROR(__xludf.DUMMYFUNCTION("""COMPUTED_VALUE"""),2882.052)</f>
        <v>2882.052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IFERROR(__xludf.DUMMYFUNCTION("""COMPUTED_VALUE"""),2882.052)</f>
        <v>2882.052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IFERROR(__xludf.DUMMYFUNCTION("""COMPUTED_VALUE"""),2274.6)</f>
        <v>2274.6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IFERROR(__xludf.DUMMYFUNCTION("""COMPUTED_VALUE"""),2882.052)</f>
        <v>2882.052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IFERROR(__xludf.DUMMYFUNCTION("""COMPUTED_VALUE"""),2274.6)</f>
        <v>2274.6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IFERROR(__xludf.DUMMYFUNCTION("""COMPUTED_VALUE"""),2882.052)</f>
        <v>2882.052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IFERROR(__xludf.DUMMYFUNCTION("""COMPUTED_VALUE"""),2274.6)</f>
        <v>2274.6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IFERROR(__xludf.DUMMYFUNCTION("""COMPUTED_VALUE"""),2274.6)</f>
        <v>2274.6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IFERROR(__xludf.DUMMYFUNCTION("""COMPUTED_VALUE"""),2274.6)</f>
        <v>2274.6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IFERROR(__xludf.DUMMYFUNCTION("""COMPUTED_VALUE"""),0.0)</f>
        <v>0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IFERROR(__xludf.DUMMYFUNCTION("""COMPUTED_VALUE"""),0.0)</f>
        <v>0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 t="str">
        <f>IFERROR(__xludf.DUMMYFUNCTION("""COMPUTED_VALUE"""),"Zličín")</f>
        <v>Zličín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IFERROR(__xludf.DUMMYFUNCTION("""COMPUTED_VALUE"""),2882.052)</f>
        <v>2882.052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IFERROR(__xludf.DUMMYFUNCTION("""COMPUTED_VALUE"""),2882.052)</f>
        <v>2882.052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IFERROR(__xludf.DUMMYFUNCTION("""COMPUTED_VALUE"""),"Malešice")</f>
        <v>Malešice</v>
      </c>
      <c r="F28" s="2" t="str">
        <f>IFERROR(__xludf.DUMMYFUNCTION("""COMPUTED_VALUE"""),"Chodov")</f>
        <v>Chodov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IFERROR(__xludf.DUMMYFUNCTION("""COMPUTED_VALUE"""),0.0)</f>
        <v>0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 t="str">
        <f>IFERROR(__xludf.DUMMYFUNCTION("""COMPUTED_VALUE"""),"Malešice")</f>
        <v>Malešice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 t="str">
        <f>IFERROR(__xludf.DUMMYFUNCTION("""COMPUTED_VALUE"""),"Prošek Václav")</f>
        <v>Prošek Václav</v>
      </c>
      <c r="E42" s="2" t="str">
        <f>IFERROR(__xludf.DUMMYFUNCTION("""COMPUTED_VALUE"""),"Libuš")</f>
        <v>Libuš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IFERROR(__xludf.DUMMYFUNCTION("""COMPUTED_VALUE"""),250.20600000000002)</f>
        <v>250.206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 t="str">
        <f>IFERROR(__xludf.DUMMYFUNCTION("""COMPUTED_VALUE"""),"Malešice")</f>
        <v>Malešice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IFERROR(__xludf.DUMMYFUNCTION("""COMPUTED_VALUE"""),2577.8799999999997)</f>
        <v>2577.88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IFERROR(__xludf.DUMMYFUNCTION("""COMPUTED_VALUE"""),1650.2)</f>
        <v>1650.2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IFERROR(__xludf.DUMMYFUNCTION("""COMPUTED_VALUE"""),250.20600000000002)</f>
        <v>250.206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IFERROR(__xludf.DUMMYFUNCTION("""COMPUTED_VALUE"""),"Břicháč Pavel")</f>
        <v>Břicháč Pavel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 t="str">
        <f>IFERROR(__xludf.DUMMYFUNCTION("""COMPUTED_VALUE"""),"Čerešňák Michal")</f>
        <v>Čerešňák Michal</v>
      </c>
      <c r="E127" s="2" t="str">
        <f>IFERROR(__xludf.DUMMYFUNCTION("""COMPUTED_VALUE"""),"Zličín")</f>
        <v>Zličín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IFERROR(__xludf.DUMMYFUNCTION("""COMPUTED_VALUE"""),170.0)</f>
        <v>170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 t="str">
        <f>IFERROR(__xludf.DUMMYFUNCTION("""COMPUTED_VALUE"""),"Weindling Josef")</f>
        <v>Weindling Josef</v>
      </c>
      <c r="E128" s="2" t="str">
        <f>IFERROR(__xludf.DUMMYFUNCTION("""COMPUTED_VALUE"""),"Libuš")</f>
        <v>Libuš</v>
      </c>
      <c r="F128" s="2" t="str">
        <f>IFERROR(__xludf.DUMMYFUNCTION("""COMPUTED_VALUE"""),"Malešice")</f>
        <v>Malešice</v>
      </c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IFERROR(__xludf.DUMMYFUNCTION("""COMPUTED_VALUE"""),231.474)</f>
        <v>231.474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 t="str">
        <f>IFERROR(__xludf.DUMMYFUNCTION("""COMPUTED_VALUE"""),"Fux Vojtěch")</f>
        <v>Fux Vojtěch</v>
      </c>
      <c r="E129" s="2" t="str">
        <f>IFERROR(__xludf.DUMMYFUNCTION("""COMPUTED_VALUE"""),"Chodov")</f>
        <v>Chodov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IFERROR(__xludf.DUMMYFUNCTION("""COMPUTED_VALUE"""),200.0)</f>
        <v>200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 t="str">
        <f>IFERROR(__xludf.DUMMYFUNCTION("""COMPUTED_VALUE"""),"Kumar Jatinder")</f>
        <v>Kumar Jatinder</v>
      </c>
      <c r="E130" s="2" t="str">
        <f>IFERROR(__xludf.DUMMYFUNCTION("""COMPUTED_VALUE"""),"Libuš")</f>
        <v>Libuš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IFERROR(__xludf.DUMMYFUNCTION("""COMPUTED_VALUE"""),231.474)</f>
        <v>231.474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 t="str">
        <f>IFERROR(__xludf.DUMMYFUNCTION("""COMPUTED_VALUE"""),"Stehlíková Magdaléna")</f>
        <v>Stehlíková Magdaléna</v>
      </c>
      <c r="E131" s="2" t="str">
        <f>IFERROR(__xludf.DUMMYFUNCTION("""COMPUTED_VALUE"""),"Bolevec")</f>
        <v>Bolevec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190">
        <f>IFERROR(__xludf.DUMMYFUNCTION("""COMPUTED_VALUE"""),214.08)</f>
        <v>214.08</v>
      </c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 t="str">
        <f>IFERROR(__xludf.DUMMYFUNCTION("""COMPUTED_VALUE"""),"Dragoun Alfréd")</f>
        <v>Dragoun Alfréd</v>
      </c>
      <c r="E132" s="2" t="str">
        <f>IFERROR(__xludf.DUMMYFUNCTION("""COMPUTED_VALUE"""),"Zličín")</f>
        <v>Zličín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IFERROR(__xludf.DUMMYFUNCTION("""COMPUTED_VALUE"""),250.20600000000002)</f>
        <v>250.206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653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654</v>
      </c>
      <c r="B2" s="4" t="s">
        <v>655</v>
      </c>
      <c r="C2" s="4" t="s">
        <v>656</v>
      </c>
      <c r="D2" s="4" t="s">
        <v>657</v>
      </c>
      <c r="E2" s="4" t="s">
        <v>658</v>
      </c>
      <c r="F2" s="4" t="s">
        <v>659</v>
      </c>
      <c r="G2" s="4" t="s">
        <v>660</v>
      </c>
      <c r="H2" s="4" t="s">
        <v>661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662</v>
      </c>
      <c r="B3" s="4" t="s">
        <v>663</v>
      </c>
      <c r="C3" s="185"/>
      <c r="D3" s="185"/>
      <c r="E3" s="4" t="s">
        <v>663</v>
      </c>
      <c r="F3" s="185"/>
      <c r="G3" s="4" t="s">
        <v>664</v>
      </c>
      <c r="H3" s="4" t="s">
        <v>665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666</v>
      </c>
      <c r="B4" s="4" t="s">
        <v>667</v>
      </c>
      <c r="C4" s="4" t="s">
        <v>667</v>
      </c>
      <c r="D4" s="185"/>
      <c r="E4" s="4" t="s">
        <v>668</v>
      </c>
      <c r="F4" s="4" t="s">
        <v>669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670</v>
      </c>
      <c r="B5" s="185"/>
      <c r="C5" s="4" t="s">
        <v>663</v>
      </c>
      <c r="D5" s="4" t="s">
        <v>663</v>
      </c>
      <c r="E5" s="185"/>
      <c r="F5" s="4" t="s">
        <v>664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671</v>
      </c>
      <c r="C6" s="185"/>
      <c r="D6" s="4" t="s">
        <v>668</v>
      </c>
      <c r="E6" s="185"/>
      <c r="F6" s="4" t="s">
        <v>668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672</v>
      </c>
      <c r="C7" s="185"/>
      <c r="D7" s="4" t="s">
        <v>673</v>
      </c>
      <c r="E7" s="4" t="s">
        <v>673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674</v>
      </c>
      <c r="D8" s="4" t="s">
        <v>675</v>
      </c>
      <c r="F8" s="185"/>
      <c r="H8" s="4" t="s">
        <v>675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676</v>
      </c>
      <c r="D9" s="185"/>
      <c r="E9" s="4" t="s">
        <v>677</v>
      </c>
      <c r="F9" s="4" t="s">
        <v>677</v>
      </c>
      <c r="G9" s="4" t="s">
        <v>677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678</v>
      </c>
      <c r="F10" s="185"/>
      <c r="G10" s="4" t="s">
        <v>679</v>
      </c>
      <c r="H10" s="4" t="s">
        <v>680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681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682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683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684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685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686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687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688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689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690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691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692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693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694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695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696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697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698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699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700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701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702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703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704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705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706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707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708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709</v>
      </c>
      <c r="AB141" s="4">
        <v>-10.0</v>
      </c>
    </row>
  </sheetData>
  <mergeCells count="1">
    <mergeCell ref="A1:H1"/>
  </mergeCells>
  <drawing r:id="rId1"/>
</worksheet>
</file>