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<sst xmlns="http://schemas.openxmlformats.org/spreadsheetml/2006/main" count="5569" uniqueCount="1537">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</sst>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25:B31">
      <formula1>"Němec Filip,Zimmer Jakub,Nekolný Vladimír,Novák Jakub,Černohorský Otakar,Lowe Jana,Kormash Liubov,Vychivskyi Volodymyr,Banga Adam,Vaníková Anna,Čerešňák Michal,Dragoun Alfréd"</formula1>
    </dataValidation>
    <dataValidation type="list" allowBlank="1" sqref="B12:B21">
      <formula1>"Nedbal Michal,Ahurieva Viktoriia,Hanakova Ayuna,Veselý Ondřej,Pechová Barbora,Pánková Vendula,Hegedüs Erik,Yarushynskyi Vladyslav,Putna Jaroslav"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""Mzdy!u1:v200"")"),46174.0)</f>
        <v>46174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IFERROR(__xludf.DUMMYFUNCTION("""COMPUTED_VALUE"""),100.0)</f>
        <v>100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IFERROR(__xludf.DUMMYFUNCTION("""COMPUTED_VALUE"""),112.0)</f>
        <v>112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IFERROR(__xludf.DUMMYFUNCTION("""COMPUTED_VALUE"""),83.5)</f>
        <v>83.5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>Ahurieva Viktoriia</v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IFERROR(__xludf.DUMMYFUNCTION("""COMPUTED_VALUE"""),"Výroba")</f>
        <v>Výroba</v>
      </c>
      <c r="H8" s="192" t="str">
        <f>IFERROR(__xludf.DUMMYFUNCTION("""COMPUTED_VALUE"""),"Zličín")</f>
        <v>Zličín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IFERROR(__xludf.DUMMYFUNCTION("""COMPUTED_VALUE"""),106.0)</f>
        <v>106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IFERROR(__xludf.DUMMYFUNCTION("""COMPUTED_VALUE"""),88.0)</f>
        <v>88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IFERROR(__xludf.DUMMYFUNCTION("""COMPUTED_VALUE"""),92.5)</f>
        <v>92.5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IFERROR(__xludf.DUMMYFUNCTION("""COMPUTED_VALUE"""),39.5)</f>
        <v>39.5</v>
      </c>
      <c r="W11" s="195">
        <f>IFERROR(__xludf.DUMMYFUNCTION("""COMPUTED_VALUE"""),7716.878)</f>
        <v>7716.878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IFERROR(__xludf.DUMMYFUNCTION("""COMPUTED_VALUE"""),110.0)</f>
        <v>110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 t="str">
        <f>IFERROR(__xludf.DUMMYFUNCTION("""COMPUTED_VALUE"""),"Prosek")</f>
        <v>Prosek</v>
      </c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IFERROR(__xludf.DUMMYFUNCTION("""COMPUTED_VALUE"""),37.5)</f>
        <v>37.5</v>
      </c>
      <c r="W14" s="195">
        <f>IFERROR(__xludf.DUMMYFUNCTION("""COMPUTED_VALUE"""),6199.05)</f>
        <v>6199.05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/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IFERROR(__xludf.DUMMYFUNCTION("""COMPUTED_VALUE"""),"Bolevec")</f>
        <v>Bolevec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IFERROR(__xludf.DUMMYFUNCTION("""COMPUTED_VALUE"""),95.0)</f>
        <v>95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IFERROR(__xludf.DUMMYFUNCTION("""COMPUTED_VALUE"""),74.0)</f>
        <v>74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IFERROR(__xludf.DUMMYFUNCTION("""COMPUTED_VALUE"""),53.0)</f>
        <v>53</v>
      </c>
      <c r="W17" s="195">
        <f>IFERROR(__xludf.DUMMYFUNCTION("""COMPUTED_VALUE"""),9370.4)</f>
        <v>9370.4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/>
      </c>
      <c r="C18" s="192" t="b">
        <f>IFERROR(__xludf.DUMMYFUNCTION("""COMPUTED_VALUE"""),FALSE)</f>
        <v>0</v>
      </c>
      <c r="D18" s="192"/>
      <c r="E18" s="192"/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IFERROR(__xludf.DUMMYFUNCTION("""COMPUTED_VALUE"""),0.0)</f>
        <v>0</v>
      </c>
      <c r="W18" s="195">
        <f>IFERROR(__xludf.DUMMYFUNCTION("""COMPUTED_VALUE"""),0.0)</f>
        <v>0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/>
      </c>
      <c r="C19" s="192" t="b">
        <f>IFERROR(__xludf.DUMMYFUNCTION("""COMPUTED_VALUE"""),FALSE)</f>
        <v>0</v>
      </c>
      <c r="D19" s="192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IFERROR(__xludf.DUMMYFUNCTION("""COMPUTED_VALUE"""),0.0)</f>
        <v>0</v>
      </c>
      <c r="W19" s="195">
        <f>IFERROR(__xludf.DUMMYFUNCTION("""COMPUTED_VALUE"""),0.0)</f>
        <v>0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>Pánková Vendula</v>
      </c>
      <c r="C20" s="192" t="b">
        <f>IFERROR(__xludf.DUMMYFUNCTION("""COMPUTED_VALUE"""),FALSE)</f>
        <v>0</v>
      </c>
      <c r="D20" s="192" t="str">
        <f>IFERROR(__xludf.DUMMYFUNCTION("""COMPUTED_VALUE"""),"Pánková Vendula")</f>
        <v>Pánková Vendula</v>
      </c>
      <c r="E20" s="192" t="str">
        <f>IFERROR(__xludf.DUMMYFUNCTION("""COMPUTED_VALUE"""),"Zličín")</f>
        <v>Zličín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IFERROR(__xludf.DUMMYFUNCTION("""COMPUTED_VALUE"""),46.5)</f>
        <v>46.5</v>
      </c>
      <c r="W20" s="195">
        <f>IFERROR(__xludf.DUMMYFUNCTION("""COMPUTED_VALUE"""),8221.2)</f>
        <v>8221.2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>Hegedüs Erik</v>
      </c>
      <c r="C21" s="192" t="b">
        <f>IFERROR(__xludf.DUMMYFUNCTION("""COMPUTED_VALUE"""),TRUE)</f>
        <v>1</v>
      </c>
      <c r="D21" s="192" t="str">
        <f>IFERROR(__xludf.DUMMYFUNCTION("""COMPUTED_VALUE"""),"Hegedüs Erik")</f>
        <v>Hegedüs Erik</v>
      </c>
      <c r="E21" s="192" t="str">
        <f>IFERROR(__xludf.DUMMYFUNCTION("""COMPUTED_VALUE"""),"Libuš")</f>
        <v>Libuš</v>
      </c>
      <c r="F21" s="192" t="str">
        <f>IFERROR(__xludf.DUMMYFUNCTION("""COMPUTED_VALUE"""),"Chodov")</f>
        <v>Chodov</v>
      </c>
      <c r="G21" s="192" t="str">
        <f>IFERROR(__xludf.DUMMYFUNCTION("""COMPUTED_VALUE"""),"Malešice")</f>
        <v>Malešice</v>
      </c>
      <c r="H21" s="192" t="str">
        <f>IFERROR(__xludf.DUMMYFUNCTION("""COMPUTED_VALUE"""),"Zličín")</f>
        <v>Zličín</v>
      </c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IFERROR(__xludf.DUMMYFUNCTION("""COMPUTED_VALUE"""),118.5)</f>
        <v>118.5</v>
      </c>
      <c r="W21" s="195">
        <f>IFERROR(__xludf.DUMMYFUNCTION("""COMPUTED_VALUE"""),50001.08)</f>
        <v>50001.08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IFERROR(__xludf.DUMMYFUNCTION("""COMPUTED_VALUE"""),TRUE)</f>
        <v>1</v>
      </c>
      <c r="D22" s="192" t="str">
        <f>IFERROR(__xludf.DUMMYFUNCTION("""COMPUTED_VALUE"""),"Roth Stanislav ml.")</f>
        <v>Roth Stanislav ml.</v>
      </c>
      <c r="E22" s="192" t="str">
        <f>IFERROR(__xludf.DUMMYFUNCTION("""COMPUTED_VALUE"""),"Bolevec")</f>
        <v>Bolevec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IFERROR(__xludf.DUMMYFUNCTION("""COMPUTED_VALUE"""),217.0)</f>
        <v>217</v>
      </c>
      <c r="W22" s="195">
        <f>IFERROR(__xludf.DUMMYFUNCTION("""COMPUTED_VALUE"""),50001.08)</f>
        <v>50001.08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/>
      </c>
      <c r="C23" s="192" t="b">
        <f>IFERROR(__xludf.DUMMYFUNCTION("""COMPUTED_VALUE"""),FALSE)</f>
        <v>0</v>
      </c>
      <c r="D23" s="192" t="str">
        <f>IFERROR(__xludf.DUMMYFUNCTION("""COMPUTED_VALUE"""),"Makula Radek")</f>
        <v>Makula Radek</v>
      </c>
      <c r="E23" s="192" t="str">
        <f>IFERROR(__xludf.DUMMYFUNCTION("""COMPUTED_VALUE"""),"Prosek")</f>
        <v>Prosek</v>
      </c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IFERROR(__xludf.DUMMYFUNCTION("""COMPUTED_VALUE"""),0.0)</f>
        <v>0</v>
      </c>
      <c r="W23" s="195">
        <f>IFERROR(__xludf.DUMMYFUNCTION("""COMPUTED_VALUE"""),0.0)</f>
        <v>0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IFERROR(__xludf.DUMMYFUNCTION("""COMPUTED_VALUE"""),"Bubník Martin")</f>
        <v>Bubník Martin</v>
      </c>
      <c r="E24" s="192" t="str">
        <f>IFERROR(__xludf.DUMMYFUNCTION("""COMPUTED_VALUE"""),"Libuš")</f>
        <v>Libuš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IFERROR(__xludf.DUMMYFUNCTION("""COMPUTED_VALUE"""),91.5)</f>
        <v>91.5</v>
      </c>
      <c r="W24" s="195">
        <f>IFERROR(__xludf.DUMMYFUNCTION("""COMPUTED_VALUE"""),16002.2)</f>
        <v>16002.2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IFERROR(__xludf.DUMMYFUNCTION("""COMPUTED_VALUE"""),"Mirga Simon")</f>
        <v>Mirga Simon</v>
      </c>
      <c r="E25" s="192" t="str">
        <f>IFERROR(__xludf.DUMMYFUNCTION("""COMPUTED_VALUE"""),"Malešice")</f>
        <v>Malešice</v>
      </c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IFERROR(__xludf.DUMMYFUNCTION("""COMPUTED_VALUE"""),0.0)</f>
        <v>0</v>
      </c>
      <c r="W25" s="195">
        <f>IFERROR(__xludf.DUMMYFUNCTION("""COMPUTED_VALUE"""),0.0)</f>
        <v>0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IFERROR(__xludf.DUMMYFUNCTION("""COMPUTED_VALUE"""),0.0)</f>
        <v>0</v>
      </c>
      <c r="W26" s="195">
        <f>IFERROR(__xludf.DUMMYFUNCTION("""COMPUTED_VALUE"""),0.0)</f>
        <v>0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IFERROR(__xludf.DUMMYFUNCTION("""COMPUTED_VALUE"""),"Berdar Vasyl")</f>
        <v>Berdar Vasyl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IFERROR(__xludf.DUMMYFUNCTION("""COMPUTED_VALUE"""),13.0)</f>
        <v>13</v>
      </c>
      <c r="W27" s="195">
        <f>IFERROR(__xludf.DUMMYFUNCTION("""COMPUTED_VALUE"""),2459.288)</f>
        <v>2459.288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>Yarushynskyi Vladyslav</v>
      </c>
      <c r="C28" s="192" t="b">
        <f>IFERROR(__xludf.DUMMYFUNCTION("""COMPUTED_VALUE"""),FALSE)</f>
        <v>0</v>
      </c>
      <c r="D28" s="192" t="str">
        <f>IFERROR(__xludf.DUMMYFUNCTION("""COMPUTED_VALUE"""),"Yarushynskyi Vladyslav")</f>
        <v>Yarushynskyi Vladyslav</v>
      </c>
      <c r="E28" s="192" t="str">
        <f>IFERROR(__xludf.DUMMYFUNCTION("""COMPUTED_VALUE"""),"Malešice")</f>
        <v>Malešice</v>
      </c>
      <c r="F28" s="192" t="str">
        <f>IFERROR(__xludf.DUMMYFUNCTION("""COMPUTED_VALUE"""),"Chodov")</f>
        <v>Chodov</v>
      </c>
      <c r="G28" s="192" t="str">
        <f>IFERROR(__xludf.DUMMYFUNCTION("""COMPUTED_VALUE"""),"Zličín")</f>
        <v>Zličín</v>
      </c>
      <c r="H28" s="192" t="str">
        <f>IFERROR(__xludf.DUMMYFUNCTION("""COMPUTED_VALUE"""),"Prosek")</f>
        <v>Prosek</v>
      </c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IFERROR(__xludf.DUMMYFUNCTION("""COMPUTED_VALUE"""),102.0)</f>
        <v>102</v>
      </c>
      <c r="W28" s="195">
        <f>IFERROR(__xludf.DUMMYFUNCTION("""COMPUTED_VALUE"""),17543.6)</f>
        <v>17543.6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/>
      <c r="E29" s="192"/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/>
      </c>
      <c r="C30" s="192" t="b">
        <f>IFERROR(__xludf.DUMMYFUNCTION("""COMPUTED_VALUE"""),FALSE)</f>
        <v>0</v>
      </c>
      <c r="D30" s="192" t="str">
        <f>IFERROR(__xludf.DUMMYFUNCTION("""COMPUTED_VALUE"""),"Židek Petr")</f>
        <v>Židek Petr</v>
      </c>
      <c r="E30" s="192" t="str">
        <f>IFERROR(__xludf.DUMMYFUNCTION("""COMPUTED_VALUE"""),"Chodov")</f>
        <v>Chodov</v>
      </c>
      <c r="F30" s="192" t="str">
        <f>IFERROR(__xludf.DUMMYFUNCTION("""COMPUTED_VALUE"""),"Malešice")</f>
        <v>Malešice</v>
      </c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IFERROR(__xludf.DUMMYFUNCTION("""COMPUTED_VALUE"""),91.0)</f>
        <v>91</v>
      </c>
      <c r="W30" s="195">
        <f>IFERROR(__xludf.DUMMYFUNCTION("""COMPUTED_VALUE"""),15043.028)</f>
        <v>15043.028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IFERROR(__xludf.DUMMYFUNCTION("""COMPUTED_VALUE"""),"Gorol Patrik")</f>
        <v>Gorol Patrik</v>
      </c>
      <c r="E31" s="192" t="str">
        <f>IFERROR(__xludf.DUMMYFUNCTION("""COMPUTED_VALUE"""),"Malešice")</f>
        <v>Malešice</v>
      </c>
      <c r="F31" s="192" t="str">
        <f>IFERROR(__xludf.DUMMYFUNCTION("""COMPUTED_VALUE"""),"Libuš")</f>
        <v>Libuš</v>
      </c>
      <c r="G31" s="192" t="str">
        <f>IFERROR(__xludf.DUMMYFUNCTION("""COMPUTED_VALUE"""),"Prosek")</f>
        <v>Prosek</v>
      </c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IFERROR(__xludf.DUMMYFUNCTION("""COMPUTED_VALUE"""),0.0)</f>
        <v>0</v>
      </c>
      <c r="W31" s="195">
        <f>IFERROR(__xludf.DUMMYFUNCTION("""COMPUTED_VALUE"""),0.0)</f>
        <v>0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IFERROR(__xludf.DUMMYFUNCTION("""COMPUTED_VALUE"""),"Kratochvíl Kryštof")</f>
        <v>Kratochvíl Kryštof</v>
      </c>
      <c r="E32" s="192" t="str">
        <f>IFERROR(__xludf.DUMMYFUNCTION("""COMPUTED_VALUE"""),"Bolevec")</f>
        <v>Bolevec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IFERROR(__xludf.DUMMYFUNCTION("""COMPUTED_VALUE"""),"Hegedüs Gergö")</f>
        <v>Hegedüs Gergö</v>
      </c>
      <c r="E33" s="192" t="str">
        <f>IFERROR(__xludf.DUMMYFUNCTION("""COMPUTED_VALUE"""),"Libuš")</f>
        <v>Libuš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IFERROR(__xludf.DUMMYFUNCTION("""COMPUTED_VALUE"""),"Barvínková Eliška")</f>
        <v>Barvínková Eliška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IFERROR(__xludf.DUMMYFUNCTION("""COMPUTED_VALUE"""),"Kursheva Diana")</f>
        <v>Kursheva Diana</v>
      </c>
      <c r="E35" s="192" t="str">
        <f>IFERROR(__xludf.DUMMYFUNCTION("""COMPUTED_VALUE"""),"Výroba")</f>
        <v>Výroba</v>
      </c>
      <c r="F35" s="192" t="str">
        <f>IFERROR(__xludf.DUMMYFUNCTION("""COMPUTED_VALUE"""),"Chodov")</f>
        <v>Chodov</v>
      </c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IFERROR(__xludf.DUMMYFUNCTION("""COMPUTED_VALUE"""),83.5)</f>
        <v>83.5</v>
      </c>
      <c r="W35" s="195">
        <f>IFERROR(__xludf.DUMMYFUNCTION("""COMPUTED_VALUE"""),13803.218)</f>
        <v>13803.218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IFERROR(__xludf.DUMMYFUNCTION("""COMPUTED_VALUE"""),"Tůma Vladimír")</f>
        <v>Tůma Vladimír</v>
      </c>
      <c r="E36" s="192" t="str">
        <f>IFERROR(__xludf.DUMMYFUNCTION("""COMPUTED_VALUE"""),"Bolevec")</f>
        <v>Bolevec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IFERROR(__xludf.DUMMYFUNCTION("""COMPUTED_VALUE"""),0.0)</f>
        <v>0</v>
      </c>
      <c r="W36" s="195">
        <f>IFERROR(__xludf.DUMMYFUNCTION("""COMPUTED_VALUE"""),0.0)</f>
        <v>0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IFERROR(__xludf.DUMMYFUNCTION("""COMPUTED_VALUE"""),"Kubík Martin")</f>
        <v>Kubík Martin</v>
      </c>
      <c r="E37" s="192" t="str">
        <f>IFERROR(__xludf.DUMMYFUNCTION("""COMPUTED_VALUE"""),"Libuš")</f>
        <v>Libuš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IFERROR(__xludf.DUMMYFUNCTION("""COMPUTED_VALUE"""),0.0)</f>
        <v>0</v>
      </c>
      <c r="W37" s="195">
        <f>IFERROR(__xludf.DUMMYFUNCTION("""COMPUTED_VALUE"""),0.0)</f>
        <v>0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>Putna Jaroslav</v>
      </c>
      <c r="C38" s="192" t="b">
        <f>IFERROR(__xludf.DUMMYFUNCTION("""COMPUTED_VALUE"""),FALSE)</f>
        <v>0</v>
      </c>
      <c r="D38" s="192" t="str">
        <f>IFERROR(__xludf.DUMMYFUNCTION("""COMPUTED_VALUE"""),"Putna Jaroslav")</f>
        <v>Putna Jaroslav</v>
      </c>
      <c r="E38" s="192" t="str">
        <f>IFERROR(__xludf.DUMMYFUNCTION("""COMPUTED_VALUE"""),"Zličín")</f>
        <v>Zličín</v>
      </c>
      <c r="F38" s="192" t="str">
        <f>IFERROR(__xludf.DUMMYFUNCTION("""COMPUTED_VALUE"""),"Prosek")</f>
        <v>Prosek</v>
      </c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IFERROR(__xludf.DUMMYFUNCTION("""COMPUTED_VALUE"""),110.0)</f>
        <v>110</v>
      </c>
      <c r="W38" s="195">
        <f>IFERROR(__xludf.DUMMYFUNCTION("""COMPUTED_VALUE"""),17668.38)</f>
        <v>17668.38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 t="str">
        <f>IFERROR(__xludf.DUMMYFUNCTION("""COMPUTED_VALUE"""),"Kopic Jakub")</f>
        <v>Kopic Jakub</v>
      </c>
      <c r="E39" s="192" t="str">
        <f>IFERROR(__xludf.DUMMYFUNCTION("""COMPUTED_VALUE"""),"Malešice")</f>
        <v>Malešice</v>
      </c>
      <c r="F39" s="192" t="str">
        <f>IFERROR(__xludf.DUMMYFUNCTION("""COMPUTED_VALUE"""),"Prosek")</f>
        <v>Prosek</v>
      </c>
      <c r="G39" s="192" t="str">
        <f>IFERROR(__xludf.DUMMYFUNCTION("""COMPUTED_VALUE"""),"Libuš")</f>
        <v>Libuš</v>
      </c>
      <c r="H39" s="192" t="str">
        <f>IFERROR(__xludf.DUMMYFUNCTION("""COMPUTED_VALUE"""),"Prosek")</f>
        <v>Prosek</v>
      </c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IFERROR(__xludf.DUMMYFUNCTION("""COMPUTED_VALUE"""),97.5)</f>
        <v>97.5</v>
      </c>
      <c r="W39" s="195">
        <f>IFERROR(__xludf.DUMMYFUNCTION("""COMPUTED_VALUE"""),15952.655)</f>
        <v>15952.655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 t="str">
        <f>IFERROR(__xludf.DUMMYFUNCTION("""COMPUTED_VALUE"""),"Fáberová Kateřina")</f>
        <v>Fáberová Kateřina</v>
      </c>
      <c r="E40" s="192" t="str">
        <f>IFERROR(__xludf.DUMMYFUNCTION("""COMPUTED_VALUE"""),"Prosek")</f>
        <v>Prosek</v>
      </c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IFERROR(__xludf.DUMMYFUNCTION("""COMPUTED_VALUE"""),8.0)</f>
        <v>8</v>
      </c>
      <c r="W40" s="195">
        <f>IFERROR(__xludf.DUMMYFUNCTION("""COMPUTED_VALUE"""),1322.464)</f>
        <v>1322.464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 t="str">
        <f>IFERROR(__xludf.DUMMYFUNCTION("""COMPUTED_VALUE"""),"Chlubnová Adéla")</f>
        <v>Chlubnová Adéla</v>
      </c>
      <c r="E41" s="192" t="str">
        <f>IFERROR(__xludf.DUMMYFUNCTION("""COMPUTED_VALUE"""),"Chodov")</f>
        <v>Chodov</v>
      </c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IFERROR(__xludf.DUMMYFUNCTION("""COMPUTED_VALUE"""),66.0)</f>
        <v>66</v>
      </c>
      <c r="W41" s="195">
        <f>IFERROR(__xludf.DUMMYFUNCTION("""COMPUTED_VALUE"""),10910.328)</f>
        <v>10910.328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/>
      </c>
      <c r="C42" s="192" t="b">
        <f>IFERROR(__xludf.DUMMYFUNCTION("""COMPUTED_VALUE"""),FALSE)</f>
        <v>0</v>
      </c>
      <c r="D42" s="192" t="str">
        <f>IFERROR(__xludf.DUMMYFUNCTION("""COMPUTED_VALUE"""),"Prošek Václav")</f>
        <v>Prošek Václav</v>
      </c>
      <c r="E42" s="192" t="str">
        <f>IFERROR(__xludf.DUMMYFUNCTION("""COMPUTED_VALUE"""),"Libuš")</f>
        <v>Libuš</v>
      </c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IFERROR(__xludf.DUMMYFUNCTION("""COMPUTED_VALUE"""),14.0)</f>
        <v>14</v>
      </c>
      <c r="W42" s="195">
        <f>IFERROR(__xludf.DUMMYFUNCTION("""COMPUTED_VALUE"""),2314.312)</f>
        <v>2314.312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5">
        <f>IFERROR(__xludf.DUMMYFUNCTION("""COMPUTED_VALUE"""),0.0)</f>
        <v>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IFERROR(__xludf.DUMMYFUNCTION("""COMPUTED_VALUE"""),2049.5)</f>
        <v>2049.5</v>
      </c>
      <c r="W60" s="195">
        <f>IFERROR(__xludf.DUMMYFUNCTION("""COMPUTED_VALUE"""),722553.481)</f>
        <v>722553.481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IFERROR(__xludf.DUMMYFUNCTION("""COMPUTED_VALUE"""),30462.0)</f>
        <v>30462</v>
      </c>
      <c r="W65" s="195">
        <f>IFERROR(__xludf.DUMMYFUNCTION("""COMPUTED_VALUE"""),152.31)</f>
        <v>152.31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IFERROR(__xludf.DUMMYFUNCTION("""COMPUTED_VALUE"""),23.25)</f>
        <v>23.25</v>
      </c>
      <c r="W75" s="195">
        <f>IFERROR(__xludf.DUMMYFUNCTION("""COMPUTED_VALUE"""),3487.5)</f>
        <v>3487.5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IFERROR(__xludf.DUMMYFUNCTION("""COMPUTED_VALUE"""),76.0)</f>
        <v>76</v>
      </c>
      <c r="W76" s="195">
        <f>IFERROR(__xludf.DUMMYFUNCTION("""COMPUTED_VALUE"""),13436.8)</f>
        <v>13436.8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IFERROR(__xludf.DUMMYFUNCTION("""COMPUTED_VALUE"""),0.0)</f>
        <v>0</v>
      </c>
      <c r="W77" s="195">
        <f>IFERROR(__xludf.DUMMYFUNCTION("""COMPUTED_VALUE"""),0.0)</f>
        <v>0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IFERROR(__xludf.DUMMYFUNCTION("""COMPUTED_VALUE"""),22.0)</f>
        <v>22</v>
      </c>
      <c r="W78" s="195">
        <f>IFERROR(__xludf.DUMMYFUNCTION("""COMPUTED_VALUE"""),3889.6)</f>
        <v>3889.6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IFERROR(__xludf.DUMMYFUNCTION("""COMPUTED_VALUE"""),23.0)</f>
        <v>23</v>
      </c>
      <c r="W79" s="195">
        <f>IFERROR(__xludf.DUMMYFUNCTION("""COMPUTED_VALUE"""),3517.436)</f>
        <v>3517.436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IFERROR(__xludf.DUMMYFUNCTION("""COMPUTED_VALUE"""),71.5)</f>
        <v>71.5</v>
      </c>
      <c r="W80" s="195">
        <f>IFERROR(__xludf.DUMMYFUNCTION("""COMPUTED_VALUE"""),11819.522)</f>
        <v>11819.522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 t="str">
        <f>IFERROR(__xludf.DUMMYFUNCTION("""COMPUTED_VALUE"""),"Malešice")</f>
        <v>Malešice</v>
      </c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IFERROR(__xludf.DUMMYFUNCTION("""COMPUTED_VALUE"""),47.5)</f>
        <v>47.5</v>
      </c>
      <c r="W81" s="195">
        <f>IFERROR(__xludf.DUMMYFUNCTION("""COMPUTED_VALUE"""),7264.27)</f>
        <v>7264.27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 t="str">
        <f>IFERROR(__xludf.DUMMYFUNCTION("""COMPUTED_VALUE"""),"Malešice")</f>
        <v>Malešice</v>
      </c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IFERROR(__xludf.DUMMYFUNCTION("""COMPUTED_VALUE"""),22.0)</f>
        <v>22</v>
      </c>
      <c r="W83" s="195">
        <f>IFERROR(__xludf.DUMMYFUNCTION("""COMPUTED_VALUE"""),3364.504)</f>
        <v>3364.504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IFERROR(__xludf.DUMMYFUNCTION("""COMPUTED_VALUE"""),29.5)</f>
        <v>29.5</v>
      </c>
      <c r="W84" s="195">
        <f>IFERROR(__xludf.DUMMYFUNCTION("""COMPUTED_VALUE"""),4876.586)</f>
        <v>4876.586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IFERROR(__xludf.DUMMYFUNCTION("""COMPUTED_VALUE"""),22.5)</f>
        <v>22.5</v>
      </c>
      <c r="W85" s="195">
        <f>IFERROR(__xludf.DUMMYFUNCTION("""COMPUTED_VALUE"""),3375.0)</f>
        <v>3375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IFERROR(__xludf.DUMMYFUNCTION("""COMPUTED_VALUE"""),"Mikuš Pavel")</f>
        <v>Mikuš Pavel</v>
      </c>
      <c r="E86" s="192" t="str">
        <f>IFERROR(__xludf.DUMMYFUNCTION("""COMPUTED_VALUE"""),"Prosek")</f>
        <v>Prosek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IFERROR(__xludf.DUMMYFUNCTION("""COMPUTED_VALUE"""),"Hyský Aleš")</f>
        <v>Hyský Aleš</v>
      </c>
      <c r="E87" s="192" t="str">
        <f>IFERROR(__xludf.DUMMYFUNCTION("""COMPUTED_VALUE"""),"Chodov")</f>
        <v>Chodov</v>
      </c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IFERROR(__xludf.DUMMYFUNCTION("""COMPUTED_VALUE"""),8.5)</f>
        <v>8.5</v>
      </c>
      <c r="W87" s="195">
        <f>IFERROR(__xludf.DUMMYFUNCTION("""COMPUTED_VALUE"""),1299.922)</f>
        <v>1299.922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/>
      </c>
      <c r="C88" s="192" t="b">
        <f>IFERROR(__xludf.DUMMYFUNCTION("""COMPUTED_VALUE"""),FALSE)</f>
        <v>0</v>
      </c>
      <c r="D88" s="192" t="str">
        <f>IFERROR(__xludf.DUMMYFUNCTION("""COMPUTED_VALUE"""),"Šmídová Sabina")</f>
        <v>Šmídová Sabina</v>
      </c>
      <c r="E88" s="192" t="str">
        <f>IFERROR(__xludf.DUMMYFUNCTION("""COMPUTED_VALUE"""),"Chodov")</f>
        <v>Chodov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IFERROR(__xludf.DUMMYFUNCTION("""COMPUTED_VALUE"""),0.0)</f>
        <v>0</v>
      </c>
      <c r="W88" s="195">
        <f>IFERROR(__xludf.DUMMYFUNCTION("""COMPUTED_VALUE"""),0.0)</f>
        <v>0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IFERROR(__xludf.DUMMYFUNCTION("""COMPUTED_VALUE"""),"Lažek Jaroslav")</f>
        <v>Lažek Jaroslav</v>
      </c>
      <c r="E89" s="192" t="str">
        <f>IFERROR(__xludf.DUMMYFUNCTION("""COMPUTED_VALUE"""),"Libuš")</f>
        <v>Libuš</v>
      </c>
      <c r="F89" s="192" t="str">
        <f>IFERROR(__xludf.DUMMYFUNCTION("""COMPUTED_VALUE"""),"Chodov")</f>
        <v>Chodov</v>
      </c>
      <c r="G89" s="192" t="str">
        <f>IFERROR(__xludf.DUMMYFUNCTION("""COMPUTED_VALUE"""),"Malešice")</f>
        <v>Malešice</v>
      </c>
      <c r="H89" s="192" t="str">
        <f>IFERROR(__xludf.DUMMYFUNCTION("""COMPUTED_VALUE"""),"Výroba")</f>
        <v>Výroba</v>
      </c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IFERROR(__xludf.DUMMYFUNCTION("""COMPUTED_VALUE"""),42.5)</f>
        <v>42.5</v>
      </c>
      <c r="W89" s="195">
        <f>IFERROR(__xludf.DUMMYFUNCTION("""COMPUTED_VALUE"""),7225.0)</f>
        <v>7225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Kormash Liubov</v>
      </c>
      <c r="C90" s="192" t="b">
        <f>IFERROR(__xludf.DUMMYFUNCTION("""COMPUTED_VALUE"""),FALSE)</f>
        <v>0</v>
      </c>
      <c r="D90" s="192" t="str">
        <f>IFERROR(__xludf.DUMMYFUNCTION("""COMPUTED_VALUE"""),"Kormash Liubov")</f>
        <v>Kormash Liubov</v>
      </c>
      <c r="E90" s="192" t="str">
        <f>IFERROR(__xludf.DUMMYFUNCTION("""COMPUTED_VALUE"""),"Zličín")</f>
        <v>Zličín</v>
      </c>
      <c r="F90" s="192" t="str">
        <f>IFERROR(__xludf.DUMMYFUNCTION("""COMPUTED_VALUE"""),"Prosek")</f>
        <v>Prosek</v>
      </c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IFERROR(__xludf.DUMMYFUNCTION("""COMPUTED_VALUE"""),75.0)</f>
        <v>75</v>
      </c>
      <c r="W90" s="195">
        <f>IFERROR(__xludf.DUMMYFUNCTION("""COMPUTED_VALUE"""),12000.0)</f>
        <v>12000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IFERROR(__xludf.DUMMYFUNCTION("""COMPUTED_VALUE"""),0.0)</f>
        <v>0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/>
      </c>
      <c r="C92" s="192" t="b">
        <f>IFERROR(__xludf.DUMMYFUNCTION("""COMPUTED_VALUE"""),FALSE)</f>
        <v>0</v>
      </c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IFERROR(__xludf.DUMMYFUNCTION("""COMPUTED_VALUE"""),"Chlubna Tomáš")</f>
        <v>Chlubna Tomáš</v>
      </c>
      <c r="E93" s="192" t="str">
        <f>IFERROR(__xludf.DUMMYFUNCTION("""COMPUTED_VALUE"""),"Chodov")</f>
        <v>Chodov</v>
      </c>
      <c r="F93" s="192" t="str">
        <f>IFERROR(__xludf.DUMMYFUNCTION("""COMPUTED_VALUE"""),"Libuš")</f>
        <v>Libuš</v>
      </c>
      <c r="G93" s="192" t="str">
        <f>IFERROR(__xludf.DUMMYFUNCTION("""COMPUTED_VALUE"""),"Výroba")</f>
        <v>Výroba</v>
      </c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IFERROR(__xludf.DUMMYFUNCTION("""COMPUTED_VALUE"""),78.5)</f>
        <v>78.5</v>
      </c>
      <c r="W93" s="195">
        <f>IFERROR(__xludf.DUMMYFUNCTION("""COMPUTED_VALUE"""),12976.678)</f>
        <v>12976.678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>Vychivskyi Volodymyr</v>
      </c>
      <c r="C94" s="192" t="b">
        <f>IFERROR(__xludf.DUMMYFUNCTION("""COMPUTED_VALUE"""),FALSE)</f>
        <v>0</v>
      </c>
      <c r="D94" s="192" t="str">
        <f>IFERROR(__xludf.DUMMYFUNCTION("""COMPUTED_VALUE"""),"Vychivskyi Volodymyr")</f>
        <v>Vychivskyi Volodymyr</v>
      </c>
      <c r="E94" s="192" t="str">
        <f>IFERROR(__xludf.DUMMYFUNCTION("""COMPUTED_VALUE"""),"Malešice")</f>
        <v>Malešice</v>
      </c>
      <c r="F94" s="192" t="str">
        <f>IFERROR(__xludf.DUMMYFUNCTION("""COMPUTED_VALUE"""),"Prosek")</f>
        <v>Prosek</v>
      </c>
      <c r="G94" s="192" t="str">
        <f>IFERROR(__xludf.DUMMYFUNCTION("""COMPUTED_VALUE"""),"Zličín")</f>
        <v>Zličín</v>
      </c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IFERROR(__xludf.DUMMYFUNCTION("""COMPUTED_VALUE"""),112.0)</f>
        <v>112</v>
      </c>
      <c r="W94" s="195">
        <f>IFERROR(__xludf.DUMMYFUNCTION("""COMPUTED_VALUE"""),17942.896)</f>
        <v>17942.896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IFERROR(__xludf.DUMMYFUNCTION("""COMPUTED_VALUE"""),"Hřebík Martin")</f>
        <v>Hřebík Martin</v>
      </c>
      <c r="E96" s="192" t="str">
        <f>IFERROR(__xludf.DUMMYFUNCTION("""COMPUTED_VALUE"""),"Výroba")</f>
        <v>Výroba</v>
      </c>
      <c r="F96" s="192" t="str">
        <f>IFERROR(__xludf.DUMMYFUNCTION("""COMPUTED_VALUE"""),"Chodov")</f>
        <v>Chodov</v>
      </c>
      <c r="G96" s="192" t="str">
        <f>IFERROR(__xludf.DUMMYFUNCTION("""COMPUTED_VALUE"""),"Prosek")</f>
        <v>Prosek</v>
      </c>
      <c r="H96" s="192" t="str">
        <f>IFERROR(__xludf.DUMMYFUNCTION("""COMPUTED_VALUE"""),"Libuš")</f>
        <v>Libuš</v>
      </c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IFERROR(__xludf.DUMMYFUNCTION("""COMPUTED_VALUE"""),65.0)</f>
        <v>65</v>
      </c>
      <c r="W96" s="195">
        <f>IFERROR(__xludf.DUMMYFUNCTION("""COMPUTED_VALUE"""),44995.2)</f>
        <v>44995.2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IFERROR(__xludf.DUMMYFUNCTION("""COMPUTED_VALUE"""),"Eszenyiová Patrícia")</f>
        <v>Eszenyiová Patrícia</v>
      </c>
      <c r="E97" s="192" t="str">
        <f>IFERROR(__xludf.DUMMYFUNCTION("""COMPUTED_VALUE"""),"Libuš")</f>
        <v>Libuš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IFERROR(__xludf.DUMMYFUNCTION("""COMPUTED_VALUE"""),31.75)</f>
        <v>31.75</v>
      </c>
      <c r="W97" s="195">
        <f>IFERROR(__xludf.DUMMYFUNCTION("""COMPUTED_VALUE"""),5248.529)</f>
        <v>5248.529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IFERROR(__xludf.DUMMYFUNCTION("""COMPUTED_VALUE"""),"Reischl Jan")</f>
        <v>Reischl Jan</v>
      </c>
      <c r="E98" s="192" t="str">
        <f>IFERROR(__xludf.DUMMYFUNCTION("""COMPUTED_VALUE"""),"Malešice")</f>
        <v>Malešice</v>
      </c>
      <c r="F98" s="192" t="str">
        <f>IFERROR(__xludf.DUMMYFUNCTION("""COMPUTED_VALUE"""),"Chodov")</f>
        <v>Chodov</v>
      </c>
      <c r="G98" s="192" t="str">
        <f>IFERROR(__xludf.DUMMYFUNCTION("""COMPUTED_VALUE"""),"Libuš")</f>
        <v>Libuš</v>
      </c>
      <c r="H98" s="192" t="str">
        <f>IFERROR(__xludf.DUMMYFUNCTION("""COMPUTED_VALUE"""),"Prosek")</f>
        <v>Prosek</v>
      </c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IFERROR(__xludf.DUMMYFUNCTION("""COMPUTED_VALUE"""),12.0)</f>
        <v>12</v>
      </c>
      <c r="W98" s="195">
        <f>IFERROR(__xludf.DUMMYFUNCTION("""COMPUTED_VALUE"""),1697.28)</f>
        <v>1697.28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/>
      </c>
      <c r="C99" s="192" t="b">
        <f>IFERROR(__xludf.DUMMYFUNCTION("""COMPUTED_VALUE"""),FALSE)</f>
        <v>0</v>
      </c>
      <c r="D99" s="192" t="str">
        <f>IFERROR(__xludf.DUMMYFUNCTION("""COMPUTED_VALUE"""),"Mikešová Adéla")</f>
        <v>Mikešová Adéla</v>
      </c>
      <c r="E99" s="192" t="str">
        <f>IFERROR(__xludf.DUMMYFUNCTION("""COMPUTED_VALUE"""),"Bolevec")</f>
        <v>Bolevec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IFERROR(__xludf.DUMMYFUNCTION("""COMPUTED_VALUE"""),0.0)</f>
        <v>0</v>
      </c>
      <c r="W99" s="195">
        <f>IFERROR(__xludf.DUMMYFUNCTION("""COMPUTED_VALUE"""),0.0)</f>
        <v>0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IFERROR(__xludf.DUMMYFUNCTION("""COMPUTED_VALUE"""),"Pražák Aleš")</f>
        <v>Pražák Aleš</v>
      </c>
      <c r="E100" s="192" t="str">
        <f>IFERROR(__xludf.DUMMYFUNCTION("""COMPUTED_VALUE"""),"Chodov")</f>
        <v>Chodov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IFERROR(__xludf.DUMMYFUNCTION("""COMPUTED_VALUE"""),"Chyský David")</f>
        <v>Chyský David</v>
      </c>
      <c r="E101" s="192" t="str">
        <f>IFERROR(__xludf.DUMMYFUNCTION("""COMPUTED_VALUE"""),"Chodov")</f>
        <v>Chodov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IFERROR(__xludf.DUMMYFUNCTION("""COMPUTED_VALUE"""),0.0)</f>
        <v>0</v>
      </c>
      <c r="W101" s="195">
        <f>IFERROR(__xludf.DUMMYFUNCTION("""COMPUTED_VALUE"""),0.0)</f>
        <v>0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IFERROR(__xludf.DUMMYFUNCTION("""COMPUTED_VALUE"""),"Kulinič Michail")</f>
        <v>Kulinič Michail</v>
      </c>
      <c r="E104" s="192" t="str">
        <f>IFERROR(__xludf.DUMMYFUNCTION("""COMPUTED_VALUE"""),"Prosek")</f>
        <v>Prosek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IFERROR(__xludf.DUMMYFUNCTION("""COMPUTED_VALUE"""),0.0)</f>
        <v>0</v>
      </c>
      <c r="W104" s="195">
        <f>IFERROR(__xludf.DUMMYFUNCTION("""COMPUTED_VALUE"""),0.0)</f>
        <v>0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IFERROR(__xludf.DUMMYFUNCTION("""COMPUTED_VALUE"""),"Kalina Filip")</f>
        <v>Kalina Filip</v>
      </c>
      <c r="E105" s="192" t="str">
        <f>IFERROR(__xludf.DUMMYFUNCTION("""COMPUTED_VALUE"""),"Malešice")</f>
        <v>Malešice</v>
      </c>
      <c r="F105" s="192" t="str">
        <f>IFERROR(__xludf.DUMMYFUNCTION("""COMPUTED_VALUE"""),"Libuš")</f>
        <v>Libuš</v>
      </c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IFERROR(__xludf.DUMMYFUNCTION("""COMPUTED_VALUE"""),33.5)</f>
        <v>33.5</v>
      </c>
      <c r="W105" s="195">
        <f>IFERROR(__xludf.DUMMYFUNCTION("""COMPUTED_VALUE"""),5123.222)</f>
        <v>5123.222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IFERROR(__xludf.DUMMYFUNCTION("""COMPUTED_VALUE"""),"Kaločai Rudolf")</f>
        <v>Kaločai Rudolf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IFERROR(__xludf.DUMMYFUNCTION("""COMPUTED_VALUE"""),74.5)</f>
        <v>74.5</v>
      </c>
      <c r="W107" s="195">
        <f>IFERROR(__xludf.DUMMYFUNCTION("""COMPUTED_VALUE"""),10430.0)</f>
        <v>10430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IFERROR(__xludf.DUMMYFUNCTION("""COMPUTED_VALUE"""),"Dušek Sam")</f>
        <v>Dušek Sam</v>
      </c>
      <c r="E108" s="192" t="str">
        <f>IFERROR(__xludf.DUMMYFUNCTION("""COMPUTED_VALUE"""),"Libuš")</f>
        <v>Libuš</v>
      </c>
      <c r="F108" s="192" t="str">
        <f>IFERROR(__xludf.DUMMYFUNCTION("""COMPUTED_VALUE"""),"Malešice")</f>
        <v>Malešice</v>
      </c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IFERROR(__xludf.DUMMYFUNCTION("""COMPUTED_VALUE"""),113.5)</f>
        <v>113.5</v>
      </c>
      <c r="W108" s="195">
        <f>IFERROR(__xludf.DUMMYFUNCTION("""COMPUTED_VALUE"""),18148.783)</f>
        <v>18148.783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/>
      </c>
      <c r="C109" s="192" t="b">
        <f>IFERROR(__xludf.DUMMYFUNCTION("""COMPUTED_VALUE"""),FALSE)</f>
        <v>0</v>
      </c>
      <c r="D109" s="192" t="str">
        <f>IFERROR(__xludf.DUMMYFUNCTION("""COMPUTED_VALUE"""),"Kačena Stanislav")</f>
        <v>Kačena Stanislav</v>
      </c>
      <c r="E109" s="192" t="str">
        <f>IFERROR(__xludf.DUMMYFUNCTION("""COMPUTED_VALUE"""),"Prosek")</f>
        <v>Prosek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IFERROR(__xludf.DUMMYFUNCTION("""COMPUTED_VALUE"""),0.0)</f>
        <v>0</v>
      </c>
      <c r="W109" s="195">
        <f>IFERROR(__xludf.DUMMYFUNCTION("""COMPUTED_VALUE"""),0.0)</f>
        <v>0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IFERROR(__xludf.DUMMYFUNCTION("""COMPUTED_VALUE"""),"Cieslar Marek")</f>
        <v>Cieslar Marek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IFERROR(__xludf.DUMMYFUNCTION("""COMPUTED_VALUE"""),0.0)</f>
        <v>0</v>
      </c>
      <c r="W110" s="195">
        <f>IFERROR(__xludf.DUMMYFUNCTION("""COMPUTED_VALUE"""),0.0)</f>
        <v>0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Banga Adam</v>
      </c>
      <c r="C111" s="192" t="b">
        <f>IFERROR(__xludf.DUMMYFUNCTION("""COMPUTED_VALUE"""),FALSE)</f>
        <v>0</v>
      </c>
      <c r="D111" s="192" t="str">
        <f>IFERROR(__xludf.DUMMYFUNCTION("""COMPUTED_VALUE"""),"Banga Adam")</f>
        <v>Banga Adam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IFERROR(__xludf.DUMMYFUNCTION("""COMPUTED_VALUE"""),0.0)</f>
        <v>0</v>
      </c>
      <c r="W111" s="195">
        <f>IFERROR(__xludf.DUMMYFUNCTION("""COMPUTED_VALUE"""),0.0)</f>
        <v>0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IFERROR(__xludf.DUMMYFUNCTION("""COMPUTED_VALUE"""),"Vopatová Anna")</f>
        <v>Vopatová Anna</v>
      </c>
      <c r="E112" s="192" t="str">
        <f>IFERROR(__xludf.DUMMYFUNCTION("""COMPUTED_VALUE"""),"Bolevec")</f>
        <v>Bolevec</v>
      </c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IFERROR(__xludf.DUMMYFUNCTION("""COMPUTED_VALUE"""),29.0)</f>
        <v>29</v>
      </c>
      <c r="W112" s="195">
        <f>IFERROR(__xludf.DUMMYFUNCTION("""COMPUTED_VALUE"""),4101.76)</f>
        <v>4101.76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IFERROR(__xludf.DUMMYFUNCTION("""COMPUTED_VALUE"""),"Vopatová Šárka")</f>
        <v>Vopatová Šárka</v>
      </c>
      <c r="E113" s="192" t="str">
        <f>IFERROR(__xludf.DUMMYFUNCTION("""COMPUTED_VALUE"""),"Bolevec")</f>
        <v>Bolevec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IFERROR(__xludf.DUMMYFUNCTION("""COMPUTED_VALUE"""),7.0)</f>
        <v>7</v>
      </c>
      <c r="W113" s="195">
        <f>IFERROR(__xludf.DUMMYFUNCTION("""COMPUTED_VALUE"""),990.08)</f>
        <v>990.08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IFERROR(__xludf.DUMMYFUNCTION("""COMPUTED_VALUE"""),"Richterová Monika")</f>
        <v>Richterová Monika</v>
      </c>
      <c r="E114" s="192" t="str">
        <f>IFERROR(__xludf.DUMMYFUNCTION("""COMPUTED_VALUE"""),"Malešice")</f>
        <v>Malešice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IFERROR(__xludf.DUMMYFUNCTION("""COMPUTED_VALUE"""),"Serin David")</f>
        <v>Serin David</v>
      </c>
      <c r="E115" s="192" t="str">
        <f>IFERROR(__xludf.DUMMYFUNCTION("""COMPUTED_VALUE"""),"Libuš")</f>
        <v>Libuš</v>
      </c>
      <c r="F115" s="192" t="str">
        <f>IFERROR(__xludf.DUMMYFUNCTION("""COMPUTED_VALUE"""),"Malešice")</f>
        <v>Malešice</v>
      </c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IFERROR(__xludf.DUMMYFUNCTION("""COMPUTED_VALUE"""),13.0)</f>
        <v>13</v>
      </c>
      <c r="W115" s="195">
        <f>IFERROR(__xludf.DUMMYFUNCTION("""COMPUTED_VALUE"""),2149.004)</f>
        <v>2149.004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/>
      </c>
      <c r="C116" s="192" t="b">
        <f>IFERROR(__xludf.DUMMYFUNCTION("""COMPUTED_VALUE"""),FALSE)</f>
        <v>0</v>
      </c>
      <c r="D116" s="192" t="str">
        <f>IFERROR(__xludf.DUMMYFUNCTION("""COMPUTED_VALUE"""),"Fabera Tomáš")</f>
        <v>Fabera Tomáš</v>
      </c>
      <c r="E116" s="192" t="str">
        <f>IFERROR(__xludf.DUMMYFUNCTION("""COMPUTED_VALUE"""),"Chodov")</f>
        <v>Chodov</v>
      </c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IFERROR(__xludf.DUMMYFUNCTION("""COMPUTED_VALUE"""),4.0)</f>
        <v>4</v>
      </c>
      <c r="W116" s="195">
        <f>IFERROR(__xludf.DUMMYFUNCTION("""COMPUTED_VALUE"""),611.728)</f>
        <v>611.728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 t="str">
        <f>IFERROR(__xludf.DUMMYFUNCTION("""COMPUTED_VALUE"""),"Hendrych Rostislav")</f>
        <v>Hendrych Rostislav</v>
      </c>
      <c r="E117" s="192" t="str">
        <f>IFERROR(__xludf.DUMMYFUNCTION("""COMPUTED_VALUE"""),"Malešice")</f>
        <v>Malešice</v>
      </c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IFERROR(__xludf.DUMMYFUNCTION("""COMPUTED_VALUE"""),27.0)</f>
        <v>27</v>
      </c>
      <c r="W117" s="195">
        <f>IFERROR(__xludf.DUMMYFUNCTION("""COMPUTED_VALUE"""),4463.316)</f>
        <v>4463.316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 t="str">
        <f>IFERROR(__xludf.DUMMYFUNCTION("""COMPUTED_VALUE"""),"Světlík František")</f>
        <v>Světlík František</v>
      </c>
      <c r="E119" s="192" t="str">
        <f>IFERROR(__xludf.DUMMYFUNCTION("""COMPUTED_VALUE"""),"Bolevec")</f>
        <v>Bolevec</v>
      </c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IFERROR(__xludf.DUMMYFUNCTION("""COMPUTED_VALUE"""),57.5)</f>
        <v>57.5</v>
      </c>
      <c r="W119" s="195">
        <f>IFERROR(__xludf.DUMMYFUNCTION("""COMPUTED_VALUE"""),8132.8)</f>
        <v>8132.8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 t="str">
        <f>IFERROR(__xludf.DUMMYFUNCTION("""COMPUTED_VALUE"""),"Ženíšek Lukáš")</f>
        <v>Ženíšek Lukáš</v>
      </c>
      <c r="E120" s="192" t="str">
        <f>IFERROR(__xludf.DUMMYFUNCTION("""COMPUTED_VALUE"""),"Bolevec")</f>
        <v>Bolevec</v>
      </c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IFERROR(__xludf.DUMMYFUNCTION("""COMPUTED_VALUE"""),0.0)</f>
        <v>0</v>
      </c>
      <c r="W120" s="195">
        <f>IFERROR(__xludf.DUMMYFUNCTION("""COMPUTED_VALUE"""),0.0)</f>
        <v>0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/>
      <c r="E121" s="192" t="str">
        <f>IFERROR(__xludf.DUMMYFUNCTION("""COMPUTED_VALUE"""),"Chodov")</f>
        <v>Chodov</v>
      </c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IFERROR(__xludf.DUMMYFUNCTION("""COMPUTED_VALUE"""),0.0)</f>
        <v>0</v>
      </c>
      <c r="W121" s="195">
        <f>IFERROR(__xludf.DUMMYFUNCTION("""COMPUTED_VALUE"""),0.0)</f>
        <v>0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 t="str">
        <f>IFERROR(__xludf.DUMMYFUNCTION("""COMPUTED_VALUE"""),"Roth Stanislav st.")</f>
        <v>Roth Stanislav st.</v>
      </c>
      <c r="E122" s="192" t="str">
        <f>IFERROR(__xludf.DUMMYFUNCTION("""COMPUTED_VALUE"""),"Bolevec")</f>
        <v>Bolevec</v>
      </c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IFERROR(__xludf.DUMMYFUNCTION("""COMPUTED_VALUE"""),29728.0)</f>
        <v>29728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/>
      </c>
      <c r="C124" s="192" t="b">
        <f>IFERROR(__xludf.DUMMYFUNCTION("""COMPUTED_VALUE"""),FALSE)</f>
        <v>0</v>
      </c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>Vaníková Anna</v>
      </c>
      <c r="C125" s="192" t="b">
        <f>IFERROR(__xludf.DUMMYFUNCTION("""COMPUTED_VALUE"""),FALSE)</f>
        <v>0</v>
      </c>
      <c r="D125" s="192" t="str">
        <f>IFERROR(__xludf.DUMMYFUNCTION("""COMPUTED_VALUE"""),"Vaníková Anna")</f>
        <v>Vaníková Anna</v>
      </c>
      <c r="E125" s="192" t="str">
        <f>IFERROR(__xludf.DUMMYFUNCTION("""COMPUTED_VALUE"""),"Zličín")</f>
        <v>Zličín</v>
      </c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IFERROR(__xludf.DUMMYFUNCTION("""COMPUTED_VALUE"""),24.0)</f>
        <v>24</v>
      </c>
      <c r="W125" s="195">
        <f>IFERROR(__xludf.DUMMYFUNCTION("""COMPUTED_VALUE"""),3967.392)</f>
        <v>3967.392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 t="str">
        <f>IFERROR(__xludf.DUMMYFUNCTION("""COMPUTED_VALUE"""),"Břicháč Pavel")</f>
        <v>Břicháč Pavel</v>
      </c>
      <c r="E126" s="192" t="str">
        <f>IFERROR(__xludf.DUMMYFUNCTION("""COMPUTED_VALUE"""),"Libuš")</f>
        <v>Libuš</v>
      </c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IFERROR(__xludf.DUMMYFUNCTION("""COMPUTED_VALUE"""),49.5)</f>
        <v>49.5</v>
      </c>
      <c r="W126" s="195">
        <f>IFERROR(__xludf.DUMMYFUNCTION("""COMPUTED_VALUE"""),7570.134)</f>
        <v>7570.134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>Čerešňák Michal</v>
      </c>
      <c r="C127" s="192" t="b">
        <f>IFERROR(__xludf.DUMMYFUNCTION("""COMPUTED_VALUE"""),FALSE)</f>
        <v>0</v>
      </c>
      <c r="D127" s="192" t="str">
        <f>IFERROR(__xludf.DUMMYFUNCTION("""COMPUTED_VALUE"""),"Čerešňák Michal")</f>
        <v>Čerešňák Michal</v>
      </c>
      <c r="E127" s="192" t="str">
        <f>IFERROR(__xludf.DUMMYFUNCTION("""COMPUTED_VALUE"""),"Zličín")</f>
        <v>Zličín</v>
      </c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8">
        <f>IFERROR(__xludf.DUMMYFUNCTION("""COMPUTED_VALUE"""),63.0)</f>
        <v>63</v>
      </c>
      <c r="W127" s="195">
        <f>IFERROR(__xludf.DUMMYFUNCTION("""COMPUTED_VALUE"""),10710.0)</f>
        <v>10710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 t="str">
        <f>IFERROR(__xludf.DUMMYFUNCTION("""COMPUTED_VALUE"""),"Weindling Josef")</f>
        <v>Weindling Josef</v>
      </c>
      <c r="E128" s="192" t="str">
        <f>IFERROR(__xludf.DUMMYFUNCTION("""COMPUTED_VALUE"""),"Libuš")</f>
        <v>Libuš</v>
      </c>
      <c r="F128" s="192" t="str">
        <f>IFERROR(__xludf.DUMMYFUNCTION("""COMPUTED_VALUE"""),"Malešice")</f>
        <v>Malešice</v>
      </c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8">
        <f>IFERROR(__xludf.DUMMYFUNCTION("""COMPUTED_VALUE"""),43.5)</f>
        <v>43.5</v>
      </c>
      <c r="W128" s="195">
        <f>IFERROR(__xludf.DUMMYFUNCTION("""COMPUTED_VALUE"""),6652.5419999999995)</f>
        <v>6652.542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 t="str">
        <f>IFERROR(__xludf.DUMMYFUNCTION("""COMPUTED_VALUE"""),"Fux Vojtěch")</f>
        <v>Fux Vojtěch</v>
      </c>
      <c r="E129" s="192" t="str">
        <f>IFERROR(__xludf.DUMMYFUNCTION("""COMPUTED_VALUE"""),"Chodov")</f>
        <v>Chodov</v>
      </c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8">
        <f>IFERROR(__xludf.DUMMYFUNCTION("""COMPUTED_VALUE"""),50.5)</f>
        <v>50.5</v>
      </c>
      <c r="W129" s="195">
        <f>IFERROR(__xludf.DUMMYFUNCTION("""COMPUTED_VALUE"""),10100.0)</f>
        <v>10100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 t="str">
        <f>IFERROR(__xludf.DUMMYFUNCTION("""COMPUTED_VALUE"""),"Kumar Jatinder")</f>
        <v>Kumar Jatinder</v>
      </c>
      <c r="E130" s="192" t="str">
        <f>IFERROR(__xludf.DUMMYFUNCTION("""COMPUTED_VALUE"""),"Libuš")</f>
        <v>Libuš</v>
      </c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 t="str">
        <f>IFERROR(__xludf.DUMMYFUNCTION("""COMPUTED_VALUE"""),"Stehlíková Magdaléna")</f>
        <v>Stehlíková Magdaléna</v>
      </c>
      <c r="E131" s="192" t="str">
        <f>IFERROR(__xludf.DUMMYFUNCTION("""COMPUTED_VALUE"""),"Bolevec")</f>
        <v>Bolevec</v>
      </c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8">
        <f>IFERROR(__xludf.DUMMYFUNCTION("""COMPUTED_VALUE"""),12.0)</f>
        <v>12</v>
      </c>
      <c r="W131" s="195">
        <f>IFERROR(__xludf.DUMMYFUNCTION("""COMPUTED_VALUE"""),1697.28)</f>
        <v>1697.28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>Dragoun Alfréd</v>
      </c>
      <c r="C132" s="192" t="b">
        <f>IFERROR(__xludf.DUMMYFUNCTION("""COMPUTED_VALUE"""),FALSE)</f>
        <v>0</v>
      </c>
      <c r="D132" s="192" t="str">
        <f>IFERROR(__xludf.DUMMYFUNCTION("""COMPUTED_VALUE"""),"Dragoun Alfréd")</f>
        <v>Dragoun Alfréd</v>
      </c>
      <c r="E132" s="192" t="str">
        <f>IFERROR(__xludf.DUMMYFUNCTION("""COMPUTED_VALUE"""),"Zličín")</f>
        <v>Zličín</v>
      </c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8">
        <f>IFERROR(__xludf.DUMMYFUNCTION("""COMPUTED_VALUE"""),5.0)</f>
        <v>5</v>
      </c>
      <c r="W132" s="195">
        <f>IFERROR(__xludf.DUMMYFUNCTION("""COMPUTED_VALUE"""),826.54)</f>
        <v>826.54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IFERROR(__xludf.DUMMYFUNCTION("""COMPUTED_VALUE"""),1369.0)</f>
        <v>1369</v>
      </c>
      <c r="W196" s="195">
        <f>IFERROR(__xludf.DUMMYFUNCTION("""COMPUTED_VALUE"""),283819.30399999995)</f>
        <v>283819.304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