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hidden" name="HR" sheetId="3" r:id="rId7"/>
    <sheet state="hidden" name="August 2024" sheetId="4" r:id="rId8"/>
    <sheet state="hidden" name="Denik" sheetId="5" r:id="rId9"/>
    <sheet state="hidden" name="Směny" sheetId="6" r:id="rId10"/>
  </sheets>
  <definedNames/>
  <calcPr/>
</workbook>
</file>

<file path=xl/sharedStrings.xml><?xml version="1.0" encoding="utf-8"?>
<sst xmlns="http://schemas.openxmlformats.org/spreadsheetml/2006/main" count="141" uniqueCount="74">
  <si>
    <t>Výroba</t>
  </si>
  <si>
    <t>Datum</t>
  </si>
  <si>
    <t>Náklad v kč</t>
  </si>
  <si>
    <t xml:space="preserve">         Napiš vzkaz  ⬇️    📖   Deník   📖     ⬇️ Včerejší vzkaz</t>
  </si>
  <si>
    <t>Směny</t>
  </si>
  <si>
    <t>Výdaje</t>
  </si>
  <si>
    <t>Jméno</t>
  </si>
  <si>
    <t>Začátek směny</t>
  </si>
  <si>
    <t>Konec směny</t>
  </si>
  <si>
    <t>pauza</t>
  </si>
  <si>
    <t>Počet hodin</t>
  </si>
  <si>
    <t>Benzín / nafta</t>
  </si>
  <si>
    <t>Paziak Viktoriia</t>
  </si>
  <si>
    <t>06:00</t>
  </si>
  <si>
    <t>14:00</t>
  </si>
  <si>
    <t>Suroviny</t>
  </si>
  <si>
    <t>Kursheva Diana</t>
  </si>
  <si>
    <t>Ostatní</t>
  </si>
  <si>
    <t>Koteliuk Maryna</t>
  </si>
  <si>
    <t>Vyber datum    &lt;----------&gt;</t>
  </si>
  <si>
    <t>Celkem hodin</t>
  </si>
  <si>
    <t>Počet dní</t>
  </si>
  <si>
    <t>Ahurieva Viktoriia</t>
  </si>
  <si>
    <t>Hřebík Martin</t>
  </si>
  <si>
    <t>Lažek Jaroslav</t>
  </si>
  <si>
    <t>Manažeři</t>
  </si>
  <si>
    <t>Zamestnanci pobocky</t>
  </si>
  <si>
    <t>Den v týdnu</t>
  </si>
  <si>
    <t>Pauza</t>
  </si>
  <si>
    <t>Mzdový náklad</t>
  </si>
  <si>
    <t>Benzín</t>
  </si>
  <si>
    <t>Sobota</t>
  </si>
  <si>
    <t>Viktoriia Paziak</t>
  </si>
  <si>
    <t>20:00</t>
  </si>
  <si>
    <t>21:00</t>
  </si>
  <si>
    <t>00:00</t>
  </si>
  <si>
    <t>01:00</t>
  </si>
  <si>
    <t>Stepanenko Solomiia</t>
  </si>
  <si>
    <t>10:00</t>
  </si>
  <si>
    <t>11:00</t>
  </si>
  <si>
    <t>05:00</t>
  </si>
  <si>
    <t>Čtvrtek</t>
  </si>
  <si>
    <t>Středa</t>
  </si>
  <si>
    <t>Pátek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</si>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</sst>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&quot;-&quot;mm&quot;-&quot;yyyy"/>
    <numFmt numFmtId="165" formatCode="&quot;/&quot;d&quot;/&quot;myy"/>
    <numFmt numFmtId="166" formatCode="dd,mm,yyyy"/>
    <numFmt numFmtId="167" formatCode="mmmm&quot; &quot;yyyy"/>
    <numFmt numFmtId="168" formatCode="#,##0\ [$Kč-405]"/>
    <numFmt numFmtId="169" formatCode="0.0 &quot;h&quot;"/>
  </numFmts>
  <fonts count="21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color theme="1"/>
      <name val="Arial"/>
      <scheme val="minor"/>
    </font>
    <font>
      <b/>
      <sz val="25.0"/>
      <color rgb="FF000000"/>
      <name val="&quot;Google Sans Mono&quot;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12.0"/>
      <color theme="1"/>
      <name val="Arial"/>
      <scheme val="minor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0.0"/>
      <color rgb="FF000000"/>
      <name val="Arial"/>
    </font>
    <font>
      <b/>
      <sz val="13.0"/>
      <color theme="1"/>
      <name val="Google Sans Mono"/>
    </font>
    <font>
      <b/>
      <sz val="14.0"/>
      <color theme="1"/>
      <name val="Arial"/>
    </font>
    <font>
      <b/>
      <sz val="15.0"/>
      <color theme="1"/>
      <name val="Arial"/>
      <scheme val="minor"/>
    </font>
    <font>
      <sz val="9.0"/>
      <color theme="1"/>
      <name val="Google Sans Mono"/>
    </font>
    <font>
      <b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4CCCC"/>
        <bgColor rgb="FFF4CCCC"/>
      </patternFill>
    </fill>
    <fill>
      <patternFill patternType="solid">
        <fgColor rgb="FFF9CB9C"/>
        <bgColor rgb="FFF9CB9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</fills>
  <borders count="34">
    <border/>
    <border>
      <right style="thick">
        <color rgb="FF000000"/>
      </right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2" numFmtId="0" xfId="0" applyAlignment="1" applyBorder="1" applyFill="1" applyFont="1">
      <alignment horizontal="center" readingOrder="0" shrinkToFit="0" vertical="center" wrapText="1"/>
    </xf>
    <xf borderId="3" fillId="3" fontId="3" numFmtId="0" xfId="0" applyAlignment="1" applyBorder="1" applyFont="1">
      <alignment horizontal="center" vertical="center"/>
    </xf>
    <xf borderId="4" fillId="3" fontId="4" numFmtId="164" xfId="0" applyAlignment="1" applyBorder="1" applyFont="1" applyNumberFormat="1">
      <alignment horizontal="center" readingOrder="0" vertical="center"/>
    </xf>
    <xf borderId="5" fillId="0" fontId="5" numFmtId="0" xfId="0" applyBorder="1" applyFont="1"/>
    <xf borderId="6" fillId="4" fontId="6" numFmtId="0" xfId="0" applyAlignment="1" applyBorder="1" applyFill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8" fillId="5" fontId="7" numFmtId="0" xfId="0" applyBorder="1" applyFill="1" applyFont="1"/>
    <xf borderId="8" fillId="0" fontId="5" numFmtId="0" xfId="0" applyBorder="1" applyFont="1"/>
    <xf borderId="2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6" fontId="8" numFmtId="2" xfId="0" applyAlignment="1" applyFill="1" applyFont="1" applyNumberFormat="1">
      <alignment horizontal="center" vertical="center"/>
    </xf>
    <xf borderId="1" fillId="0" fontId="5" numFmtId="0" xfId="0" applyBorder="1" applyFont="1"/>
    <xf borderId="1" fillId="2" fontId="1" numFmtId="2" xfId="0" applyAlignment="1" applyBorder="1" applyFont="1" applyNumberFormat="1">
      <alignment horizontal="center" vertical="center"/>
    </xf>
    <xf borderId="4" fillId="3" fontId="9" numFmtId="165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4" fillId="5" fontId="6" numFmtId="0" xfId="0" applyAlignment="1" applyBorder="1" applyFont="1">
      <alignment horizontal="left" readingOrder="0" vertical="center"/>
    </xf>
    <xf borderId="0" fillId="2" fontId="1" numFmtId="2" xfId="0" applyAlignment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8" fillId="7" fontId="1" numFmtId="0" xfId="0" applyAlignment="1" applyBorder="1" applyFont="1">
      <alignment horizontal="center" readingOrder="0" vertical="center"/>
    </xf>
    <xf borderId="5" fillId="7" fontId="1" numFmtId="0" xfId="0" applyAlignment="1" applyBorder="1" applyFont="1">
      <alignment horizontal="center" readingOrder="0" vertical="center"/>
    </xf>
    <xf borderId="2" fillId="7" fontId="1" numFmtId="0" xfId="0" applyAlignment="1" applyBorder="1" applyFon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12" fillId="7" fontId="1" numFmtId="0" xfId="0" applyAlignment="1" applyBorder="1" applyFont="1">
      <alignment horizontal="center" readingOrder="0" vertical="center"/>
    </xf>
    <xf borderId="11" fillId="7" fontId="1" numFmtId="0" xfId="0" applyAlignment="1" applyBorder="1" applyFont="1">
      <alignment horizontal="center" readingOrder="0" vertical="center"/>
    </xf>
    <xf borderId="10" fillId="8" fontId="10" numFmtId="0" xfId="0" applyAlignment="1" applyBorder="1" applyFill="1" applyFont="1">
      <alignment horizontal="center" readingOrder="0" vertical="center"/>
    </xf>
    <xf borderId="13" fillId="6" fontId="11" numFmtId="0" xfId="0" applyAlignment="1" applyBorder="1" applyFont="1">
      <alignment horizontal="center" readingOrder="0" vertical="center"/>
    </xf>
    <xf borderId="14" fillId="0" fontId="11" numFmtId="20" xfId="0" applyAlignment="1" applyBorder="1" applyFont="1" applyNumberFormat="1">
      <alignment horizontal="center" vertical="center"/>
    </xf>
    <xf borderId="15" fillId="0" fontId="11" numFmtId="0" xfId="0" applyAlignment="1" applyBorder="1" applyFont="1">
      <alignment horizontal="center" vertical="center"/>
    </xf>
    <xf borderId="16" fillId="0" fontId="12" numFmtId="0" xfId="0" applyAlignment="1" applyBorder="1" applyFont="1">
      <alignment readingOrder="0"/>
    </xf>
    <xf borderId="15" fillId="0" fontId="5" numFmtId="0" xfId="0" applyBorder="1" applyFont="1"/>
    <xf borderId="17" fillId="0" fontId="5" numFmtId="0" xfId="0" applyBorder="1" applyFont="1"/>
    <xf borderId="16" fillId="7" fontId="7" numFmtId="0" xfId="0" applyAlignment="1" applyBorder="1" applyFont="1">
      <alignment horizontal="center" readingOrder="0" vertical="center"/>
    </xf>
    <xf borderId="0" fillId="6" fontId="13" numFmtId="2" xfId="0" applyAlignment="1" applyFont="1" applyNumberFormat="1">
      <alignment horizontal="center" vertical="center"/>
    </xf>
    <xf borderId="18" fillId="7" fontId="1" numFmtId="0" xfId="0" applyAlignment="1" applyBorder="1" applyFont="1">
      <alignment horizontal="center" readingOrder="0" vertical="center"/>
    </xf>
    <xf borderId="19" fillId="7" fontId="1" numFmtId="49" xfId="0" applyAlignment="1" applyBorder="1" applyFont="1" applyNumberFormat="1">
      <alignment horizontal="center" readingOrder="0" vertical="center"/>
    </xf>
    <xf borderId="20" fillId="7" fontId="1" numFmtId="49" xfId="0" applyAlignment="1" applyBorder="1" applyFont="1" applyNumberFormat="1">
      <alignment horizontal="center" readingOrder="0" vertical="center"/>
    </xf>
    <xf borderId="21" fillId="9" fontId="14" numFmtId="0" xfId="0" applyAlignment="1" applyBorder="1" applyFill="1" applyFont="1">
      <alignment horizontal="center" readingOrder="0" vertical="center"/>
    </xf>
    <xf borderId="22" fillId="0" fontId="12" numFmtId="0" xfId="0" applyAlignment="1" applyBorder="1" applyFont="1">
      <alignment readingOrder="0"/>
    </xf>
    <xf borderId="23" fillId="0" fontId="5" numFmtId="0" xfId="0" applyBorder="1" applyFont="1"/>
    <xf borderId="24" fillId="0" fontId="5" numFmtId="0" xfId="0" applyBorder="1" applyFont="1"/>
    <xf borderId="22" fillId="7" fontId="7" numFmtId="0" xfId="0" applyAlignment="1" applyBorder="1" applyFont="1">
      <alignment horizontal="center" readingOrder="0" vertical="center"/>
    </xf>
    <xf borderId="25" fillId="7" fontId="15" numFmtId="0" xfId="0" applyAlignment="1" applyBorder="1" applyFont="1">
      <alignment horizontal="left" readingOrder="0"/>
    </xf>
    <xf borderId="26" fillId="0" fontId="12" numFmtId="0" xfId="0" applyAlignment="1" applyBorder="1" applyFont="1">
      <alignment readingOrder="0"/>
    </xf>
    <xf borderId="27" fillId="0" fontId="5" numFmtId="0" xfId="0" applyBorder="1" applyFont="1"/>
    <xf borderId="28" fillId="0" fontId="5" numFmtId="0" xfId="0" applyBorder="1" applyFont="1"/>
    <xf borderId="26" fillId="7" fontId="7" numFmtId="0" xfId="0" applyAlignment="1" applyBorder="1" applyFont="1">
      <alignment horizontal="center" readingOrder="0" vertical="center"/>
    </xf>
    <xf borderId="20" fillId="7" fontId="1" numFmtId="0" xfId="0" applyAlignment="1" applyBorder="1" applyFont="1">
      <alignment horizontal="center" readingOrder="0" vertical="center"/>
    </xf>
    <xf borderId="29" fillId="9" fontId="14" numFmtId="0" xfId="0" applyAlignment="1" applyBorder="1" applyFont="1">
      <alignment horizontal="center" readingOrder="0" vertical="center"/>
    </xf>
    <xf borderId="0" fillId="5" fontId="7" numFmtId="0" xfId="0" applyFont="1"/>
    <xf borderId="20" fillId="7" fontId="1" numFmtId="20" xfId="0" applyAlignment="1" applyBorder="1" applyFont="1" applyNumberFormat="1">
      <alignment horizontal="center" vertical="center"/>
    </xf>
    <xf borderId="30" fillId="7" fontId="1" numFmtId="0" xfId="0" applyAlignment="1" applyBorder="1" applyFont="1">
      <alignment horizontal="center" readingOrder="0" vertical="center"/>
    </xf>
    <xf borderId="31" fillId="7" fontId="1" numFmtId="49" xfId="0" applyAlignment="1" applyBorder="1" applyFont="1" applyNumberFormat="1">
      <alignment horizontal="center" readingOrder="0" vertical="center"/>
    </xf>
    <xf borderId="12" fillId="7" fontId="1" numFmtId="20" xfId="0" applyAlignment="1" applyBorder="1" applyFont="1" applyNumberFormat="1">
      <alignment horizontal="center" vertical="center"/>
    </xf>
    <xf borderId="32" fillId="9" fontId="14" numFmtId="0" xfId="0" applyAlignment="1" applyBorder="1" applyFont="1">
      <alignment horizontal="center" readingOrder="0" vertical="center"/>
    </xf>
    <xf borderId="0" fillId="9" fontId="2" numFmtId="2" xfId="0" applyAlignment="1" applyFont="1" applyNumberFormat="1">
      <alignment horizontal="center" vertical="center"/>
    </xf>
    <xf borderId="3" fillId="9" fontId="2" numFmtId="2" xfId="0" applyAlignment="1" applyBorder="1" applyFont="1" applyNumberFormat="1">
      <alignment horizontal="center" shrinkToFit="0" vertical="center" wrapText="1"/>
    </xf>
    <xf borderId="4" fillId="6" fontId="16" numFmtId="166" xfId="0" applyAlignment="1" applyBorder="1" applyFont="1" applyNumberFormat="1">
      <alignment horizontal="center" readingOrder="0" shrinkToFit="0" vertical="center" wrapText="0"/>
    </xf>
    <xf borderId="3" fillId="10" fontId="17" numFmtId="164" xfId="0" applyAlignment="1" applyBorder="1" applyFill="1" applyFont="1" applyNumberFormat="1">
      <alignment horizontal="center" shrinkToFit="0" vertical="center" wrapText="1"/>
    </xf>
    <xf borderId="0" fillId="5" fontId="7" numFmtId="0" xfId="0" applyAlignment="1" applyFont="1">
      <alignment horizontal="center" vertical="center"/>
    </xf>
    <xf borderId="0" fillId="6" fontId="8" numFmtId="1" xfId="0" applyAlignment="1" applyFont="1" applyNumberFormat="1">
      <alignment horizontal="center" readingOrder="0" vertical="center"/>
    </xf>
    <xf borderId="0" fillId="6" fontId="9" numFmtId="165" xfId="0" applyAlignment="1" applyFont="1" applyNumberFormat="1">
      <alignment horizontal="center" readingOrder="0" vertical="center"/>
    </xf>
    <xf borderId="4" fillId="6" fontId="9" numFmtId="165" xfId="0" applyAlignment="1" applyBorder="1" applyFont="1" applyNumberFormat="1">
      <alignment horizontal="center" vertical="center"/>
    </xf>
    <xf borderId="0" fillId="6" fontId="11" numFmtId="0" xfId="0" applyAlignment="1" applyFont="1">
      <alignment horizontal="center" readingOrder="0" vertical="center"/>
    </xf>
    <xf borderId="4" fillId="6" fontId="6" numFmtId="0" xfId="0" applyAlignment="1" applyBorder="1" applyFont="1">
      <alignment horizontal="center" readingOrder="0" vertical="center"/>
    </xf>
    <xf borderId="33" fillId="8" fontId="18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16" fillId="0" fontId="12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vertical="center"/>
    </xf>
    <xf borderId="22" fillId="0" fontId="12" numFmtId="0" xfId="0" applyAlignment="1" applyBorder="1" applyFont="1">
      <alignment horizontal="center" readingOrder="0" vertical="center"/>
    </xf>
    <xf borderId="33" fillId="8" fontId="10" numFmtId="0" xfId="0" applyAlignment="1" applyBorder="1" applyFont="1">
      <alignment horizontal="center" readingOrder="0" vertical="center"/>
    </xf>
    <xf borderId="0" fillId="11" fontId="7" numFmtId="0" xfId="0" applyAlignment="1" applyFill="1" applyFont="1">
      <alignment horizontal="center" vertical="center"/>
    </xf>
    <xf borderId="26" fillId="0" fontId="12" numFmtId="0" xfId="0" applyAlignment="1" applyBorder="1" applyFont="1">
      <alignment horizontal="center" readingOrder="0" vertical="center"/>
    </xf>
    <xf borderId="18" fillId="6" fontId="11" numFmtId="0" xfId="0" applyAlignment="1" applyBorder="1" applyFont="1">
      <alignment horizontal="center" vertical="center"/>
    </xf>
    <xf borderId="19" fillId="6" fontId="11" numFmtId="20" xfId="0" applyAlignment="1" applyBorder="1" applyFont="1" applyNumberFormat="1">
      <alignment horizontal="center" vertical="center"/>
    </xf>
    <xf borderId="18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19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vertical="bottom"/>
    </xf>
    <xf borderId="0" fillId="12" fontId="1" numFmtId="0" xfId="0" applyAlignment="1" applyFill="1" applyFont="1">
      <alignment vertical="bottom"/>
    </xf>
    <xf borderId="0" fillId="12" fontId="1" numFmtId="167" xfId="0" applyAlignment="1" applyFont="1" applyNumberFormat="1">
      <alignment horizontal="right" vertical="bottom"/>
    </xf>
    <xf borderId="0" fillId="0" fontId="1" numFmtId="168" xfId="0" applyAlignment="1" applyFont="1" applyNumberFormat="1">
      <alignment vertical="bottom"/>
    </xf>
    <xf borderId="0" fillId="13" fontId="1" numFmtId="0" xfId="0" applyAlignment="1" applyFill="1" applyFont="1">
      <alignment vertical="bottom"/>
    </xf>
    <xf borderId="0" fillId="6" fontId="19" numFmtId="0" xfId="0" applyAlignment="1" applyFont="1">
      <alignment vertical="bottom"/>
    </xf>
    <xf borderId="0" fillId="0" fontId="1" numFmtId="2" xfId="0" applyAlignment="1" applyFont="1" applyNumberFormat="1">
      <alignment vertical="bottom"/>
    </xf>
    <xf borderId="0" fillId="6" fontId="1" numFmtId="0" xfId="0" applyAlignment="1" applyFont="1">
      <alignment vertical="bottom"/>
    </xf>
    <xf borderId="0" fillId="0" fontId="1" numFmtId="20" xfId="0" applyAlignment="1" applyFont="1" applyNumberFormat="1">
      <alignment vertical="bottom"/>
    </xf>
    <xf borderId="0" fillId="0" fontId="1" numFmtId="169" xfId="0" applyAlignment="1" applyFont="1" applyNumberFormat="1">
      <alignment vertical="bottom"/>
    </xf>
    <xf borderId="0" fillId="0" fontId="7" numFmtId="0" xfId="0" applyAlignment="1" applyFont="1">
      <alignment readingOrder="0"/>
    </xf>
    <xf borderId="0" fillId="0" fontId="7" numFmtId="14" xfId="0" applyAlignment="1" applyFont="1" applyNumberFormat="1">
      <alignment readingOrder="0"/>
    </xf>
    <xf quotePrefix="1" borderId="0" fillId="0" fontId="7" numFmtId="0" xfId="0" applyAlignment="1" applyFont="1">
      <alignment readingOrder="0"/>
    </xf>
    <xf borderId="0" fillId="0" fontId="7" numFmtId="0" xfId="0" applyAlignment="1" applyFont="1">
      <alignment readingOrder="0"/>
    </xf>
    <xf borderId="33" fillId="14" fontId="20" numFmtId="0" xfId="0" applyAlignment="1" applyBorder="1" applyFill="1" applyFont="1">
      <alignment shrinkToFit="0" vertical="bottom" wrapText="1"/>
    </xf>
    <xf borderId="0" fillId="14" fontId="20" numFmtId="0" xfId="0" applyAlignment="1" applyFont="1">
      <alignment shrinkToFit="0" vertical="bottom" wrapText="1"/>
    </xf>
    <xf borderId="0" fillId="0" fontId="7" numFmtId="0" xfId="0" applyFont="1"/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</cols>
  <sheetData>
    <row r="1">
      <c r="A1" s="1"/>
      <c r="B1" s="2" t="s">
        <v>0</v>
      </c>
      <c r="C1" s="3" t="s">
        <v>1</v>
      </c>
      <c r="D1" s="4">
        <v>46205.0</v>
      </c>
      <c r="E1" s="5"/>
      <c r="F1" s="6" t="s">
        <v>2</v>
      </c>
      <c r="G1" s="7"/>
      <c r="H1" s="8"/>
      <c r="I1" s="9"/>
      <c r="J1" s="10"/>
      <c r="K1" s="5"/>
    </row>
    <row r="2" ht="19.5" customHeight="1">
      <c r="A2" s="1"/>
      <c r="B2" s="11"/>
      <c r="C2" s="12"/>
      <c r="D2" s="13"/>
      <c r="E2" s="14"/>
      <c r="F2" s="15">
        <f>IFERROR(__xludf.DUMMYFUNCTION("SUM(A14:A20) + SUM(FILTER(HR!W5:W48, HR!A5:A48 &lt;&gt; """")) + J13 + J15"),40004.0)</f>
        <v>40004</v>
      </c>
      <c r="H2" s="16"/>
      <c r="K2" s="16"/>
    </row>
    <row r="3">
      <c r="A3" s="17"/>
      <c r="B3" s="18" t="str">
        <f>CHOOSE(WEEKDAY(D1), "Neděle", "Pondělí", "Úterý", "Středa", "Čtvrtek", "Pátek", "Sobota")</f>
        <v>Čtvrtek</v>
      </c>
      <c r="C3" s="10"/>
      <c r="D3" s="10"/>
      <c r="E3" s="5"/>
      <c r="H3" s="16"/>
      <c r="K3" s="16"/>
    </row>
    <row r="4">
      <c r="A4" s="17"/>
      <c r="B4" s="13"/>
      <c r="C4" s="19"/>
      <c r="D4" s="19"/>
      <c r="E4" s="14"/>
      <c r="F4" s="19"/>
      <c r="G4" s="19"/>
      <c r="H4" s="14"/>
      <c r="K4" s="16"/>
    </row>
    <row r="5">
      <c r="A5" s="17"/>
      <c r="B5" s="20" t="s">
        <v>3</v>
      </c>
      <c r="C5" s="10"/>
      <c r="D5" s="10"/>
      <c r="E5" s="10"/>
      <c r="F5" s="10"/>
      <c r="G5" s="10"/>
      <c r="H5" s="10"/>
      <c r="I5" s="10"/>
      <c r="J5" s="10"/>
      <c r="K5" s="5"/>
    </row>
    <row r="6">
      <c r="A6" s="17"/>
      <c r="B6" s="11"/>
      <c r="K6" s="16"/>
    </row>
    <row r="7">
      <c r="A7" s="21"/>
      <c r="B7" s="22"/>
      <c r="C7" s="10"/>
      <c r="D7" s="10"/>
      <c r="E7" s="10"/>
      <c r="F7" s="5"/>
      <c r="G7" s="22"/>
      <c r="H7" s="23"/>
      <c r="I7" s="23"/>
      <c r="J7" s="23"/>
      <c r="K7" s="24"/>
    </row>
    <row r="8">
      <c r="A8" s="21"/>
      <c r="B8" s="11"/>
      <c r="F8" s="16"/>
      <c r="G8" s="25"/>
      <c r="H8" s="26"/>
      <c r="I8" s="26"/>
      <c r="J8" s="26"/>
      <c r="K8" s="27"/>
    </row>
    <row r="9">
      <c r="A9" s="21"/>
      <c r="B9" s="11"/>
      <c r="F9" s="16"/>
      <c r="G9" s="25"/>
      <c r="H9" s="26"/>
      <c r="I9" s="26"/>
      <c r="J9" s="26"/>
      <c r="K9" s="27"/>
    </row>
    <row r="10">
      <c r="A10" s="21"/>
      <c r="B10" s="11"/>
      <c r="F10" s="16"/>
      <c r="G10" s="25"/>
      <c r="H10" s="26"/>
      <c r="I10" s="26"/>
      <c r="J10" s="26"/>
      <c r="K10" s="27"/>
    </row>
    <row r="11">
      <c r="A11" s="21"/>
      <c r="B11" s="13"/>
      <c r="C11" s="19"/>
      <c r="D11" s="19"/>
      <c r="E11" s="19"/>
      <c r="F11" s="14"/>
      <c r="G11" s="28"/>
      <c r="H11" s="28"/>
      <c r="I11" s="28"/>
      <c r="J11" s="28"/>
      <c r="K11" s="29"/>
    </row>
    <row r="12">
      <c r="B12" s="30" t="s">
        <v>4</v>
      </c>
      <c r="C12" s="19"/>
      <c r="D12" s="19"/>
      <c r="E12" s="19"/>
      <c r="F12" s="14"/>
      <c r="G12" s="30" t="s">
        <v>5</v>
      </c>
      <c r="H12" s="19"/>
      <c r="I12" s="19"/>
      <c r="J12" s="19"/>
      <c r="K12" s="14"/>
    </row>
    <row r="13">
      <c r="B13" s="31" t="s">
        <v>6</v>
      </c>
      <c r="C13" s="32" t="s">
        <v>7</v>
      </c>
      <c r="D13" s="32" t="s">
        <v>8</v>
      </c>
      <c r="E13" s="32" t="s">
        <v>9</v>
      </c>
      <c r="F13" s="33" t="s">
        <v>10</v>
      </c>
      <c r="G13" s="34" t="s">
        <v>11</v>
      </c>
      <c r="H13" s="35"/>
      <c r="I13" s="36"/>
      <c r="J13" s="37"/>
      <c r="K13" s="36"/>
    </row>
    <row r="14">
      <c r="A14" s="38">
        <f t="array" ref="A14">IF(ISBLANK(B14), 0, IF(ISNUMBER(MATCH(B14, HR!A:A, 0)), 0, IF(ISNUMBER(MATCH(B14, HR!B:B, 0)), INDEX(HR!V:V, MATCH(B14, HR!B:B, 0)) * (F14 * 24), 0)))</f>
        <v>0</v>
      </c>
      <c r="B14" s="39" t="s">
        <v>12</v>
      </c>
      <c r="C14" s="40" t="s">
        <v>13</v>
      </c>
      <c r="D14" s="40" t="s">
        <v>14</v>
      </c>
      <c r="E14" s="41"/>
      <c r="F14" s="42" t="str">
        <f t="shared" ref="F14:F20" si="1">IF(OR(ISBLANK(B14),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TIMEVALUE(IF(ISBLANK(C14), "00:00", C14)) - TIMEVALUE(IF(ISBLANK(E14), "00:00", E14))), "hh:mm"))
</f>
        <v>08:00</v>
      </c>
      <c r="G14" s="43" t="s">
        <v>15</v>
      </c>
      <c r="H14" s="44"/>
      <c r="I14" s="45"/>
      <c r="J14" s="46"/>
      <c r="K14" s="45"/>
    </row>
    <row r="15">
      <c r="A15" s="38">
        <f t="array" ref="A15">IF(ISBLANK(B15), 0, IF(ISNUMBER(MATCH(B15, HR!A:A, 0)), 0, IF(ISNUMBER(MATCH(B15, HR!B:B, 0)), INDEX(HR!V:V, MATCH(B15, HR!B:B, 0)) * (F15 * 24), 0)))</f>
        <v>0</v>
      </c>
      <c r="B15" s="47" t="s">
        <v>16</v>
      </c>
      <c r="C15" s="40" t="s">
        <v>13</v>
      </c>
      <c r="D15" s="40" t="s">
        <v>14</v>
      </c>
      <c r="E15" s="40"/>
      <c r="F15" s="42" t="str">
        <f t="shared" si="1"/>
        <v>08:00</v>
      </c>
      <c r="G15" s="48" t="s">
        <v>17</v>
      </c>
      <c r="H15" s="49"/>
      <c r="I15" s="50"/>
      <c r="J15" s="51"/>
      <c r="K15" s="50"/>
    </row>
    <row r="16">
      <c r="A16" s="38">
        <f t="array" ref="A16">IF(ISBLANK(B16), 0, IF(ISNUMBER(MATCH(B16, HR!A:A, 0)), 0, IF(ISNUMBER(MATCH(B16, HR!B:B, 0)), INDEX(HR!V:V, MATCH(B16, HR!B:B, 0)) * (F16 * 24), 0)))</f>
        <v>0</v>
      </c>
      <c r="B16" s="39" t="s">
        <v>18</v>
      </c>
      <c r="C16" s="40" t="s">
        <v>13</v>
      </c>
      <c r="D16" s="40" t="s">
        <v>14</v>
      </c>
      <c r="E16" s="52"/>
      <c r="F16" s="53" t="str">
        <f t="shared" si="1"/>
        <v>08:00</v>
      </c>
      <c r="G16" s="54"/>
      <c r="K16" s="16"/>
    </row>
    <row r="17">
      <c r="A17" s="38">
        <f t="array" ref="A17">IF(ISBLANK(B17), 0, IF(ISNUMBER(MATCH(B17, HR!A:A, 0)), 0, IF(ISNUMBER(MATCH(B17, HR!B:B, 0)), INDEX(HR!V:V, MATCH(B17, HR!B:B, 0)) * (F17 * 24), 0)))</f>
        <v>0</v>
      </c>
      <c r="B17" s="39"/>
      <c r="C17" s="40"/>
      <c r="D17" s="40"/>
      <c r="E17" s="40"/>
      <c r="F17" s="53" t="str">
        <f t="shared" si="1"/>
        <v>0:00</v>
      </c>
      <c r="K17" s="16"/>
    </row>
    <row r="18" ht="21.75" customHeight="1">
      <c r="A18" s="38">
        <f t="array" ref="A18">IF(ISBLANK(B18), 0, IF(ISNUMBER(MATCH(B18, HR!A:A, 0)), 0, IF(ISNUMBER(MATCH(B18, HR!B:B, 0)), INDEX(HR!V:V, MATCH(B18, HR!B:B, 0)) * (F18 * 24), 0)))</f>
        <v>0</v>
      </c>
      <c r="B18" s="39"/>
      <c r="C18" s="40"/>
      <c r="D18" s="40"/>
      <c r="E18" s="55"/>
      <c r="F18" s="53" t="str">
        <f t="shared" si="1"/>
        <v>0:00</v>
      </c>
      <c r="K18" s="16"/>
    </row>
    <row r="19" ht="21.75" customHeight="1">
      <c r="A19" s="38">
        <f t="array" ref="A19">IF(ISBLANK(B19), 0, IF(ISNUMBER(MATCH(B19, HR!A:A, 0)), 0, IF(ISNUMBER(MATCH(B19, HR!B:B, 0)), INDEX(HR!V:V, MATCH(B19, HR!B:B, 0)) * (F19 * 24), 0)))</f>
        <v>0</v>
      </c>
      <c r="B19" s="39"/>
      <c r="C19" s="40"/>
      <c r="D19" s="40"/>
      <c r="E19" s="41"/>
      <c r="F19" s="53" t="str">
        <f t="shared" si="1"/>
        <v>0:00</v>
      </c>
      <c r="K19" s="16"/>
    </row>
    <row r="20" ht="21.75" customHeight="1">
      <c r="A20" s="38">
        <f t="array" ref="A20">IF(ISBLANK(B20), 0, IF(ISNUMBER(MATCH(B20, HR!A:A, 0)), 0, IF(ISNUMBER(MATCH(B20, HR!B:B, 0)), INDEX(HR!V:V, MATCH(B20, HR!B:B, 0)) * (F20 * 24), 0)))</f>
        <v>0</v>
      </c>
      <c r="B20" s="56"/>
      <c r="C20" s="57"/>
      <c r="D20" s="57"/>
      <c r="E20" s="58"/>
      <c r="F20" s="59" t="str">
        <f t="shared" si="1"/>
        <v>0:00</v>
      </c>
      <c r="G20" s="19"/>
      <c r="H20" s="19"/>
      <c r="I20" s="19"/>
      <c r="J20" s="19"/>
      <c r="K20" s="14"/>
    </row>
  </sheetData>
  <mergeCells count="18">
    <mergeCell ref="B1:B2"/>
    <mergeCell ref="C1:C2"/>
    <mergeCell ref="D1:E2"/>
    <mergeCell ref="F1:H1"/>
    <mergeCell ref="I1:K4"/>
    <mergeCell ref="F2:H4"/>
    <mergeCell ref="B5:K6"/>
    <mergeCell ref="G14:I14"/>
    <mergeCell ref="G15:I15"/>
    <mergeCell ref="J15:K15"/>
    <mergeCell ref="G16:K20"/>
    <mergeCell ref="B3:E4"/>
    <mergeCell ref="B7:F11"/>
    <mergeCell ref="B12:F12"/>
    <mergeCell ref="G12:K12"/>
    <mergeCell ref="G13:I13"/>
    <mergeCell ref="J13:K13"/>
    <mergeCell ref="J14:K14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dataValidations>
    <dataValidation type="list" allowBlank="1" sqref="B14:B20">
      <formula1>"Sova Martin,Paziak Viktoriia,Ahurieva Viktoriia,Kursheva Diana,Koteliuk Maryna,Lažek Jaroslav,Chlubna Tomáš,Hřebík Martin"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</cols>
  <sheetData>
    <row r="1">
      <c r="A1" s="60"/>
      <c r="B1" s="61" t="str">
        <f>Report!B1</f>
        <v>Výroba</v>
      </c>
      <c r="C1" s="62">
        <v>46174.0</v>
      </c>
      <c r="D1" s="63" t="s">
        <v>19</v>
      </c>
      <c r="E1" s="62">
        <v>46203.0</v>
      </c>
      <c r="F1" s="6" t="s">
        <v>2</v>
      </c>
      <c r="G1" s="7"/>
      <c r="H1" s="8"/>
      <c r="I1" s="64"/>
    </row>
    <row r="2" ht="19.5" customHeight="1">
      <c r="A2" s="60"/>
      <c r="B2" s="12"/>
      <c r="C2" s="13"/>
      <c r="D2" s="12"/>
      <c r="E2" s="13"/>
      <c r="F2" s="65">
        <v>1237482.0</v>
      </c>
      <c r="H2" s="16"/>
    </row>
    <row r="3">
      <c r="A3" s="66"/>
      <c r="B3" s="67" t="str">
        <f>CHOOSE(WEEKDAY(C1), "Neděle", "Pondělí", "Úterý", "Středa", "Čtvrtek", "Pátek", "Sobota")</f>
        <v>Pondělí</v>
      </c>
      <c r="C3" s="10"/>
      <c r="D3" s="67" t="str">
        <f>CHOOSE(WEEKDAY(E1), "Neděle", "Pondělí", "Úterý", "Středa", "Čtvrtek", "Pátek", "Sobota")</f>
        <v>Úterý</v>
      </c>
      <c r="E3" s="5"/>
      <c r="H3" s="16"/>
    </row>
    <row r="4">
      <c r="A4" s="66"/>
      <c r="B4" s="13"/>
      <c r="C4" s="19"/>
      <c r="D4" s="13"/>
      <c r="E4" s="14"/>
      <c r="F4" s="19"/>
      <c r="G4" s="19"/>
      <c r="H4" s="14"/>
    </row>
    <row r="5">
      <c r="A5" s="68"/>
      <c r="B5" s="69" t="s">
        <v>20</v>
      </c>
      <c r="C5" s="10"/>
      <c r="D5" s="10"/>
      <c r="E5" s="5"/>
      <c r="F5" s="70" t="s">
        <v>5</v>
      </c>
      <c r="G5" s="7"/>
      <c r="H5" s="7"/>
      <c r="I5" s="7"/>
      <c r="J5" s="8"/>
      <c r="K5" s="54"/>
    </row>
    <row r="6">
      <c r="A6" s="71"/>
      <c r="B6" s="13"/>
      <c r="C6" s="19"/>
      <c r="D6" s="19"/>
      <c r="E6" s="14"/>
      <c r="F6" s="72" t="s">
        <v>11</v>
      </c>
      <c r="G6" s="35"/>
      <c r="H6" s="36"/>
      <c r="I6" s="37">
        <v>0.0</v>
      </c>
      <c r="J6" s="36"/>
    </row>
    <row r="7" ht="18.75" customHeight="1">
      <c r="A7" s="71"/>
      <c r="B7" s="73">
        <f>TEXT(SUMPRODUCT((IFERROR(LEFT(D8:D30, FIND(":", D8:D30) - 1) * 60, 0) + IFERROR(MID(D8:D30, FIND(":", D8:D30) + 1, LEN(D8:D30) - FIND(":", D8:D30)), 0))), "[h]:mm")/60</f>
        <v>0</v>
      </c>
      <c r="C7" s="19"/>
      <c r="D7" s="19"/>
      <c r="E7" s="14"/>
      <c r="F7" s="74" t="s">
        <v>15</v>
      </c>
      <c r="G7" s="44"/>
      <c r="H7" s="45"/>
      <c r="I7" s="46">
        <v>0.0</v>
      </c>
      <c r="J7" s="45"/>
    </row>
    <row r="8">
      <c r="A8" s="71"/>
      <c r="B8" s="75" t="s">
        <v>4</v>
      </c>
      <c r="C8" s="7"/>
      <c r="D8" s="8"/>
      <c r="E8" s="76"/>
      <c r="F8" s="77" t="s">
        <v>17</v>
      </c>
      <c r="G8" s="49"/>
      <c r="H8" s="50"/>
      <c r="I8" s="51">
        <v>0.0</v>
      </c>
      <c r="J8" s="50"/>
    </row>
    <row r="9" ht="18.75" customHeight="1">
      <c r="A9" s="71"/>
      <c r="B9" s="78" t="s">
        <v>6</v>
      </c>
      <c r="C9" s="79" t="s">
        <v>21</v>
      </c>
      <c r="D9" s="79" t="s">
        <v>10</v>
      </c>
      <c r="F9" s="64"/>
    </row>
    <row r="10" ht="18.75" customHeight="1">
      <c r="A10" s="71"/>
      <c r="B10" s="80" t="s">
        <v>12</v>
      </c>
      <c r="C10" s="81">
        <v>22.0</v>
      </c>
      <c r="D10" s="82">
        <v>181.0</v>
      </c>
    </row>
    <row r="11" ht="18.75" customHeight="1">
      <c r="A11" s="71"/>
      <c r="B11" s="80" t="s">
        <v>16</v>
      </c>
      <c r="C11" s="81">
        <v>22.0</v>
      </c>
      <c r="D11" s="82">
        <v>181.0</v>
      </c>
    </row>
    <row r="12" ht="18.75" customHeight="1">
      <c r="A12" s="71"/>
      <c r="B12" s="80" t="s">
        <v>22</v>
      </c>
      <c r="C12" s="81">
        <v>13.0</v>
      </c>
      <c r="D12" s="82">
        <v>110.0</v>
      </c>
    </row>
    <row r="13" ht="18.75" customHeight="1">
      <c r="A13" s="71"/>
      <c r="B13" s="80" t="s">
        <v>23</v>
      </c>
      <c r="C13" s="81">
        <v>12.0</v>
      </c>
      <c r="D13" s="83">
        <v>128.0</v>
      </c>
    </row>
    <row r="14" ht="18.75" customHeight="1">
      <c r="A14" s="71"/>
      <c r="B14" s="80" t="s">
        <v>24</v>
      </c>
      <c r="C14" s="81">
        <v>2.0</v>
      </c>
      <c r="D14" s="83">
        <v>20.0</v>
      </c>
    </row>
    <row r="15" ht="18.75" customHeight="1">
      <c r="A15" s="71"/>
      <c r="B15" s="80" t="s">
        <v>18</v>
      </c>
      <c r="C15" s="81">
        <v>2.0</v>
      </c>
      <c r="D15" s="83">
        <v>18.0</v>
      </c>
    </row>
    <row r="16" ht="18.75" customHeight="1">
      <c r="A16" s="71"/>
      <c r="B16" s="80"/>
      <c r="C16" s="81"/>
      <c r="D16" s="83"/>
    </row>
    <row r="17" ht="18.75" customHeight="1">
      <c r="A17" s="71"/>
      <c r="B17" s="80"/>
      <c r="C17" s="81"/>
      <c r="D17" s="83"/>
    </row>
    <row r="18" ht="18.75" customHeight="1">
      <c r="A18" s="71"/>
      <c r="B18" s="80"/>
      <c r="C18" s="81"/>
      <c r="D18" s="83"/>
    </row>
  </sheetData>
  <mergeCells count="22">
    <mergeCell ref="B3:C4"/>
    <mergeCell ref="D3:E4"/>
    <mergeCell ref="B5:E6"/>
    <mergeCell ref="B7:E7"/>
    <mergeCell ref="B8:D8"/>
    <mergeCell ref="E8:E18"/>
    <mergeCell ref="I1:K4"/>
    <mergeCell ref="K5:K8"/>
    <mergeCell ref="I6:J6"/>
    <mergeCell ref="I7:J7"/>
    <mergeCell ref="I8:J8"/>
    <mergeCell ref="F6:H6"/>
    <mergeCell ref="F7:H7"/>
    <mergeCell ref="F8:H8"/>
    <mergeCell ref="F9:K18"/>
    <mergeCell ref="B1:B2"/>
    <mergeCell ref="C1:C2"/>
    <mergeCell ref="D1:D2"/>
    <mergeCell ref="E1:E2"/>
    <mergeCell ref="F1:H1"/>
    <mergeCell ref="F2:H4"/>
    <mergeCell ref="F5:J5"/>
  </mergeCells>
  <conditionalFormatting sqref="F2:H4">
    <cfRule type="containsText" dxfId="1" priority="1" operator="containsText" text="Zadej">
      <formula>NOT(ISERROR(SEARCH(("Zadej"),(F2))))</formula>
    </cfRule>
  </conditionalFormatting>
  <conditionalFormatting sqref="F2">
    <cfRule type="cellIs" dxfId="0" priority="2" operator="greaterThan">
      <formula>"30%"</formula>
    </cfRule>
  </conditionalFormatting>
  <conditionalFormatting sqref="F2:H4">
    <cfRule type="containsText" dxfId="2" priority="3" operator="containsText" text="Zadej">
      <formula>NOT(ISERROR(SEARCH(("Zadej"),(F2))))</formula>
    </cfRule>
  </conditionalFormatting>
  <conditionalFormatting sqref="I6:J8">
    <cfRule type="cellIs" dxfId="0" priority="4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4"/>
      <c r="B1" s="84"/>
      <c r="C1" s="85" t="str">
        <f>IFERROR(__xludf.DUMMYFUNCTION("IMPORTRANGE(""1TpIiNTfR1pnpn85VWQTTdvQ2Xcr0GStmWJ2UvfKxG_A"", ""Mzdy!A1:F200"")")," ")</f>
        <v> </v>
      </c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6">
        <f>IFERROR(__xludf.DUMMYFUNCTION("IMPORTRANGE(""1TpIiNTfR1pnpn85VWQTTdvQ2Xcr0GStmWJ2UvfKxG_A"", ""Mzdy!u1:v200"")"),46204.0)</f>
        <v>46204</v>
      </c>
      <c r="W1" s="87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</row>
    <row r="2">
      <c r="A2" s="84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7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</row>
    <row r="3">
      <c r="A3" s="84"/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7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  <c r="AK3" s="84"/>
    </row>
    <row r="4">
      <c r="A4" s="88" t="s">
        <v>25</v>
      </c>
      <c r="B4" s="88" t="s">
        <v>26</v>
      </c>
      <c r="C4" s="84" t="str">
        <f>IFERROR(__xludf.DUMMYFUNCTION("""COMPUTED_VALUE"""),"Manažer")</f>
        <v>Manažer</v>
      </c>
      <c r="D4" s="84" t="str">
        <f>IFERROR(__xludf.DUMMYFUNCTION("""COMPUTED_VALUE"""),"Instore")</f>
        <v>Instore</v>
      </c>
      <c r="E4" s="84" t="str">
        <f>IFERROR(__xludf.DUMMYFUNCTION("""COMPUTED_VALUE"""),"První domácí,          Pobočky max 4")</f>
        <v>První domácí,          Pobočky max 4</v>
      </c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 t="str">
        <f>IFERROR(__xludf.DUMMYFUNCTION("""COMPUTED_VALUE"""),"Suma hod.")</f>
        <v>Suma hod.</v>
      </c>
      <c r="W4" s="87" t="str">
        <f>IFERROR(__xludf.DUMMYFUNCTION("""COMPUTED_VALUE"""),"Čistá mzda")</f>
        <v>Čistá mzda</v>
      </c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</row>
    <row r="5">
      <c r="A5" s="84" t="str">
        <f>IF(AND(B5&lt;&gt;"", C5=TRUE, E5=Report!$B$1), B5, "")</f>
        <v/>
      </c>
      <c r="B5" s="89" t="str">
        <f>IF(OR(E5=Report!$B$1, F5=Report!$B$1, G5=Report!$B$1, H5=Report!$B$1), D5, "")</f>
        <v/>
      </c>
      <c r="C5" s="84" t="b">
        <f>IFERROR(__xludf.DUMMYFUNCTION("""COMPUTED_VALUE"""),TRUE)</f>
        <v>1</v>
      </c>
      <c r="D5" s="84" t="str">
        <f>IFERROR(__xludf.DUMMYFUNCTION("""COMPUTED_VALUE"""),"Nedbal Michal")</f>
        <v>Nedbal Michal</v>
      </c>
      <c r="E5" s="84" t="str">
        <f>IFERROR(__xludf.DUMMYFUNCTION("""COMPUTED_VALUE"""),"Zličín")</f>
        <v>Zličín</v>
      </c>
      <c r="F5" s="84" t="str">
        <f>IFERROR(__xludf.DUMMYFUNCTION("""COMPUTED_VALUE"""),"Malešice")</f>
        <v>Malešice</v>
      </c>
      <c r="G5" s="84" t="str">
        <f>IFERROR(__xludf.DUMMYFUNCTION("""COMPUTED_VALUE"""),"Prosek")</f>
        <v>Prosek</v>
      </c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90">
        <f>IFERROR(__xludf.DUMMYFUNCTION("""COMPUTED_VALUE"""),0.0)</f>
        <v>0</v>
      </c>
      <c r="W5" s="87">
        <f>IFERROR(__xludf.DUMMYFUNCTION("""COMPUTED_VALUE"""),50001.08)</f>
        <v>50001.08</v>
      </c>
      <c r="X5" s="84"/>
      <c r="Y5" s="84"/>
      <c r="Z5" s="84"/>
      <c r="AA5" s="84"/>
      <c r="AB5" s="84"/>
      <c r="AC5" s="84"/>
      <c r="AD5" s="84"/>
      <c r="AE5" s="84"/>
      <c r="AF5" s="84"/>
      <c r="AG5" s="84"/>
      <c r="AH5" s="84"/>
      <c r="AI5" s="84"/>
      <c r="AJ5" s="84"/>
      <c r="AK5" s="84"/>
    </row>
    <row r="6">
      <c r="A6" s="84" t="str">
        <f>IF(AND(B6&lt;&gt;"", C6=TRUE, E6=Report!$B$1), B6, "")</f>
        <v/>
      </c>
      <c r="B6" s="89" t="str">
        <f>IF(OR(E6=Report!$B$1, F6=Report!$B$1, G6=Report!$B$1, H6=Report!$B$1), D6, "")</f>
        <v>Sova Martin</v>
      </c>
      <c r="C6" s="84" t="b">
        <f>IFERROR(__xludf.DUMMYFUNCTION("""COMPUTED_VALUE"""),TRUE)</f>
        <v>1</v>
      </c>
      <c r="D6" s="84" t="str">
        <f>IFERROR(__xludf.DUMMYFUNCTION("""COMPUTED_VALUE"""),"Sova Martin")</f>
        <v>Sova Martin</v>
      </c>
      <c r="E6" s="84" t="str">
        <f>IFERROR(__xludf.DUMMYFUNCTION("""COMPUTED_VALUE"""),"Chodov")</f>
        <v>Chodov</v>
      </c>
      <c r="F6" s="84" t="str">
        <f>IFERROR(__xludf.DUMMYFUNCTION("""COMPUTED_VALUE"""),"Libuš")</f>
        <v>Libuš</v>
      </c>
      <c r="G6" s="84" t="str">
        <f>IFERROR(__xludf.DUMMYFUNCTION("""COMPUTED_VALUE"""),"Výroba")</f>
        <v>Výroba</v>
      </c>
      <c r="H6" s="84"/>
      <c r="I6" s="84"/>
      <c r="J6" s="84"/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90">
        <f>IFERROR(__xludf.DUMMYFUNCTION("""COMPUTED_VALUE"""),0.0)</f>
        <v>0</v>
      </c>
      <c r="W6" s="87">
        <f>IFERROR(__xludf.DUMMYFUNCTION("""COMPUTED_VALUE"""),50001.08)</f>
        <v>50001.08</v>
      </c>
      <c r="X6" s="84"/>
      <c r="Y6" s="84"/>
      <c r="Z6" s="84"/>
      <c r="AA6" s="84"/>
      <c r="AB6" s="84"/>
      <c r="AC6" s="84"/>
      <c r="AD6" s="84"/>
      <c r="AE6" s="84"/>
      <c r="AF6" s="84"/>
      <c r="AG6" s="84"/>
      <c r="AH6" s="84"/>
      <c r="AI6" s="84"/>
      <c r="AJ6" s="84"/>
      <c r="AK6" s="84"/>
    </row>
    <row r="7">
      <c r="A7" s="84" t="str">
        <f>IF(AND(B7&lt;&gt;"", C7=TRUE, E7=Report!$B$1), B7, "")</f>
        <v>Paziak Viktoriia</v>
      </c>
      <c r="B7" s="89" t="str">
        <f>IF(OR(E7=Report!$B$1, F7=Report!$B$1, G7=Report!$B$1, H7=Report!$B$1), D7, "")</f>
        <v>Paziak Viktoriia</v>
      </c>
      <c r="C7" s="84" t="b">
        <f>IFERROR(__xludf.DUMMYFUNCTION("""COMPUTED_VALUE"""),TRUE)</f>
        <v>1</v>
      </c>
      <c r="D7" s="84" t="str">
        <f>IFERROR(__xludf.DUMMYFUNCTION("""COMPUTED_VALUE"""),"Paziak Viktoriia")</f>
        <v>Paziak Viktoriia</v>
      </c>
      <c r="E7" s="84" t="str">
        <f>IFERROR(__xludf.DUMMYFUNCTION("""COMPUTED_VALUE"""),"Výroba")</f>
        <v>Výroba</v>
      </c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90">
        <f>IFERROR(__xludf.DUMMYFUNCTION("""COMPUTED_VALUE"""),0.0)</f>
        <v>0</v>
      </c>
      <c r="W7" s="87">
        <f>IFERROR(__xludf.DUMMYFUNCTION("""COMPUTED_VALUE"""),40004.0)</f>
        <v>40004</v>
      </c>
      <c r="X7" s="84"/>
      <c r="Y7" s="84"/>
      <c r="Z7" s="84"/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</row>
    <row r="8">
      <c r="A8" s="84" t="str">
        <f>IF(AND(B8&lt;&gt;"", C8=TRUE, E8=Report!$B$1), B8, "")</f>
        <v/>
      </c>
      <c r="B8" s="89" t="str">
        <f>IF(OR(E8=Report!$B$1, F8=Report!$B$1, G8=Report!$B$1, H8=Report!$B$1), D8, "")</f>
        <v>Ahurieva Viktoriia</v>
      </c>
      <c r="C8" s="84" t="b">
        <f>IFERROR(__xludf.DUMMYFUNCTION("""COMPUTED_VALUE"""),FALSE)</f>
        <v>0</v>
      </c>
      <c r="D8" s="84" t="str">
        <f>IFERROR(__xludf.DUMMYFUNCTION("""COMPUTED_VALUE"""),"Ahurieva Viktoriia")</f>
        <v>Ahurieva Viktoriia</v>
      </c>
      <c r="E8" s="84" t="str">
        <f>IFERROR(__xludf.DUMMYFUNCTION("""COMPUTED_VALUE"""),"Libuš")</f>
        <v>Libuš</v>
      </c>
      <c r="F8" s="84" t="str">
        <f>IFERROR(__xludf.DUMMYFUNCTION("""COMPUTED_VALUE"""),"Malešice")</f>
        <v>Malešice</v>
      </c>
      <c r="G8" s="84" t="str">
        <f>IFERROR(__xludf.DUMMYFUNCTION("""COMPUTED_VALUE"""),"Výroba")</f>
        <v>Výroba</v>
      </c>
      <c r="H8" s="84" t="str">
        <f>IFERROR(__xludf.DUMMYFUNCTION("""COMPUTED_VALUE"""),"Prosek")</f>
        <v>Prosek</v>
      </c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90">
        <f>IFERROR(__xludf.DUMMYFUNCTION("""COMPUTED_VALUE"""),0.0)</f>
        <v>0</v>
      </c>
      <c r="W8" s="87">
        <f>IFERROR(__xludf.DUMMYFUNCTION("""COMPUTED_VALUE"""),50001.08)</f>
        <v>50001.08</v>
      </c>
      <c r="X8" s="84"/>
      <c r="Y8" s="84"/>
      <c r="Z8" s="84"/>
      <c r="AA8" s="84"/>
      <c r="AB8" s="84"/>
      <c r="AC8" s="84"/>
      <c r="AD8" s="84"/>
      <c r="AE8" s="84"/>
      <c r="AF8" s="84"/>
      <c r="AG8" s="84"/>
      <c r="AH8" s="84"/>
      <c r="AI8" s="84"/>
      <c r="AJ8" s="84"/>
      <c r="AK8" s="84"/>
    </row>
    <row r="9">
      <c r="A9" s="84" t="str">
        <f>IF(AND(B9&lt;&gt;"", C9=TRUE, E9=Report!$B$1), B9, "")</f>
        <v/>
      </c>
      <c r="B9" s="89" t="str">
        <f>IF(OR(E9=Report!$B$1, F9=Report!$B$1, G9=Report!$B$1, H9=Report!$B$1), D9, "")</f>
        <v/>
      </c>
      <c r="C9" s="84" t="b">
        <f>IFERROR(__xludf.DUMMYFUNCTION("""COMPUTED_VALUE"""),TRUE)</f>
        <v>1</v>
      </c>
      <c r="D9" s="84" t="str">
        <f>IFERROR(__xludf.DUMMYFUNCTION("""COMPUTED_VALUE"""),"Pešová Hana")</f>
        <v>Pešová Hana</v>
      </c>
      <c r="E9" s="84" t="str">
        <f>IFERROR(__xludf.DUMMYFUNCTION("""COMPUTED_VALUE"""),"Chodov")</f>
        <v>Chodov</v>
      </c>
      <c r="F9" s="84" t="str">
        <f>IFERROR(__xludf.DUMMYFUNCTION("""COMPUTED_VALUE"""),"Prosek")</f>
        <v>Prosek</v>
      </c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90">
        <f>IFERROR(__xludf.DUMMYFUNCTION("""COMPUTED_VALUE"""),0.0)</f>
        <v>0</v>
      </c>
      <c r="W9" s="87">
        <f>IFERROR(__xludf.DUMMYFUNCTION("""COMPUTED_VALUE"""),40004.0)</f>
        <v>40004</v>
      </c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</row>
    <row r="10">
      <c r="A10" s="84" t="str">
        <f>IF(AND(B10&lt;&gt;"", C10=TRUE, E10=Report!$B$1), B10, "")</f>
        <v/>
      </c>
      <c r="B10" s="89" t="str">
        <f>IF(OR(E10=Report!$B$1, F10=Report!$B$1, G10=Report!$B$1, H10=Report!$B$1), D10, "")</f>
        <v/>
      </c>
      <c r="C10" s="84" t="b">
        <f>IFERROR(__xludf.DUMMYFUNCTION("""COMPUTED_VALUE"""),TRUE)</f>
        <v>1</v>
      </c>
      <c r="D10" s="84" t="str">
        <f>IFERROR(__xludf.DUMMYFUNCTION("""COMPUTED_VALUE"""),"Šebesta Tomáš")</f>
        <v>Šebesta Tomáš</v>
      </c>
      <c r="E10" s="84" t="str">
        <f>IFERROR(__xludf.DUMMYFUNCTION("""COMPUTED_VALUE"""),"Prosek")</f>
        <v>Prosek</v>
      </c>
      <c r="F10" s="84" t="str">
        <f>IFERROR(__xludf.DUMMYFUNCTION("""COMPUTED_VALUE"""),"Libuš")</f>
        <v>Libuš</v>
      </c>
      <c r="G10" s="84" t="str">
        <f>IFERROR(__xludf.DUMMYFUNCTION("""COMPUTED_VALUE"""),"Malešice")</f>
        <v>Malešice</v>
      </c>
      <c r="H10" s="84" t="str">
        <f>IFERROR(__xludf.DUMMYFUNCTION("""COMPUTED_VALUE"""),"Chodov")</f>
        <v>Chodov</v>
      </c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90">
        <f>IFERROR(__xludf.DUMMYFUNCTION("""COMPUTED_VALUE"""),0.0)</f>
        <v>0</v>
      </c>
      <c r="W10" s="87">
        <f>IFERROR(__xludf.DUMMYFUNCTION("""COMPUTED_VALUE"""),50001.08)</f>
        <v>50001.08</v>
      </c>
      <c r="X10" s="84"/>
      <c r="Y10" s="84"/>
      <c r="Z10" s="84"/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4"/>
    </row>
    <row r="11">
      <c r="A11" s="84" t="str">
        <f>IF(AND(B11&lt;&gt;"", C11=TRUE, E11=Report!$B$1), B11, "")</f>
        <v/>
      </c>
      <c r="B11" s="89" t="str">
        <f>IF(OR(E11=Report!$B$1, F11=Report!$B$1, G11=Report!$B$1, H11=Report!$B$1), D11, "")</f>
        <v/>
      </c>
      <c r="C11" s="84" t="b">
        <f>IFERROR(__xludf.DUMMYFUNCTION("""COMPUTED_VALUE"""),FALSE)</f>
        <v>0</v>
      </c>
      <c r="D11" s="84" t="str">
        <f>IFERROR(__xludf.DUMMYFUNCTION("""COMPUTED_VALUE"""),"Hanakova Ayuna")</f>
        <v>Hanakova Ayuna</v>
      </c>
      <c r="E11" s="84" t="str">
        <f>IFERROR(__xludf.DUMMYFUNCTION("""COMPUTED_VALUE"""),"Zličín")</f>
        <v>Zličín</v>
      </c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90">
        <f>IFERROR(__xludf.DUMMYFUNCTION("""COMPUTED_VALUE"""),0.0)</f>
        <v>0</v>
      </c>
      <c r="W11" s="87">
        <f>IFERROR(__xludf.DUMMYFUNCTION("""COMPUTED_VALUE"""),0.0)</f>
        <v>0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</row>
    <row r="12">
      <c r="A12" s="84" t="str">
        <f>IF(AND(B12&lt;&gt;"", C12=TRUE, E12=Report!$B$1), B12, "")</f>
        <v/>
      </c>
      <c r="B12" s="89" t="str">
        <f>IF(OR(E12=Report!$B$1, F12=Report!$B$1, G12=Report!$B$1, H12=Report!$B$1), D12, "")</f>
        <v/>
      </c>
      <c r="C12" s="84" t="b">
        <f>IFERROR(__xludf.DUMMYFUNCTION("""COMPUTED_VALUE"""),FALSE)</f>
        <v>0</v>
      </c>
      <c r="D12" s="84" t="str">
        <f>IFERROR(__xludf.DUMMYFUNCTION("""COMPUTED_VALUE"""),"Vondráček Lukáš")</f>
        <v>Vondráček Lukáš</v>
      </c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90">
        <f>IFERROR(__xludf.DUMMYFUNCTION("""COMPUTED_VALUE"""),0.0)</f>
        <v>0</v>
      </c>
      <c r="W12" s="87">
        <f>IFERROR(__xludf.DUMMYFUNCTION("""COMPUTED_VALUE"""),78000.0)</f>
        <v>78000</v>
      </c>
      <c r="X12" s="84"/>
      <c r="Y12" s="84"/>
      <c r="Z12" s="84"/>
      <c r="AA12" s="84"/>
      <c r="AB12" s="84"/>
      <c r="AC12" s="84"/>
      <c r="AD12" s="84"/>
      <c r="AE12" s="84"/>
      <c r="AF12" s="84"/>
      <c r="AG12" s="84"/>
      <c r="AH12" s="84"/>
      <c r="AI12" s="84"/>
      <c r="AJ12" s="84"/>
      <c r="AK12" s="84"/>
    </row>
    <row r="13">
      <c r="A13" s="84" t="str">
        <f>IF(AND(B13&lt;&gt;"", C13=TRUE, E13=Report!$B$1), B13, "")</f>
        <v/>
      </c>
      <c r="B13" s="89" t="str">
        <f>IF(OR(E13=Report!$B$1, F13=Report!$B$1, G13=Report!$B$1, H13=Report!$B$1), D13, "")</f>
        <v/>
      </c>
      <c r="C13" s="84" t="b">
        <f>IFERROR(__xludf.DUMMYFUNCTION("""COMPUTED_VALUE"""),TRUE)</f>
        <v>1</v>
      </c>
      <c r="D13" s="84" t="str">
        <f>IFERROR(__xludf.DUMMYFUNCTION("""COMPUTED_VALUE"""),"Veselý Ondřej")</f>
        <v>Veselý Ondřej</v>
      </c>
      <c r="E13" s="84" t="str">
        <f>IFERROR(__xludf.DUMMYFUNCTION("""COMPUTED_VALUE"""),"Zličín")</f>
        <v>Zličín</v>
      </c>
      <c r="F13" s="84" t="str">
        <f>IFERROR(__xludf.DUMMYFUNCTION("""COMPUTED_VALUE"""),"Malešice")</f>
        <v>Malešice</v>
      </c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90">
        <f>IFERROR(__xludf.DUMMYFUNCTION("""COMPUTED_VALUE"""),0.0)</f>
        <v>0</v>
      </c>
      <c r="W13" s="87">
        <f>IFERROR(__xludf.DUMMYFUNCTION("""COMPUTED_VALUE"""),40004.0)</f>
        <v>40004</v>
      </c>
      <c r="X13" s="84"/>
      <c r="Y13" s="84"/>
      <c r="Z13" s="84"/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</row>
    <row r="14">
      <c r="A14" s="84" t="str">
        <f>IF(AND(B14&lt;&gt;"", C14=TRUE, E14=Report!$B$1), B14, "")</f>
        <v/>
      </c>
      <c r="B14" s="89" t="str">
        <f>IF(OR(E14=Report!$B$1, F14=Report!$B$1, G14=Report!$B$1, H14=Report!$B$1), D14, "")</f>
        <v/>
      </c>
      <c r="C14" s="84" t="b">
        <f>IFERROR(__xludf.DUMMYFUNCTION("""COMPUTED_VALUE"""),FALSE)</f>
        <v>0</v>
      </c>
      <c r="D14" s="84" t="str">
        <f>IFERROR(__xludf.DUMMYFUNCTION("""COMPUTED_VALUE"""),"Coufal Jakub")</f>
        <v>Coufal Jakub</v>
      </c>
      <c r="E14" s="84" t="str">
        <f>IFERROR(__xludf.DUMMYFUNCTION("""COMPUTED_VALUE"""),"Libuš")</f>
        <v>Libuš</v>
      </c>
      <c r="F14" s="84" t="str">
        <f>IFERROR(__xludf.DUMMYFUNCTION("""COMPUTED_VALUE"""),"Malešice")</f>
        <v>Malešice</v>
      </c>
      <c r="G14" s="84" t="str">
        <f>IFERROR(__xludf.DUMMYFUNCTION("""COMPUTED_VALUE"""),"Prosek")</f>
        <v>Prosek</v>
      </c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90">
        <f>IFERROR(__xludf.DUMMYFUNCTION("""COMPUTED_VALUE"""),0.0)</f>
        <v>0</v>
      </c>
      <c r="W14" s="87">
        <f>IFERROR(__xludf.DUMMYFUNCTION("""COMPUTED_VALUE"""),0.0)</f>
        <v>0</v>
      </c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</row>
    <row r="15">
      <c r="A15" s="84" t="str">
        <f>IF(AND(B15&lt;&gt;"", C15=TRUE, E15=Report!$B$1), B15, "")</f>
        <v/>
      </c>
      <c r="B15" s="89" t="str">
        <f>IF(OR(E15=Report!$B$1, F15=Report!$B$1, G15=Report!$B$1, H15=Report!$B$1), D15, "")</f>
        <v/>
      </c>
      <c r="C15" s="84" t="b">
        <f>IFERROR(__xludf.DUMMYFUNCTION("""COMPUTED_VALUE"""),TRUE)</f>
        <v>1</v>
      </c>
      <c r="D15" s="84" t="str">
        <f>IFERROR(__xludf.DUMMYFUNCTION("""COMPUTED_VALUE"""),"Kinkorová Petra")</f>
        <v>Kinkorová Petra</v>
      </c>
      <c r="E15" s="84" t="str">
        <f>IFERROR(__xludf.DUMMYFUNCTION("""COMPUTED_VALUE"""),"Malešice")</f>
        <v>Malešice</v>
      </c>
      <c r="F15" s="84" t="str">
        <f>IFERROR(__xludf.DUMMYFUNCTION("""COMPUTED_VALUE"""),"Bolevec")</f>
        <v>Bolevec</v>
      </c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90">
        <f>IFERROR(__xludf.DUMMYFUNCTION("""COMPUTED_VALUE"""),0.0)</f>
        <v>0</v>
      </c>
      <c r="W15" s="87">
        <f>IFERROR(__xludf.DUMMYFUNCTION("""COMPUTED_VALUE"""),40004.0)</f>
        <v>40004</v>
      </c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</row>
    <row r="16">
      <c r="A16" s="84" t="str">
        <f>IF(AND(B16&lt;&gt;"", C16=TRUE, E16=Report!$B$1), B16, "")</f>
        <v/>
      </c>
      <c r="B16" s="89" t="str">
        <f>IF(OR(E16=Report!$B$1, F16=Report!$B$1, G16=Report!$B$1, H16=Report!$B$1), D16, "")</f>
        <v/>
      </c>
      <c r="C16" s="84" t="b">
        <f>IFERROR(__xludf.DUMMYFUNCTION("""COMPUTED_VALUE"""),TRUE)</f>
        <v>1</v>
      </c>
      <c r="D16" s="84" t="str">
        <f>IFERROR(__xludf.DUMMYFUNCTION("""COMPUTED_VALUE"""),"Nováková Adéla")</f>
        <v>Nováková Adéla</v>
      </c>
      <c r="E16" s="84" t="str">
        <f>IFERROR(__xludf.DUMMYFUNCTION("""COMPUTED_VALUE"""),"Prosek")</f>
        <v>Prosek</v>
      </c>
      <c r="F16" s="84" t="str">
        <f>IFERROR(__xludf.DUMMYFUNCTION("""COMPUTED_VALUE"""),"Malešice")</f>
        <v>Malešice</v>
      </c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90">
        <f>IFERROR(__xludf.DUMMYFUNCTION("""COMPUTED_VALUE"""),0.0)</f>
        <v>0</v>
      </c>
      <c r="W16" s="87">
        <f>IFERROR(__xludf.DUMMYFUNCTION("""COMPUTED_VALUE"""),40004.0)</f>
        <v>40004</v>
      </c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</row>
    <row r="17">
      <c r="A17" s="84" t="str">
        <f>IF(AND(B17&lt;&gt;"", C17=TRUE, E17=Report!$B$1), B17, "")</f>
        <v/>
      </c>
      <c r="B17" s="89" t="str">
        <f>IF(OR(E17=Report!$B$1, F17=Report!$B$1, G17=Report!$B$1, H17=Report!$B$1), D17, "")</f>
        <v/>
      </c>
      <c r="C17" s="84" t="b">
        <f>IFERROR(__xludf.DUMMYFUNCTION("""COMPUTED_VALUE"""),FALSE)</f>
        <v>0</v>
      </c>
      <c r="D17" s="84" t="str">
        <f>IFERROR(__xludf.DUMMYFUNCTION("""COMPUTED_VALUE"""),"Pechová Barbora")</f>
        <v>Pechová Barbora</v>
      </c>
      <c r="E17" s="84" t="str">
        <f>IFERROR(__xludf.DUMMYFUNCTION("""COMPUTED_VALUE"""),"Zličín")</f>
        <v>Zličín</v>
      </c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90">
        <f>IFERROR(__xludf.DUMMYFUNCTION("""COMPUTED_VALUE"""),0.0)</f>
        <v>0</v>
      </c>
      <c r="W17" s="87">
        <f>IFERROR(__xludf.DUMMYFUNCTION("""COMPUTED_VALUE"""),0.0)</f>
        <v>0</v>
      </c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</row>
    <row r="18">
      <c r="A18" s="84" t="str">
        <f>IF(AND(B18&lt;&gt;"", C18=TRUE, E18=Report!$B$1), B18, "")</f>
        <v/>
      </c>
      <c r="B18" s="89" t="str">
        <f>IF(OR(E18=Report!$B$1, F18=Report!$B$1, G18=Report!$B$1, H18=Report!$B$1), D18, "")</f>
        <v/>
      </c>
      <c r="C18" s="84" t="b">
        <f>IFERROR(__xludf.DUMMYFUNCTION("""COMPUTED_VALUE"""),FALSE)</f>
        <v>0</v>
      </c>
      <c r="D18" s="84" t="str">
        <f>IFERROR(__xludf.DUMMYFUNCTION("""COMPUTED_VALUE"""),"Pánková Vendula")</f>
        <v>Pánková Vendula</v>
      </c>
      <c r="E18" s="84" t="str">
        <f>IFERROR(__xludf.DUMMYFUNCTION("""COMPUTED_VALUE"""),"Zličín")</f>
        <v>Zličín</v>
      </c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90">
        <f>IFERROR(__xludf.DUMMYFUNCTION("""COMPUTED_VALUE"""),0.0)</f>
        <v>0</v>
      </c>
      <c r="W18" s="87">
        <f>IFERROR(__xludf.DUMMYFUNCTION("""COMPUTED_VALUE"""),0.0)</f>
        <v>0</v>
      </c>
      <c r="X18" s="84"/>
      <c r="Y18" s="84"/>
      <c r="Z18" s="84"/>
      <c r="AA18" s="84"/>
      <c r="AB18" s="84"/>
      <c r="AC18" s="84"/>
      <c r="AD18" s="84"/>
      <c r="AE18" s="84"/>
      <c r="AF18" s="84"/>
      <c r="AG18" s="84"/>
      <c r="AH18" s="84"/>
      <c r="AI18" s="84"/>
      <c r="AJ18" s="84"/>
      <c r="AK18" s="84"/>
    </row>
    <row r="19">
      <c r="A19" s="84" t="str">
        <f>IF(AND(B19&lt;&gt;"", C19=TRUE, E19=Report!$B$1), B19, "")</f>
        <v/>
      </c>
      <c r="B19" s="89" t="str">
        <f>IF(OR(E19=Report!$B$1, F19=Report!$B$1, G19=Report!$B$1, H19=Report!$B$1), D19, "")</f>
        <v/>
      </c>
      <c r="C19" s="84" t="b">
        <f>IFERROR(__xludf.DUMMYFUNCTION("""COMPUTED_VALUE"""),TRUE)</f>
        <v>1</v>
      </c>
      <c r="D19" s="84" t="str">
        <f>IFERROR(__xludf.DUMMYFUNCTION("""COMPUTED_VALUE"""),"Hegedüs Erik")</f>
        <v>Hegedüs Erik</v>
      </c>
      <c r="E19" s="84" t="str">
        <f>IFERROR(__xludf.DUMMYFUNCTION("""COMPUTED_VALUE"""),"Libuš")</f>
        <v>Libuš</v>
      </c>
      <c r="F19" s="84" t="str">
        <f>IFERROR(__xludf.DUMMYFUNCTION("""COMPUTED_VALUE"""),"Chodov")</f>
        <v>Chodov</v>
      </c>
      <c r="G19" s="84" t="str">
        <f>IFERROR(__xludf.DUMMYFUNCTION("""COMPUTED_VALUE"""),"Malešice")</f>
        <v>Malešice</v>
      </c>
      <c r="H19" s="84" t="str">
        <f>IFERROR(__xludf.DUMMYFUNCTION("""COMPUTED_VALUE"""),"Zličín")</f>
        <v>Zličín</v>
      </c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90">
        <f>IFERROR(__xludf.DUMMYFUNCTION("""COMPUTED_VALUE"""),0.0)</f>
        <v>0</v>
      </c>
      <c r="W19" s="87">
        <f>IFERROR(__xludf.DUMMYFUNCTION("""COMPUTED_VALUE"""),50001.08)</f>
        <v>50001.08</v>
      </c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</row>
    <row r="20">
      <c r="A20" s="84" t="str">
        <f>IF(AND(B20&lt;&gt;"", C20=TRUE, E20=Report!$B$1), B20, "")</f>
        <v/>
      </c>
      <c r="B20" s="89" t="str">
        <f>IF(OR(E20=Report!$B$1, F20=Report!$B$1, G20=Report!$B$1, H20=Report!$B$1), D20, "")</f>
        <v/>
      </c>
      <c r="C20" s="84" t="b">
        <f>IFERROR(__xludf.DUMMYFUNCTION("""COMPUTED_VALUE"""),TRUE)</f>
        <v>1</v>
      </c>
      <c r="D20" s="84" t="str">
        <f>IFERROR(__xludf.DUMMYFUNCTION("""COMPUTED_VALUE"""),"Roth Stanislav ml.")</f>
        <v>Roth Stanislav ml.</v>
      </c>
      <c r="E20" s="84" t="str">
        <f>IFERROR(__xludf.DUMMYFUNCTION("""COMPUTED_VALUE"""),"Bolevec")</f>
        <v>Bolevec</v>
      </c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90">
        <f>IFERROR(__xludf.DUMMYFUNCTION("""COMPUTED_VALUE"""),0.0)</f>
        <v>0</v>
      </c>
      <c r="W20" s="87">
        <f>IFERROR(__xludf.DUMMYFUNCTION("""COMPUTED_VALUE"""),50001.08)</f>
        <v>50001.08</v>
      </c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</row>
    <row r="21">
      <c r="A21" s="84" t="str">
        <f>IF(AND(B21&lt;&gt;"", C21=TRUE, E21=Report!$B$1), B21, "")</f>
        <v/>
      </c>
      <c r="B21" s="89" t="str">
        <f>IF(OR(E21=Report!$B$1, F21=Report!$B$1, G21=Report!$B$1, H21=Report!$B$1), D21, "")</f>
        <v/>
      </c>
      <c r="C21" s="84" t="b">
        <f>IFERROR(__xludf.DUMMYFUNCTION("""COMPUTED_VALUE"""),FALSE)</f>
        <v>0</v>
      </c>
      <c r="D21" s="84" t="str">
        <f>IFERROR(__xludf.DUMMYFUNCTION("""COMPUTED_VALUE"""),"Bubník Martin")</f>
        <v>Bubník Martin</v>
      </c>
      <c r="E21" s="84" t="str">
        <f>IFERROR(__xludf.DUMMYFUNCTION("""COMPUTED_VALUE"""),"Libuš")</f>
        <v>Libuš</v>
      </c>
      <c r="F21" s="84" t="str">
        <f>IFERROR(__xludf.DUMMYFUNCTION("""COMPUTED_VALUE"""),"Malešice")</f>
        <v>Malešice</v>
      </c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90">
        <f>IFERROR(__xludf.DUMMYFUNCTION("""COMPUTED_VALUE"""),0.0)</f>
        <v>0</v>
      </c>
      <c r="W21" s="87">
        <f>IFERROR(__xludf.DUMMYFUNCTION("""COMPUTED_VALUE"""),0.0)</f>
        <v>0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</row>
    <row r="22">
      <c r="A22" s="84" t="str">
        <f>IF(AND(B22&lt;&gt;"", C22=TRUE, E22=Report!$B$1), B22, "")</f>
        <v/>
      </c>
      <c r="B22" s="89" t="str">
        <f>IF(OR(E22=Report!$B$1, F22=Report!$B$1, G22=Report!$B$1, H22=Report!$B$1), D22, "")</f>
        <v/>
      </c>
      <c r="C22" s="84" t="b">
        <f>IFERROR(__xludf.DUMMYFUNCTION("""COMPUTED_VALUE"""),FALSE)</f>
        <v>0</v>
      </c>
      <c r="D22" s="84" t="str">
        <f>IFERROR(__xludf.DUMMYFUNCTION("""COMPUTED_VALUE"""),"Berdar Vasyl")</f>
        <v>Berdar Vasyl</v>
      </c>
      <c r="E22" s="84" t="str">
        <f>IFERROR(__xludf.DUMMYFUNCTION("""COMPUTED_VALUE"""),"Libuš")</f>
        <v>Libuš</v>
      </c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90">
        <f>IFERROR(__xludf.DUMMYFUNCTION("""COMPUTED_VALUE"""),0.0)</f>
        <v>0</v>
      </c>
      <c r="W22" s="87">
        <f>IFERROR(__xludf.DUMMYFUNCTION("""COMPUTED_VALUE"""),0.0)</f>
        <v>0</v>
      </c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</row>
    <row r="23">
      <c r="A23" s="84" t="str">
        <f>IF(AND(B23&lt;&gt;"", C23=TRUE, E23=Report!$B$1), B23, "")</f>
        <v/>
      </c>
      <c r="B23" s="89" t="str">
        <f>IF(OR(E23=Report!$B$1, F23=Report!$B$1, G23=Report!$B$1, H23=Report!$B$1), D23, "")</f>
        <v/>
      </c>
      <c r="C23" s="84" t="b">
        <f>IFERROR(__xludf.DUMMYFUNCTION("""COMPUTED_VALUE"""),FALSE)</f>
        <v>0</v>
      </c>
      <c r="D23" s="84" t="str">
        <f>IFERROR(__xludf.DUMMYFUNCTION("""COMPUTED_VALUE"""),"Yarushynskyi Vladyslav")</f>
        <v>Yarushynskyi Vladyslav</v>
      </c>
      <c r="E23" s="84" t="str">
        <f>IFERROR(__xludf.DUMMYFUNCTION("""COMPUTED_VALUE"""),"Malešice")</f>
        <v>Malešice</v>
      </c>
      <c r="F23" s="84" t="str">
        <f>IFERROR(__xludf.DUMMYFUNCTION("""COMPUTED_VALUE"""),"Chodov")</f>
        <v>Chodov</v>
      </c>
      <c r="G23" s="84" t="str">
        <f>IFERROR(__xludf.DUMMYFUNCTION("""COMPUTED_VALUE"""),"Zličín")</f>
        <v>Zličín</v>
      </c>
      <c r="H23" s="84" t="str">
        <f>IFERROR(__xludf.DUMMYFUNCTION("""COMPUTED_VALUE"""),"Prosek")</f>
        <v>Prosek</v>
      </c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90">
        <f>IFERROR(__xludf.DUMMYFUNCTION("""COMPUTED_VALUE"""),0.0)</f>
        <v>0</v>
      </c>
      <c r="W23" s="87">
        <f>IFERROR(__xludf.DUMMYFUNCTION("""COMPUTED_VALUE"""),0.0)</f>
        <v>0</v>
      </c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</row>
    <row r="24">
      <c r="A24" s="84" t="str">
        <f>IF(AND(B24&lt;&gt;"", C24=TRUE, E24=Report!$B$1), B24, "")</f>
        <v/>
      </c>
      <c r="B24" s="89" t="str">
        <f>IF(OR(E24=Report!$B$1, F24=Report!$B$1, G24=Report!$B$1, H24=Report!$B$1), D24, "")</f>
        <v/>
      </c>
      <c r="C24" s="84" t="b">
        <f>IFERROR(__xludf.DUMMYFUNCTION("""COMPUTED_VALUE"""),FALSE)</f>
        <v>0</v>
      </c>
      <c r="D24" s="84" t="str">
        <f>IFERROR(__xludf.DUMMYFUNCTION("""COMPUTED_VALUE"""),"Židek Petr")</f>
        <v>Židek Petr</v>
      </c>
      <c r="E24" s="84" t="str">
        <f>IFERROR(__xludf.DUMMYFUNCTION("""COMPUTED_VALUE"""),"Chodov")</f>
        <v>Chodov</v>
      </c>
      <c r="F24" s="84" t="str">
        <f>IFERROR(__xludf.DUMMYFUNCTION("""COMPUTED_VALUE"""),"Malešice")</f>
        <v>Malešice</v>
      </c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90">
        <f>IFERROR(__xludf.DUMMYFUNCTION("""COMPUTED_VALUE"""),0.0)</f>
        <v>0</v>
      </c>
      <c r="W24" s="87">
        <f>IFERROR(__xludf.DUMMYFUNCTION("""COMPUTED_VALUE"""),0.0)</f>
        <v>0</v>
      </c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</row>
    <row r="25">
      <c r="A25" s="84" t="str">
        <f>IF(AND(B25&lt;&gt;"", C25=TRUE, E25=Report!$B$1), B25, "")</f>
        <v/>
      </c>
      <c r="B25" s="89" t="str">
        <f>IF(OR(E25=Report!$B$1, F25=Report!$B$1, G25=Report!$B$1, H25=Report!$B$1), D25, "")</f>
        <v/>
      </c>
      <c r="C25" s="84" t="b">
        <f>IFERROR(__xludf.DUMMYFUNCTION("""COMPUTED_VALUE"""),FALSE)</f>
        <v>0</v>
      </c>
      <c r="D25" s="84" t="str">
        <f>IFERROR(__xludf.DUMMYFUNCTION("""COMPUTED_VALUE"""),"Gorol Patrik")</f>
        <v>Gorol Patrik</v>
      </c>
      <c r="E25" s="84" t="str">
        <f>IFERROR(__xludf.DUMMYFUNCTION("""COMPUTED_VALUE"""),"Malešice")</f>
        <v>Malešice</v>
      </c>
      <c r="F25" s="84" t="str">
        <f>IFERROR(__xludf.DUMMYFUNCTION("""COMPUTED_VALUE"""),"Libuš")</f>
        <v>Libuš</v>
      </c>
      <c r="G25" s="84" t="str">
        <f>IFERROR(__xludf.DUMMYFUNCTION("""COMPUTED_VALUE"""),"Prosek")</f>
        <v>Prosek</v>
      </c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90">
        <f>IFERROR(__xludf.DUMMYFUNCTION("""COMPUTED_VALUE"""),0.0)</f>
        <v>0</v>
      </c>
      <c r="W25" s="87">
        <f>IFERROR(__xludf.DUMMYFUNCTION("""COMPUTED_VALUE"""),0.0)</f>
        <v>0</v>
      </c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</row>
    <row r="26">
      <c r="A26" s="84" t="str">
        <f>IF(AND(B26&lt;&gt;"", C26=TRUE, E26=Report!$B$1), B26, "")</f>
        <v/>
      </c>
      <c r="B26" s="89" t="str">
        <f>IF(OR(E26=Report!$B$1, F26=Report!$B$1, G26=Report!$B$1, H26=Report!$B$1), D26, "")</f>
        <v/>
      </c>
      <c r="C26" s="84" t="b">
        <f>IFERROR(__xludf.DUMMYFUNCTION("""COMPUTED_VALUE"""),FALSE)</f>
        <v>0</v>
      </c>
      <c r="D26" s="84" t="str">
        <f>IFERROR(__xludf.DUMMYFUNCTION("""COMPUTED_VALUE"""),"Hegedüs Gergö")</f>
        <v>Hegedüs Gergö</v>
      </c>
      <c r="E26" s="84" t="str">
        <f>IFERROR(__xludf.DUMMYFUNCTION("""COMPUTED_VALUE"""),"Libuš")</f>
        <v>Libuš</v>
      </c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90">
        <f>IFERROR(__xludf.DUMMYFUNCTION("""COMPUTED_VALUE"""),0.0)</f>
        <v>0</v>
      </c>
      <c r="W26" s="87">
        <f>IFERROR(__xludf.DUMMYFUNCTION("""COMPUTED_VALUE"""),0.0)</f>
        <v>0</v>
      </c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</row>
    <row r="27">
      <c r="A27" s="84" t="str">
        <f>IF(AND(B27&lt;&gt;"", C27=TRUE, E27=Report!$B$1), B27, "")</f>
        <v/>
      </c>
      <c r="B27" s="89" t="str">
        <f>IF(OR(E27=Report!$B$1, F27=Report!$B$1, G27=Report!$B$1, H27=Report!$B$1), D27, "")</f>
        <v/>
      </c>
      <c r="C27" s="84" t="b">
        <f>IFERROR(__xludf.DUMMYFUNCTION("""COMPUTED_VALUE"""),FALSE)</f>
        <v>0</v>
      </c>
      <c r="D27" s="84" t="str">
        <f>IFERROR(__xludf.DUMMYFUNCTION("""COMPUTED_VALUE"""),"Barvínková Eliška")</f>
        <v>Barvínková Eliška</v>
      </c>
      <c r="E27" s="84" t="str">
        <f>IFERROR(__xludf.DUMMYFUNCTION("""COMPUTED_VALUE"""),"Libuš")</f>
        <v>Libuš</v>
      </c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90">
        <f>IFERROR(__xludf.DUMMYFUNCTION("""COMPUTED_VALUE"""),0.0)</f>
        <v>0</v>
      </c>
      <c r="W27" s="87">
        <f>IFERROR(__xludf.DUMMYFUNCTION("""COMPUTED_VALUE"""),0.0)</f>
        <v>0</v>
      </c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J27" s="84"/>
      <c r="AK27" s="84"/>
    </row>
    <row r="28">
      <c r="A28" s="84" t="str">
        <f>IF(AND(B28&lt;&gt;"", C28=TRUE, E28=Report!$B$1), B28, "")</f>
        <v/>
      </c>
      <c r="B28" s="89" t="str">
        <f>IF(OR(E28=Report!$B$1, F28=Report!$B$1, G28=Report!$B$1, H28=Report!$B$1), D28, "")</f>
        <v>Kursheva Diana</v>
      </c>
      <c r="C28" s="84" t="b">
        <f>IFERROR(__xludf.DUMMYFUNCTION("""COMPUTED_VALUE"""),FALSE)</f>
        <v>0</v>
      </c>
      <c r="D28" s="84" t="str">
        <f>IFERROR(__xludf.DUMMYFUNCTION("""COMPUTED_VALUE"""),"Kursheva Diana")</f>
        <v>Kursheva Diana</v>
      </c>
      <c r="E28" s="84" t="str">
        <f>IFERROR(__xludf.DUMMYFUNCTION("""COMPUTED_VALUE"""),"Výroba")</f>
        <v>Výroba</v>
      </c>
      <c r="F28" s="84" t="str">
        <f>IFERROR(__xludf.DUMMYFUNCTION("""COMPUTED_VALUE"""),"Chodov")</f>
        <v>Chodov</v>
      </c>
      <c r="G28" s="84"/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90">
        <f>IFERROR(__xludf.DUMMYFUNCTION("""COMPUTED_VALUE"""),0.0)</f>
        <v>0</v>
      </c>
      <c r="W28" s="87">
        <f>IFERROR(__xludf.DUMMYFUNCTION("""COMPUTED_VALUE"""),0.0)</f>
        <v>0</v>
      </c>
      <c r="X28" s="84"/>
      <c r="Y28" s="84"/>
      <c r="Z28" s="84"/>
      <c r="AA28" s="84"/>
      <c r="AB28" s="84"/>
      <c r="AC28" s="84"/>
      <c r="AD28" s="84"/>
      <c r="AE28" s="84"/>
      <c r="AF28" s="84"/>
      <c r="AG28" s="84"/>
      <c r="AH28" s="84"/>
      <c r="AI28" s="84"/>
      <c r="AJ28" s="84"/>
      <c r="AK28" s="84"/>
    </row>
    <row r="29">
      <c r="A29" s="84" t="str">
        <f>IF(AND(B29&lt;&gt;"", C29=TRUE, E29=Report!$B$1), B29, "")</f>
        <v/>
      </c>
      <c r="B29" s="89" t="str">
        <f>IF(OR(E29=Report!$B$1, F29=Report!$B$1, G29=Report!$B$1, H29=Report!$B$1), D29, "")</f>
        <v/>
      </c>
      <c r="C29" s="84" t="b">
        <f>IFERROR(__xludf.DUMMYFUNCTION("""COMPUTED_VALUE"""),FALSE)</f>
        <v>0</v>
      </c>
      <c r="D29" s="84" t="str">
        <f>IFERROR(__xludf.DUMMYFUNCTION("""COMPUTED_VALUE"""),"Kubík Martin")</f>
        <v>Kubík Martin</v>
      </c>
      <c r="E29" s="84" t="str">
        <f>IFERROR(__xludf.DUMMYFUNCTION("""COMPUTED_VALUE"""),"Libuš")</f>
        <v>Libuš</v>
      </c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90">
        <f>IFERROR(__xludf.DUMMYFUNCTION("""COMPUTED_VALUE"""),0.0)</f>
        <v>0</v>
      </c>
      <c r="W29" s="87">
        <f>IFERROR(__xludf.DUMMYFUNCTION("""COMPUTED_VALUE"""),0.0)</f>
        <v>0</v>
      </c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4"/>
    </row>
    <row r="30">
      <c r="A30" s="84" t="str">
        <f>IF(AND(B30&lt;&gt;"", C30=TRUE, E30=Report!$B$1), B30, "")</f>
        <v/>
      </c>
      <c r="B30" s="89" t="str">
        <f>IF(OR(E30=Report!$B$1, F30=Report!$B$1, G30=Report!$B$1, H30=Report!$B$1), D30, "")</f>
        <v/>
      </c>
      <c r="C30" s="84" t="b">
        <f>IFERROR(__xludf.DUMMYFUNCTION("""COMPUTED_VALUE"""),FALSE)</f>
        <v>0</v>
      </c>
      <c r="D30" s="84" t="str">
        <f>IFERROR(__xludf.DUMMYFUNCTION("""COMPUTED_VALUE"""),"Putna Jaroslav")</f>
        <v>Putna Jaroslav</v>
      </c>
      <c r="E30" s="84" t="str">
        <f>IFERROR(__xludf.DUMMYFUNCTION("""COMPUTED_VALUE"""),"Zličín")</f>
        <v>Zličín</v>
      </c>
      <c r="F30" s="84" t="str">
        <f>IFERROR(__xludf.DUMMYFUNCTION("""COMPUTED_VALUE"""),"Prosek")</f>
        <v>Prosek</v>
      </c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90">
        <f>IFERROR(__xludf.DUMMYFUNCTION("""COMPUTED_VALUE"""),0.0)</f>
        <v>0</v>
      </c>
      <c r="W30" s="87">
        <f>IFERROR(__xludf.DUMMYFUNCTION("""COMPUTED_VALUE"""),0.0)</f>
        <v>0</v>
      </c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>
      <c r="A31" s="84" t="str">
        <f>IF(AND(B31&lt;&gt;"", C31=TRUE, E31=Report!$B$1), B31, "")</f>
        <v/>
      </c>
      <c r="B31" s="89" t="str">
        <f>IF(OR(E31=Report!$B$1, F31=Report!$B$1, G31=Report!$B$1, H31=Report!$B$1), D31, "")</f>
        <v/>
      </c>
      <c r="C31" s="84" t="b">
        <f>IFERROR(__xludf.DUMMYFUNCTION("""COMPUTED_VALUE"""),FALSE)</f>
        <v>0</v>
      </c>
      <c r="D31" s="84" t="str">
        <f>IFERROR(__xludf.DUMMYFUNCTION("""COMPUTED_VALUE"""),"Kopic Jakub")</f>
        <v>Kopic Jakub</v>
      </c>
      <c r="E31" s="84" t="str">
        <f>IFERROR(__xludf.DUMMYFUNCTION("""COMPUTED_VALUE"""),"Malešice")</f>
        <v>Malešice</v>
      </c>
      <c r="F31" s="84" t="str">
        <f>IFERROR(__xludf.DUMMYFUNCTION("""COMPUTED_VALUE"""),"Prosek")</f>
        <v>Prosek</v>
      </c>
      <c r="G31" s="84" t="str">
        <f>IFERROR(__xludf.DUMMYFUNCTION("""COMPUTED_VALUE"""),"Libuš")</f>
        <v>Libuš</v>
      </c>
      <c r="H31" s="84" t="str">
        <f>IFERROR(__xludf.DUMMYFUNCTION("""COMPUTED_VALUE"""),"Prosek")</f>
        <v>Prosek</v>
      </c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90">
        <f>IFERROR(__xludf.DUMMYFUNCTION("""COMPUTED_VALUE"""),0.0)</f>
        <v>0</v>
      </c>
      <c r="W31" s="87">
        <f>IFERROR(__xludf.DUMMYFUNCTION("""COMPUTED_VALUE"""),0.0)</f>
        <v>0</v>
      </c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</row>
    <row r="32">
      <c r="A32" s="84" t="str">
        <f>IF(AND(B32&lt;&gt;"", C32=TRUE, E32=Report!$B$1), B32, "")</f>
        <v/>
      </c>
      <c r="B32" s="89" t="str">
        <f>IF(OR(E32=Report!$B$1, F32=Report!$B$1, G32=Report!$B$1, H32=Report!$B$1), D32, "")</f>
        <v/>
      </c>
      <c r="C32" s="84" t="b">
        <f>IFERROR(__xludf.DUMMYFUNCTION("""COMPUTED_VALUE"""),FALSE)</f>
        <v>0</v>
      </c>
      <c r="D32" s="84" t="str">
        <f>IFERROR(__xludf.DUMMYFUNCTION("""COMPUTED_VALUE"""),"Fáberová Kateřina")</f>
        <v>Fáberová Kateřina</v>
      </c>
      <c r="E32" s="84" t="str">
        <f>IFERROR(__xludf.DUMMYFUNCTION("""COMPUTED_VALUE"""),"Prosek")</f>
        <v>Prosek</v>
      </c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90">
        <f>IFERROR(__xludf.DUMMYFUNCTION("""COMPUTED_VALUE"""),0.0)</f>
        <v>0</v>
      </c>
      <c r="W32" s="87">
        <f>IFERROR(__xludf.DUMMYFUNCTION("""COMPUTED_VALUE"""),0.0)</f>
        <v>0</v>
      </c>
      <c r="X32" s="84"/>
      <c r="Y32" s="84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84"/>
    </row>
    <row r="33">
      <c r="A33" s="84" t="str">
        <f>IF(AND(B33&lt;&gt;"", C33=TRUE, E33=Report!$B$1), B33, "")</f>
        <v/>
      </c>
      <c r="B33" s="89" t="str">
        <f>IF(OR(E33=Report!$B$1, F33=Report!$B$1, G33=Report!$B$1, H33=Report!$B$1), D33, "")</f>
        <v/>
      </c>
      <c r="C33" s="84" t="b">
        <f>IFERROR(__xludf.DUMMYFUNCTION("""COMPUTED_VALUE"""),FALSE)</f>
        <v>0</v>
      </c>
      <c r="D33" s="84" t="str">
        <f>IFERROR(__xludf.DUMMYFUNCTION("""COMPUTED_VALUE"""),"Chlubnová Adéla")</f>
        <v>Chlubnová Adéla</v>
      </c>
      <c r="E33" s="84" t="str">
        <f>IFERROR(__xludf.DUMMYFUNCTION("""COMPUTED_VALUE"""),"Chodov")</f>
        <v>Chodov</v>
      </c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90">
        <f>IFERROR(__xludf.DUMMYFUNCTION("""COMPUTED_VALUE"""),0.0)</f>
        <v>0</v>
      </c>
      <c r="W33" s="87">
        <f>IFERROR(__xludf.DUMMYFUNCTION("""COMPUTED_VALUE"""),0.0)</f>
        <v>0</v>
      </c>
      <c r="X33" s="84"/>
      <c r="Y33" s="84"/>
      <c r="Z33" s="84"/>
      <c r="AA33" s="84"/>
      <c r="AB33" s="84"/>
      <c r="AC33" s="84"/>
      <c r="AD33" s="84"/>
      <c r="AE33" s="84"/>
      <c r="AF33" s="84"/>
      <c r="AG33" s="84"/>
      <c r="AH33" s="84"/>
      <c r="AI33" s="84"/>
      <c r="AJ33" s="84"/>
      <c r="AK33" s="84"/>
    </row>
    <row r="34">
      <c r="A34" s="84" t="str">
        <f>IF(AND(B34&lt;&gt;"", C34=TRUE, E34=Report!$B$1), B34, "")</f>
        <v/>
      </c>
      <c r="B34" s="89" t="str">
        <f>IF(OR(E34=Report!$B$1, F34=Report!$B$1, G34=Report!$B$1, H34=Report!$B$1), D34, "")</f>
        <v/>
      </c>
      <c r="C34" s="84" t="b">
        <f>IFERROR(__xludf.DUMMYFUNCTION("""COMPUTED_VALUE"""),FALSE)</f>
        <v>0</v>
      </c>
      <c r="D34" s="84" t="str">
        <f>IFERROR(__xludf.DUMMYFUNCTION("""COMPUTED_VALUE"""),"Prošek Václav")</f>
        <v>Prošek Václav</v>
      </c>
      <c r="E34" s="84" t="str">
        <f>IFERROR(__xludf.DUMMYFUNCTION("""COMPUTED_VALUE"""),"Libuš")</f>
        <v>Libuš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90">
        <f>IFERROR(__xludf.DUMMYFUNCTION("""COMPUTED_VALUE"""),0.0)</f>
        <v>0</v>
      </c>
      <c r="W34" s="87">
        <f>IFERROR(__xludf.DUMMYFUNCTION("""COMPUTED_VALUE"""),0.0)</f>
        <v>0</v>
      </c>
      <c r="X34" s="84"/>
      <c r="Y34" s="84"/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J34" s="84"/>
      <c r="AK34" s="84"/>
    </row>
    <row r="35">
      <c r="A35" s="84" t="str">
        <f>IF(AND(B35&lt;&gt;"", C35=TRUE, E35=Report!$B$1), B35, "")</f>
        <v/>
      </c>
      <c r="B35" s="89" t="str">
        <f>IF(OR(E35=Report!$B$1, F35=Report!$B$1, G35=Report!$B$1, H35=Report!$B$1), D35, "")</f>
        <v/>
      </c>
      <c r="C35" s="84" t="b">
        <f>IFERROR(__xludf.DUMMYFUNCTION("""COMPUTED_VALUE"""),FALSE)</f>
        <v>0</v>
      </c>
      <c r="D35" s="84" t="str">
        <f>IFERROR(__xludf.DUMMYFUNCTION("""COMPUTED_VALUE"""),"Millington Emmanuel")</f>
        <v>Millington Emmanuel</v>
      </c>
      <c r="E35" s="84" t="str">
        <f>IFERROR(__xludf.DUMMYFUNCTION("""COMPUTED_VALUE"""),"Libuš")</f>
        <v>Libuš</v>
      </c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90">
        <f>IFERROR(__xludf.DUMMYFUNCTION("""COMPUTED_VALUE"""),0.0)</f>
        <v>0</v>
      </c>
      <c r="W35" s="87">
        <f>IFERROR(__xludf.DUMMYFUNCTION("""COMPUTED_VALUE"""),0.0)</f>
        <v>0</v>
      </c>
      <c r="X35" s="84"/>
      <c r="Y35" s="84"/>
      <c r="Z35" s="84"/>
      <c r="AA35" s="84"/>
      <c r="AB35" s="84"/>
      <c r="AC35" s="84"/>
      <c r="AD35" s="84"/>
      <c r="AE35" s="84"/>
      <c r="AF35" s="84"/>
      <c r="AG35" s="84"/>
      <c r="AH35" s="84"/>
      <c r="AI35" s="84"/>
      <c r="AJ35" s="84"/>
      <c r="AK35" s="84"/>
    </row>
    <row r="36">
      <c r="A36" s="84" t="str">
        <f>IF(AND(B36&lt;&gt;"", C36=TRUE, E36=Report!$B$1), B36, "")</f>
        <v/>
      </c>
      <c r="B36" s="89" t="str">
        <f>IF(OR(E36=Report!$B$1, F36=Report!$B$1, G36=Report!$B$1, H36=Report!$B$1), D36, "")</f>
        <v/>
      </c>
      <c r="C36" s="84" t="b">
        <f>IFERROR(__xludf.DUMMYFUNCTION("""COMPUTED_VALUE"""),FALSE)</f>
        <v>0</v>
      </c>
      <c r="D36" s="84" t="str">
        <f>IFERROR(__xludf.DUMMYFUNCTION("""COMPUTED_VALUE"""),"Kašpárek Jan")</f>
        <v>Kašpárek Jan</v>
      </c>
      <c r="E36" s="84" t="str">
        <f>IFERROR(__xludf.DUMMYFUNCTION("""COMPUTED_VALUE"""),"Libuš")</f>
        <v>Libuš</v>
      </c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90">
        <f>IFERROR(__xludf.DUMMYFUNCTION("""COMPUTED_VALUE"""),0.0)</f>
        <v>0</v>
      </c>
      <c r="W36" s="87">
        <f>IFERROR(__xludf.DUMMYFUNCTION("""COMPUTED_VALUE"""),0.0)</f>
        <v>0</v>
      </c>
      <c r="X36" s="84"/>
      <c r="Y36" s="84"/>
      <c r="Z36" s="84"/>
      <c r="AA36" s="84"/>
      <c r="AB36" s="84"/>
      <c r="AC36" s="84"/>
      <c r="AD36" s="84"/>
      <c r="AE36" s="84"/>
      <c r="AF36" s="84"/>
      <c r="AG36" s="84"/>
      <c r="AH36" s="84"/>
      <c r="AI36" s="84"/>
      <c r="AJ36" s="84"/>
      <c r="AK36" s="84"/>
    </row>
    <row r="37">
      <c r="A37" s="84" t="str">
        <f>IF(AND(B37&lt;&gt;"", C37=TRUE, E37=Report!$B$1), B37, "")</f>
        <v/>
      </c>
      <c r="B37" s="89" t="str">
        <f>IF(OR(E37=Report!$B$1, F37=Report!$B$1, G37=Report!$B$1, H37=Report!$B$1), D37, "")</f>
        <v>Koteliuk Maryna</v>
      </c>
      <c r="C37" s="84" t="b">
        <f>IFERROR(__xludf.DUMMYFUNCTION("""COMPUTED_VALUE"""),FALSE)</f>
        <v>0</v>
      </c>
      <c r="D37" s="84" t="str">
        <f>IFERROR(__xludf.DUMMYFUNCTION("""COMPUTED_VALUE"""),"Koteliuk Maryna")</f>
        <v>Koteliuk Maryna</v>
      </c>
      <c r="E37" s="84" t="str">
        <f>IFERROR(__xludf.DUMMYFUNCTION("""COMPUTED_VALUE"""),"Výroba")</f>
        <v>Výroba</v>
      </c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90">
        <f>IFERROR(__xludf.DUMMYFUNCTION("""COMPUTED_VALUE"""),0.0)</f>
        <v>0</v>
      </c>
      <c r="W37" s="87">
        <f>IFERROR(__xludf.DUMMYFUNCTION("""COMPUTED_VALUE"""),0.0)</f>
        <v>0</v>
      </c>
      <c r="X37" s="84"/>
      <c r="Y37" s="84"/>
      <c r="Z37" s="84"/>
      <c r="AA37" s="84"/>
      <c r="AB37" s="84"/>
      <c r="AC37" s="84"/>
      <c r="AD37" s="84"/>
      <c r="AE37" s="84"/>
      <c r="AF37" s="84"/>
      <c r="AG37" s="84"/>
      <c r="AH37" s="84"/>
      <c r="AI37" s="84"/>
      <c r="AJ37" s="84"/>
      <c r="AK37" s="84"/>
    </row>
    <row r="38">
      <c r="A38" s="84" t="str">
        <f>IF(AND(B38&lt;&gt;"", C38=TRUE, E38=Report!$B$1), B38, "")</f>
        <v/>
      </c>
      <c r="B38" s="89" t="str">
        <f>IF(OR(E38=Report!$B$1, F38=Report!$B$1, G38=Report!$B$1, H38=Report!$B$1), D38, "")</f>
        <v/>
      </c>
      <c r="C38" s="84" t="b">
        <f>IFERROR(__xludf.DUMMYFUNCTION("""COMPUTED_VALUE"""),FALSE)</f>
        <v>0</v>
      </c>
      <c r="D38" s="84" t="str">
        <f>IFERROR(__xludf.DUMMYFUNCTION("""COMPUTED_VALUE"""),"Remač Jiří")</f>
        <v>Remač Jiří</v>
      </c>
      <c r="E38" s="84" t="str">
        <f>IFERROR(__xludf.DUMMYFUNCTION("""COMPUTED_VALUE"""),"Libuš")</f>
        <v>Libuš</v>
      </c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90">
        <f>IFERROR(__xludf.DUMMYFUNCTION("""COMPUTED_VALUE"""),0.0)</f>
        <v>0</v>
      </c>
      <c r="W38" s="87">
        <f>IFERROR(__xludf.DUMMYFUNCTION("""COMPUTED_VALUE"""),0.0)</f>
        <v>0</v>
      </c>
      <c r="X38" s="84"/>
      <c r="Y38" s="84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</row>
    <row r="39">
      <c r="A39" s="84" t="str">
        <f>IF(AND(B39&lt;&gt;"", C39=TRUE, E39=Report!$B$1), B39, "")</f>
        <v/>
      </c>
      <c r="B39" s="89" t="str">
        <f>IF(OR(E39=Report!$B$1, F39=Report!$B$1, G39=Report!$B$1, H39=Report!$B$1), D39, "")</f>
        <v/>
      </c>
      <c r="C39" s="84" t="b">
        <f>IFERROR(__xludf.DUMMYFUNCTION("""COMPUTED_VALUE"""),FALSE)</f>
        <v>0</v>
      </c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90">
        <f>IFERROR(__xludf.DUMMYFUNCTION("""COMPUTED_VALUE"""),0.0)</f>
        <v>0</v>
      </c>
      <c r="W39" s="87">
        <f>IFERROR(__xludf.DUMMYFUNCTION("""COMPUTED_VALUE"""),0.0)</f>
        <v>0</v>
      </c>
      <c r="X39" s="84"/>
      <c r="Y39" s="84"/>
      <c r="Z39" s="84"/>
      <c r="AA39" s="84"/>
      <c r="AB39" s="84"/>
      <c r="AC39" s="84"/>
      <c r="AD39" s="84"/>
      <c r="AE39" s="84"/>
      <c r="AF39" s="84"/>
      <c r="AG39" s="84"/>
      <c r="AH39" s="84"/>
      <c r="AI39" s="84"/>
      <c r="AJ39" s="84"/>
      <c r="AK39" s="84"/>
    </row>
    <row r="40">
      <c r="A40" s="84" t="str">
        <f>IF(AND(B40&lt;&gt;"", C40=TRUE, E40=Report!$B$1), B40, "")</f>
        <v/>
      </c>
      <c r="B40" s="89" t="str">
        <f>IF(OR(E40=Report!$B$1, F40=Report!$B$1, G40=Report!$B$1, H40=Report!$B$1), D40, "")</f>
        <v/>
      </c>
      <c r="C40" s="84" t="b">
        <f>IFERROR(__xludf.DUMMYFUNCTION("""COMPUTED_VALUE"""),FALSE)</f>
        <v>0</v>
      </c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90">
        <f>IFERROR(__xludf.DUMMYFUNCTION("""COMPUTED_VALUE"""),0.0)</f>
        <v>0</v>
      </c>
      <c r="W40" s="87">
        <f>IFERROR(__xludf.DUMMYFUNCTION("""COMPUTED_VALUE"""),0.0)</f>
        <v>0</v>
      </c>
      <c r="X40" s="84"/>
      <c r="Y40" s="84"/>
      <c r="Z40" s="84"/>
      <c r="AA40" s="84"/>
      <c r="AB40" s="84"/>
      <c r="AC40" s="84"/>
      <c r="AD40" s="84"/>
      <c r="AE40" s="84"/>
      <c r="AF40" s="84"/>
      <c r="AG40" s="84"/>
      <c r="AH40" s="84"/>
      <c r="AI40" s="84"/>
      <c r="AJ40" s="84"/>
      <c r="AK40" s="84"/>
    </row>
    <row r="41">
      <c r="A41" s="84" t="str">
        <f>IF(AND(B41&lt;&gt;"", C41=TRUE, E41=Report!$B$1), B41, "")</f>
        <v/>
      </c>
      <c r="B41" s="89" t="str">
        <f>IF(OR(E41=Report!$B$1, F41=Report!$B$1, G41=Report!$B$1, H41=Report!$B$1), D41, "")</f>
        <v/>
      </c>
      <c r="C41" s="84" t="b">
        <f>IFERROR(__xludf.DUMMYFUNCTION("""COMPUTED_VALUE"""),FALSE)</f>
        <v>0</v>
      </c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90">
        <f>IFERROR(__xludf.DUMMYFUNCTION("""COMPUTED_VALUE"""),0.0)</f>
        <v>0</v>
      </c>
      <c r="W41" s="87">
        <f>IFERROR(__xludf.DUMMYFUNCTION("""COMPUTED_VALUE"""),0.0)</f>
        <v>0</v>
      </c>
      <c r="X41" s="84"/>
      <c r="Y41" s="84"/>
      <c r="Z41" s="84"/>
      <c r="AA41" s="84"/>
      <c r="AB41" s="84"/>
      <c r="AC41" s="84"/>
      <c r="AD41" s="84"/>
      <c r="AE41" s="84"/>
      <c r="AF41" s="84"/>
      <c r="AG41" s="84"/>
      <c r="AH41" s="84"/>
      <c r="AI41" s="84"/>
      <c r="AJ41" s="84"/>
      <c r="AK41" s="84"/>
    </row>
    <row r="42">
      <c r="A42" s="84" t="str">
        <f>IF(AND(B42&lt;&gt;"", C42=TRUE, E42=Report!$B$1), B42, "")</f>
        <v/>
      </c>
      <c r="B42" s="89" t="str">
        <f>IF(OR(E42=Report!$B$1, F42=Report!$B$1, G42=Report!$B$1, H42=Report!$B$1), D42, "")</f>
        <v/>
      </c>
      <c r="C42" s="84" t="b">
        <f>IFERROR(__xludf.DUMMYFUNCTION("""COMPUTED_VALUE"""),FALSE)</f>
        <v>0</v>
      </c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90">
        <f>IFERROR(__xludf.DUMMYFUNCTION("""COMPUTED_VALUE"""),0.0)</f>
        <v>0</v>
      </c>
      <c r="W42" s="87">
        <f>IFERROR(__xludf.DUMMYFUNCTION("""COMPUTED_VALUE"""),0.0)</f>
        <v>0</v>
      </c>
      <c r="X42" s="84"/>
      <c r="Y42" s="84"/>
      <c r="Z42" s="84"/>
      <c r="AA42" s="84"/>
      <c r="AB42" s="84"/>
      <c r="AC42" s="84"/>
      <c r="AD42" s="84"/>
      <c r="AE42" s="84"/>
      <c r="AF42" s="84"/>
      <c r="AG42" s="84"/>
      <c r="AH42" s="84"/>
      <c r="AI42" s="84"/>
      <c r="AJ42" s="84"/>
      <c r="AK42" s="84"/>
    </row>
    <row r="43">
      <c r="A43" s="84" t="str">
        <f>IF(AND(B43&lt;&gt;"", C43=TRUE, E43=Report!$B$1), B43, "")</f>
        <v/>
      </c>
      <c r="B43" s="89" t="str">
        <f>IF(OR(E43=Report!$B$1, F43=Report!$B$1, G43=Report!$B$1, H43=Report!$B$1), D43, "")</f>
        <v/>
      </c>
      <c r="C43" s="84" t="b">
        <f>IFERROR(__xludf.DUMMYFUNCTION("""COMPUTED_VALUE"""),FALSE)</f>
        <v>0</v>
      </c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90">
        <f>IFERROR(__xludf.DUMMYFUNCTION("""COMPUTED_VALUE"""),0.0)</f>
        <v>0</v>
      </c>
      <c r="W43" s="87">
        <f>IFERROR(__xludf.DUMMYFUNCTION("""COMPUTED_VALUE"""),0.0)</f>
        <v>0</v>
      </c>
      <c r="X43" s="84"/>
      <c r="Y43" s="84"/>
      <c r="Z43" s="84"/>
      <c r="AA43" s="84"/>
      <c r="AB43" s="84"/>
      <c r="AC43" s="84"/>
      <c r="AD43" s="84"/>
      <c r="AE43" s="84"/>
      <c r="AF43" s="84"/>
      <c r="AG43" s="84"/>
      <c r="AH43" s="84"/>
      <c r="AI43" s="84"/>
      <c r="AJ43" s="84"/>
      <c r="AK43" s="84"/>
    </row>
    <row r="44">
      <c r="A44" s="84"/>
      <c r="B44" s="91" t="str">
        <f>IF(OR(E44=Report!$B$1, F44=Report!$B$1, G44=Report!$B$1, H44=Report!$B$1), D44, "")</f>
        <v/>
      </c>
      <c r="C44" s="84" t="b">
        <f>IFERROR(__xludf.DUMMYFUNCTION("""COMPUTED_VALUE"""),FALSE)</f>
        <v>0</v>
      </c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90">
        <f>IFERROR(__xludf.DUMMYFUNCTION("""COMPUTED_VALUE"""),0.0)</f>
        <v>0</v>
      </c>
      <c r="W44" s="87">
        <f>IFERROR(__xludf.DUMMYFUNCTION("""COMPUTED_VALUE"""),0.0)</f>
        <v>0</v>
      </c>
      <c r="X44" s="84"/>
      <c r="Y44" s="84"/>
      <c r="Z44" s="84"/>
      <c r="AA44" s="84"/>
      <c r="AB44" s="84"/>
      <c r="AC44" s="84"/>
      <c r="AD44" s="84"/>
      <c r="AE44" s="84"/>
      <c r="AF44" s="84"/>
      <c r="AG44" s="84"/>
      <c r="AH44" s="84"/>
      <c r="AI44" s="84"/>
      <c r="AJ44" s="84"/>
      <c r="AK44" s="84"/>
    </row>
    <row r="45">
      <c r="A45" s="84"/>
      <c r="B45" s="91" t="str">
        <f>IF(OR(E45=Report!$B$1, F45=Report!$B$1, G45=Report!$B$1, H45=Report!$B$1), D45, "")</f>
        <v/>
      </c>
      <c r="C45" s="84" t="b">
        <f>IFERROR(__xludf.DUMMYFUNCTION("""COMPUTED_VALUE"""),FALSE)</f>
        <v>0</v>
      </c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90">
        <f>IFERROR(__xludf.DUMMYFUNCTION("""COMPUTED_VALUE"""),0.0)</f>
        <v>0</v>
      </c>
      <c r="W45" s="87">
        <f>IFERROR(__xludf.DUMMYFUNCTION("""COMPUTED_VALUE"""),0.0)</f>
        <v>0</v>
      </c>
      <c r="X45" s="84"/>
      <c r="Y45" s="84"/>
      <c r="Z45" s="84"/>
      <c r="AA45" s="84"/>
      <c r="AB45" s="84"/>
      <c r="AC45" s="84"/>
      <c r="AD45" s="84"/>
      <c r="AE45" s="84"/>
      <c r="AF45" s="84"/>
      <c r="AG45" s="84"/>
      <c r="AH45" s="84"/>
      <c r="AI45" s="84"/>
      <c r="AJ45" s="84"/>
      <c r="AK45" s="84"/>
    </row>
    <row r="46">
      <c r="A46" s="84"/>
      <c r="B46" s="91" t="str">
        <f>IF(OR(E46=Report!$B$1, F46=Report!$B$1, G46=Report!$B$1, H46=Report!$B$1), D46, "")</f>
        <v/>
      </c>
      <c r="C46" s="84" t="b">
        <f>IFERROR(__xludf.DUMMYFUNCTION("""COMPUTED_VALUE"""),FALSE)</f>
        <v>0</v>
      </c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90">
        <f>IFERROR(__xludf.DUMMYFUNCTION("""COMPUTED_VALUE"""),0.0)</f>
        <v>0</v>
      </c>
      <c r="W46" s="87">
        <f>IFERROR(__xludf.DUMMYFUNCTION("""COMPUTED_VALUE"""),0.0)</f>
        <v>0</v>
      </c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</row>
    <row r="47">
      <c r="A47" s="84"/>
      <c r="B47" s="91" t="str">
        <f>IF(OR(E47=Report!$B$1, F47=Report!$B$1, G47=Report!$B$1, H47=Report!$B$1), D47, "")</f>
        <v/>
      </c>
      <c r="C47" s="84" t="b">
        <f>IFERROR(__xludf.DUMMYFUNCTION("""COMPUTED_VALUE"""),FALSE)</f>
        <v>0</v>
      </c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90">
        <f>IFERROR(__xludf.DUMMYFUNCTION("""COMPUTED_VALUE"""),374.0)</f>
        <v>374</v>
      </c>
      <c r="W47" s="87">
        <f>IFERROR(__xludf.DUMMYFUNCTION("""COMPUTED_VALUE"""),0.0)</f>
        <v>0</v>
      </c>
      <c r="X47" s="84"/>
      <c r="Y47" s="84"/>
      <c r="Z47" s="84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</row>
    <row r="48">
      <c r="A48" s="84"/>
      <c r="B48" s="91" t="str">
        <f>IF(OR(E48=Report!$B$1, F48=Report!$B$1, G48=Report!$B$1, H48=Report!$B$1), D48, "")</f>
        <v/>
      </c>
      <c r="C48" s="84" t="b">
        <f>IFERROR(__xludf.DUMMYFUNCTION("""COMPUTED_VALUE"""),FALSE)</f>
        <v>0</v>
      </c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7">
        <f>IFERROR(__xludf.DUMMYFUNCTION("""COMPUTED_VALUE"""),0.0)</f>
        <v>0</v>
      </c>
      <c r="X48" s="84"/>
      <c r="Y48" s="84"/>
      <c r="Z48" s="84"/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</row>
    <row r="49">
      <c r="A49" s="84"/>
      <c r="B49" s="91" t="str">
        <f>IF(OR(E49=Report!$B$1, F49=Report!$B$1, G49=Report!$B$1, H49=Report!$B$1), D49, "")</f>
        <v/>
      </c>
      <c r="C49" s="84" t="b">
        <f>IFERROR(__xludf.DUMMYFUNCTION("""COMPUTED_VALUE"""),FALSE)</f>
        <v>0</v>
      </c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7">
        <f>IFERROR(__xludf.DUMMYFUNCTION("""COMPUTED_VALUE"""),0.0)</f>
        <v>0</v>
      </c>
      <c r="X49" s="84"/>
      <c r="Y49" s="84"/>
      <c r="Z49" s="84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</row>
    <row r="50">
      <c r="A50" s="84"/>
      <c r="B50" s="91" t="str">
        <f>IF(OR(E50=Report!$B$1, F50=Report!$B$1, G50=Report!$B$1, H50=Report!$B$1), D50, "")</f>
        <v/>
      </c>
      <c r="C50" s="84" t="b">
        <f>IFERROR(__xludf.DUMMYFUNCTION("""COMPUTED_VALUE"""),FALSE)</f>
        <v>0</v>
      </c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7">
        <f>IFERROR(__xludf.DUMMYFUNCTION("""COMPUTED_VALUE"""),0.0)</f>
        <v>0</v>
      </c>
      <c r="X50" s="84"/>
      <c r="Y50" s="84"/>
      <c r="Z50" s="84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</row>
    <row r="51">
      <c r="A51" s="84"/>
      <c r="B51" s="91" t="str">
        <f>IF(OR(E51=Report!$B$1, F51=Report!$B$1, G51=Report!$B$1, H51=Report!$B$1), D51, "")</f>
        <v/>
      </c>
      <c r="C51" s="84" t="b">
        <f>IFERROR(__xludf.DUMMYFUNCTION("""COMPUTED_VALUE"""),FALSE)</f>
        <v>0</v>
      </c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7">
        <f>IFERROR(__xludf.DUMMYFUNCTION("""COMPUTED_VALUE"""),0.0)</f>
        <v>0</v>
      </c>
      <c r="X51" s="84"/>
      <c r="Y51" s="84"/>
      <c r="Z51" s="84"/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</row>
    <row r="52">
      <c r="A52" s="84"/>
      <c r="B52" s="91" t="str">
        <f>IF(OR(E52=Report!$B$1, F52=Report!$B$1, G52=Report!$B$1, H52=Report!$B$1), D52, "")</f>
        <v/>
      </c>
      <c r="C52" s="84" t="b">
        <f>IFERROR(__xludf.DUMMYFUNCTION("""COMPUTED_VALUE"""),FALSE)</f>
        <v>0</v>
      </c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7">
        <f>IFERROR(__xludf.DUMMYFUNCTION("""COMPUTED_VALUE"""),0.0)</f>
        <v>0</v>
      </c>
      <c r="X52" s="84"/>
      <c r="Y52" s="84"/>
      <c r="Z52" s="84"/>
      <c r="AA52" s="84"/>
      <c r="AB52" s="84"/>
      <c r="AC52" s="84"/>
      <c r="AD52" s="84"/>
      <c r="AE52" s="84"/>
      <c r="AF52" s="84"/>
      <c r="AG52" s="84"/>
      <c r="AH52" s="84"/>
      <c r="AI52" s="84"/>
      <c r="AJ52" s="84"/>
      <c r="AK52" s="84"/>
    </row>
    <row r="53">
      <c r="A53" s="84"/>
      <c r="B53" s="91" t="str">
        <f>IF(OR(E53=Report!$B$1, F53=Report!$B$1, G53=Report!$B$1, H53=Report!$B$1), D53, "")</f>
        <v/>
      </c>
      <c r="C53" s="84" t="b">
        <f>IFERROR(__xludf.DUMMYFUNCTION("""COMPUTED_VALUE"""),FALSE)</f>
        <v>0</v>
      </c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7">
        <f>IFERROR(__xludf.DUMMYFUNCTION("""COMPUTED_VALUE"""),0.0)</f>
        <v>0</v>
      </c>
      <c r="X53" s="84"/>
      <c r="Y53" s="84"/>
      <c r="Z53" s="84"/>
      <c r="AA53" s="84"/>
      <c r="AB53" s="84"/>
      <c r="AC53" s="84"/>
      <c r="AD53" s="84"/>
      <c r="AE53" s="84"/>
      <c r="AF53" s="84"/>
      <c r="AG53" s="84"/>
      <c r="AH53" s="84"/>
      <c r="AI53" s="84"/>
      <c r="AJ53" s="84"/>
      <c r="AK53" s="84"/>
    </row>
    <row r="54">
      <c r="A54" s="84"/>
      <c r="B54" s="91" t="str">
        <f>IF(OR(E54=Report!$B$1, F54=Report!$B$1, G54=Report!$B$1, H54=Report!$B$1), D54, "")</f>
        <v/>
      </c>
      <c r="C54" s="84" t="b">
        <f>IFERROR(__xludf.DUMMYFUNCTION("""COMPUTED_VALUE"""),FALSE)</f>
        <v>0</v>
      </c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7">
        <f>IFERROR(__xludf.DUMMYFUNCTION("""COMPUTED_VALUE"""),0.0)</f>
        <v>0</v>
      </c>
      <c r="X54" s="84"/>
      <c r="Y54" s="84"/>
      <c r="Z54" s="84"/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</row>
    <row r="55">
      <c r="A55" s="84"/>
      <c r="B55" s="91" t="str">
        <f>IF(OR(E55=Report!$B$1, F55=Report!$B$1, G55=Report!$B$1, H55=Report!$B$1), D55, "")</f>
        <v/>
      </c>
      <c r="C55" s="84" t="b">
        <f>IFERROR(__xludf.DUMMYFUNCTION("""COMPUTED_VALUE"""),FALSE)</f>
        <v>0</v>
      </c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7">
        <f>IFERROR(__xludf.DUMMYFUNCTION("""COMPUTED_VALUE"""),0.0)</f>
        <v>0</v>
      </c>
      <c r="X55" s="84"/>
      <c r="Y55" s="84"/>
      <c r="Z55" s="84"/>
      <c r="AA55" s="84"/>
      <c r="AB55" s="84"/>
      <c r="AC55" s="84"/>
      <c r="AD55" s="84"/>
      <c r="AE55" s="84"/>
      <c r="AF55" s="84"/>
      <c r="AG55" s="84"/>
      <c r="AH55" s="84"/>
      <c r="AI55" s="84"/>
      <c r="AJ55" s="84"/>
      <c r="AK55" s="84"/>
    </row>
    <row r="56">
      <c r="A56" s="84"/>
      <c r="B56" s="91" t="str">
        <f>IF(OR(E56=Report!$B$1, F56=Report!$B$1, G56=Report!$B$1, H56=Report!$B$1), D56, "")</f>
        <v/>
      </c>
      <c r="C56" s="84" t="b">
        <f>IFERROR(__xludf.DUMMYFUNCTION("""COMPUTED_VALUE"""),FALSE)</f>
        <v>0</v>
      </c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7">
        <f>IFERROR(__xludf.DUMMYFUNCTION("""COMPUTED_VALUE"""),0.0)</f>
        <v>0</v>
      </c>
      <c r="X56" s="84"/>
      <c r="Y56" s="84"/>
      <c r="Z56" s="84"/>
      <c r="AA56" s="84"/>
      <c r="AB56" s="84"/>
      <c r="AC56" s="84"/>
      <c r="AD56" s="84"/>
      <c r="AE56" s="84"/>
      <c r="AF56" s="84"/>
      <c r="AG56" s="84"/>
      <c r="AH56" s="84"/>
      <c r="AI56" s="84"/>
      <c r="AJ56" s="84"/>
      <c r="AK56" s="84"/>
    </row>
    <row r="57">
      <c r="A57" s="84"/>
      <c r="B57" s="91" t="str">
        <f>IF(OR(E57=Report!$B$1, F57=Report!$B$1, G57=Report!$B$1, H57=Report!$B$1), D57, "")</f>
        <v/>
      </c>
      <c r="C57" s="84" t="b">
        <f>IFERROR(__xludf.DUMMYFUNCTION("""COMPUTED_VALUE"""),FALSE)</f>
        <v>0</v>
      </c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7">
        <f>IFERROR(__xludf.DUMMYFUNCTION("""COMPUTED_VALUE"""),0.0)</f>
        <v>0</v>
      </c>
      <c r="X57" s="84"/>
      <c r="Y57" s="84"/>
      <c r="Z57" s="84"/>
      <c r="AA57" s="84"/>
      <c r="AB57" s="84"/>
      <c r="AC57" s="84"/>
      <c r="AD57" s="84"/>
      <c r="AE57" s="84"/>
      <c r="AF57" s="84"/>
      <c r="AG57" s="84"/>
      <c r="AH57" s="84"/>
      <c r="AI57" s="84"/>
      <c r="AJ57" s="84"/>
      <c r="AK57" s="84"/>
    </row>
    <row r="58">
      <c r="A58" s="84"/>
      <c r="B58" s="91" t="str">
        <f>IF(OR(E58=Report!$B$1, F58=Report!$B$1, G58=Report!$B$1, H58=Report!$B$1), D58, "")</f>
        <v/>
      </c>
      <c r="C58" s="84"/>
      <c r="D58" s="84" t="str">
        <f>IFERROR(__xludf.DUMMYFUNCTION("""COMPUTED_VALUE"""),"End")</f>
        <v>End</v>
      </c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7">
        <f>IFERROR(__xludf.DUMMYFUNCTION("""COMPUTED_VALUE"""),0.0)</f>
        <v>0</v>
      </c>
      <c r="X58" s="84"/>
      <c r="Y58" s="84"/>
      <c r="Z58" s="84"/>
      <c r="AA58" s="84"/>
      <c r="AB58" s="84"/>
      <c r="AC58" s="84"/>
      <c r="AD58" s="84"/>
      <c r="AE58" s="84"/>
      <c r="AF58" s="84"/>
      <c r="AG58" s="84"/>
      <c r="AH58" s="84"/>
      <c r="AI58" s="84"/>
      <c r="AJ58" s="84"/>
      <c r="AK58" s="84"/>
    </row>
    <row r="59">
      <c r="A59" s="84"/>
      <c r="B59" s="91" t="str">
        <f>IF(OR(E59=Report!$B$1, F59=Report!$B$1, G59=Report!$B$1, H59=Report!$B$1), D59, "")</f>
        <v/>
      </c>
      <c r="C59" s="84"/>
      <c r="D59" s="84" t="str">
        <f>IFERROR(__xludf.DUMMYFUNCTION("""COMPUTED_VALUE"""),"Suma instor")</f>
        <v>Suma instor</v>
      </c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92">
        <f>IFERROR(__xludf.DUMMYFUNCTION("""COMPUTED_VALUE"""),0.0)</f>
        <v>0</v>
      </c>
      <c r="W59" s="87"/>
      <c r="X59" s="84"/>
      <c r="Y59" s="84"/>
      <c r="Z59" s="84"/>
      <c r="AA59" s="84"/>
      <c r="AB59" s="84"/>
      <c r="AC59" s="84"/>
      <c r="AD59" s="84"/>
      <c r="AE59" s="84"/>
      <c r="AF59" s="84"/>
      <c r="AG59" s="84"/>
      <c r="AH59" s="84"/>
      <c r="AI59" s="84"/>
      <c r="AJ59" s="84"/>
      <c r="AK59" s="84"/>
    </row>
    <row r="60">
      <c r="A60" s="84"/>
      <c r="B60" s="91" t="str">
        <f>IF(OR(E60=Report!$B$1, F60=Report!$B$1, G60=Report!$B$1, H60=Report!$B$1), D60, "")</f>
        <v/>
      </c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7">
        <f>IFERROR(__xludf.DUMMYFUNCTION("""COMPUTED_VALUE"""),374.0)</f>
        <v>374</v>
      </c>
      <c r="W60" s="87">
        <f>IFERROR(__xludf.DUMMYFUNCTION("""COMPUTED_VALUE"""),578026.48)</f>
        <v>578026.48</v>
      </c>
      <c r="X60" s="84"/>
      <c r="Y60" s="84"/>
      <c r="Z60" s="84"/>
      <c r="AA60" s="84"/>
      <c r="AB60" s="84"/>
      <c r="AC60" s="84"/>
      <c r="AD60" s="84"/>
      <c r="AE60" s="84"/>
      <c r="AF60" s="84"/>
      <c r="AG60" s="84"/>
      <c r="AH60" s="84"/>
      <c r="AI60" s="84"/>
      <c r="AJ60" s="84"/>
      <c r="AK60" s="84"/>
    </row>
    <row r="61">
      <c r="A61" s="84"/>
      <c r="B61" s="89" t="str">
        <f>IF(OR(E61=Report!$B$1, F61=Report!$B$1, G61=Report!$B$1, H61=Report!$B$1), D61, "")</f>
        <v/>
      </c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7"/>
      <c r="X61" s="84"/>
      <c r="Y61" s="84"/>
      <c r="Z61" s="84"/>
      <c r="AA61" s="84"/>
      <c r="AB61" s="84"/>
      <c r="AC61" s="84"/>
      <c r="AD61" s="84"/>
      <c r="AE61" s="84"/>
      <c r="AF61" s="84"/>
      <c r="AG61" s="84"/>
      <c r="AH61" s="84"/>
      <c r="AI61" s="84"/>
      <c r="AJ61" s="84"/>
      <c r="AK61" s="84"/>
    </row>
    <row r="62">
      <c r="A62" s="84"/>
      <c r="B62" s="89" t="str">
        <f>IF(OR(E62=Report!$B$1, F62=Report!$B$1, G62=Report!$B$1, H62=Report!$B$1), D62, "")</f>
        <v/>
      </c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7"/>
      <c r="X62" s="84"/>
      <c r="Y62" s="84"/>
      <c r="Z62" s="84"/>
      <c r="AA62" s="84"/>
      <c r="AB62" s="84"/>
      <c r="AC62" s="84"/>
      <c r="AD62" s="84"/>
      <c r="AE62" s="84"/>
      <c r="AF62" s="84"/>
      <c r="AG62" s="84"/>
      <c r="AH62" s="84"/>
      <c r="AI62" s="84"/>
      <c r="AJ62" s="84"/>
      <c r="AK62" s="84"/>
    </row>
    <row r="63">
      <c r="A63" s="84"/>
      <c r="B63" s="89" t="str">
        <f>IF(OR(E63=Report!$B$1, F63=Report!$B$1, G63=Report!$B$1, H63=Report!$B$1), D63, "")</f>
        <v/>
      </c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 t="str">
        <f>IFERROR(__xludf.DUMMYFUNCTION("""COMPUTED_VALUE"""),"Sleva na popl.")</f>
        <v>Sleva na popl.</v>
      </c>
      <c r="W63" s="87" t="str">
        <f>IFERROR(__xludf.DUMMYFUNCTION("""COMPUTED_VALUE"""),"čistá")</f>
        <v>čistá</v>
      </c>
      <c r="X63" s="84"/>
      <c r="Y63" s="84"/>
      <c r="Z63" s="84"/>
      <c r="AA63" s="84"/>
      <c r="AB63" s="84"/>
      <c r="AC63" s="84"/>
      <c r="AD63" s="84"/>
      <c r="AE63" s="84"/>
      <c r="AF63" s="84"/>
      <c r="AG63" s="84"/>
      <c r="AH63" s="84"/>
      <c r="AI63" s="84"/>
      <c r="AJ63" s="84"/>
      <c r="AK63" s="84"/>
    </row>
    <row r="64">
      <c r="A64" s="84"/>
      <c r="B64" s="89" t="str">
        <f>IF(OR(E64=Report!$B$1, F64=Report!$B$1, G64=Report!$B$1, H64=Report!$B$1), D64, "")</f>
        <v/>
      </c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>
        <f>IFERROR(__xludf.DUMMYFUNCTION("""COMPUTED_VALUE"""),2570.0)</f>
        <v>2570</v>
      </c>
      <c r="W64" s="87" t="str">
        <f>IFERROR(__xludf.DUMMYFUNCTION("""COMPUTED_VALUE"""),"mzda/h")</f>
        <v>mzda/h</v>
      </c>
      <c r="X64" s="84"/>
      <c r="Y64" s="84"/>
      <c r="Z64" s="84"/>
      <c r="AA64" s="84"/>
      <c r="AB64" s="84"/>
      <c r="AC64" s="84"/>
      <c r="AD64" s="84"/>
      <c r="AE64" s="84"/>
      <c r="AF64" s="84"/>
      <c r="AG64" s="84"/>
      <c r="AH64" s="84"/>
      <c r="AI64" s="84"/>
      <c r="AJ64" s="84"/>
      <c r="AK64" s="84"/>
    </row>
    <row r="65">
      <c r="A65" s="84"/>
      <c r="B65" s="89" t="str">
        <f>IF(OR(E65=Report!$B$1, F65=Report!$B$1, G65=Report!$B$1, H65=Report!$B$1), D65, "")</f>
        <v/>
      </c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>
        <f>IFERROR(__xludf.DUMMYFUNCTION("""COMPUTED_VALUE"""),31930.0)</f>
        <v>31930</v>
      </c>
      <c r="W65" s="87">
        <f>IFERROR(__xludf.DUMMYFUNCTION("""COMPUTED_VALUE"""),159.65)</f>
        <v>159.65</v>
      </c>
      <c r="X65" s="84"/>
      <c r="Y65" s="84"/>
      <c r="Z65" s="84"/>
      <c r="AA65" s="84"/>
      <c r="AB65" s="84"/>
      <c r="AC65" s="84"/>
      <c r="AD65" s="84"/>
      <c r="AE65" s="84"/>
      <c r="AF65" s="84"/>
      <c r="AG65" s="84"/>
      <c r="AH65" s="84"/>
      <c r="AI65" s="84"/>
      <c r="AJ65" s="84"/>
      <c r="AK65" s="84"/>
    </row>
    <row r="66">
      <c r="A66" s="84"/>
      <c r="B66" s="89" t="str">
        <f>IF(OR(E66=Report!$B$1, F66=Report!$B$1, G66=Report!$B$1, H66=Report!$B$1), D66, "")</f>
        <v/>
      </c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7"/>
      <c r="X66" s="84"/>
      <c r="Y66" s="84"/>
      <c r="Z66" s="84"/>
      <c r="AA66" s="84"/>
      <c r="AB66" s="84"/>
      <c r="AC66" s="84"/>
      <c r="AD66" s="84"/>
      <c r="AE66" s="84"/>
      <c r="AF66" s="84"/>
      <c r="AG66" s="84"/>
      <c r="AH66" s="84"/>
      <c r="AI66" s="84"/>
      <c r="AJ66" s="84"/>
      <c r="AK66" s="84"/>
    </row>
    <row r="67">
      <c r="A67" s="84"/>
      <c r="B67" s="89" t="str">
        <f>IF(OR(E67=Report!$B$1, F67=Report!$B$1, G67=Report!$B$1, H67=Report!$B$1), D67, "")</f>
        <v/>
      </c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7"/>
      <c r="X67" s="84"/>
      <c r="Y67" s="84"/>
      <c r="Z67" s="84"/>
      <c r="AA67" s="84"/>
      <c r="AB67" s="84"/>
      <c r="AC67" s="84"/>
      <c r="AD67" s="84"/>
      <c r="AE67" s="84"/>
      <c r="AF67" s="84"/>
      <c r="AG67" s="84"/>
      <c r="AH67" s="84"/>
      <c r="AI67" s="84"/>
      <c r="AJ67" s="84"/>
      <c r="AK67" s="84"/>
    </row>
    <row r="68">
      <c r="A68" s="84"/>
      <c r="B68" s="89" t="str">
        <f>IF(OR(E68=Report!$B$1, F68=Report!$B$1, G68=Report!$B$1, H68=Report!$B$1), D68, "")</f>
        <v/>
      </c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7"/>
      <c r="X68" s="84"/>
      <c r="Y68" s="84"/>
      <c r="Z68" s="84"/>
      <c r="AA68" s="84"/>
      <c r="AB68" s="84"/>
      <c r="AC68" s="84"/>
      <c r="AD68" s="84"/>
      <c r="AE68" s="84"/>
      <c r="AF68" s="84"/>
      <c r="AG68" s="84"/>
      <c r="AH68" s="84"/>
      <c r="AI68" s="84"/>
      <c r="AJ68" s="84"/>
      <c r="AK68" s="84"/>
    </row>
    <row r="69">
      <c r="A69" s="84"/>
      <c r="B69" s="89" t="str">
        <f>IF(OR(E69=Report!$B$1, F69=Report!$B$1, G69=Report!$B$1, H69=Report!$B$1), D69, "")</f>
        <v/>
      </c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7"/>
      <c r="X69" s="84"/>
      <c r="Y69" s="84"/>
      <c r="Z69" s="84"/>
      <c r="AA69" s="84"/>
      <c r="AB69" s="84"/>
      <c r="AC69" s="84"/>
      <c r="AD69" s="84"/>
      <c r="AE69" s="84"/>
      <c r="AF69" s="84"/>
      <c r="AG69" s="84"/>
      <c r="AH69" s="84"/>
      <c r="AI69" s="84"/>
      <c r="AJ69" s="84"/>
      <c r="AK69" s="84"/>
    </row>
    <row r="70">
      <c r="A70" s="84"/>
      <c r="B70" s="89" t="str">
        <f>IF(OR(E70=Report!$B$1, F70=Report!$B$1, G70=Report!$B$1, H70=Report!$B$1), D70, "")</f>
        <v/>
      </c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7" t="str">
        <f>IFERROR(__xludf.DUMMYFUNCTION("""COMPUTED_VALUE""")," ")</f>
        <v> </v>
      </c>
      <c r="X70" s="84"/>
      <c r="Y70" s="84"/>
      <c r="Z70" s="84"/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</row>
    <row r="71">
      <c r="A71" s="84"/>
      <c r="B71" s="89" t="str">
        <f>IF(OR(E71=Report!$B$1, F71=Report!$B$1, G71=Report!$B$1, H71=Report!$B$1), D71, "")</f>
        <v/>
      </c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7"/>
      <c r="X71" s="84"/>
      <c r="Y71" s="84"/>
      <c r="Z71" s="84"/>
      <c r="AA71" s="84"/>
      <c r="AB71" s="84"/>
      <c r="AC71" s="84"/>
      <c r="AD71" s="84"/>
      <c r="AE71" s="84"/>
      <c r="AF71" s="84"/>
      <c r="AG71" s="84"/>
      <c r="AH71" s="84"/>
      <c r="AI71" s="84"/>
      <c r="AJ71" s="84"/>
      <c r="AK71" s="84"/>
    </row>
    <row r="72">
      <c r="A72" s="84"/>
      <c r="B72" s="89" t="str">
        <f>IF(OR(E72=Report!$B$1, F72=Report!$B$1, G72=Report!$B$1, H72=Report!$B$1), D72, "")</f>
        <v/>
      </c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7"/>
      <c r="X72" s="84"/>
      <c r="Y72" s="84"/>
      <c r="Z72" s="84"/>
      <c r="AA72" s="84"/>
      <c r="AB72" s="84"/>
      <c r="AC72" s="84"/>
      <c r="AD72" s="84"/>
      <c r="AE72" s="84"/>
      <c r="AF72" s="84"/>
      <c r="AG72" s="84"/>
      <c r="AH72" s="84"/>
      <c r="AI72" s="84"/>
      <c r="AJ72" s="84"/>
      <c r="AK72" s="84"/>
    </row>
    <row r="73">
      <c r="A73" s="84"/>
      <c r="B73" s="89" t="str">
        <f>IF(OR(E73=Report!$B$1, F73=Report!$B$1, G73=Report!$B$1, H73=Report!$B$1), D73, "")</f>
        <v/>
      </c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7"/>
      <c r="X73" s="84"/>
      <c r="Y73" s="84"/>
      <c r="Z73" s="84"/>
      <c r="AA73" s="84"/>
      <c r="AB73" s="84"/>
      <c r="AC73" s="84"/>
      <c r="AD73" s="84"/>
      <c r="AE73" s="84"/>
      <c r="AF73" s="84"/>
      <c r="AG73" s="84"/>
      <c r="AH73" s="84"/>
      <c r="AI73" s="84"/>
      <c r="AJ73" s="84"/>
      <c r="AK73" s="84"/>
    </row>
    <row r="74">
      <c r="A74" s="84"/>
      <c r="B74" s="89" t="str">
        <f>IF(OR(E74=Report!$B$1, F74=Report!$B$1, G74=Report!$B$1, H74=Report!$B$1), D74, "")</f>
        <v/>
      </c>
      <c r="C74" s="84" t="str">
        <f>IFERROR(__xludf.DUMMYFUNCTION("""COMPUTED_VALUE"""),"Manažer")</f>
        <v>Manažer</v>
      </c>
      <c r="D74" s="84" t="str">
        <f>IFERROR(__xludf.DUMMYFUNCTION("""COMPUTED_VALUE"""),"Kurýr")</f>
        <v>Kurýr</v>
      </c>
      <c r="E74" s="84" t="str">
        <f>IFERROR(__xludf.DUMMYFUNCTION("""COMPUTED_VALUE"""),"První domácí,          Pobočky max 4    ")</f>
        <v>První domácí,          Pobočky max 4    </v>
      </c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90">
        <f>IFERROR(__xludf.DUMMYFUNCTION("""COMPUTED_VALUE"""),0.0)</f>
        <v>0</v>
      </c>
      <c r="W74" s="87" t="str">
        <f>IFERROR(__xludf.DUMMYFUNCTION("""COMPUTED_VALUE"""),"Čistá mzda")</f>
        <v>Čistá mzda</v>
      </c>
      <c r="X74" s="84"/>
      <c r="Y74" s="84"/>
      <c r="Z74" s="84"/>
      <c r="AA74" s="84"/>
      <c r="AB74" s="84"/>
      <c r="AC74" s="84"/>
      <c r="AD74" s="84"/>
      <c r="AE74" s="84"/>
      <c r="AF74" s="84"/>
      <c r="AG74" s="84"/>
      <c r="AH74" s="84"/>
      <c r="AI74" s="84"/>
      <c r="AJ74" s="84"/>
      <c r="AK74" s="84"/>
    </row>
    <row r="75">
      <c r="A75" s="84"/>
      <c r="B75" s="89" t="str">
        <f>IF(OR(E75=Report!$B$1, F75=Report!$B$1, G75=Report!$B$1, H75=Report!$B$1), D75, "")</f>
        <v/>
      </c>
      <c r="C75" s="84" t="b">
        <f>IFERROR(__xludf.DUMMYFUNCTION("""COMPUTED_VALUE"""),FALSE)</f>
        <v>0</v>
      </c>
      <c r="D75" s="84" t="str">
        <f>IFERROR(__xludf.DUMMYFUNCTION("""COMPUTED_VALUE"""),"Jurkovič Martin")</f>
        <v>Jurkovič Martin</v>
      </c>
      <c r="E75" s="84" t="str">
        <f>IFERROR(__xludf.DUMMYFUNCTION("""COMPUTED_VALUE"""),"Libuš")</f>
        <v>Libuš</v>
      </c>
      <c r="F75" s="84" t="str">
        <f>IFERROR(__xludf.DUMMYFUNCTION("""COMPUTED_VALUE"""),"Chodov")</f>
        <v>Chodov</v>
      </c>
      <c r="G75" s="84" t="str">
        <f>IFERROR(__xludf.DUMMYFUNCTION("""COMPUTED_VALUE"""),"Malešice")</f>
        <v>Malešice</v>
      </c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90">
        <f>IFERROR(__xludf.DUMMYFUNCTION("""COMPUTED_VALUE"""),0.0)</f>
        <v>0</v>
      </c>
      <c r="W75" s="87">
        <f>IFERROR(__xludf.DUMMYFUNCTION("""COMPUTED_VALUE"""),0.0)</f>
        <v>0</v>
      </c>
      <c r="X75" s="84"/>
      <c r="Y75" s="84"/>
      <c r="Z75" s="84"/>
      <c r="AA75" s="84"/>
      <c r="AB75" s="84"/>
      <c r="AC75" s="84"/>
      <c r="AD75" s="84"/>
      <c r="AE75" s="84"/>
      <c r="AF75" s="84"/>
      <c r="AG75" s="84"/>
      <c r="AH75" s="84"/>
      <c r="AI75" s="84"/>
      <c r="AJ75" s="84"/>
      <c r="AK75" s="84"/>
    </row>
    <row r="76">
      <c r="A76" s="84"/>
      <c r="B76" s="89" t="str">
        <f>IF(OR(E76=Report!$B$1, F76=Report!$B$1, G76=Report!$B$1, H76=Report!$B$1), D76, "")</f>
        <v/>
      </c>
      <c r="C76" s="84" t="b">
        <f>IFERROR(__xludf.DUMMYFUNCTION("""COMPUTED_VALUE"""),FALSE)</f>
        <v>0</v>
      </c>
      <c r="D76" s="84" t="str">
        <f>IFERROR(__xludf.DUMMYFUNCTION("""COMPUTED_VALUE"""),"Navrátil Ondřej")</f>
        <v>Navrátil Ondřej</v>
      </c>
      <c r="E76" s="84" t="str">
        <f>IFERROR(__xludf.DUMMYFUNCTION("""COMPUTED_VALUE"""),"Chodov")</f>
        <v>Chodov</v>
      </c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90">
        <f>IFERROR(__xludf.DUMMYFUNCTION("""COMPUTED_VALUE"""),0.0)</f>
        <v>0</v>
      </c>
      <c r="W76" s="87">
        <f>IFERROR(__xludf.DUMMYFUNCTION("""COMPUTED_VALUE"""),0.0)</f>
        <v>0</v>
      </c>
      <c r="X76" s="84"/>
      <c r="Y76" s="84"/>
      <c r="Z76" s="84"/>
      <c r="AA76" s="84"/>
      <c r="AB76" s="84"/>
      <c r="AC76" s="84"/>
      <c r="AD76" s="84"/>
      <c r="AE76" s="84"/>
      <c r="AF76" s="84"/>
      <c r="AG76" s="84"/>
      <c r="AH76" s="84"/>
      <c r="AI76" s="84"/>
      <c r="AJ76" s="84"/>
      <c r="AK76" s="84"/>
    </row>
    <row r="77">
      <c r="A77" s="84"/>
      <c r="B77" s="89" t="str">
        <f>IF(OR(E77=Report!$B$1, F77=Report!$B$1, G77=Report!$B$1, H77=Report!$B$1), D77, "")</f>
        <v/>
      </c>
      <c r="C77" s="84" t="b">
        <f>IFERROR(__xludf.DUMMYFUNCTION("""COMPUTED_VALUE"""),FALSE)</f>
        <v>0</v>
      </c>
      <c r="D77" s="84" t="str">
        <f>IFERROR(__xludf.DUMMYFUNCTION("""COMPUTED_VALUE"""),"Němec Filip")</f>
        <v>Němec Filip</v>
      </c>
      <c r="E77" s="84" t="str">
        <f>IFERROR(__xludf.DUMMYFUNCTION("""COMPUTED_VALUE"""),"Zličín")</f>
        <v>Zličín</v>
      </c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90">
        <f>IFERROR(__xludf.DUMMYFUNCTION("""COMPUTED_VALUE"""),0.0)</f>
        <v>0</v>
      </c>
      <c r="W77" s="87">
        <f>IFERROR(__xludf.DUMMYFUNCTION("""COMPUTED_VALUE"""),0.0)</f>
        <v>0</v>
      </c>
      <c r="X77" s="84"/>
      <c r="Y77" s="84"/>
      <c r="Z77" s="84"/>
      <c r="AA77" s="84"/>
      <c r="AB77" s="84"/>
      <c r="AC77" s="84"/>
      <c r="AD77" s="84"/>
      <c r="AE77" s="84"/>
      <c r="AF77" s="84"/>
      <c r="AG77" s="84"/>
      <c r="AH77" s="84"/>
      <c r="AI77" s="84"/>
      <c r="AJ77" s="84"/>
      <c r="AK77" s="84"/>
    </row>
    <row r="78">
      <c r="A78" s="84"/>
      <c r="B78" s="89" t="str">
        <f>IF(OR(E78=Report!$B$1, F78=Report!$B$1, G78=Report!$B$1, H78=Report!$B$1), D78, "")</f>
        <v/>
      </c>
      <c r="C78" s="84" t="b">
        <f>IFERROR(__xludf.DUMMYFUNCTION("""COMPUTED_VALUE"""),FALSE)</f>
        <v>0</v>
      </c>
      <c r="D78" s="84" t="str">
        <f>IFERROR(__xludf.DUMMYFUNCTION("""COMPUTED_VALUE"""),"Zimmer Jakub")</f>
        <v>Zimmer Jakub</v>
      </c>
      <c r="E78" s="84" t="str">
        <f>IFERROR(__xludf.DUMMYFUNCTION("""COMPUTED_VALUE"""),"Zličín")</f>
        <v>Zličín</v>
      </c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90">
        <f>IFERROR(__xludf.DUMMYFUNCTION("""COMPUTED_VALUE"""),0.0)</f>
        <v>0</v>
      </c>
      <c r="W78" s="87">
        <f>IFERROR(__xludf.DUMMYFUNCTION("""COMPUTED_VALUE"""),0.0)</f>
        <v>0</v>
      </c>
      <c r="X78" s="84"/>
      <c r="Y78" s="84"/>
      <c r="Z78" s="84"/>
      <c r="AA78" s="84"/>
      <c r="AB78" s="84"/>
      <c r="AC78" s="84"/>
      <c r="AD78" s="84"/>
      <c r="AE78" s="84"/>
      <c r="AF78" s="84"/>
      <c r="AG78" s="84"/>
      <c r="AH78" s="84"/>
      <c r="AI78" s="84"/>
      <c r="AJ78" s="84"/>
      <c r="AK78" s="84"/>
    </row>
    <row r="79">
      <c r="A79" s="84"/>
      <c r="B79" s="89" t="str">
        <f>IF(OR(E79=Report!$B$1, F79=Report!$B$1, G79=Report!$B$1, H79=Report!$B$1), D79, "")</f>
        <v/>
      </c>
      <c r="C79" s="84" t="b">
        <f>IFERROR(__xludf.DUMMYFUNCTION("""COMPUTED_VALUE"""),FALSE)</f>
        <v>0</v>
      </c>
      <c r="D79" s="84" t="str">
        <f>IFERROR(__xludf.DUMMYFUNCTION("""COMPUTED_VALUE"""),"Nekolný Vladimír")</f>
        <v>Nekolný Vladimír</v>
      </c>
      <c r="E79" s="84" t="str">
        <f>IFERROR(__xludf.DUMMYFUNCTION("""COMPUTED_VALUE"""),"Chodov")</f>
        <v>Chodov</v>
      </c>
      <c r="F79" s="84" t="str">
        <f>IFERROR(__xludf.DUMMYFUNCTION("""COMPUTED_VALUE"""),"Libuš")</f>
        <v>Libuš</v>
      </c>
      <c r="G79" s="84" t="str">
        <f>IFERROR(__xludf.DUMMYFUNCTION("""COMPUTED_VALUE"""),"Zličín")</f>
        <v>Zličín</v>
      </c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90">
        <f>IFERROR(__xludf.DUMMYFUNCTION("""COMPUTED_VALUE"""),0.0)</f>
        <v>0</v>
      </c>
      <c r="W79" s="87">
        <f>IFERROR(__xludf.DUMMYFUNCTION("""COMPUTED_VALUE"""),0.0)</f>
        <v>0</v>
      </c>
      <c r="X79" s="84"/>
      <c r="Y79" s="84"/>
      <c r="Z79" s="84"/>
      <c r="AA79" s="84"/>
      <c r="AB79" s="84"/>
      <c r="AC79" s="84"/>
      <c r="AD79" s="84"/>
      <c r="AE79" s="84"/>
      <c r="AF79" s="84"/>
      <c r="AG79" s="84"/>
      <c r="AH79" s="84"/>
      <c r="AI79" s="84"/>
      <c r="AJ79" s="84"/>
      <c r="AK79" s="84"/>
    </row>
    <row r="80">
      <c r="A80" s="84"/>
      <c r="B80" s="89" t="str">
        <f>IF(OR(E80=Report!$B$1, F80=Report!$B$1, G80=Report!$B$1, H80=Report!$B$1), D80, "")</f>
        <v/>
      </c>
      <c r="C80" s="84" t="b">
        <f>IFERROR(__xludf.DUMMYFUNCTION("""COMPUTED_VALUE"""),FALSE)</f>
        <v>0</v>
      </c>
      <c r="D80" s="84" t="str">
        <f>IFERROR(__xludf.DUMMYFUNCTION("""COMPUTED_VALUE"""),"Hanibal Filip")</f>
        <v>Hanibal Filip</v>
      </c>
      <c r="E80" s="84" t="str">
        <f>IFERROR(__xludf.DUMMYFUNCTION("""COMPUTED_VALUE"""),"Malešice")</f>
        <v>Malešice</v>
      </c>
      <c r="F80" s="84" t="str">
        <f>IFERROR(__xludf.DUMMYFUNCTION("""COMPUTED_VALUE"""),"Libuš")</f>
        <v>Libuš</v>
      </c>
      <c r="G80" s="84" t="str">
        <f>IFERROR(__xludf.DUMMYFUNCTION("""COMPUTED_VALUE"""),"Prosek")</f>
        <v>Prosek</v>
      </c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90">
        <f>IFERROR(__xludf.DUMMYFUNCTION("""COMPUTED_VALUE"""),0.0)</f>
        <v>0</v>
      </c>
      <c r="W80" s="87">
        <f>IFERROR(__xludf.DUMMYFUNCTION("""COMPUTED_VALUE"""),0.0)</f>
        <v>0</v>
      </c>
      <c r="X80" s="84"/>
      <c r="Y80" s="84"/>
      <c r="Z80" s="84"/>
      <c r="AA80" s="84"/>
      <c r="AB80" s="84"/>
      <c r="AC80" s="84"/>
      <c r="AD80" s="84"/>
      <c r="AE80" s="84"/>
      <c r="AF80" s="84"/>
      <c r="AG80" s="84"/>
      <c r="AH80" s="84"/>
      <c r="AI80" s="84"/>
      <c r="AJ80" s="84"/>
      <c r="AK80" s="84"/>
    </row>
    <row r="81">
      <c r="A81" s="84"/>
      <c r="B81" s="89" t="str">
        <f>IF(OR(E81=Report!$B$1, F81=Report!$B$1, G81=Report!$B$1, H81=Report!$B$1), D81, "")</f>
        <v/>
      </c>
      <c r="C81" s="84" t="b">
        <f>IFERROR(__xludf.DUMMYFUNCTION("""COMPUTED_VALUE"""),FALSE)</f>
        <v>0</v>
      </c>
      <c r="D81" s="84" t="str">
        <f>IFERROR(__xludf.DUMMYFUNCTION("""COMPUTED_VALUE"""),"Novák Jakub")</f>
        <v>Novák Jakub</v>
      </c>
      <c r="E81" s="84" t="str">
        <f>IFERROR(__xludf.DUMMYFUNCTION("""COMPUTED_VALUE"""),"Zličín")</f>
        <v>Zličín</v>
      </c>
      <c r="F81" s="84" t="str">
        <f>IFERROR(__xludf.DUMMYFUNCTION("""COMPUTED_VALUE"""),"Malešice")</f>
        <v>Malešice</v>
      </c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90">
        <f>IFERROR(__xludf.DUMMYFUNCTION("""COMPUTED_VALUE"""),0.0)</f>
        <v>0</v>
      </c>
      <c r="W81" s="87">
        <f>IFERROR(__xludf.DUMMYFUNCTION("""COMPUTED_VALUE"""),0.0)</f>
        <v>0</v>
      </c>
      <c r="X81" s="84"/>
      <c r="Y81" s="84"/>
      <c r="Z81" s="84"/>
      <c r="AA81" s="84"/>
      <c r="AB81" s="84"/>
      <c r="AC81" s="84"/>
      <c r="AD81" s="84"/>
      <c r="AE81" s="84"/>
      <c r="AF81" s="84"/>
      <c r="AG81" s="84"/>
      <c r="AH81" s="84"/>
      <c r="AI81" s="84"/>
      <c r="AJ81" s="84"/>
      <c r="AK81" s="84"/>
    </row>
    <row r="82">
      <c r="A82" s="84"/>
      <c r="B82" s="89" t="str">
        <f>IF(OR(E82=Report!$B$1, F82=Report!$B$1, G82=Report!$B$1, H82=Report!$B$1), D82, "")</f>
        <v/>
      </c>
      <c r="C82" s="84" t="b">
        <f>IFERROR(__xludf.DUMMYFUNCTION("""COMPUTED_VALUE"""),FALSE)</f>
        <v>0</v>
      </c>
      <c r="D82" s="84" t="str">
        <f>IFERROR(__xludf.DUMMYFUNCTION("""COMPUTED_VALUE"""),"Černohorský Otakar")</f>
        <v>Černohorský Otakar</v>
      </c>
      <c r="E82" s="84" t="str">
        <f>IFERROR(__xludf.DUMMYFUNCTION("""COMPUTED_VALUE"""),"Zličín")</f>
        <v>Zličín</v>
      </c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90">
        <f>IFERROR(__xludf.DUMMYFUNCTION("""COMPUTED_VALUE"""),0.0)</f>
        <v>0</v>
      </c>
      <c r="W82" s="87">
        <f>IFERROR(__xludf.DUMMYFUNCTION("""COMPUTED_VALUE"""),0.0)</f>
        <v>0</v>
      </c>
      <c r="X82" s="84"/>
      <c r="Y82" s="84"/>
      <c r="Z82" s="84"/>
      <c r="AA82" s="84"/>
      <c r="AB82" s="84"/>
      <c r="AC82" s="84"/>
      <c r="AD82" s="84"/>
      <c r="AE82" s="84"/>
      <c r="AF82" s="84"/>
      <c r="AG82" s="84"/>
      <c r="AH82" s="84"/>
      <c r="AI82" s="84"/>
      <c r="AJ82" s="84"/>
      <c r="AK82" s="84"/>
    </row>
    <row r="83">
      <c r="A83" s="84"/>
      <c r="B83" s="89" t="str">
        <f>IF(OR(E83=Report!$B$1, F83=Report!$B$1, G83=Report!$B$1, H83=Report!$B$1), D83, "")</f>
        <v/>
      </c>
      <c r="C83" s="84" t="b">
        <f>IFERROR(__xludf.DUMMYFUNCTION("""COMPUTED_VALUE"""),FALSE)</f>
        <v>0</v>
      </c>
      <c r="D83" s="84" t="str">
        <f>IFERROR(__xludf.DUMMYFUNCTION("""COMPUTED_VALUE"""),"Nedvěd Dominik")</f>
        <v>Nedvěd Dominik</v>
      </c>
      <c r="E83" s="84" t="str">
        <f>IFERROR(__xludf.DUMMYFUNCTION("""COMPUTED_VALUE"""),"Libuš")</f>
        <v>Libuš</v>
      </c>
      <c r="F83" s="84" t="str">
        <f>IFERROR(__xludf.DUMMYFUNCTION("""COMPUTED_VALUE"""),"Malešice")</f>
        <v>Malešice</v>
      </c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90">
        <f>IFERROR(__xludf.DUMMYFUNCTION("""COMPUTED_VALUE"""),0.0)</f>
        <v>0</v>
      </c>
      <c r="W83" s="87">
        <f>IFERROR(__xludf.DUMMYFUNCTION("""COMPUTED_VALUE"""),0.0)</f>
        <v>0</v>
      </c>
      <c r="X83" s="84"/>
      <c r="Y83" s="84"/>
      <c r="Z83" s="84"/>
      <c r="AA83" s="84"/>
      <c r="AB83" s="84"/>
      <c r="AC83" s="84"/>
      <c r="AD83" s="84"/>
      <c r="AE83" s="84"/>
      <c r="AF83" s="84"/>
      <c r="AG83" s="84"/>
      <c r="AH83" s="84"/>
      <c r="AI83" s="84"/>
      <c r="AJ83" s="84"/>
      <c r="AK83" s="84"/>
    </row>
    <row r="84">
      <c r="A84" s="84"/>
      <c r="B84" s="89" t="str">
        <f>IF(OR(E84=Report!$B$1, F84=Report!$B$1, G84=Report!$B$1, H84=Report!$B$1), D84, "")</f>
        <v/>
      </c>
      <c r="C84" s="84" t="b">
        <f>IFERROR(__xludf.DUMMYFUNCTION("""COMPUTED_VALUE"""),FALSE)</f>
        <v>0</v>
      </c>
      <c r="D84" s="84" t="str">
        <f>IFERROR(__xludf.DUMMYFUNCTION("""COMPUTED_VALUE"""),"Lanský Zoltan")</f>
        <v>Lanský Zoltan</v>
      </c>
      <c r="E84" s="84" t="str">
        <f>IFERROR(__xludf.DUMMYFUNCTION("""COMPUTED_VALUE"""),"Chodov")</f>
        <v>Chodov</v>
      </c>
      <c r="F84" s="84" t="str">
        <f>IFERROR(__xludf.DUMMYFUNCTION("""COMPUTED_VALUE"""),"Libuš")</f>
        <v>Libuš</v>
      </c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90">
        <f>IFERROR(__xludf.DUMMYFUNCTION("""COMPUTED_VALUE"""),0.0)</f>
        <v>0</v>
      </c>
      <c r="W84" s="87">
        <f>IFERROR(__xludf.DUMMYFUNCTION("""COMPUTED_VALUE"""),0.0)</f>
        <v>0</v>
      </c>
      <c r="X84" s="84"/>
      <c r="Y84" s="84"/>
      <c r="Z84" s="84"/>
      <c r="AA84" s="84"/>
      <c r="AB84" s="84"/>
      <c r="AC84" s="84"/>
      <c r="AD84" s="84"/>
      <c r="AE84" s="84"/>
      <c r="AF84" s="84"/>
      <c r="AG84" s="84"/>
      <c r="AH84" s="84"/>
      <c r="AI84" s="84"/>
      <c r="AJ84" s="84"/>
      <c r="AK84" s="84"/>
    </row>
    <row r="85">
      <c r="A85" s="84"/>
      <c r="B85" s="89" t="str">
        <f>IF(OR(E85=Report!$B$1, F85=Report!$B$1, G85=Report!$B$1, H85=Report!$B$1), D85, "")</f>
        <v/>
      </c>
      <c r="C85" s="84" t="b">
        <f>IFERROR(__xludf.DUMMYFUNCTION("""COMPUTED_VALUE"""),FALSE)</f>
        <v>0</v>
      </c>
      <c r="D85" s="84" t="str">
        <f>IFERROR(__xludf.DUMMYFUNCTION("""COMPUTED_VALUE"""),"Lowe Jana")</f>
        <v>Lowe Jana</v>
      </c>
      <c r="E85" s="84" t="str">
        <f>IFERROR(__xludf.DUMMYFUNCTION("""COMPUTED_VALUE"""),"Zličín")</f>
        <v>Zličín</v>
      </c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90">
        <f>IFERROR(__xludf.DUMMYFUNCTION("""COMPUTED_VALUE"""),0.0)</f>
        <v>0</v>
      </c>
      <c r="W85" s="87">
        <f>IFERROR(__xludf.DUMMYFUNCTION("""COMPUTED_VALUE"""),0.0)</f>
        <v>0</v>
      </c>
      <c r="X85" s="84"/>
      <c r="Y85" s="84"/>
      <c r="Z85" s="84"/>
      <c r="AA85" s="84"/>
      <c r="AB85" s="84"/>
      <c r="AC85" s="84"/>
      <c r="AD85" s="84"/>
      <c r="AE85" s="84"/>
      <c r="AF85" s="84"/>
      <c r="AG85" s="84"/>
      <c r="AH85" s="84"/>
      <c r="AI85" s="84"/>
      <c r="AJ85" s="84"/>
      <c r="AK85" s="84"/>
    </row>
    <row r="86">
      <c r="A86" s="84"/>
      <c r="B86" s="89" t="str">
        <f>IF(OR(E86=Report!$B$1, F86=Report!$B$1, G86=Report!$B$1, H86=Report!$B$1), D86, "")</f>
        <v/>
      </c>
      <c r="C86" s="84" t="b">
        <f>IFERROR(__xludf.DUMMYFUNCTION("""COMPUTED_VALUE"""),FALSE)</f>
        <v>0</v>
      </c>
      <c r="D86" s="84" t="str">
        <f>IFERROR(__xludf.DUMMYFUNCTION("""COMPUTED_VALUE"""),"Hyský Aleš")</f>
        <v>Hyský Aleš</v>
      </c>
      <c r="E86" s="84" t="str">
        <f>IFERROR(__xludf.DUMMYFUNCTION("""COMPUTED_VALUE"""),"Chodov")</f>
        <v>Chodov</v>
      </c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90">
        <f>IFERROR(__xludf.DUMMYFUNCTION("""COMPUTED_VALUE"""),0.0)</f>
        <v>0</v>
      </c>
      <c r="W86" s="87">
        <f>IFERROR(__xludf.DUMMYFUNCTION("""COMPUTED_VALUE"""),0.0)</f>
        <v>0</v>
      </c>
      <c r="X86" s="84"/>
      <c r="Y86" s="84"/>
      <c r="Z86" s="84"/>
      <c r="AA86" s="84"/>
      <c r="AB86" s="84"/>
      <c r="AC86" s="84"/>
      <c r="AD86" s="84"/>
      <c r="AE86" s="84"/>
      <c r="AF86" s="84"/>
      <c r="AG86" s="84"/>
      <c r="AH86" s="84"/>
      <c r="AI86" s="84"/>
      <c r="AJ86" s="84"/>
      <c r="AK86" s="84"/>
    </row>
    <row r="87">
      <c r="A87" s="84"/>
      <c r="B87" s="89" t="str">
        <f>IF(OR(E87=Report!$B$1, F87=Report!$B$1, G87=Report!$B$1, H87=Report!$B$1), D87, "")</f>
        <v>Lažek Jaroslav</v>
      </c>
      <c r="C87" s="84" t="b">
        <f>IFERROR(__xludf.DUMMYFUNCTION("""COMPUTED_VALUE"""),FALSE)</f>
        <v>0</v>
      </c>
      <c r="D87" s="84" t="str">
        <f>IFERROR(__xludf.DUMMYFUNCTION("""COMPUTED_VALUE"""),"Lažek Jaroslav")</f>
        <v>Lažek Jaroslav</v>
      </c>
      <c r="E87" s="84" t="str">
        <f>IFERROR(__xludf.DUMMYFUNCTION("""COMPUTED_VALUE"""),"Libuš")</f>
        <v>Libuš</v>
      </c>
      <c r="F87" s="84" t="str">
        <f>IFERROR(__xludf.DUMMYFUNCTION("""COMPUTED_VALUE"""),"Chodov")</f>
        <v>Chodov</v>
      </c>
      <c r="G87" s="84" t="str">
        <f>IFERROR(__xludf.DUMMYFUNCTION("""COMPUTED_VALUE"""),"Malešice")</f>
        <v>Malešice</v>
      </c>
      <c r="H87" s="84" t="str">
        <f>IFERROR(__xludf.DUMMYFUNCTION("""COMPUTED_VALUE"""),"Výroba")</f>
        <v>Výroba</v>
      </c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90">
        <f>IFERROR(__xludf.DUMMYFUNCTION("""COMPUTED_VALUE"""),0.0)</f>
        <v>0</v>
      </c>
      <c r="W87" s="87">
        <f>IFERROR(__xludf.DUMMYFUNCTION("""COMPUTED_VALUE"""),0.0)</f>
        <v>0</v>
      </c>
      <c r="X87" s="84"/>
      <c r="Y87" s="84"/>
      <c r="Z87" s="84"/>
      <c r="AA87" s="84"/>
      <c r="AB87" s="84"/>
      <c r="AC87" s="84"/>
      <c r="AD87" s="84"/>
      <c r="AE87" s="84"/>
      <c r="AF87" s="84"/>
      <c r="AG87" s="84"/>
      <c r="AH87" s="84"/>
      <c r="AI87" s="84"/>
      <c r="AJ87" s="84"/>
      <c r="AK87" s="84"/>
    </row>
    <row r="88">
      <c r="A88" s="84"/>
      <c r="B88" s="89" t="str">
        <f>IF(OR(E88=Report!$B$1, F88=Report!$B$1, G88=Report!$B$1, H88=Report!$B$1), D88, "")</f>
        <v/>
      </c>
      <c r="C88" s="84" t="b">
        <f>IFERROR(__xludf.DUMMYFUNCTION("""COMPUTED_VALUE"""),FALSE)</f>
        <v>0</v>
      </c>
      <c r="D88" s="84" t="str">
        <f>IFERROR(__xludf.DUMMYFUNCTION("""COMPUTED_VALUE"""),"Kormash Liubov")</f>
        <v>Kormash Liubov</v>
      </c>
      <c r="E88" s="84" t="str">
        <f>IFERROR(__xludf.DUMMYFUNCTION("""COMPUTED_VALUE"""),"Zličín")</f>
        <v>Zličín</v>
      </c>
      <c r="F88" s="84" t="str">
        <f>IFERROR(__xludf.DUMMYFUNCTION("""COMPUTED_VALUE"""),"Prosek")</f>
        <v>Prosek</v>
      </c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90">
        <f>IFERROR(__xludf.DUMMYFUNCTION("""COMPUTED_VALUE"""),0.0)</f>
        <v>0</v>
      </c>
      <c r="W88" s="87">
        <f>IFERROR(__xludf.DUMMYFUNCTION("""COMPUTED_VALUE"""),0.0)</f>
        <v>0</v>
      </c>
      <c r="X88" s="84"/>
      <c r="Y88" s="84"/>
      <c r="Z88" s="84"/>
      <c r="AA88" s="84"/>
      <c r="AB88" s="84"/>
      <c r="AC88" s="84"/>
      <c r="AD88" s="84"/>
      <c r="AE88" s="84"/>
      <c r="AF88" s="84"/>
      <c r="AG88" s="84"/>
      <c r="AH88" s="84"/>
      <c r="AI88" s="84"/>
      <c r="AJ88" s="84"/>
      <c r="AK88" s="84"/>
    </row>
    <row r="89">
      <c r="A89" s="84"/>
      <c r="B89" s="89" t="str">
        <f>IF(OR(E89=Report!$B$1, F89=Report!$B$1, G89=Report!$B$1, H89=Report!$B$1), D89, "")</f>
        <v>Chlubna Tomáš</v>
      </c>
      <c r="C89" s="84" t="b">
        <f>IFERROR(__xludf.DUMMYFUNCTION("""COMPUTED_VALUE"""),FALSE)</f>
        <v>0</v>
      </c>
      <c r="D89" s="84" t="str">
        <f>IFERROR(__xludf.DUMMYFUNCTION("""COMPUTED_VALUE"""),"Chlubna Tomáš")</f>
        <v>Chlubna Tomáš</v>
      </c>
      <c r="E89" s="84" t="str">
        <f>IFERROR(__xludf.DUMMYFUNCTION("""COMPUTED_VALUE"""),"Chodov")</f>
        <v>Chodov</v>
      </c>
      <c r="F89" s="84" t="str">
        <f>IFERROR(__xludf.DUMMYFUNCTION("""COMPUTED_VALUE"""),"Libuš")</f>
        <v>Libuš</v>
      </c>
      <c r="G89" s="84" t="str">
        <f>IFERROR(__xludf.DUMMYFUNCTION("""COMPUTED_VALUE"""),"Výroba")</f>
        <v>Výroba</v>
      </c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90">
        <f>IFERROR(__xludf.DUMMYFUNCTION("""COMPUTED_VALUE"""),0.0)</f>
        <v>0</v>
      </c>
      <c r="W89" s="87">
        <f>IFERROR(__xludf.DUMMYFUNCTION("""COMPUTED_VALUE"""),0.0)</f>
        <v>0</v>
      </c>
      <c r="X89" s="84"/>
      <c r="Y89" s="84"/>
      <c r="Z89" s="84"/>
      <c r="AA89" s="84"/>
      <c r="AB89" s="84"/>
      <c r="AC89" s="84"/>
      <c r="AD89" s="84"/>
      <c r="AE89" s="84"/>
      <c r="AF89" s="84"/>
      <c r="AG89" s="84"/>
      <c r="AH89" s="84"/>
      <c r="AI89" s="84"/>
      <c r="AJ89" s="84"/>
      <c r="AK89" s="84"/>
    </row>
    <row r="90">
      <c r="A90" s="84"/>
      <c r="B90" s="89" t="str">
        <f>IF(OR(E90=Report!$B$1, F90=Report!$B$1, G90=Report!$B$1, H90=Report!$B$1), D90, "")</f>
        <v/>
      </c>
      <c r="C90" s="84" t="b">
        <f>IFERROR(__xludf.DUMMYFUNCTION("""COMPUTED_VALUE"""),FALSE)</f>
        <v>0</v>
      </c>
      <c r="D90" s="84" t="str">
        <f>IFERROR(__xludf.DUMMYFUNCTION("""COMPUTED_VALUE"""),"Vychivskyi Volodymyr")</f>
        <v>Vychivskyi Volodymyr</v>
      </c>
      <c r="E90" s="84" t="str">
        <f>IFERROR(__xludf.DUMMYFUNCTION("""COMPUTED_VALUE"""),"Malešice")</f>
        <v>Malešice</v>
      </c>
      <c r="F90" s="84" t="str">
        <f>IFERROR(__xludf.DUMMYFUNCTION("""COMPUTED_VALUE"""),"Prosek")</f>
        <v>Prosek</v>
      </c>
      <c r="G90" s="84" t="str">
        <f>IFERROR(__xludf.DUMMYFUNCTION("""COMPUTED_VALUE"""),"Zličín")</f>
        <v>Zličín</v>
      </c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90">
        <f>IFERROR(__xludf.DUMMYFUNCTION("""COMPUTED_VALUE"""),0.0)</f>
        <v>0</v>
      </c>
      <c r="W90" s="87">
        <f>IFERROR(__xludf.DUMMYFUNCTION("""COMPUTED_VALUE"""),0.0)</f>
        <v>0</v>
      </c>
      <c r="X90" s="84"/>
      <c r="Y90" s="84"/>
      <c r="Z90" s="84"/>
      <c r="AA90" s="84"/>
      <c r="AB90" s="84"/>
      <c r="AC90" s="84"/>
      <c r="AD90" s="84"/>
      <c r="AE90" s="84"/>
      <c r="AF90" s="84"/>
      <c r="AG90" s="84"/>
      <c r="AH90" s="84"/>
      <c r="AI90" s="84"/>
      <c r="AJ90" s="84"/>
      <c r="AK90" s="84"/>
    </row>
    <row r="91">
      <c r="A91" s="84"/>
      <c r="B91" s="89" t="str">
        <f>IF(OR(E91=Report!$B$1, F91=Report!$B$1, G91=Report!$B$1, H91=Report!$B$1), D91, "")</f>
        <v>Hřebík Martin</v>
      </c>
      <c r="C91" s="84" t="b">
        <f>IFERROR(__xludf.DUMMYFUNCTION("""COMPUTED_VALUE"""),FALSE)</f>
        <v>0</v>
      </c>
      <c r="D91" s="84" t="str">
        <f>IFERROR(__xludf.DUMMYFUNCTION("""COMPUTED_VALUE"""),"Hřebík Martin")</f>
        <v>Hřebík Martin</v>
      </c>
      <c r="E91" s="84" t="str">
        <f>IFERROR(__xludf.DUMMYFUNCTION("""COMPUTED_VALUE"""),"Výroba")</f>
        <v>Výroba</v>
      </c>
      <c r="F91" s="84" t="str">
        <f>IFERROR(__xludf.DUMMYFUNCTION("""COMPUTED_VALUE"""),"Chodov")</f>
        <v>Chodov</v>
      </c>
      <c r="G91" s="84" t="str">
        <f>IFERROR(__xludf.DUMMYFUNCTION("""COMPUTED_VALUE"""),"Prosek")</f>
        <v>Prosek</v>
      </c>
      <c r="H91" s="84" t="str">
        <f>IFERROR(__xludf.DUMMYFUNCTION("""COMPUTED_VALUE"""),"Libuš")</f>
        <v>Libuš</v>
      </c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90">
        <f>IFERROR(__xludf.DUMMYFUNCTION("""COMPUTED_VALUE"""),0.0)</f>
        <v>0</v>
      </c>
      <c r="W91" s="87">
        <f>IFERROR(__xludf.DUMMYFUNCTION("""COMPUTED_VALUE"""),44995.2)</f>
        <v>44995.2</v>
      </c>
      <c r="X91" s="84"/>
      <c r="Y91" s="84"/>
      <c r="Z91" s="84"/>
      <c r="AA91" s="84"/>
      <c r="AB91" s="84"/>
      <c r="AC91" s="84"/>
      <c r="AD91" s="84"/>
      <c r="AE91" s="84"/>
      <c r="AF91" s="84"/>
      <c r="AG91" s="84"/>
      <c r="AH91" s="84"/>
      <c r="AI91" s="84"/>
      <c r="AJ91" s="84"/>
      <c r="AK91" s="84"/>
    </row>
    <row r="92">
      <c r="A92" s="84"/>
      <c r="B92" s="89" t="str">
        <f>IF(OR(E92=Report!$B$1, F92=Report!$B$1, G92=Report!$B$1, H92=Report!$B$1), D92, "")</f>
        <v/>
      </c>
      <c r="C92" s="84" t="b">
        <f>IFERROR(__xludf.DUMMYFUNCTION("""COMPUTED_VALUE"""),FALSE)</f>
        <v>0</v>
      </c>
      <c r="D92" s="84" t="str">
        <f>IFERROR(__xludf.DUMMYFUNCTION("""COMPUTED_VALUE"""),"Eszenyiová Patrícia")</f>
        <v>Eszenyiová Patrícia</v>
      </c>
      <c r="E92" s="84" t="str">
        <f>IFERROR(__xludf.DUMMYFUNCTION("""COMPUTED_VALUE"""),"Libuš")</f>
        <v>Libuš</v>
      </c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90">
        <f>IFERROR(__xludf.DUMMYFUNCTION("""COMPUTED_VALUE"""),0.0)</f>
        <v>0</v>
      </c>
      <c r="W92" s="87">
        <f>IFERROR(__xludf.DUMMYFUNCTION("""COMPUTED_VALUE"""),0.0)</f>
        <v>0</v>
      </c>
      <c r="X92" s="84"/>
      <c r="Y92" s="84"/>
      <c r="Z92" s="84"/>
      <c r="AA92" s="84"/>
      <c r="AB92" s="84"/>
      <c r="AC92" s="84"/>
      <c r="AD92" s="84"/>
      <c r="AE92" s="84"/>
      <c r="AF92" s="84"/>
      <c r="AG92" s="84"/>
      <c r="AH92" s="84"/>
      <c r="AI92" s="84"/>
      <c r="AJ92" s="84"/>
      <c r="AK92" s="84"/>
    </row>
    <row r="93">
      <c r="A93" s="84"/>
      <c r="B93" s="89" t="str">
        <f>IF(OR(E93=Report!$B$1, F93=Report!$B$1, G93=Report!$B$1, H93=Report!$B$1), D93, "")</f>
        <v/>
      </c>
      <c r="C93" s="84" t="b">
        <f>IFERROR(__xludf.DUMMYFUNCTION("""COMPUTED_VALUE"""),FALSE)</f>
        <v>0</v>
      </c>
      <c r="D93" s="84" t="str">
        <f>IFERROR(__xludf.DUMMYFUNCTION("""COMPUTED_VALUE"""),"Reischl Jan")</f>
        <v>Reischl Jan</v>
      </c>
      <c r="E93" s="84" t="str">
        <f>IFERROR(__xludf.DUMMYFUNCTION("""COMPUTED_VALUE"""),"Malešice")</f>
        <v>Malešice</v>
      </c>
      <c r="F93" s="84" t="str">
        <f>IFERROR(__xludf.DUMMYFUNCTION("""COMPUTED_VALUE"""),"Chodov")</f>
        <v>Chodov</v>
      </c>
      <c r="G93" s="84" t="str">
        <f>IFERROR(__xludf.DUMMYFUNCTION("""COMPUTED_VALUE"""),"Libuš")</f>
        <v>Libuš</v>
      </c>
      <c r="H93" s="84" t="str">
        <f>IFERROR(__xludf.DUMMYFUNCTION("""COMPUTED_VALUE"""),"Prosek")</f>
        <v>Prosek</v>
      </c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90">
        <f>IFERROR(__xludf.DUMMYFUNCTION("""COMPUTED_VALUE"""),0.0)</f>
        <v>0</v>
      </c>
      <c r="W93" s="87">
        <f>IFERROR(__xludf.DUMMYFUNCTION("""COMPUTED_VALUE"""),0.0)</f>
        <v>0</v>
      </c>
      <c r="X93" s="84"/>
      <c r="Y93" s="84"/>
      <c r="Z93" s="84"/>
      <c r="AA93" s="84"/>
      <c r="AB93" s="84"/>
      <c r="AC93" s="84"/>
      <c r="AD93" s="84"/>
      <c r="AE93" s="84"/>
      <c r="AF93" s="84"/>
      <c r="AG93" s="84"/>
      <c r="AH93" s="84"/>
      <c r="AI93" s="84"/>
      <c r="AJ93" s="84"/>
      <c r="AK93" s="84"/>
    </row>
    <row r="94">
      <c r="A94" s="84"/>
      <c r="B94" s="89" t="str">
        <f>IF(OR(E94=Report!$B$1, F94=Report!$B$1, G94=Report!$B$1, H94=Report!$B$1), D94, "")</f>
        <v/>
      </c>
      <c r="C94" s="84" t="b">
        <f>IFERROR(__xludf.DUMMYFUNCTION("""COMPUTED_VALUE"""),FALSE)</f>
        <v>0</v>
      </c>
      <c r="D94" s="84" t="str">
        <f>IFERROR(__xludf.DUMMYFUNCTION("""COMPUTED_VALUE"""),"Mikešová Adéla")</f>
        <v>Mikešová Adéla</v>
      </c>
      <c r="E94" s="84" t="str">
        <f>IFERROR(__xludf.DUMMYFUNCTION("""COMPUTED_VALUE"""),"Bolevec")</f>
        <v>Bolevec</v>
      </c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90">
        <f>IFERROR(__xludf.DUMMYFUNCTION("""COMPUTED_VALUE"""),0.0)</f>
        <v>0</v>
      </c>
      <c r="W94" s="87">
        <f>IFERROR(__xludf.DUMMYFUNCTION("""COMPUTED_VALUE"""),0.0)</f>
        <v>0</v>
      </c>
      <c r="X94" s="84"/>
      <c r="Y94" s="84"/>
      <c r="Z94" s="84"/>
      <c r="AA94" s="84"/>
      <c r="AB94" s="84"/>
      <c r="AC94" s="84"/>
      <c r="AD94" s="84"/>
      <c r="AE94" s="84"/>
      <c r="AF94" s="84"/>
      <c r="AG94" s="84"/>
      <c r="AH94" s="84"/>
      <c r="AI94" s="84"/>
      <c r="AJ94" s="84"/>
      <c r="AK94" s="84"/>
    </row>
    <row r="95">
      <c r="A95" s="84"/>
      <c r="B95" s="89" t="str">
        <f>IF(OR(E95=Report!$B$1, F95=Report!$B$1, G95=Report!$B$1, H95=Report!$B$1), D95, "")</f>
        <v/>
      </c>
      <c r="C95" s="84" t="b">
        <f>IFERROR(__xludf.DUMMYFUNCTION("""COMPUTED_VALUE"""),FALSE)</f>
        <v>0</v>
      </c>
      <c r="D95" s="84" t="str">
        <f>IFERROR(__xludf.DUMMYFUNCTION("""COMPUTED_VALUE"""),"Chyský David")</f>
        <v>Chyský David</v>
      </c>
      <c r="E95" s="84" t="str">
        <f>IFERROR(__xludf.DUMMYFUNCTION("""COMPUTED_VALUE"""),"Chodov")</f>
        <v>Chodov</v>
      </c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90">
        <f>IFERROR(__xludf.DUMMYFUNCTION("""COMPUTED_VALUE"""),0.0)</f>
        <v>0</v>
      </c>
      <c r="W95" s="87">
        <f>IFERROR(__xludf.DUMMYFUNCTION("""COMPUTED_VALUE"""),0.0)</f>
        <v>0</v>
      </c>
      <c r="X95" s="84"/>
      <c r="Y95" s="84"/>
      <c r="Z95" s="84"/>
      <c r="AA95" s="84"/>
      <c r="AB95" s="84"/>
      <c r="AC95" s="84"/>
      <c r="AD95" s="84"/>
      <c r="AE95" s="84"/>
      <c r="AF95" s="84"/>
      <c r="AG95" s="84"/>
      <c r="AH95" s="84"/>
      <c r="AI95" s="84"/>
      <c r="AJ95" s="84"/>
      <c r="AK95" s="84"/>
    </row>
    <row r="96">
      <c r="A96" s="84"/>
      <c r="B96" s="89" t="str">
        <f>IF(OR(E96=Report!$B$1, F96=Report!$B$1, G96=Report!$B$1, H96=Report!$B$1), D96, "")</f>
        <v/>
      </c>
      <c r="C96" s="84" t="b">
        <f>IFERROR(__xludf.DUMMYFUNCTION("""COMPUTED_VALUE"""),FALSE)</f>
        <v>0</v>
      </c>
      <c r="D96" s="84" t="str">
        <f>IFERROR(__xludf.DUMMYFUNCTION("""COMPUTED_VALUE"""),"Kalina Filip")</f>
        <v>Kalina Filip</v>
      </c>
      <c r="E96" s="84" t="str">
        <f>IFERROR(__xludf.DUMMYFUNCTION("""COMPUTED_VALUE"""),"Malešice")</f>
        <v>Malešice</v>
      </c>
      <c r="F96" s="84" t="str">
        <f>IFERROR(__xludf.DUMMYFUNCTION("""COMPUTED_VALUE"""),"Libuš")</f>
        <v>Libuš</v>
      </c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90">
        <f>IFERROR(__xludf.DUMMYFUNCTION("""COMPUTED_VALUE"""),0.0)</f>
        <v>0</v>
      </c>
      <c r="W96" s="87">
        <f>IFERROR(__xludf.DUMMYFUNCTION("""COMPUTED_VALUE"""),0.0)</f>
        <v>0</v>
      </c>
      <c r="X96" s="84"/>
      <c r="Y96" s="84"/>
      <c r="Z96" s="84"/>
      <c r="AA96" s="84"/>
      <c r="AB96" s="84"/>
      <c r="AC96" s="84"/>
      <c r="AD96" s="84"/>
      <c r="AE96" s="84"/>
      <c r="AF96" s="84"/>
      <c r="AG96" s="84"/>
      <c r="AH96" s="84"/>
      <c r="AI96" s="84"/>
      <c r="AJ96" s="84"/>
      <c r="AK96" s="84"/>
    </row>
    <row r="97">
      <c r="A97" s="84"/>
      <c r="B97" s="89" t="str">
        <f>IF(OR(E97=Report!$B$1, F97=Report!$B$1, G97=Report!$B$1, H97=Report!$B$1), D97, "")</f>
        <v/>
      </c>
      <c r="C97" s="84" t="b">
        <f>IFERROR(__xludf.DUMMYFUNCTION("""COMPUTED_VALUE"""),FALSE)</f>
        <v>0</v>
      </c>
      <c r="D97" s="84" t="str">
        <f>IFERROR(__xludf.DUMMYFUNCTION("""COMPUTED_VALUE"""),"Kaločai Rudolf")</f>
        <v>Kaločai Rudolf</v>
      </c>
      <c r="E97" s="84" t="str">
        <f>IFERROR(__xludf.DUMMYFUNCTION("""COMPUTED_VALUE"""),"Bolevec")</f>
        <v>Bolevec</v>
      </c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90">
        <f>IFERROR(__xludf.DUMMYFUNCTION("""COMPUTED_VALUE"""),0.0)</f>
        <v>0</v>
      </c>
      <c r="W97" s="87">
        <f>IFERROR(__xludf.DUMMYFUNCTION("""COMPUTED_VALUE"""),0.0)</f>
        <v>0</v>
      </c>
      <c r="X97" s="84"/>
      <c r="Y97" s="84"/>
      <c r="Z97" s="84"/>
      <c r="AA97" s="84"/>
      <c r="AB97" s="84"/>
      <c r="AC97" s="84"/>
      <c r="AD97" s="84"/>
      <c r="AE97" s="84"/>
      <c r="AF97" s="84"/>
      <c r="AG97" s="84"/>
      <c r="AH97" s="84"/>
      <c r="AI97" s="84"/>
      <c r="AJ97" s="84"/>
      <c r="AK97" s="84"/>
    </row>
    <row r="98">
      <c r="A98" s="84"/>
      <c r="B98" s="89" t="str">
        <f>IF(OR(E98=Report!$B$1, F98=Report!$B$1, G98=Report!$B$1, H98=Report!$B$1), D98, "")</f>
        <v/>
      </c>
      <c r="C98" s="84" t="b">
        <f>IFERROR(__xludf.DUMMYFUNCTION("""COMPUTED_VALUE"""),FALSE)</f>
        <v>0</v>
      </c>
      <c r="D98" s="84" t="str">
        <f>IFERROR(__xludf.DUMMYFUNCTION("""COMPUTED_VALUE"""),"Dušek Sam")</f>
        <v>Dušek Sam</v>
      </c>
      <c r="E98" s="84" t="str">
        <f>IFERROR(__xludf.DUMMYFUNCTION("""COMPUTED_VALUE"""),"Libuš")</f>
        <v>Libuš</v>
      </c>
      <c r="F98" s="84" t="str">
        <f>IFERROR(__xludf.DUMMYFUNCTION("""COMPUTED_VALUE"""),"Malešice")</f>
        <v>Malešice</v>
      </c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90">
        <f>IFERROR(__xludf.DUMMYFUNCTION("""COMPUTED_VALUE"""),0.0)</f>
        <v>0</v>
      </c>
      <c r="W98" s="87">
        <f>IFERROR(__xludf.DUMMYFUNCTION("""COMPUTED_VALUE"""),0.0)</f>
        <v>0</v>
      </c>
      <c r="X98" s="84"/>
      <c r="Y98" s="84"/>
      <c r="Z98" s="84"/>
      <c r="AA98" s="84"/>
      <c r="AB98" s="84"/>
      <c r="AC98" s="84"/>
      <c r="AD98" s="84"/>
      <c r="AE98" s="84"/>
      <c r="AF98" s="84"/>
      <c r="AG98" s="84"/>
      <c r="AH98" s="84"/>
      <c r="AI98" s="84"/>
      <c r="AJ98" s="84"/>
      <c r="AK98" s="84"/>
    </row>
    <row r="99">
      <c r="A99" s="84"/>
      <c r="B99" s="89" t="str">
        <f>IF(OR(E99=Report!$B$1, F99=Report!$B$1, G99=Report!$B$1, H99=Report!$B$1), D99, "")</f>
        <v/>
      </c>
      <c r="C99" s="84" t="b">
        <f>IFERROR(__xludf.DUMMYFUNCTION("""COMPUTED_VALUE"""),FALSE)</f>
        <v>0</v>
      </c>
      <c r="D99" s="84" t="str">
        <f>IFERROR(__xludf.DUMMYFUNCTION("""COMPUTED_VALUE"""),"Banga Adam")</f>
        <v>Banga Adam</v>
      </c>
      <c r="E99" s="84" t="str">
        <f>IFERROR(__xludf.DUMMYFUNCTION("""COMPUTED_VALUE"""),"Zličín")</f>
        <v>Zličín</v>
      </c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90">
        <f>IFERROR(__xludf.DUMMYFUNCTION("""COMPUTED_VALUE"""),0.0)</f>
        <v>0</v>
      </c>
      <c r="W99" s="87">
        <f>IFERROR(__xludf.DUMMYFUNCTION("""COMPUTED_VALUE"""),0.0)</f>
        <v>0</v>
      </c>
      <c r="X99" s="84"/>
      <c r="Y99" s="84"/>
      <c r="Z99" s="84"/>
      <c r="AA99" s="84"/>
      <c r="AB99" s="84"/>
      <c r="AC99" s="84"/>
      <c r="AD99" s="84"/>
      <c r="AE99" s="84"/>
      <c r="AF99" s="84"/>
      <c r="AG99" s="84"/>
      <c r="AH99" s="84"/>
      <c r="AI99" s="84"/>
      <c r="AJ99" s="84"/>
      <c r="AK99" s="84"/>
    </row>
    <row r="100">
      <c r="A100" s="84"/>
      <c r="B100" s="89" t="str">
        <f>IF(OR(E100=Report!$B$1, F100=Report!$B$1, G100=Report!$B$1, H100=Report!$B$1), D100, "")</f>
        <v/>
      </c>
      <c r="C100" s="84" t="b">
        <f>IFERROR(__xludf.DUMMYFUNCTION("""COMPUTED_VALUE"""),FALSE)</f>
        <v>0</v>
      </c>
      <c r="D100" s="84" t="str">
        <f>IFERROR(__xludf.DUMMYFUNCTION("""COMPUTED_VALUE"""),"Vopatová Anna")</f>
        <v>Vopatová Anna</v>
      </c>
      <c r="E100" s="84" t="str">
        <f>IFERROR(__xludf.DUMMYFUNCTION("""COMPUTED_VALUE"""),"Bolevec")</f>
        <v>Bolevec</v>
      </c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90">
        <f>IFERROR(__xludf.DUMMYFUNCTION("""COMPUTED_VALUE"""),0.0)</f>
        <v>0</v>
      </c>
      <c r="W100" s="87">
        <f>IFERROR(__xludf.DUMMYFUNCTION("""COMPUTED_VALUE"""),0.0)</f>
        <v>0</v>
      </c>
      <c r="X100" s="84"/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  <c r="AI100" s="84"/>
      <c r="AJ100" s="84"/>
      <c r="AK100" s="84"/>
    </row>
    <row r="101">
      <c r="A101" s="84"/>
      <c r="B101" s="89" t="str">
        <f>IF(OR(E101=Report!$B$1, F101=Report!$B$1, G101=Report!$B$1, H101=Report!$B$1), D101, "")</f>
        <v/>
      </c>
      <c r="C101" s="84" t="b">
        <f>IFERROR(__xludf.DUMMYFUNCTION("""COMPUTED_VALUE"""),FALSE)</f>
        <v>0</v>
      </c>
      <c r="D101" s="84" t="str">
        <f>IFERROR(__xludf.DUMMYFUNCTION("""COMPUTED_VALUE"""),"Vopatová Šárka")</f>
        <v>Vopatová Šárka</v>
      </c>
      <c r="E101" s="84" t="str">
        <f>IFERROR(__xludf.DUMMYFUNCTION("""COMPUTED_VALUE"""),"Bolevec")</f>
        <v>Bolevec</v>
      </c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90">
        <f>IFERROR(__xludf.DUMMYFUNCTION("""COMPUTED_VALUE"""),0.0)</f>
        <v>0</v>
      </c>
      <c r="W101" s="87">
        <f>IFERROR(__xludf.DUMMYFUNCTION("""COMPUTED_VALUE"""),0.0)</f>
        <v>0</v>
      </c>
      <c r="X101" s="84"/>
      <c r="Y101" s="84"/>
      <c r="Z101" s="84"/>
      <c r="AA101" s="84"/>
      <c r="AB101" s="84"/>
      <c r="AC101" s="84"/>
      <c r="AD101" s="84"/>
      <c r="AE101" s="84"/>
      <c r="AF101" s="84"/>
      <c r="AG101" s="84"/>
      <c r="AH101" s="84"/>
      <c r="AI101" s="84"/>
      <c r="AJ101" s="84"/>
      <c r="AK101" s="84"/>
    </row>
    <row r="102">
      <c r="A102" s="84"/>
      <c r="B102" s="89" t="str">
        <f>IF(OR(E102=Report!$B$1, F102=Report!$B$1, G102=Report!$B$1, H102=Report!$B$1), D102, "")</f>
        <v/>
      </c>
      <c r="C102" s="84" t="b">
        <f>IFERROR(__xludf.DUMMYFUNCTION("""COMPUTED_VALUE"""),FALSE)</f>
        <v>0</v>
      </c>
      <c r="D102" s="84" t="str">
        <f>IFERROR(__xludf.DUMMYFUNCTION("""COMPUTED_VALUE"""),"Richterová Monika")</f>
        <v>Richterová Monika</v>
      </c>
      <c r="E102" s="84" t="str">
        <f>IFERROR(__xludf.DUMMYFUNCTION("""COMPUTED_VALUE"""),"Malešice")</f>
        <v>Malešice</v>
      </c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90">
        <f>IFERROR(__xludf.DUMMYFUNCTION("""COMPUTED_VALUE"""),0.0)</f>
        <v>0</v>
      </c>
      <c r="W102" s="87">
        <f>IFERROR(__xludf.DUMMYFUNCTION("""COMPUTED_VALUE"""),0.0)</f>
        <v>0</v>
      </c>
      <c r="X102" s="84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4"/>
      <c r="AJ102" s="84"/>
      <c r="AK102" s="84"/>
    </row>
    <row r="103">
      <c r="A103" s="84"/>
      <c r="B103" s="89" t="str">
        <f>IF(OR(E103=Report!$B$1, F103=Report!$B$1, G103=Report!$B$1, H103=Report!$B$1), D103, "")</f>
        <v/>
      </c>
      <c r="C103" s="84" t="b">
        <f>IFERROR(__xludf.DUMMYFUNCTION("""COMPUTED_VALUE"""),FALSE)</f>
        <v>0</v>
      </c>
      <c r="D103" s="84" t="str">
        <f>IFERROR(__xludf.DUMMYFUNCTION("""COMPUTED_VALUE"""),"Serin David")</f>
        <v>Serin David</v>
      </c>
      <c r="E103" s="84" t="str">
        <f>IFERROR(__xludf.DUMMYFUNCTION("""COMPUTED_VALUE"""),"Libuš")</f>
        <v>Libuš</v>
      </c>
      <c r="F103" s="84" t="str">
        <f>IFERROR(__xludf.DUMMYFUNCTION("""COMPUTED_VALUE"""),"Malešice")</f>
        <v>Malešice</v>
      </c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90">
        <f>IFERROR(__xludf.DUMMYFUNCTION("""COMPUTED_VALUE"""),0.0)</f>
        <v>0</v>
      </c>
      <c r="W103" s="87">
        <f>IFERROR(__xludf.DUMMYFUNCTION("""COMPUTED_VALUE"""),0.0)</f>
        <v>0</v>
      </c>
      <c r="X103" s="84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4"/>
      <c r="AJ103" s="84"/>
      <c r="AK103" s="84"/>
    </row>
    <row r="104">
      <c r="A104" s="84"/>
      <c r="B104" s="89" t="str">
        <f>IF(OR(E104=Report!$B$1, F104=Report!$B$1, G104=Report!$B$1, H104=Report!$B$1), D104, "")</f>
        <v/>
      </c>
      <c r="C104" s="84" t="b">
        <f>IFERROR(__xludf.DUMMYFUNCTION("""COMPUTED_VALUE"""),FALSE)</f>
        <v>0</v>
      </c>
      <c r="D104" s="84" t="str">
        <f>IFERROR(__xludf.DUMMYFUNCTION("""COMPUTED_VALUE"""),"Fabera Tomáš")</f>
        <v>Fabera Tomáš</v>
      </c>
      <c r="E104" s="84" t="str">
        <f>IFERROR(__xludf.DUMMYFUNCTION("""COMPUTED_VALUE"""),"Chodov")</f>
        <v>Chodov</v>
      </c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90">
        <f>IFERROR(__xludf.DUMMYFUNCTION("""COMPUTED_VALUE"""),0.0)</f>
        <v>0</v>
      </c>
      <c r="W104" s="87">
        <f>IFERROR(__xludf.DUMMYFUNCTION("""COMPUTED_VALUE"""),0.0)</f>
        <v>0</v>
      </c>
      <c r="X104" s="84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4"/>
      <c r="AJ104" s="84"/>
      <c r="AK104" s="84"/>
    </row>
    <row r="105">
      <c r="A105" s="84"/>
      <c r="B105" s="89" t="str">
        <f>IF(OR(E105=Report!$B$1, F105=Report!$B$1, G105=Report!$B$1, H105=Report!$B$1), D105, "")</f>
        <v/>
      </c>
      <c r="C105" s="84" t="b">
        <f>IFERROR(__xludf.DUMMYFUNCTION("""COMPUTED_VALUE"""),FALSE)</f>
        <v>0</v>
      </c>
      <c r="D105" s="84" t="str">
        <f>IFERROR(__xludf.DUMMYFUNCTION("""COMPUTED_VALUE"""),"Hendrych Rostislav")</f>
        <v>Hendrych Rostislav</v>
      </c>
      <c r="E105" s="84" t="str">
        <f>IFERROR(__xludf.DUMMYFUNCTION("""COMPUTED_VALUE"""),"Malešice")</f>
        <v>Malešice</v>
      </c>
      <c r="F105" s="84"/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90">
        <f>IFERROR(__xludf.DUMMYFUNCTION("""COMPUTED_VALUE"""),0.0)</f>
        <v>0</v>
      </c>
      <c r="W105" s="87">
        <f>IFERROR(__xludf.DUMMYFUNCTION("""COMPUTED_VALUE"""),0.0)</f>
        <v>0</v>
      </c>
      <c r="X105" s="84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  <c r="AI105" s="84"/>
      <c r="AJ105" s="84"/>
      <c r="AK105" s="84"/>
    </row>
    <row r="106">
      <c r="A106" s="84"/>
      <c r="B106" s="89" t="str">
        <f>IF(OR(E106=Report!$B$1, F106=Report!$B$1, G106=Report!$B$1, H106=Report!$B$1), D106, "")</f>
        <v/>
      </c>
      <c r="C106" s="84" t="b">
        <f>IFERROR(__xludf.DUMMYFUNCTION("""COMPUTED_VALUE"""),FALSE)</f>
        <v>0</v>
      </c>
      <c r="D106" s="84" t="str">
        <f>IFERROR(__xludf.DUMMYFUNCTION("""COMPUTED_VALUE"""),"Světlík František")</f>
        <v>Světlík František</v>
      </c>
      <c r="E106" s="84" t="str">
        <f>IFERROR(__xludf.DUMMYFUNCTION("""COMPUTED_VALUE"""),"Bolevec")</f>
        <v>Bolevec</v>
      </c>
      <c r="F106" s="84"/>
      <c r="G106" s="84"/>
      <c r="H106" s="84"/>
      <c r="I106" s="84"/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90">
        <f>IFERROR(__xludf.DUMMYFUNCTION("""COMPUTED_VALUE"""),0.0)</f>
        <v>0</v>
      </c>
      <c r="W106" s="87">
        <f>IFERROR(__xludf.DUMMYFUNCTION("""COMPUTED_VALUE"""),0.0)</f>
        <v>0</v>
      </c>
      <c r="X106" s="84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  <c r="AI106" s="84"/>
      <c r="AJ106" s="84"/>
      <c r="AK106" s="84"/>
    </row>
    <row r="107">
      <c r="A107" s="84"/>
      <c r="B107" s="89" t="str">
        <f>IF(OR(E107=Report!$B$1, F107=Report!$B$1, G107=Report!$B$1, H107=Report!$B$1), D107, "")</f>
        <v/>
      </c>
      <c r="C107" s="84" t="b">
        <f>IFERROR(__xludf.DUMMYFUNCTION("""COMPUTED_VALUE"""),FALSE)</f>
        <v>0</v>
      </c>
      <c r="D107" s="84" t="str">
        <f>IFERROR(__xludf.DUMMYFUNCTION("""COMPUTED_VALUE"""),"Ženíšek Lukáš")</f>
        <v>Ženíšek Lukáš</v>
      </c>
      <c r="E107" s="84" t="str">
        <f>IFERROR(__xludf.DUMMYFUNCTION("""COMPUTED_VALUE"""),"Bolevec")</f>
        <v>Bolevec</v>
      </c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90">
        <f>IFERROR(__xludf.DUMMYFUNCTION("""COMPUTED_VALUE"""),0.0)</f>
        <v>0</v>
      </c>
      <c r="W107" s="87">
        <f>IFERROR(__xludf.DUMMYFUNCTION("""COMPUTED_VALUE"""),0.0)</f>
        <v>0</v>
      </c>
      <c r="X107" s="84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  <c r="AI107" s="84"/>
      <c r="AJ107" s="84"/>
      <c r="AK107" s="84"/>
    </row>
    <row r="108">
      <c r="A108" s="84"/>
      <c r="B108" s="89" t="str">
        <f>IF(OR(E108=Report!$B$1, F108=Report!$B$1, G108=Report!$B$1, H108=Report!$B$1), D108, "")</f>
        <v/>
      </c>
      <c r="C108" s="84" t="b">
        <f>IFERROR(__xludf.DUMMYFUNCTION("""COMPUTED_VALUE"""),FALSE)</f>
        <v>0</v>
      </c>
      <c r="D108" s="84" t="str">
        <f>IFERROR(__xludf.DUMMYFUNCTION("""COMPUTED_VALUE"""),"Roth Stanislav st.")</f>
        <v>Roth Stanislav st.</v>
      </c>
      <c r="E108" s="84" t="str">
        <f>IFERROR(__xludf.DUMMYFUNCTION("""COMPUTED_VALUE"""),"Bolevec")</f>
        <v>Bolevec</v>
      </c>
      <c r="F108" s="84"/>
      <c r="G108" s="84"/>
      <c r="H108" s="84"/>
      <c r="I108" s="84"/>
      <c r="J108" s="8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90">
        <f>IFERROR(__xludf.DUMMYFUNCTION("""COMPUTED_VALUE"""),0.0)</f>
        <v>0</v>
      </c>
      <c r="W108" s="87">
        <f>IFERROR(__xludf.DUMMYFUNCTION("""COMPUTED_VALUE"""),29728.0)</f>
        <v>29728</v>
      </c>
      <c r="X108" s="84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  <c r="AI108" s="84"/>
      <c r="AJ108" s="84"/>
      <c r="AK108" s="84"/>
    </row>
    <row r="109">
      <c r="A109" s="84"/>
      <c r="B109" s="89" t="str">
        <f>IF(OR(E109=Report!$B$1, F109=Report!$B$1, G109=Report!$B$1, H109=Report!$B$1), D109, "")</f>
        <v/>
      </c>
      <c r="C109" s="84" t="b">
        <f>IFERROR(__xludf.DUMMYFUNCTION("""COMPUTED_VALUE"""),FALSE)</f>
        <v>0</v>
      </c>
      <c r="D109" s="84" t="str">
        <f>IFERROR(__xludf.DUMMYFUNCTION("""COMPUTED_VALUE"""),"Vaníková Anna")</f>
        <v>Vaníková Anna</v>
      </c>
      <c r="E109" s="84" t="str">
        <f>IFERROR(__xludf.DUMMYFUNCTION("""COMPUTED_VALUE"""),"Zličín")</f>
        <v>Zličín</v>
      </c>
      <c r="F109" s="84"/>
      <c r="G109" s="84"/>
      <c r="H109" s="84"/>
      <c r="I109" s="84"/>
      <c r="J109" s="84"/>
      <c r="K109" s="84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90">
        <f>IFERROR(__xludf.DUMMYFUNCTION("""COMPUTED_VALUE"""),0.0)</f>
        <v>0</v>
      </c>
      <c r="W109" s="87">
        <f>IFERROR(__xludf.DUMMYFUNCTION("""COMPUTED_VALUE"""),0.0)</f>
        <v>0</v>
      </c>
      <c r="X109" s="84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4"/>
      <c r="AJ109" s="84"/>
      <c r="AK109" s="84"/>
    </row>
    <row r="110">
      <c r="A110" s="84"/>
      <c r="B110" s="89" t="str">
        <f>IF(OR(E110=Report!$B$1, F110=Report!$B$1, G110=Report!$B$1, H110=Report!$B$1), D110, "")</f>
        <v/>
      </c>
      <c r="C110" s="84" t="b">
        <f>IFERROR(__xludf.DUMMYFUNCTION("""COMPUTED_VALUE"""),FALSE)</f>
        <v>0</v>
      </c>
      <c r="D110" s="84" t="str">
        <f>IFERROR(__xludf.DUMMYFUNCTION("""COMPUTED_VALUE"""),"Břicháč Pavel")</f>
        <v>Břicháč Pavel</v>
      </c>
      <c r="E110" s="84" t="str">
        <f>IFERROR(__xludf.DUMMYFUNCTION("""COMPUTED_VALUE"""),"Libuš")</f>
        <v>Libuš</v>
      </c>
      <c r="F110" s="84"/>
      <c r="G110" s="84"/>
      <c r="H110" s="84"/>
      <c r="I110" s="84"/>
      <c r="J110" s="8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90">
        <f>IFERROR(__xludf.DUMMYFUNCTION("""COMPUTED_VALUE"""),0.0)</f>
        <v>0</v>
      </c>
      <c r="W110" s="87">
        <f>IFERROR(__xludf.DUMMYFUNCTION("""COMPUTED_VALUE"""),0.0)</f>
        <v>0</v>
      </c>
      <c r="X110" s="84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4"/>
      <c r="AJ110" s="84"/>
      <c r="AK110" s="84"/>
    </row>
    <row r="111">
      <c r="A111" s="84"/>
      <c r="B111" s="89" t="str">
        <f>IF(OR(E111=Report!$B$1, F111=Report!$B$1, G111=Report!$B$1, H111=Report!$B$1), D111, "")</f>
        <v/>
      </c>
      <c r="C111" s="84" t="b">
        <f>IFERROR(__xludf.DUMMYFUNCTION("""COMPUTED_VALUE"""),FALSE)</f>
        <v>0</v>
      </c>
      <c r="D111" s="84" t="str">
        <f>IFERROR(__xludf.DUMMYFUNCTION("""COMPUTED_VALUE"""),"Čerešňák Michal")</f>
        <v>Čerešňák Michal</v>
      </c>
      <c r="E111" s="84" t="str">
        <f>IFERROR(__xludf.DUMMYFUNCTION("""COMPUTED_VALUE"""),"Zličín")</f>
        <v>Zličín</v>
      </c>
      <c r="F111" s="84"/>
      <c r="G111" s="84"/>
      <c r="H111" s="84"/>
      <c r="I111" s="84"/>
      <c r="J111" s="84"/>
      <c r="K111" s="84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90">
        <f>IFERROR(__xludf.DUMMYFUNCTION("""COMPUTED_VALUE"""),0.0)</f>
        <v>0</v>
      </c>
      <c r="W111" s="87">
        <f>IFERROR(__xludf.DUMMYFUNCTION("""COMPUTED_VALUE"""),0.0)</f>
        <v>0</v>
      </c>
      <c r="X111" s="84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  <c r="AI111" s="84"/>
      <c r="AJ111" s="84"/>
      <c r="AK111" s="84"/>
    </row>
    <row r="112">
      <c r="A112" s="84"/>
      <c r="B112" s="89" t="str">
        <f>IF(OR(E112=Report!$B$1, F112=Report!$B$1, G112=Report!$B$1, H112=Report!$B$1), D112, "")</f>
        <v/>
      </c>
      <c r="C112" s="84" t="b">
        <f>IFERROR(__xludf.DUMMYFUNCTION("""COMPUTED_VALUE"""),FALSE)</f>
        <v>0</v>
      </c>
      <c r="D112" s="84" t="str">
        <f>IFERROR(__xludf.DUMMYFUNCTION("""COMPUTED_VALUE"""),"Weindling Josef")</f>
        <v>Weindling Josef</v>
      </c>
      <c r="E112" s="84" t="str">
        <f>IFERROR(__xludf.DUMMYFUNCTION("""COMPUTED_VALUE"""),"Libuš")</f>
        <v>Libuš</v>
      </c>
      <c r="F112" s="84" t="str">
        <f>IFERROR(__xludf.DUMMYFUNCTION("""COMPUTED_VALUE"""),"Malešice")</f>
        <v>Malešice</v>
      </c>
      <c r="G112" s="84"/>
      <c r="H112" s="84"/>
      <c r="I112" s="84"/>
      <c r="J112" s="84"/>
      <c r="K112" s="84"/>
      <c r="L112" s="84"/>
      <c r="M112" s="84"/>
      <c r="N112" s="84"/>
      <c r="O112" s="84"/>
      <c r="P112" s="84"/>
      <c r="Q112" s="84"/>
      <c r="R112" s="84"/>
      <c r="S112" s="84"/>
      <c r="T112" s="84"/>
      <c r="U112" s="84"/>
      <c r="V112" s="90">
        <f>IFERROR(__xludf.DUMMYFUNCTION("""COMPUTED_VALUE"""),0.0)</f>
        <v>0</v>
      </c>
      <c r="W112" s="87">
        <f>IFERROR(__xludf.DUMMYFUNCTION("""COMPUTED_VALUE"""),0.0)</f>
        <v>0</v>
      </c>
      <c r="X112" s="84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  <c r="AI112" s="84"/>
      <c r="AJ112" s="84"/>
      <c r="AK112" s="84"/>
    </row>
    <row r="113">
      <c r="A113" s="84"/>
      <c r="B113" s="89" t="str">
        <f>IF(OR(E113=Report!$B$1, F113=Report!$B$1, G113=Report!$B$1, H113=Report!$B$1), D113, "")</f>
        <v/>
      </c>
      <c r="C113" s="84" t="b">
        <f>IFERROR(__xludf.DUMMYFUNCTION("""COMPUTED_VALUE"""),FALSE)</f>
        <v>0</v>
      </c>
      <c r="D113" s="84" t="str">
        <f>IFERROR(__xludf.DUMMYFUNCTION("""COMPUTED_VALUE"""),"Fux Vojtěch")</f>
        <v>Fux Vojtěch</v>
      </c>
      <c r="E113" s="84" t="str">
        <f>IFERROR(__xludf.DUMMYFUNCTION("""COMPUTED_VALUE"""),"Chodov")</f>
        <v>Chodov</v>
      </c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90">
        <f>IFERROR(__xludf.DUMMYFUNCTION("""COMPUTED_VALUE"""),0.0)</f>
        <v>0</v>
      </c>
      <c r="W113" s="87">
        <f>IFERROR(__xludf.DUMMYFUNCTION("""COMPUTED_VALUE"""),0.0)</f>
        <v>0</v>
      </c>
      <c r="X113" s="84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4"/>
      <c r="AJ113" s="84"/>
      <c r="AK113" s="84"/>
    </row>
    <row r="114">
      <c r="A114" s="84"/>
      <c r="B114" s="89" t="str">
        <f>IF(OR(E114=Report!$B$1, F114=Report!$B$1, G114=Report!$B$1, H114=Report!$B$1), D114, "")</f>
        <v/>
      </c>
      <c r="C114" s="84" t="b">
        <f>IFERROR(__xludf.DUMMYFUNCTION("""COMPUTED_VALUE"""),FALSE)</f>
        <v>0</v>
      </c>
      <c r="D114" s="84" t="str">
        <f>IFERROR(__xludf.DUMMYFUNCTION("""COMPUTED_VALUE"""),"Kumar Jatinder")</f>
        <v>Kumar Jatinder</v>
      </c>
      <c r="E114" s="84" t="str">
        <f>IFERROR(__xludf.DUMMYFUNCTION("""COMPUTED_VALUE"""),"Libuš")</f>
        <v>Libuš</v>
      </c>
      <c r="F114" s="84"/>
      <c r="G114" s="84"/>
      <c r="H114" s="84"/>
      <c r="I114" s="84"/>
      <c r="J114" s="84"/>
      <c r="K114" s="84"/>
      <c r="L114" s="84"/>
      <c r="M114" s="84"/>
      <c r="N114" s="84"/>
      <c r="O114" s="84"/>
      <c r="P114" s="84"/>
      <c r="Q114" s="84"/>
      <c r="R114" s="84"/>
      <c r="S114" s="84"/>
      <c r="T114" s="84"/>
      <c r="U114" s="84"/>
      <c r="V114" s="90">
        <f>IFERROR(__xludf.DUMMYFUNCTION("""COMPUTED_VALUE"""),0.0)</f>
        <v>0</v>
      </c>
      <c r="W114" s="87">
        <f>IFERROR(__xludf.DUMMYFUNCTION("""COMPUTED_VALUE"""),0.0)</f>
        <v>0</v>
      </c>
      <c r="X114" s="84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  <c r="AI114" s="84"/>
      <c r="AJ114" s="84"/>
      <c r="AK114" s="84"/>
    </row>
    <row r="115">
      <c r="A115" s="84"/>
      <c r="B115" s="89" t="str">
        <f>IF(OR(E115=Report!$B$1, F115=Report!$B$1, G115=Report!$B$1, H115=Report!$B$1), D115, "")</f>
        <v/>
      </c>
      <c r="C115" s="84" t="b">
        <f>IFERROR(__xludf.DUMMYFUNCTION("""COMPUTED_VALUE"""),FALSE)</f>
        <v>0</v>
      </c>
      <c r="D115" s="84" t="str">
        <f>IFERROR(__xludf.DUMMYFUNCTION("""COMPUTED_VALUE"""),"Stehlíková Magdaléna")</f>
        <v>Stehlíková Magdaléna</v>
      </c>
      <c r="E115" s="84" t="str">
        <f>IFERROR(__xludf.DUMMYFUNCTION("""COMPUTED_VALUE"""),"Bolevec")</f>
        <v>Bolevec</v>
      </c>
      <c r="F115" s="84"/>
      <c r="G115" s="84"/>
      <c r="H115" s="84"/>
      <c r="I115" s="84"/>
      <c r="J115" s="84"/>
      <c r="K115" s="84"/>
      <c r="L115" s="84"/>
      <c r="M115" s="84"/>
      <c r="N115" s="84"/>
      <c r="O115" s="84"/>
      <c r="P115" s="84"/>
      <c r="Q115" s="84"/>
      <c r="R115" s="84"/>
      <c r="S115" s="84"/>
      <c r="T115" s="84"/>
      <c r="U115" s="84"/>
      <c r="V115" s="90">
        <f>IFERROR(__xludf.DUMMYFUNCTION("""COMPUTED_VALUE"""),0.0)</f>
        <v>0</v>
      </c>
      <c r="W115" s="87">
        <f>IFERROR(__xludf.DUMMYFUNCTION("""COMPUTED_VALUE"""),0.0)</f>
        <v>0</v>
      </c>
      <c r="X115" s="84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  <c r="AI115" s="84"/>
      <c r="AJ115" s="84"/>
      <c r="AK115" s="84"/>
    </row>
    <row r="116">
      <c r="A116" s="84"/>
      <c r="B116" s="89" t="str">
        <f>IF(OR(E116=Report!$B$1, F116=Report!$B$1, G116=Report!$B$1, H116=Report!$B$1), D116, "")</f>
        <v/>
      </c>
      <c r="C116" s="84" t="b">
        <f>IFERROR(__xludf.DUMMYFUNCTION("""COMPUTED_VALUE"""),FALSE)</f>
        <v>0</v>
      </c>
      <c r="D116" s="84" t="str">
        <f>IFERROR(__xludf.DUMMYFUNCTION("""COMPUTED_VALUE"""),"Dragoun Alfréd")</f>
        <v>Dragoun Alfréd</v>
      </c>
      <c r="E116" s="84" t="str">
        <f>IFERROR(__xludf.DUMMYFUNCTION("""COMPUTED_VALUE"""),"Zličín")</f>
        <v>Zličín</v>
      </c>
      <c r="F116" s="84" t="str">
        <f>IFERROR(__xludf.DUMMYFUNCTION("""COMPUTED_VALUE"""),"Malešice")</f>
        <v>Malešice</v>
      </c>
      <c r="G116" s="84"/>
      <c r="H116" s="84"/>
      <c r="I116" s="84"/>
      <c r="J116" s="84"/>
      <c r="K116" s="84"/>
      <c r="L116" s="84"/>
      <c r="M116" s="84"/>
      <c r="N116" s="84"/>
      <c r="O116" s="84"/>
      <c r="P116" s="84"/>
      <c r="Q116" s="84"/>
      <c r="R116" s="84"/>
      <c r="S116" s="84"/>
      <c r="T116" s="84"/>
      <c r="U116" s="84"/>
      <c r="V116" s="90">
        <f>IFERROR(__xludf.DUMMYFUNCTION("""COMPUTED_VALUE"""),0.0)</f>
        <v>0</v>
      </c>
      <c r="W116" s="87">
        <f>IFERROR(__xludf.DUMMYFUNCTION("""COMPUTED_VALUE"""),0.0)</f>
        <v>0</v>
      </c>
      <c r="X116" s="84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  <c r="AI116" s="84"/>
      <c r="AJ116" s="84"/>
      <c r="AK116" s="84"/>
    </row>
    <row r="117">
      <c r="A117" s="84"/>
      <c r="B117" s="89" t="str">
        <f>IF(OR(E117=Report!$B$1, F117=Report!$B$1, G117=Report!$B$1, H117=Report!$B$1), D117, "")</f>
        <v/>
      </c>
      <c r="C117" s="84" t="b">
        <f>IFERROR(__xludf.DUMMYFUNCTION("""COMPUTED_VALUE"""),FALSE)</f>
        <v>0</v>
      </c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  <c r="O117" s="84"/>
      <c r="P117" s="84"/>
      <c r="Q117" s="84"/>
      <c r="R117" s="84"/>
      <c r="S117" s="84"/>
      <c r="T117" s="84"/>
      <c r="U117" s="84"/>
      <c r="V117" s="90">
        <f>IFERROR(__xludf.DUMMYFUNCTION("""COMPUTED_VALUE"""),0.0)</f>
        <v>0</v>
      </c>
      <c r="W117" s="87">
        <f>IFERROR(__xludf.DUMMYFUNCTION("""COMPUTED_VALUE"""),0.0)</f>
        <v>0</v>
      </c>
      <c r="X117" s="84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  <c r="AI117" s="84"/>
      <c r="AJ117" s="84"/>
      <c r="AK117" s="84"/>
    </row>
    <row r="118">
      <c r="A118" s="84"/>
      <c r="B118" s="89" t="str">
        <f>IF(OR(E118=Report!$B$1, F118=Report!$B$1, G118=Report!$B$1, H118=Report!$B$1), D118, "")</f>
        <v/>
      </c>
      <c r="C118" s="84" t="b">
        <f>IFERROR(__xludf.DUMMYFUNCTION("""COMPUTED_VALUE"""),FALSE)</f>
        <v>0</v>
      </c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90">
        <f>IFERROR(__xludf.DUMMYFUNCTION("""COMPUTED_VALUE"""),0.0)</f>
        <v>0</v>
      </c>
      <c r="W118" s="87">
        <f>IFERROR(__xludf.DUMMYFUNCTION("""COMPUTED_VALUE"""),0.0)</f>
        <v>0</v>
      </c>
      <c r="X118" s="84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4"/>
      <c r="AJ118" s="84"/>
      <c r="AK118" s="84"/>
    </row>
    <row r="119">
      <c r="A119" s="84"/>
      <c r="B119" s="89" t="str">
        <f>IF(OR(E119=Report!$B$1, F119=Report!$B$1, G119=Report!$B$1, H119=Report!$B$1), D119, "")</f>
        <v/>
      </c>
      <c r="C119" s="84" t="b">
        <f>IFERROR(__xludf.DUMMYFUNCTION("""COMPUTED_VALUE"""),FALSE)</f>
        <v>0</v>
      </c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  <c r="O119" s="84"/>
      <c r="P119" s="84"/>
      <c r="Q119" s="84"/>
      <c r="R119" s="84"/>
      <c r="S119" s="84"/>
      <c r="T119" s="84"/>
      <c r="U119" s="84"/>
      <c r="V119" s="90">
        <f>IFERROR(__xludf.DUMMYFUNCTION("""COMPUTED_VALUE"""),0.0)</f>
        <v>0</v>
      </c>
      <c r="W119" s="87">
        <f>IFERROR(__xludf.DUMMYFUNCTION("""COMPUTED_VALUE"""),0.0)</f>
        <v>0</v>
      </c>
      <c r="X119" s="84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  <c r="AI119" s="84"/>
      <c r="AJ119" s="84"/>
      <c r="AK119" s="84"/>
    </row>
    <row r="120">
      <c r="A120" s="84"/>
      <c r="B120" s="89" t="str">
        <f>IF(OR(E120=Report!$B$1, F120=Report!$B$1, G120=Report!$B$1, H120=Report!$B$1), D120, "")</f>
        <v/>
      </c>
      <c r="C120" s="84" t="b">
        <f>IFERROR(__xludf.DUMMYFUNCTION("""COMPUTED_VALUE"""),FALSE)</f>
        <v>0</v>
      </c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  <c r="O120" s="84"/>
      <c r="P120" s="84"/>
      <c r="Q120" s="84"/>
      <c r="R120" s="84"/>
      <c r="S120" s="84"/>
      <c r="T120" s="84"/>
      <c r="U120" s="84"/>
      <c r="V120" s="90">
        <f>IFERROR(__xludf.DUMMYFUNCTION("""COMPUTED_VALUE"""),0.0)</f>
        <v>0</v>
      </c>
      <c r="W120" s="87">
        <f>IFERROR(__xludf.DUMMYFUNCTION("""COMPUTED_VALUE"""),0.0)</f>
        <v>0</v>
      </c>
      <c r="X120" s="84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  <c r="AI120" s="84"/>
      <c r="AJ120" s="84"/>
      <c r="AK120" s="84"/>
    </row>
    <row r="121">
      <c r="A121" s="84"/>
      <c r="B121" s="89" t="str">
        <f>IF(OR(E121=Report!$B$1, F121=Report!$B$1, G121=Report!$B$1, H121=Report!$B$1), D121, "")</f>
        <v/>
      </c>
      <c r="C121" s="84" t="b">
        <f>IFERROR(__xludf.DUMMYFUNCTION("""COMPUTED_VALUE"""),FALSE)</f>
        <v>0</v>
      </c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90">
        <f>IFERROR(__xludf.DUMMYFUNCTION("""COMPUTED_VALUE"""),0.0)</f>
        <v>0</v>
      </c>
      <c r="W121" s="87">
        <f>IFERROR(__xludf.DUMMYFUNCTION("""COMPUTED_VALUE"""),0.0)</f>
        <v>0</v>
      </c>
      <c r="X121" s="84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4"/>
      <c r="AJ121" s="84"/>
      <c r="AK121" s="84"/>
    </row>
    <row r="122">
      <c r="A122" s="84"/>
      <c r="B122" s="89" t="str">
        <f>IF(OR(E122=Report!$B$1, F122=Report!$B$1, G122=Report!$B$1, H122=Report!$B$1), D122, "")</f>
        <v/>
      </c>
      <c r="C122" s="84" t="b">
        <f>IFERROR(__xludf.DUMMYFUNCTION("""COMPUTED_VALUE"""),FALSE)</f>
        <v>0</v>
      </c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90">
        <f>IFERROR(__xludf.DUMMYFUNCTION("""COMPUTED_VALUE"""),0.0)</f>
        <v>0</v>
      </c>
      <c r="W122" s="87">
        <f>IFERROR(__xludf.DUMMYFUNCTION("""COMPUTED_VALUE"""),0.0)</f>
        <v>0</v>
      </c>
      <c r="X122" s="84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  <c r="AI122" s="84"/>
      <c r="AJ122" s="84"/>
      <c r="AK122" s="84"/>
    </row>
    <row r="123">
      <c r="A123" s="84"/>
      <c r="B123" s="89" t="str">
        <f>IF(OR(E123=Report!$B$1, F123=Report!$B$1, G123=Report!$B$1, H123=Report!$B$1), D123, "")</f>
        <v/>
      </c>
      <c r="C123" s="84" t="b">
        <f>IFERROR(__xludf.DUMMYFUNCTION("""COMPUTED_VALUE"""),FALSE)</f>
        <v>0</v>
      </c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90">
        <f>IFERROR(__xludf.DUMMYFUNCTION("""COMPUTED_VALUE"""),0.0)</f>
        <v>0</v>
      </c>
      <c r="W123" s="87">
        <f>IFERROR(__xludf.DUMMYFUNCTION("""COMPUTED_VALUE"""),0.0)</f>
        <v>0</v>
      </c>
      <c r="X123" s="84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4"/>
      <c r="AJ123" s="84"/>
      <c r="AK123" s="84"/>
    </row>
    <row r="124">
      <c r="A124" s="84"/>
      <c r="B124" s="89" t="str">
        <f>IF(OR(E124=Report!$B$1, F124=Report!$B$1, G124=Report!$B$1, H124=Report!$B$1), D124, "")</f>
        <v/>
      </c>
      <c r="C124" s="84" t="b">
        <f>IFERROR(__xludf.DUMMYFUNCTION("""COMPUTED_VALUE"""),FALSE)</f>
        <v>0</v>
      </c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90">
        <f>IFERROR(__xludf.DUMMYFUNCTION("""COMPUTED_VALUE"""),0.0)</f>
        <v>0</v>
      </c>
      <c r="W124" s="87">
        <f>IFERROR(__xludf.DUMMYFUNCTION("""COMPUTED_VALUE"""),0.0)</f>
        <v>0</v>
      </c>
      <c r="X124" s="84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4"/>
      <c r="AJ124" s="84"/>
      <c r="AK124" s="84"/>
    </row>
    <row r="125">
      <c r="A125" s="84"/>
      <c r="B125" s="89" t="str">
        <f>IF(OR(E125=Report!$B$1, F125=Report!$B$1, G125=Report!$B$1, H125=Report!$B$1), D125, "")</f>
        <v/>
      </c>
      <c r="C125" s="84" t="b">
        <f>IFERROR(__xludf.DUMMYFUNCTION("""COMPUTED_VALUE"""),FALSE)</f>
        <v>0</v>
      </c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90">
        <f>IFERROR(__xludf.DUMMYFUNCTION("""COMPUTED_VALUE"""),0.0)</f>
        <v>0</v>
      </c>
      <c r="W125" s="87">
        <f>IFERROR(__xludf.DUMMYFUNCTION("""COMPUTED_VALUE"""),0.0)</f>
        <v>0</v>
      </c>
      <c r="X125" s="84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  <c r="AI125" s="84"/>
      <c r="AJ125" s="84"/>
      <c r="AK125" s="84"/>
    </row>
    <row r="126">
      <c r="A126" s="84"/>
      <c r="B126" s="89" t="str">
        <f>IF(OR(E126=Report!$B$1, F126=Report!$B$1, G126=Report!$B$1, H126=Report!$B$1), D126, "")</f>
        <v/>
      </c>
      <c r="C126" s="84" t="b">
        <f>IFERROR(__xludf.DUMMYFUNCTION("""COMPUTED_VALUE"""),FALSE)</f>
        <v>0</v>
      </c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90">
        <f>IFERROR(__xludf.DUMMYFUNCTION("""COMPUTED_VALUE"""),0.0)</f>
        <v>0</v>
      </c>
      <c r="W126" s="87">
        <f>IFERROR(__xludf.DUMMYFUNCTION("""COMPUTED_VALUE"""),0.0)</f>
        <v>0</v>
      </c>
      <c r="X126" s="84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4"/>
      <c r="AJ126" s="84"/>
      <c r="AK126" s="84"/>
    </row>
    <row r="127">
      <c r="A127" s="84"/>
      <c r="B127" s="89" t="str">
        <f>IF(OR(E127=Report!$B$1, F127=Report!$B$1, G127=Report!$B$1, H127=Report!$B$1), D127, "")</f>
        <v/>
      </c>
      <c r="C127" s="84" t="b">
        <f>IFERROR(__xludf.DUMMYFUNCTION("""COMPUTED_VALUE"""),FALSE)</f>
        <v>0</v>
      </c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90">
        <f>IFERROR(__xludf.DUMMYFUNCTION("""COMPUTED_VALUE"""),0.0)</f>
        <v>0</v>
      </c>
      <c r="W127" s="87">
        <f>IFERROR(__xludf.DUMMYFUNCTION("""COMPUTED_VALUE"""),0.0)</f>
        <v>0</v>
      </c>
      <c r="X127" s="84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  <c r="AI127" s="84"/>
      <c r="AJ127" s="84"/>
      <c r="AK127" s="84"/>
    </row>
    <row r="128">
      <c r="A128" s="84"/>
      <c r="B128" s="89" t="str">
        <f>IF(OR(E128=Report!$B$1, F128=Report!$B$1, G128=Report!$B$1, H128=Report!$B$1), D128, "")</f>
        <v/>
      </c>
      <c r="C128" s="84" t="b">
        <f>IFERROR(__xludf.DUMMYFUNCTION("""COMPUTED_VALUE"""),FALSE)</f>
        <v>0</v>
      </c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90">
        <f>IFERROR(__xludf.DUMMYFUNCTION("""COMPUTED_VALUE"""),0.0)</f>
        <v>0</v>
      </c>
      <c r="W128" s="87">
        <f>IFERROR(__xludf.DUMMYFUNCTION("""COMPUTED_VALUE"""),0.0)</f>
        <v>0</v>
      </c>
      <c r="X128" s="84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  <c r="AI128" s="84"/>
      <c r="AJ128" s="84"/>
      <c r="AK128" s="84"/>
    </row>
    <row r="129">
      <c r="A129" s="84"/>
      <c r="B129" s="89" t="str">
        <f>IF(OR(E129=Report!$B$1, F129=Report!$B$1, G129=Report!$B$1, H129=Report!$B$1), D129, "")</f>
        <v/>
      </c>
      <c r="C129" s="84" t="b">
        <f>IFERROR(__xludf.DUMMYFUNCTION("""COMPUTED_VALUE"""),FALSE)</f>
        <v>0</v>
      </c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90">
        <f>IFERROR(__xludf.DUMMYFUNCTION("""COMPUTED_VALUE"""),0.0)</f>
        <v>0</v>
      </c>
      <c r="W129" s="87">
        <f>IFERROR(__xludf.DUMMYFUNCTION("""COMPUTED_VALUE"""),0.0)</f>
        <v>0</v>
      </c>
      <c r="X129" s="84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4"/>
      <c r="AJ129" s="84"/>
      <c r="AK129" s="84"/>
    </row>
    <row r="130">
      <c r="A130" s="84"/>
      <c r="B130" s="89" t="str">
        <f>IF(OR(E130=Report!$B$1, F130=Report!$B$1, G130=Report!$B$1, H130=Report!$B$1), D130, "")</f>
        <v/>
      </c>
      <c r="C130" s="84" t="b">
        <f>IFERROR(__xludf.DUMMYFUNCTION("""COMPUTED_VALUE"""),FALSE)</f>
        <v>0</v>
      </c>
      <c r="D130" s="84"/>
      <c r="E130" s="84" t="str">
        <f>IFERROR(__xludf.DUMMYFUNCTION("""COMPUTED_VALUE"""),"Chodov")</f>
        <v>Chodov</v>
      </c>
      <c r="F130" s="84"/>
      <c r="G130" s="84"/>
      <c r="H130" s="84"/>
      <c r="I130" s="84"/>
      <c r="J130" s="84"/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90">
        <f>IFERROR(__xludf.DUMMYFUNCTION("""COMPUTED_VALUE"""),0.0)</f>
        <v>0</v>
      </c>
      <c r="W130" s="87">
        <f>IFERROR(__xludf.DUMMYFUNCTION("""COMPUTED_VALUE"""),0.0)</f>
        <v>0</v>
      </c>
      <c r="X130" s="84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4"/>
      <c r="AJ130" s="84"/>
      <c r="AK130" s="84"/>
    </row>
    <row r="131">
      <c r="A131" s="84"/>
      <c r="B131" s="89" t="str">
        <f>IF(OR(E131=Report!$B$1, F131=Report!$B$1, G131=Report!$B$1, H131=Report!$B$1), D131, "")</f>
        <v/>
      </c>
      <c r="C131" s="84" t="b">
        <f>IFERROR(__xludf.DUMMYFUNCTION("""COMPUTED_VALUE"""),FALSE)</f>
        <v>0</v>
      </c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90">
        <f>IFERROR(__xludf.DUMMYFUNCTION("""COMPUTED_VALUE"""),0.0)</f>
        <v>0</v>
      </c>
      <c r="W131" s="87">
        <f>IFERROR(__xludf.DUMMYFUNCTION("""COMPUTED_VALUE"""),0.0)</f>
        <v>0</v>
      </c>
      <c r="X131" s="84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  <c r="AI131" s="84"/>
      <c r="AJ131" s="84"/>
      <c r="AK131" s="84"/>
    </row>
    <row r="132">
      <c r="A132" s="84"/>
      <c r="B132" s="89" t="str">
        <f>IF(OR(E132=Report!$B$1, F132=Report!$B$1, G132=Report!$B$1, H132=Report!$B$1), D132, "")</f>
        <v/>
      </c>
      <c r="C132" s="84" t="b">
        <f>IFERROR(__xludf.DUMMYFUNCTION("""COMPUTED_VALUE"""),FALSE)</f>
        <v>0</v>
      </c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90">
        <f>IFERROR(__xludf.DUMMYFUNCTION("""COMPUTED_VALUE"""),0.0)</f>
        <v>0</v>
      </c>
      <c r="W132" s="87">
        <f>IFERROR(__xludf.DUMMYFUNCTION("""COMPUTED_VALUE"""),0.0)</f>
        <v>0</v>
      </c>
      <c r="X132" s="84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  <c r="AI132" s="84"/>
      <c r="AJ132" s="84"/>
      <c r="AK132" s="84"/>
    </row>
    <row r="133">
      <c r="A133" s="84"/>
      <c r="B133" s="89" t="str">
        <f>IF(OR(E133=Report!$B$1, F133=Report!$B$1, G133=Report!$B$1, H133=Report!$B$1), D133, "")</f>
        <v/>
      </c>
      <c r="C133" s="84" t="b">
        <f>IFERROR(__xludf.DUMMYFUNCTION("""COMPUTED_VALUE"""),FALSE)</f>
        <v>0</v>
      </c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90">
        <f>IFERROR(__xludf.DUMMYFUNCTION("""COMPUTED_VALUE"""),0.0)</f>
        <v>0</v>
      </c>
      <c r="W133" s="87">
        <f>IFERROR(__xludf.DUMMYFUNCTION("""COMPUTED_VALUE"""),0.0)</f>
        <v>0</v>
      </c>
      <c r="X133" s="84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4"/>
      <c r="AJ133" s="84"/>
      <c r="AK133" s="84"/>
    </row>
    <row r="134">
      <c r="A134" s="84"/>
      <c r="B134" s="89" t="str">
        <f>IF(OR(E134=Report!$B$1, F134=Report!$B$1, G134=Report!$B$1, H134=Report!$B$1), D134, "")</f>
        <v/>
      </c>
      <c r="C134" s="84" t="b">
        <f>IFERROR(__xludf.DUMMYFUNCTION("""COMPUTED_VALUE"""),FALSE)</f>
        <v>0</v>
      </c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90">
        <f>IFERROR(__xludf.DUMMYFUNCTION("""COMPUTED_VALUE"""),0.0)</f>
        <v>0</v>
      </c>
      <c r="W134" s="87">
        <f>IFERROR(__xludf.DUMMYFUNCTION("""COMPUTED_VALUE"""),0.0)</f>
        <v>0</v>
      </c>
      <c r="X134" s="84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4"/>
      <c r="AJ134" s="84"/>
      <c r="AK134" s="84"/>
    </row>
    <row r="135">
      <c r="A135" s="84"/>
      <c r="B135" s="89" t="str">
        <f>IF(OR(E135=Report!$B$1, F135=Report!$B$1, G135=Report!$B$1, H135=Report!$B$1), D135, "")</f>
        <v/>
      </c>
      <c r="C135" s="84" t="b">
        <f>IFERROR(__xludf.DUMMYFUNCTION("""COMPUTED_VALUE"""),FALSE)</f>
        <v>0</v>
      </c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90">
        <f>IFERROR(__xludf.DUMMYFUNCTION("""COMPUTED_VALUE"""),0.0)</f>
        <v>0</v>
      </c>
      <c r="W135" s="87">
        <f>IFERROR(__xludf.DUMMYFUNCTION("""COMPUTED_VALUE"""),0.0)</f>
        <v>0</v>
      </c>
      <c r="X135" s="84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4"/>
      <c r="AJ135" s="84"/>
      <c r="AK135" s="84"/>
    </row>
    <row r="136">
      <c r="A136" s="84"/>
      <c r="B136" s="89" t="str">
        <f>IF(OR(E136=Report!$B$1, F136=Report!$B$1, G136=Report!$B$1, H136=Report!$B$1), D136, "")</f>
        <v/>
      </c>
      <c r="C136" s="84" t="b">
        <f>IFERROR(__xludf.DUMMYFUNCTION("""COMPUTED_VALUE"""),FALSE)</f>
        <v>0</v>
      </c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90">
        <f>IFERROR(__xludf.DUMMYFUNCTION("""COMPUTED_VALUE"""),0.0)</f>
        <v>0</v>
      </c>
      <c r="W136" s="87">
        <f>IFERROR(__xludf.DUMMYFUNCTION("""COMPUTED_VALUE"""),0.0)</f>
        <v>0</v>
      </c>
      <c r="X136" s="84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4"/>
      <c r="AJ136" s="84"/>
      <c r="AK136" s="84"/>
    </row>
    <row r="137">
      <c r="A137" s="84"/>
      <c r="B137" s="89" t="str">
        <f>IF(OR(E137=Report!$B$1, F137=Report!$B$1, G137=Report!$B$1, H137=Report!$B$1), D137, "")</f>
        <v/>
      </c>
      <c r="C137" s="84" t="b">
        <f>IFERROR(__xludf.DUMMYFUNCTION("""COMPUTED_VALUE"""),FALSE)</f>
        <v>0</v>
      </c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90">
        <f>IFERROR(__xludf.DUMMYFUNCTION("""COMPUTED_VALUE"""),0.0)</f>
        <v>0</v>
      </c>
      <c r="W137" s="87">
        <f>IFERROR(__xludf.DUMMYFUNCTION("""COMPUTED_VALUE"""),0.0)</f>
        <v>0</v>
      </c>
      <c r="X137" s="84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4"/>
      <c r="AJ137" s="84"/>
      <c r="AK137" s="84"/>
    </row>
    <row r="138">
      <c r="A138" s="84"/>
      <c r="B138" s="89" t="str">
        <f>IF(OR(E138=Report!$B$1, F138=Report!$B$1, G138=Report!$B$1, H138=Report!$B$1), D138, "")</f>
        <v/>
      </c>
      <c r="C138" s="84" t="b">
        <f>IFERROR(__xludf.DUMMYFUNCTION("""COMPUTED_VALUE"""),FALSE)</f>
        <v>0</v>
      </c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90">
        <f>IFERROR(__xludf.DUMMYFUNCTION("""COMPUTED_VALUE"""),0.0)</f>
        <v>0</v>
      </c>
      <c r="W138" s="87">
        <f>IFERROR(__xludf.DUMMYFUNCTION("""COMPUTED_VALUE"""),0.0)</f>
        <v>0</v>
      </c>
      <c r="X138" s="84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4"/>
      <c r="AJ138" s="84"/>
      <c r="AK138" s="84"/>
    </row>
    <row r="139">
      <c r="A139" s="84"/>
      <c r="B139" s="89" t="str">
        <f>IF(OR(E139=Report!$B$1, F139=Report!$B$1, G139=Report!$B$1, H139=Report!$B$1), D139, "")</f>
        <v/>
      </c>
      <c r="C139" s="84" t="b">
        <f>IFERROR(__xludf.DUMMYFUNCTION("""COMPUTED_VALUE"""),FALSE)</f>
        <v>0</v>
      </c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90">
        <f>IFERROR(__xludf.DUMMYFUNCTION("""COMPUTED_VALUE"""),0.0)</f>
        <v>0</v>
      </c>
      <c r="W139" s="87">
        <f>IFERROR(__xludf.DUMMYFUNCTION("""COMPUTED_VALUE"""),0.0)</f>
        <v>0</v>
      </c>
      <c r="X139" s="84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4"/>
      <c r="AJ139" s="84"/>
      <c r="AK139" s="84"/>
    </row>
    <row r="140">
      <c r="A140" s="84"/>
      <c r="B140" s="89" t="str">
        <f>IF(OR(E140=Report!$B$1, F140=Report!$B$1, G140=Report!$B$1, H140=Report!$B$1), D140, "")</f>
        <v/>
      </c>
      <c r="C140" s="84" t="b">
        <f>IFERROR(__xludf.DUMMYFUNCTION("""COMPUTED_VALUE"""),FALSE)</f>
        <v>0</v>
      </c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7">
        <f>IFERROR(__xludf.DUMMYFUNCTION("""COMPUTED_VALUE"""),0.0)</f>
        <v>0</v>
      </c>
      <c r="X140" s="84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4"/>
      <c r="AJ140" s="84"/>
      <c r="AK140" s="84"/>
    </row>
    <row r="141">
      <c r="A141" s="84"/>
      <c r="B141" s="89" t="str">
        <f>IF(OR(E141=Report!$B$1, F141=Report!$B$1, G141=Report!$B$1, H141=Report!$B$1), D141, "")</f>
        <v/>
      </c>
      <c r="C141" s="84" t="b">
        <f>IFERROR(__xludf.DUMMYFUNCTION("""COMPUTED_VALUE"""),FALSE)</f>
        <v>0</v>
      </c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  <c r="P141" s="84"/>
      <c r="Q141" s="84"/>
      <c r="R141" s="84"/>
      <c r="S141" s="84"/>
      <c r="T141" s="84"/>
      <c r="U141" s="84"/>
      <c r="V141" s="90">
        <f>IFERROR(__xludf.DUMMYFUNCTION("""COMPUTED_VALUE"""),0.0)</f>
        <v>0</v>
      </c>
      <c r="W141" s="87">
        <f>IFERROR(__xludf.DUMMYFUNCTION("""COMPUTED_VALUE"""),0.0)</f>
        <v>0</v>
      </c>
      <c r="X141" s="84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4"/>
      <c r="AJ141" s="84"/>
      <c r="AK141" s="84"/>
    </row>
    <row r="142">
      <c r="A142" s="84"/>
      <c r="B142" s="89" t="str">
        <f>IF(OR(E142=Report!$B$1, F142=Report!$B$1, G142=Report!$B$1, H142=Report!$B$1), D142, "")</f>
        <v/>
      </c>
      <c r="C142" s="84" t="b">
        <f>IFERROR(__xludf.DUMMYFUNCTION("""COMPUTED_VALUE"""),FALSE)</f>
        <v>0</v>
      </c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90">
        <f>IFERROR(__xludf.DUMMYFUNCTION("""COMPUTED_VALUE"""),0.0)</f>
        <v>0</v>
      </c>
      <c r="W142" s="87">
        <f>IFERROR(__xludf.DUMMYFUNCTION("""COMPUTED_VALUE"""),0.0)</f>
        <v>0</v>
      </c>
      <c r="X142" s="84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4"/>
      <c r="AJ142" s="84"/>
      <c r="AK142" s="84"/>
    </row>
    <row r="143">
      <c r="A143" s="84"/>
      <c r="B143" s="89" t="str">
        <f>IF(OR(E143=Report!$B$1, F143=Report!$B$1, G143=Report!$B$1, H143=Report!$B$1), D143, "")</f>
        <v/>
      </c>
      <c r="C143" s="84" t="b">
        <f>IFERROR(__xludf.DUMMYFUNCTION("""COMPUTED_VALUE"""),FALSE)</f>
        <v>0</v>
      </c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  <c r="R143" s="84"/>
      <c r="S143" s="84"/>
      <c r="T143" s="84"/>
      <c r="U143" s="84"/>
      <c r="V143" s="90">
        <f>IFERROR(__xludf.DUMMYFUNCTION("""COMPUTED_VALUE"""),0.0)</f>
        <v>0</v>
      </c>
      <c r="W143" s="87">
        <f>IFERROR(__xludf.DUMMYFUNCTION("""COMPUTED_VALUE"""),0.0)</f>
        <v>0</v>
      </c>
      <c r="X143" s="84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4"/>
      <c r="AJ143" s="84"/>
      <c r="AK143" s="84"/>
    </row>
    <row r="144">
      <c r="A144" s="84"/>
      <c r="B144" s="89" t="str">
        <f>IF(OR(E144=Report!$B$1, F144=Report!$B$1, G144=Report!$B$1, H144=Report!$B$1), D144, "")</f>
        <v/>
      </c>
      <c r="C144" s="84" t="b">
        <f>IFERROR(__xludf.DUMMYFUNCTION("""COMPUTED_VALUE"""),FALSE)</f>
        <v>0</v>
      </c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90">
        <f>IFERROR(__xludf.DUMMYFUNCTION("""COMPUTED_VALUE"""),0.0)</f>
        <v>0</v>
      </c>
      <c r="W144" s="87">
        <f>IFERROR(__xludf.DUMMYFUNCTION("""COMPUTED_VALUE"""),0.0)</f>
        <v>0</v>
      </c>
      <c r="X144" s="84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4"/>
      <c r="AJ144" s="84"/>
      <c r="AK144" s="84"/>
    </row>
    <row r="145">
      <c r="A145" s="84"/>
      <c r="B145" s="89" t="str">
        <f>IF(OR(E145=Report!$B$1, F145=Report!$B$1, G145=Report!$B$1, H145=Report!$B$1), D145, "")</f>
        <v/>
      </c>
      <c r="C145" s="84" t="b">
        <f>IFERROR(__xludf.DUMMYFUNCTION("""COMPUTED_VALUE"""),FALSE)</f>
        <v>0</v>
      </c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90">
        <f>IFERROR(__xludf.DUMMYFUNCTION("""COMPUTED_VALUE"""),0.0)</f>
        <v>0</v>
      </c>
      <c r="W145" s="87">
        <f>IFERROR(__xludf.DUMMYFUNCTION("""COMPUTED_VALUE"""),0.0)</f>
        <v>0</v>
      </c>
      <c r="X145" s="84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4"/>
      <c r="AJ145" s="84"/>
      <c r="AK145" s="84"/>
    </row>
    <row r="146">
      <c r="A146" s="84"/>
      <c r="B146" s="89" t="str">
        <f>IF(OR(E146=Report!$B$1, F146=Report!$B$1, G146=Report!$B$1, H146=Report!$B$1), D146, "")</f>
        <v/>
      </c>
      <c r="C146" s="84" t="b">
        <f>IFERROR(__xludf.DUMMYFUNCTION("""COMPUTED_VALUE"""),FALSE)</f>
        <v>0</v>
      </c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90">
        <f>IFERROR(__xludf.DUMMYFUNCTION("""COMPUTED_VALUE"""),0.0)</f>
        <v>0</v>
      </c>
      <c r="W146" s="87">
        <f>IFERROR(__xludf.DUMMYFUNCTION("""COMPUTED_VALUE"""),0.0)</f>
        <v>0</v>
      </c>
      <c r="X146" s="84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4"/>
      <c r="AJ146" s="84"/>
      <c r="AK146" s="84"/>
    </row>
    <row r="147">
      <c r="A147" s="84"/>
      <c r="B147" s="89" t="str">
        <f>IF(OR(E147=Report!$B$1, F147=Report!$B$1, G147=Report!$B$1, H147=Report!$B$1), D147, "")</f>
        <v/>
      </c>
      <c r="C147" s="84" t="b">
        <f>IFERROR(__xludf.DUMMYFUNCTION("""COMPUTED_VALUE"""),FALSE)</f>
        <v>0</v>
      </c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7">
        <f>IFERROR(__xludf.DUMMYFUNCTION("""COMPUTED_VALUE"""),0.0)</f>
        <v>0</v>
      </c>
      <c r="X147" s="84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4"/>
      <c r="AJ147" s="84"/>
      <c r="AK147" s="84"/>
    </row>
    <row r="148">
      <c r="A148" s="84"/>
      <c r="B148" s="89" t="str">
        <f>IF(OR(E148=Report!$B$1, F148=Report!$B$1, G148=Report!$B$1, H148=Report!$B$1), D148, "")</f>
        <v/>
      </c>
      <c r="C148" s="84" t="b">
        <f>IFERROR(__xludf.DUMMYFUNCTION("""COMPUTED_VALUE"""),FALSE)</f>
        <v>0</v>
      </c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7">
        <f>IFERROR(__xludf.DUMMYFUNCTION("""COMPUTED_VALUE"""),0.0)</f>
        <v>0</v>
      </c>
      <c r="X148" s="84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4"/>
      <c r="AJ148" s="84"/>
      <c r="AK148" s="84"/>
    </row>
    <row r="149">
      <c r="A149" s="84"/>
      <c r="B149" s="89" t="str">
        <f>IF(OR(E149=Report!$B$1, F149=Report!$B$1, G149=Report!$B$1, H149=Report!$B$1), D149, "")</f>
        <v/>
      </c>
      <c r="C149" s="84" t="b">
        <f>IFERROR(__xludf.DUMMYFUNCTION("""COMPUTED_VALUE"""),FALSE)</f>
        <v>0</v>
      </c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7">
        <f>IFERROR(__xludf.DUMMYFUNCTION("""COMPUTED_VALUE"""),0.0)</f>
        <v>0</v>
      </c>
      <c r="X149" s="84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4"/>
      <c r="AJ149" s="84"/>
      <c r="AK149" s="84"/>
    </row>
    <row r="150">
      <c r="A150" s="84"/>
      <c r="B150" s="89" t="str">
        <f>IF(OR(E150=Report!$B$1, F150=Report!$B$1, G150=Report!$B$1, H150=Report!$B$1), D150, "")</f>
        <v/>
      </c>
      <c r="C150" s="84" t="b">
        <f>IFERROR(__xludf.DUMMYFUNCTION("""COMPUTED_VALUE"""),FALSE)</f>
        <v>0</v>
      </c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93">
        <f>IFERROR(__xludf.DUMMYFUNCTION("""COMPUTED_VALUE"""),0.0)</f>
        <v>0</v>
      </c>
      <c r="W150" s="87">
        <f>IFERROR(__xludf.DUMMYFUNCTION("""COMPUTED_VALUE"""),0.0)</f>
        <v>0</v>
      </c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4"/>
      <c r="AJ150" s="84"/>
      <c r="AK150" s="84"/>
    </row>
    <row r="151">
      <c r="A151" s="84"/>
      <c r="B151" s="89" t="str">
        <f>IF(OR(E151=Report!$B$1, F151=Report!$B$1, G151=Report!$B$1, H151=Report!$B$1), D151, "")</f>
        <v/>
      </c>
      <c r="C151" s="84" t="b">
        <f>IFERROR(__xludf.DUMMYFUNCTION("""COMPUTED_VALUE"""),FALSE)</f>
        <v>0</v>
      </c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93">
        <f>IFERROR(__xludf.DUMMYFUNCTION("""COMPUTED_VALUE"""),0.0)</f>
        <v>0</v>
      </c>
      <c r="W151" s="87">
        <f>IFERROR(__xludf.DUMMYFUNCTION("""COMPUTED_VALUE"""),0.0)</f>
        <v>0</v>
      </c>
      <c r="X151" s="84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4"/>
      <c r="AJ151" s="84"/>
      <c r="AK151" s="84"/>
    </row>
    <row r="152">
      <c r="A152" s="84"/>
      <c r="B152" s="89" t="str">
        <f>IF(OR(E152=Report!$B$1, F152=Report!$B$1, G152=Report!$B$1, H152=Report!$B$1), D152, "")</f>
        <v/>
      </c>
      <c r="C152" s="84" t="b">
        <f>IFERROR(__xludf.DUMMYFUNCTION("""COMPUTED_VALUE"""),FALSE)</f>
        <v>0</v>
      </c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93">
        <f>IFERROR(__xludf.DUMMYFUNCTION("""COMPUTED_VALUE"""),0.0)</f>
        <v>0</v>
      </c>
      <c r="W152" s="87">
        <f>IFERROR(__xludf.DUMMYFUNCTION("""COMPUTED_VALUE"""),0.0)</f>
        <v>0</v>
      </c>
      <c r="X152" s="84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4"/>
      <c r="AJ152" s="84"/>
      <c r="AK152" s="84"/>
    </row>
    <row r="153">
      <c r="A153" s="84"/>
      <c r="B153" s="89" t="str">
        <f>IF(OR(E153=Report!$B$1, F153=Report!$B$1, G153=Report!$B$1, H153=Report!$B$1), D153, "")</f>
        <v/>
      </c>
      <c r="C153" s="84" t="b">
        <f>IFERROR(__xludf.DUMMYFUNCTION("""COMPUTED_VALUE"""),FALSE)</f>
        <v>0</v>
      </c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93">
        <f>IFERROR(__xludf.DUMMYFUNCTION("""COMPUTED_VALUE"""),0.0)</f>
        <v>0</v>
      </c>
      <c r="W153" s="87">
        <f>IFERROR(__xludf.DUMMYFUNCTION("""COMPUTED_VALUE"""),0.0)</f>
        <v>0</v>
      </c>
      <c r="X153" s="84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4"/>
      <c r="AJ153" s="84"/>
      <c r="AK153" s="84"/>
    </row>
    <row r="154">
      <c r="A154" s="84"/>
      <c r="B154" s="89" t="str">
        <f>IF(OR(E154=Report!$B$1, F154=Report!$B$1, G154=Report!$B$1, H154=Report!$B$1), D154, "")</f>
        <v/>
      </c>
      <c r="C154" s="84" t="b">
        <f>IFERROR(__xludf.DUMMYFUNCTION("""COMPUTED_VALUE"""),FALSE)</f>
        <v>0</v>
      </c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93">
        <f>IFERROR(__xludf.DUMMYFUNCTION("""COMPUTED_VALUE"""),0.0)</f>
        <v>0</v>
      </c>
      <c r="W154" s="87">
        <f>IFERROR(__xludf.DUMMYFUNCTION("""COMPUTED_VALUE"""),0.0)</f>
        <v>0</v>
      </c>
      <c r="X154" s="84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4"/>
      <c r="AJ154" s="84"/>
      <c r="AK154" s="84"/>
    </row>
    <row r="155">
      <c r="A155" s="84"/>
      <c r="B155" s="89" t="str">
        <f>IF(OR(E155=Report!$B$1, F155=Report!$B$1, G155=Report!$B$1, H155=Report!$B$1), D155, "")</f>
        <v/>
      </c>
      <c r="C155" s="84" t="b">
        <f>IFERROR(__xludf.DUMMYFUNCTION("""COMPUTED_VALUE"""),FALSE)</f>
        <v>0</v>
      </c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93">
        <f>IFERROR(__xludf.DUMMYFUNCTION("""COMPUTED_VALUE"""),0.0)</f>
        <v>0</v>
      </c>
      <c r="W155" s="87">
        <f>IFERROR(__xludf.DUMMYFUNCTION("""COMPUTED_VALUE"""),0.0)</f>
        <v>0</v>
      </c>
      <c r="X155" s="84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4"/>
      <c r="AJ155" s="84"/>
      <c r="AK155" s="84"/>
    </row>
    <row r="156">
      <c r="A156" s="84"/>
      <c r="B156" s="89" t="str">
        <f>IF(OR(E156=Report!$B$1, F156=Report!$B$1, G156=Report!$B$1, H156=Report!$B$1), D156, "")</f>
        <v/>
      </c>
      <c r="C156" s="84" t="b">
        <f>IFERROR(__xludf.DUMMYFUNCTION("""COMPUTED_VALUE"""),FALSE)</f>
        <v>0</v>
      </c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93">
        <f>IFERROR(__xludf.DUMMYFUNCTION("""COMPUTED_VALUE"""),0.0)</f>
        <v>0</v>
      </c>
      <c r="W156" s="87">
        <f>IFERROR(__xludf.DUMMYFUNCTION("""COMPUTED_VALUE"""),0.0)</f>
        <v>0</v>
      </c>
      <c r="X156" s="84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4"/>
      <c r="AJ156" s="84"/>
      <c r="AK156" s="84"/>
    </row>
    <row r="157">
      <c r="A157" s="84"/>
      <c r="B157" s="89" t="str">
        <f>IF(OR(E157=Report!$B$1, F157=Report!$B$1, G157=Report!$B$1, H157=Report!$B$1), D157, "")</f>
        <v/>
      </c>
      <c r="C157" s="84" t="b">
        <f>IFERROR(__xludf.DUMMYFUNCTION("""COMPUTED_VALUE"""),FALSE)</f>
        <v>0</v>
      </c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93">
        <f>IFERROR(__xludf.DUMMYFUNCTION("""COMPUTED_VALUE"""),0.0)</f>
        <v>0</v>
      </c>
      <c r="W157" s="87">
        <f>IFERROR(__xludf.DUMMYFUNCTION("""COMPUTED_VALUE"""),0.0)</f>
        <v>0</v>
      </c>
      <c r="X157" s="84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4"/>
      <c r="AJ157" s="84"/>
      <c r="AK157" s="84"/>
    </row>
    <row r="158">
      <c r="A158" s="84"/>
      <c r="B158" s="89" t="str">
        <f>IF(OR(E158=Report!$B$1, F158=Report!$B$1, G158=Report!$B$1, H158=Report!$B$1), D158, "")</f>
        <v/>
      </c>
      <c r="C158" s="84" t="b">
        <f>IFERROR(__xludf.DUMMYFUNCTION("""COMPUTED_VALUE"""),FALSE)</f>
        <v>0</v>
      </c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93">
        <f>IFERROR(__xludf.DUMMYFUNCTION("""COMPUTED_VALUE"""),0.0)</f>
        <v>0</v>
      </c>
      <c r="W158" s="87">
        <f>IFERROR(__xludf.DUMMYFUNCTION("""COMPUTED_VALUE"""),0.0)</f>
        <v>0</v>
      </c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4"/>
      <c r="AJ158" s="84"/>
      <c r="AK158" s="84"/>
    </row>
    <row r="159">
      <c r="A159" s="84"/>
      <c r="B159" s="89" t="str">
        <f>IF(OR(E159=Report!$B$1, F159=Report!$B$1, G159=Report!$B$1, H159=Report!$B$1), D159, "")</f>
        <v/>
      </c>
      <c r="C159" s="84" t="b">
        <f>IFERROR(__xludf.DUMMYFUNCTION("""COMPUTED_VALUE"""),FALSE)</f>
        <v>0</v>
      </c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93">
        <f>IFERROR(__xludf.DUMMYFUNCTION("""COMPUTED_VALUE"""),0.0)</f>
        <v>0</v>
      </c>
      <c r="W159" s="87">
        <f>IFERROR(__xludf.DUMMYFUNCTION("""COMPUTED_VALUE"""),0.0)</f>
        <v>0</v>
      </c>
      <c r="X159" s="84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4"/>
      <c r="AJ159" s="84"/>
      <c r="AK159" s="84"/>
    </row>
    <row r="160">
      <c r="A160" s="84"/>
      <c r="B160" s="89" t="str">
        <f>IF(OR(E160=Report!$B$1, F160=Report!$B$1, G160=Report!$B$1, H160=Report!$B$1), D160, "")</f>
        <v/>
      </c>
      <c r="C160" s="84" t="b">
        <f>IFERROR(__xludf.DUMMYFUNCTION("""COMPUTED_VALUE"""),FALSE)</f>
        <v>0</v>
      </c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93">
        <f>IFERROR(__xludf.DUMMYFUNCTION("""COMPUTED_VALUE"""),0.0)</f>
        <v>0</v>
      </c>
      <c r="W160" s="87">
        <f>IFERROR(__xludf.DUMMYFUNCTION("""COMPUTED_VALUE"""),0.0)</f>
        <v>0</v>
      </c>
      <c r="X160" s="84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4"/>
      <c r="AJ160" s="84"/>
      <c r="AK160" s="84"/>
    </row>
    <row r="161">
      <c r="A161" s="84"/>
      <c r="B161" s="89" t="str">
        <f>IF(OR(E161=Report!$B$1, F161=Report!$B$1, G161=Report!$B$1, H161=Report!$B$1), D161, "")</f>
        <v/>
      </c>
      <c r="C161" s="84" t="b">
        <f>IFERROR(__xludf.DUMMYFUNCTION("""COMPUTED_VALUE"""),FALSE)</f>
        <v>0</v>
      </c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93">
        <f>IFERROR(__xludf.DUMMYFUNCTION("""COMPUTED_VALUE"""),0.0)</f>
        <v>0</v>
      </c>
      <c r="W161" s="87">
        <f>IFERROR(__xludf.DUMMYFUNCTION("""COMPUTED_VALUE"""),0.0)</f>
        <v>0</v>
      </c>
      <c r="X161" s="84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4"/>
      <c r="AJ161" s="84"/>
      <c r="AK161" s="84"/>
    </row>
    <row r="162">
      <c r="A162" s="84"/>
      <c r="B162" s="89" t="str">
        <f>IF(OR(E162=Report!$B$1, F162=Report!$B$1, G162=Report!$B$1, H162=Report!$B$1), D162, "")</f>
        <v/>
      </c>
      <c r="C162" s="84" t="b">
        <f>IFERROR(__xludf.DUMMYFUNCTION("""COMPUTED_VALUE"""),FALSE)</f>
        <v>0</v>
      </c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93">
        <f>IFERROR(__xludf.DUMMYFUNCTION("""COMPUTED_VALUE"""),0.0)</f>
        <v>0</v>
      </c>
      <c r="W162" s="87">
        <f>IFERROR(__xludf.DUMMYFUNCTION("""COMPUTED_VALUE"""),0.0)</f>
        <v>0</v>
      </c>
      <c r="X162" s="84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4"/>
      <c r="AJ162" s="84"/>
      <c r="AK162" s="84"/>
    </row>
    <row r="163">
      <c r="A163" s="84"/>
      <c r="B163" s="89" t="str">
        <f>IF(OR(E163=Report!$B$1, F163=Report!$B$1, G163=Report!$B$1, H163=Report!$B$1), D163, "")</f>
        <v/>
      </c>
      <c r="C163" s="84" t="b">
        <f>IFERROR(__xludf.DUMMYFUNCTION("""COMPUTED_VALUE"""),FALSE)</f>
        <v>0</v>
      </c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93">
        <f>IFERROR(__xludf.DUMMYFUNCTION("""COMPUTED_VALUE"""),0.0)</f>
        <v>0</v>
      </c>
      <c r="W163" s="87">
        <f>IFERROR(__xludf.DUMMYFUNCTION("""COMPUTED_VALUE"""),0.0)</f>
        <v>0</v>
      </c>
      <c r="X163" s="84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4"/>
      <c r="AJ163" s="84"/>
      <c r="AK163" s="84"/>
    </row>
    <row r="164">
      <c r="A164" s="84"/>
      <c r="B164" s="89" t="str">
        <f>IF(OR(E164=Report!$B$1, F164=Report!$B$1, G164=Report!$B$1, H164=Report!$B$1), D164, "")</f>
        <v/>
      </c>
      <c r="C164" s="84" t="b">
        <f>IFERROR(__xludf.DUMMYFUNCTION("""COMPUTED_VALUE"""),FALSE)</f>
        <v>0</v>
      </c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93">
        <f>IFERROR(__xludf.DUMMYFUNCTION("""COMPUTED_VALUE"""),0.0)</f>
        <v>0</v>
      </c>
      <c r="W164" s="87">
        <f>IFERROR(__xludf.DUMMYFUNCTION("""COMPUTED_VALUE"""),0.0)</f>
        <v>0</v>
      </c>
      <c r="X164" s="84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4"/>
      <c r="AJ164" s="84"/>
      <c r="AK164" s="84"/>
    </row>
    <row r="165">
      <c r="A165" s="84"/>
      <c r="B165" s="89" t="str">
        <f>IF(OR(E165=Report!$B$1, F165=Report!$B$1, G165=Report!$B$1, H165=Report!$B$1), D165, "")</f>
        <v/>
      </c>
      <c r="C165" s="84" t="b">
        <f>IFERROR(__xludf.DUMMYFUNCTION("""COMPUTED_VALUE"""),FALSE)</f>
        <v>0</v>
      </c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93">
        <f>IFERROR(__xludf.DUMMYFUNCTION("""COMPUTED_VALUE"""),0.0)</f>
        <v>0</v>
      </c>
      <c r="W165" s="87">
        <f>IFERROR(__xludf.DUMMYFUNCTION("""COMPUTED_VALUE"""),0.0)</f>
        <v>0</v>
      </c>
      <c r="X165" s="84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4"/>
      <c r="AJ165" s="84"/>
      <c r="AK165" s="84"/>
    </row>
    <row r="166">
      <c r="A166" s="84"/>
      <c r="B166" s="89" t="str">
        <f>IF(OR(E166=Report!$B$1, F166=Report!$B$1, G166=Report!$B$1, H166=Report!$B$1), D166, "")</f>
        <v/>
      </c>
      <c r="C166" s="84" t="b">
        <f>IFERROR(__xludf.DUMMYFUNCTION("""COMPUTED_VALUE"""),FALSE)</f>
        <v>0</v>
      </c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93">
        <f>IFERROR(__xludf.DUMMYFUNCTION("""COMPUTED_VALUE"""),0.0)</f>
        <v>0</v>
      </c>
      <c r="W166" s="87">
        <f>IFERROR(__xludf.DUMMYFUNCTION("""COMPUTED_VALUE"""),0.0)</f>
        <v>0</v>
      </c>
      <c r="X166" s="84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4"/>
      <c r="AJ166" s="84"/>
      <c r="AK166" s="84"/>
    </row>
    <row r="167">
      <c r="A167" s="84"/>
      <c r="B167" s="89" t="str">
        <f>IF(OR(E167=Report!$B$1, F167=Report!$B$1, G167=Report!$B$1, H167=Report!$B$1), D167, "")</f>
        <v/>
      </c>
      <c r="C167" s="84" t="b">
        <f>IFERROR(__xludf.DUMMYFUNCTION("""COMPUTED_VALUE"""),FALSE)</f>
        <v>0</v>
      </c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93">
        <f>IFERROR(__xludf.DUMMYFUNCTION("""COMPUTED_VALUE"""),0.0)</f>
        <v>0</v>
      </c>
      <c r="W167" s="87">
        <f>IFERROR(__xludf.DUMMYFUNCTION("""COMPUTED_VALUE"""),0.0)</f>
        <v>0</v>
      </c>
      <c r="X167" s="84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4"/>
      <c r="AJ167" s="84"/>
      <c r="AK167" s="84"/>
    </row>
    <row r="168">
      <c r="A168" s="84"/>
      <c r="B168" s="89" t="str">
        <f>IF(OR(E168=Report!$B$1, F168=Report!$B$1, G168=Report!$B$1, H168=Report!$B$1), D168, "")</f>
        <v/>
      </c>
      <c r="C168" s="84" t="b">
        <f>IFERROR(__xludf.DUMMYFUNCTION("""COMPUTED_VALUE"""),FALSE)</f>
        <v>0</v>
      </c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93">
        <f>IFERROR(__xludf.DUMMYFUNCTION("""COMPUTED_VALUE"""),0.0)</f>
        <v>0</v>
      </c>
      <c r="W168" s="87">
        <f>IFERROR(__xludf.DUMMYFUNCTION("""COMPUTED_VALUE"""),0.0)</f>
        <v>0</v>
      </c>
      <c r="X168" s="84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4"/>
      <c r="AJ168" s="84"/>
      <c r="AK168" s="84"/>
    </row>
    <row r="169">
      <c r="A169" s="84"/>
      <c r="B169" s="89" t="str">
        <f>IF(OR(E169=Report!$B$1, F169=Report!$B$1, G169=Report!$B$1, H169=Report!$B$1), D169, "")</f>
        <v/>
      </c>
      <c r="C169" s="84" t="b">
        <f>IFERROR(__xludf.DUMMYFUNCTION("""COMPUTED_VALUE"""),FALSE)</f>
        <v>0</v>
      </c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93">
        <f>IFERROR(__xludf.DUMMYFUNCTION("""COMPUTED_VALUE"""),0.0)</f>
        <v>0</v>
      </c>
      <c r="W169" s="87">
        <f>IFERROR(__xludf.DUMMYFUNCTION("""COMPUTED_VALUE"""),0.0)</f>
        <v>0</v>
      </c>
      <c r="X169" s="84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4"/>
      <c r="AJ169" s="84"/>
      <c r="AK169" s="84"/>
    </row>
    <row r="170">
      <c r="A170" s="84"/>
      <c r="B170" s="89" t="str">
        <f>IF(OR(E170=Report!$B$1, F170=Report!$B$1, G170=Report!$B$1, H170=Report!$B$1), D170, "")</f>
        <v/>
      </c>
      <c r="C170" s="84" t="b">
        <f>IFERROR(__xludf.DUMMYFUNCTION("""COMPUTED_VALUE"""),FALSE)</f>
        <v>0</v>
      </c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93">
        <f>IFERROR(__xludf.DUMMYFUNCTION("""COMPUTED_VALUE"""),0.0)</f>
        <v>0</v>
      </c>
      <c r="W170" s="87">
        <f>IFERROR(__xludf.DUMMYFUNCTION("""COMPUTED_VALUE"""),0.0)</f>
        <v>0</v>
      </c>
      <c r="X170" s="84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4"/>
      <c r="AJ170" s="84"/>
      <c r="AK170" s="84"/>
    </row>
    <row r="171">
      <c r="A171" s="84"/>
      <c r="B171" s="89" t="str">
        <f>IF(OR(E171=Report!$B$1, F171=Report!$B$1, G171=Report!$B$1, H171=Report!$B$1), D171, "")</f>
        <v/>
      </c>
      <c r="C171" s="84" t="b">
        <f>IFERROR(__xludf.DUMMYFUNCTION("""COMPUTED_VALUE"""),FALSE)</f>
        <v>0</v>
      </c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93">
        <f>IFERROR(__xludf.DUMMYFUNCTION("""COMPUTED_VALUE"""),0.0)</f>
        <v>0</v>
      </c>
      <c r="W171" s="87">
        <f>IFERROR(__xludf.DUMMYFUNCTION("""COMPUTED_VALUE"""),0.0)</f>
        <v>0</v>
      </c>
      <c r="X171" s="84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4"/>
      <c r="AJ171" s="84"/>
      <c r="AK171" s="84"/>
    </row>
    <row r="172">
      <c r="A172" s="84"/>
      <c r="B172" s="89" t="str">
        <f>IF(OR(E172=Report!$B$1, F172=Report!$B$1, G172=Report!$B$1, H172=Report!$B$1), D172, "")</f>
        <v/>
      </c>
      <c r="C172" s="84" t="b">
        <f>IFERROR(__xludf.DUMMYFUNCTION("""COMPUTED_VALUE"""),FALSE)</f>
        <v>0</v>
      </c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93">
        <f>IFERROR(__xludf.DUMMYFUNCTION("""COMPUTED_VALUE"""),0.0)</f>
        <v>0</v>
      </c>
      <c r="W172" s="87">
        <f>IFERROR(__xludf.DUMMYFUNCTION("""COMPUTED_VALUE"""),0.0)</f>
        <v>0</v>
      </c>
      <c r="X172" s="84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4"/>
      <c r="AJ172" s="84"/>
      <c r="AK172" s="84"/>
    </row>
    <row r="173">
      <c r="A173" s="84"/>
      <c r="B173" s="89" t="str">
        <f>IF(OR(E173=Report!$B$1, F173=Report!$B$1, G173=Report!$B$1, H173=Report!$B$1), D173, "")</f>
        <v/>
      </c>
      <c r="C173" s="84" t="b">
        <f>IFERROR(__xludf.DUMMYFUNCTION("""COMPUTED_VALUE"""),FALSE)</f>
        <v>0</v>
      </c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93">
        <f>IFERROR(__xludf.DUMMYFUNCTION("""COMPUTED_VALUE"""),0.0)</f>
        <v>0</v>
      </c>
      <c r="W173" s="87">
        <f>IFERROR(__xludf.DUMMYFUNCTION("""COMPUTED_VALUE"""),0.0)</f>
        <v>0</v>
      </c>
      <c r="X173" s="84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4"/>
      <c r="AJ173" s="84"/>
      <c r="AK173" s="84"/>
    </row>
    <row r="174">
      <c r="A174" s="84"/>
      <c r="B174" s="89" t="str">
        <f>IF(OR(E174=Report!$B$1, F174=Report!$B$1, G174=Report!$B$1, H174=Report!$B$1), D174, "")</f>
        <v/>
      </c>
      <c r="C174" s="84" t="b">
        <f>IFERROR(__xludf.DUMMYFUNCTION("""COMPUTED_VALUE"""),FALSE)</f>
        <v>0</v>
      </c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93">
        <f>IFERROR(__xludf.DUMMYFUNCTION("""COMPUTED_VALUE"""),0.0)</f>
        <v>0</v>
      </c>
      <c r="W174" s="87">
        <f>IFERROR(__xludf.DUMMYFUNCTION("""COMPUTED_VALUE"""),0.0)</f>
        <v>0</v>
      </c>
      <c r="X174" s="84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4"/>
      <c r="AJ174" s="84"/>
      <c r="AK174" s="84"/>
    </row>
    <row r="175">
      <c r="A175" s="84"/>
      <c r="B175" s="89" t="str">
        <f>IF(OR(E175=Report!$B$1, F175=Report!$B$1, G175=Report!$B$1, H175=Report!$B$1), D175, "")</f>
        <v/>
      </c>
      <c r="C175" s="84" t="b">
        <f>IFERROR(__xludf.DUMMYFUNCTION("""COMPUTED_VALUE"""),FALSE)</f>
        <v>0</v>
      </c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93">
        <f>IFERROR(__xludf.DUMMYFUNCTION("""COMPUTED_VALUE"""),0.0)</f>
        <v>0</v>
      </c>
      <c r="W175" s="87">
        <f>IFERROR(__xludf.DUMMYFUNCTION("""COMPUTED_VALUE"""),0.0)</f>
        <v>0</v>
      </c>
      <c r="X175" s="84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4"/>
      <c r="AJ175" s="84"/>
      <c r="AK175" s="84"/>
    </row>
    <row r="176">
      <c r="A176" s="84"/>
      <c r="B176" s="89" t="str">
        <f>IF(OR(E176=Report!$B$1, F176=Report!$B$1, G176=Report!$B$1, H176=Report!$B$1), D176, "")</f>
        <v/>
      </c>
      <c r="C176" s="84" t="b">
        <f>IFERROR(__xludf.DUMMYFUNCTION("""COMPUTED_VALUE"""),FALSE)</f>
        <v>0</v>
      </c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93">
        <f>IFERROR(__xludf.DUMMYFUNCTION("""COMPUTED_VALUE"""),0.0)</f>
        <v>0</v>
      </c>
      <c r="W176" s="87">
        <f>IFERROR(__xludf.DUMMYFUNCTION("""COMPUTED_VALUE"""),0.0)</f>
        <v>0</v>
      </c>
      <c r="X176" s="84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4"/>
      <c r="AJ176" s="84"/>
      <c r="AK176" s="84"/>
    </row>
    <row r="177">
      <c r="A177" s="84"/>
      <c r="B177" s="89" t="str">
        <f>IF(OR(E177=Report!$B$1, F177=Report!$B$1, G177=Report!$B$1, H177=Report!$B$1), D177, "")</f>
        <v/>
      </c>
      <c r="C177" s="84" t="b">
        <f>IFERROR(__xludf.DUMMYFUNCTION("""COMPUTED_VALUE"""),FALSE)</f>
        <v>0</v>
      </c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93">
        <f>IFERROR(__xludf.DUMMYFUNCTION("""COMPUTED_VALUE"""),0.0)</f>
        <v>0</v>
      </c>
      <c r="W177" s="87">
        <f>IFERROR(__xludf.DUMMYFUNCTION("""COMPUTED_VALUE"""),0.0)</f>
        <v>0</v>
      </c>
      <c r="X177" s="84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4"/>
      <c r="AJ177" s="84"/>
      <c r="AK177" s="84"/>
    </row>
    <row r="178">
      <c r="A178" s="84"/>
      <c r="B178" s="89" t="str">
        <f>IF(OR(E178=Report!$B$1, F178=Report!$B$1, G178=Report!$B$1, H178=Report!$B$1), D178, "")</f>
        <v/>
      </c>
      <c r="C178" s="84" t="b">
        <f>IFERROR(__xludf.DUMMYFUNCTION("""COMPUTED_VALUE"""),FALSE)</f>
        <v>0</v>
      </c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93">
        <f>IFERROR(__xludf.DUMMYFUNCTION("""COMPUTED_VALUE"""),0.0)</f>
        <v>0</v>
      </c>
      <c r="W178" s="87">
        <f>IFERROR(__xludf.DUMMYFUNCTION("""COMPUTED_VALUE"""),0.0)</f>
        <v>0</v>
      </c>
      <c r="X178" s="84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4"/>
      <c r="AJ178" s="84"/>
      <c r="AK178" s="84"/>
    </row>
    <row r="179">
      <c r="A179" s="84"/>
      <c r="B179" s="89" t="str">
        <f>IF(OR(E179=Report!$B$1, F179=Report!$B$1, G179=Report!$B$1, H179=Report!$B$1), D179, "")</f>
        <v/>
      </c>
      <c r="C179" s="84" t="b">
        <f>IFERROR(__xludf.DUMMYFUNCTION("""COMPUTED_VALUE"""),FALSE)</f>
        <v>0</v>
      </c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93">
        <f>IFERROR(__xludf.DUMMYFUNCTION("""COMPUTED_VALUE"""),0.0)</f>
        <v>0</v>
      </c>
      <c r="W179" s="87">
        <f>IFERROR(__xludf.DUMMYFUNCTION("""COMPUTED_VALUE"""),0.0)</f>
        <v>0</v>
      </c>
      <c r="X179" s="84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4"/>
      <c r="AJ179" s="84"/>
      <c r="AK179" s="84"/>
    </row>
    <row r="180">
      <c r="A180" s="84"/>
      <c r="B180" s="84"/>
      <c r="C180" s="84" t="b">
        <f>IFERROR(__xludf.DUMMYFUNCTION("""COMPUTED_VALUE"""),FALSE)</f>
        <v>0</v>
      </c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93">
        <f>IFERROR(__xludf.DUMMYFUNCTION("""COMPUTED_VALUE"""),0.0)</f>
        <v>0</v>
      </c>
      <c r="W180" s="87">
        <f>IFERROR(__xludf.DUMMYFUNCTION("""COMPUTED_VALUE"""),0.0)</f>
        <v>0</v>
      </c>
      <c r="X180" s="84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4"/>
      <c r="AJ180" s="84"/>
      <c r="AK180" s="84"/>
    </row>
    <row r="181">
      <c r="A181" s="84"/>
      <c r="B181" s="84"/>
      <c r="C181" s="84" t="b">
        <f>IFERROR(__xludf.DUMMYFUNCTION("""COMPUTED_VALUE"""),FALSE)</f>
        <v>0</v>
      </c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93">
        <f>IFERROR(__xludf.DUMMYFUNCTION("""COMPUTED_VALUE"""),0.0)</f>
        <v>0</v>
      </c>
      <c r="W181" s="87">
        <f>IFERROR(__xludf.DUMMYFUNCTION("""COMPUTED_VALUE"""),0.0)</f>
        <v>0</v>
      </c>
      <c r="X181" s="84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4"/>
      <c r="AJ181" s="84"/>
      <c r="AK181" s="84"/>
    </row>
    <row r="182">
      <c r="A182" s="84"/>
      <c r="B182" s="84"/>
      <c r="C182" s="84" t="b">
        <f>IFERROR(__xludf.DUMMYFUNCTION("""COMPUTED_VALUE"""),FALSE)</f>
        <v>0</v>
      </c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93">
        <f>IFERROR(__xludf.DUMMYFUNCTION("""COMPUTED_VALUE"""),0.0)</f>
        <v>0</v>
      </c>
      <c r="W182" s="87">
        <f>IFERROR(__xludf.DUMMYFUNCTION("""COMPUTED_VALUE"""),0.0)</f>
        <v>0</v>
      </c>
      <c r="X182" s="84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4"/>
      <c r="AJ182" s="84"/>
      <c r="AK182" s="84"/>
    </row>
    <row r="183">
      <c r="A183" s="84"/>
      <c r="B183" s="84"/>
      <c r="C183" s="84" t="b">
        <f>IFERROR(__xludf.DUMMYFUNCTION("""COMPUTED_VALUE"""),FALSE)</f>
        <v>0</v>
      </c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93">
        <f>IFERROR(__xludf.DUMMYFUNCTION("""COMPUTED_VALUE"""),0.0)</f>
        <v>0</v>
      </c>
      <c r="W183" s="87">
        <f>IFERROR(__xludf.DUMMYFUNCTION("""COMPUTED_VALUE"""),0.0)</f>
        <v>0</v>
      </c>
      <c r="X183" s="84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4"/>
      <c r="AJ183" s="84"/>
      <c r="AK183" s="84"/>
    </row>
    <row r="184">
      <c r="A184" s="84"/>
      <c r="B184" s="84"/>
      <c r="C184" s="84" t="b">
        <f>IFERROR(__xludf.DUMMYFUNCTION("""COMPUTED_VALUE"""),FALSE)</f>
        <v>0</v>
      </c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93">
        <f>IFERROR(__xludf.DUMMYFUNCTION("""COMPUTED_VALUE"""),0.0)</f>
        <v>0</v>
      </c>
      <c r="W184" s="87">
        <f>IFERROR(__xludf.DUMMYFUNCTION("""COMPUTED_VALUE"""),0.0)</f>
        <v>0</v>
      </c>
      <c r="X184" s="84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4"/>
      <c r="AJ184" s="84"/>
      <c r="AK184" s="84"/>
    </row>
    <row r="185">
      <c r="A185" s="84"/>
      <c r="B185" s="84"/>
      <c r="C185" s="84" t="b">
        <f>IFERROR(__xludf.DUMMYFUNCTION("""COMPUTED_VALUE"""),FALSE)</f>
        <v>0</v>
      </c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93">
        <f>IFERROR(__xludf.DUMMYFUNCTION("""COMPUTED_VALUE"""),0.0)</f>
        <v>0</v>
      </c>
      <c r="W185" s="87">
        <f>IFERROR(__xludf.DUMMYFUNCTION("""COMPUTED_VALUE"""),0.0)</f>
        <v>0</v>
      </c>
      <c r="X185" s="84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4"/>
      <c r="AJ185" s="84"/>
      <c r="AK185" s="84"/>
    </row>
    <row r="186">
      <c r="A186" s="84"/>
      <c r="B186" s="84"/>
      <c r="C186" s="84" t="b">
        <f>IFERROR(__xludf.DUMMYFUNCTION("""COMPUTED_VALUE"""),FALSE)</f>
        <v>0</v>
      </c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93">
        <f>IFERROR(__xludf.DUMMYFUNCTION("""COMPUTED_VALUE"""),0.0)</f>
        <v>0</v>
      </c>
      <c r="W186" s="87">
        <f>IFERROR(__xludf.DUMMYFUNCTION("""COMPUTED_VALUE"""),0.0)</f>
        <v>0</v>
      </c>
      <c r="X186" s="84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4"/>
      <c r="AJ186" s="84"/>
      <c r="AK186" s="84"/>
    </row>
    <row r="187">
      <c r="A187" s="84"/>
      <c r="B187" s="84"/>
      <c r="C187" s="84" t="b">
        <f>IFERROR(__xludf.DUMMYFUNCTION("""COMPUTED_VALUE"""),FALSE)</f>
        <v>0</v>
      </c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93">
        <f>IFERROR(__xludf.DUMMYFUNCTION("""COMPUTED_VALUE"""),0.0)</f>
        <v>0</v>
      </c>
      <c r="W187" s="87">
        <f>IFERROR(__xludf.DUMMYFUNCTION("""COMPUTED_VALUE"""),0.0)</f>
        <v>0</v>
      </c>
      <c r="X187" s="84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4"/>
      <c r="AJ187" s="84"/>
      <c r="AK187" s="84"/>
    </row>
    <row r="188">
      <c r="A188" s="84"/>
      <c r="B188" s="84"/>
      <c r="C188" s="84" t="b">
        <f>IFERROR(__xludf.DUMMYFUNCTION("""COMPUTED_VALUE"""),FALSE)</f>
        <v>0</v>
      </c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93">
        <f>IFERROR(__xludf.DUMMYFUNCTION("""COMPUTED_VALUE"""),0.0)</f>
        <v>0</v>
      </c>
      <c r="W188" s="87">
        <f>IFERROR(__xludf.DUMMYFUNCTION("""COMPUTED_VALUE"""),0.0)</f>
        <v>0</v>
      </c>
      <c r="X188" s="84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4"/>
      <c r="AJ188" s="84"/>
      <c r="AK188" s="84"/>
    </row>
    <row r="189">
      <c r="A189" s="84"/>
      <c r="B189" s="84"/>
      <c r="C189" s="84" t="b">
        <f>IFERROR(__xludf.DUMMYFUNCTION("""COMPUTED_VALUE"""),FALSE)</f>
        <v>0</v>
      </c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93">
        <f>IFERROR(__xludf.DUMMYFUNCTION("""COMPUTED_VALUE"""),0.0)</f>
        <v>0</v>
      </c>
      <c r="W189" s="87">
        <f>IFERROR(__xludf.DUMMYFUNCTION("""COMPUTED_VALUE"""),0.0)</f>
        <v>0</v>
      </c>
      <c r="X189" s="84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4"/>
      <c r="AJ189" s="84"/>
      <c r="AK189" s="84"/>
    </row>
    <row r="190">
      <c r="A190" s="84"/>
      <c r="B190" s="84"/>
      <c r="C190" s="84" t="b">
        <f>IFERROR(__xludf.DUMMYFUNCTION("""COMPUTED_VALUE"""),FALSE)</f>
        <v>0</v>
      </c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93">
        <f>IFERROR(__xludf.DUMMYFUNCTION("""COMPUTED_VALUE"""),0.0)</f>
        <v>0</v>
      </c>
      <c r="W190" s="87">
        <f>IFERROR(__xludf.DUMMYFUNCTION("""COMPUTED_VALUE"""),0.0)</f>
        <v>0</v>
      </c>
      <c r="X190" s="84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4"/>
      <c r="AJ190" s="84"/>
      <c r="AK190" s="84"/>
    </row>
    <row r="191">
      <c r="A191" s="84"/>
      <c r="B191" s="84"/>
      <c r="C191" s="84" t="b">
        <f>IFERROR(__xludf.DUMMYFUNCTION("""COMPUTED_VALUE"""),FALSE)</f>
        <v>0</v>
      </c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93">
        <f>IFERROR(__xludf.DUMMYFUNCTION("""COMPUTED_VALUE"""),0.0)</f>
        <v>0</v>
      </c>
      <c r="W191" s="87">
        <f>IFERROR(__xludf.DUMMYFUNCTION("""COMPUTED_VALUE"""),0.0)</f>
        <v>0</v>
      </c>
      <c r="X191" s="84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4"/>
      <c r="AJ191" s="84"/>
      <c r="AK191" s="84"/>
    </row>
    <row r="192">
      <c r="A192" s="84"/>
      <c r="B192" s="84"/>
      <c r="C192" s="84" t="b">
        <f>IFERROR(__xludf.DUMMYFUNCTION("""COMPUTED_VALUE"""),FALSE)</f>
        <v>0</v>
      </c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93">
        <f>IFERROR(__xludf.DUMMYFUNCTION("""COMPUTED_VALUE"""),0.0)</f>
        <v>0</v>
      </c>
      <c r="W192" s="87">
        <f>IFERROR(__xludf.DUMMYFUNCTION("""COMPUTED_VALUE"""),0.0)</f>
        <v>0</v>
      </c>
      <c r="X192" s="84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4"/>
      <c r="AJ192" s="84"/>
      <c r="AK192" s="84"/>
    </row>
    <row r="193">
      <c r="A193" s="84"/>
      <c r="B193" s="84"/>
      <c r="C193" s="84" t="b">
        <f>IFERROR(__xludf.DUMMYFUNCTION("""COMPUTED_VALUE"""),FALSE)</f>
        <v>0</v>
      </c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93">
        <f>IFERROR(__xludf.DUMMYFUNCTION("""COMPUTED_VALUE"""),0.0)</f>
        <v>0</v>
      </c>
      <c r="W193" s="87" t="str">
        <f>IFERROR(__xludf.DUMMYFUNCTION("""COMPUTED_VALUE"""),"")</f>
        <v/>
      </c>
      <c r="X193" s="84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4"/>
      <c r="AJ193" s="84"/>
      <c r="AK193" s="84"/>
    </row>
    <row r="194">
      <c r="A194" s="84"/>
      <c r="B194" s="84"/>
      <c r="C194" s="84"/>
      <c r="D194" s="84" t="str">
        <f>IFERROR(__xludf.DUMMYFUNCTION("""COMPUTED_VALUE"""),"End")</f>
        <v>End</v>
      </c>
      <c r="E194" s="84"/>
      <c r="F194" s="84"/>
      <c r="G194" s="84"/>
      <c r="H194" s="84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93">
        <f>IFERROR(__xludf.DUMMYFUNCTION("""COMPUTED_VALUE"""),0.0)</f>
        <v>0</v>
      </c>
      <c r="W194" s="87" t="str">
        <f>IFERROR(__xludf.DUMMYFUNCTION("""COMPUTED_VALUE"""),"")</f>
        <v/>
      </c>
      <c r="X194" s="84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4"/>
      <c r="AJ194" s="84"/>
      <c r="AK194" s="84"/>
    </row>
    <row r="195">
      <c r="A195" s="84"/>
      <c r="B195" s="84"/>
      <c r="C195" s="84"/>
      <c r="D195" s="84" t="str">
        <f>IFERROR(__xludf.DUMMYFUNCTION("""COMPUTED_VALUE"""),"Celkem kurýr")</f>
        <v>Celkem kurýr</v>
      </c>
      <c r="E195" s="84"/>
      <c r="F195" s="84"/>
      <c r="G195" s="84"/>
      <c r="H195" s="84"/>
      <c r="I195" s="84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7" t="str">
        <f>IFERROR(__xludf.DUMMYFUNCTION("""COMPUTED_VALUE"""),"")</f>
        <v/>
      </c>
      <c r="X195" s="84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4"/>
      <c r="AJ195" s="84"/>
      <c r="AK195" s="84"/>
    </row>
    <row r="196">
      <c r="A196" s="84"/>
      <c r="B196" s="84"/>
      <c r="C196" s="84"/>
      <c r="D196" s="84" t="str">
        <f>IFERROR(__xludf.DUMMYFUNCTION("""COMPUTED_VALUE"""),"Celkem inst + kurýr")</f>
        <v>Celkem inst + kurýr</v>
      </c>
      <c r="E196" s="84"/>
      <c r="F196" s="84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7">
        <f>IFERROR(__xludf.DUMMYFUNCTION("""COMPUTED_VALUE"""),0.0)</f>
        <v>0</v>
      </c>
      <c r="W196" s="87">
        <f>IFERROR(__xludf.DUMMYFUNCTION("""COMPUTED_VALUE"""),74723.2)</f>
        <v>74723.2</v>
      </c>
      <c r="X196" s="84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</row>
    <row r="197">
      <c r="A197" s="84"/>
      <c r="B197" s="84"/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7"/>
      <c r="X197" s="84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4"/>
      <c r="AJ197" s="84"/>
      <c r="AK197" s="84"/>
    </row>
    <row r="198">
      <c r="A198" s="84"/>
      <c r="B198" s="84"/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7"/>
      <c r="X198" s="84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4"/>
      <c r="AJ198" s="84"/>
      <c r="AK198" s="84"/>
    </row>
    <row r="199">
      <c r="A199" s="84"/>
      <c r="B199" s="84"/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7"/>
      <c r="X199" s="84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4"/>
      <c r="AJ199" s="84"/>
      <c r="AK199" s="84"/>
    </row>
    <row r="200">
      <c r="A200" s="84"/>
      <c r="B200" s="84"/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7"/>
      <c r="X200" s="84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4"/>
      <c r="AJ200" s="84"/>
      <c r="AK200" s="84"/>
    </row>
    <row r="201">
      <c r="A201" s="84"/>
      <c r="B201" s="84"/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7"/>
      <c r="X201" s="84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4"/>
      <c r="AJ201" s="84"/>
      <c r="AK201" s="84"/>
    </row>
    <row r="202">
      <c r="A202" s="84"/>
      <c r="B202" s="84"/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7"/>
      <c r="X202" s="84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4"/>
      <c r="AJ202" s="84"/>
      <c r="AK202" s="84"/>
    </row>
    <row r="203">
      <c r="A203" s="84"/>
      <c r="B203" s="84"/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7"/>
      <c r="X203" s="84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4"/>
      <c r="AJ203" s="84"/>
      <c r="AK203" s="84"/>
    </row>
    <row r="204">
      <c r="A204" s="84"/>
      <c r="B204" s="84"/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7"/>
      <c r="X204" s="84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4"/>
      <c r="AJ204" s="84"/>
      <c r="AK204" s="84"/>
    </row>
    <row r="205">
      <c r="A205" s="84"/>
      <c r="B205" s="84"/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7"/>
      <c r="X205" s="84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4"/>
      <c r="AJ205" s="84"/>
      <c r="AK205" s="84"/>
    </row>
    <row r="206">
      <c r="A206" s="84"/>
      <c r="B206" s="84"/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7"/>
      <c r="X206" s="84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4"/>
      <c r="AJ206" s="84"/>
      <c r="AK206" s="84"/>
    </row>
    <row r="207">
      <c r="A207" s="84"/>
      <c r="B207" s="84"/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7"/>
      <c r="X207" s="84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4"/>
      <c r="AJ207" s="84"/>
      <c r="AK207" s="84"/>
    </row>
    <row r="208">
      <c r="A208" s="84"/>
      <c r="B208" s="84"/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7"/>
      <c r="X208" s="84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4"/>
      <c r="AJ208" s="84"/>
      <c r="AK208" s="84"/>
    </row>
    <row r="209">
      <c r="A209" s="84"/>
      <c r="B209" s="84"/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7"/>
      <c r="X209" s="84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4"/>
      <c r="AJ209" s="84"/>
      <c r="AK209" s="84"/>
    </row>
    <row r="210">
      <c r="A210" s="84"/>
      <c r="B210" s="84"/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7"/>
      <c r="X210" s="84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4"/>
      <c r="AJ210" s="84"/>
      <c r="AK210" s="84"/>
    </row>
    <row r="211">
      <c r="A211" s="84"/>
      <c r="B211" s="84"/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7"/>
      <c r="X211" s="84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4"/>
      <c r="AJ211" s="84"/>
      <c r="AK211" s="84"/>
    </row>
    <row r="212">
      <c r="A212" s="84"/>
      <c r="B212" s="84"/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7"/>
      <c r="X212" s="84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4"/>
      <c r="AJ212" s="84"/>
      <c r="AK212" s="84"/>
    </row>
    <row r="213">
      <c r="A213" s="84"/>
      <c r="B213" s="84"/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7"/>
      <c r="X213" s="84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4"/>
      <c r="AJ213" s="84"/>
      <c r="AK213" s="84"/>
    </row>
    <row r="214">
      <c r="A214" s="84"/>
      <c r="B214" s="84"/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7"/>
      <c r="X214" s="84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4"/>
      <c r="AJ214" s="84"/>
      <c r="AK214" s="84"/>
    </row>
    <row r="215">
      <c r="A215" s="84"/>
      <c r="B215" s="84"/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7"/>
      <c r="X215" s="84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4"/>
      <c r="AJ215" s="84"/>
      <c r="AK215" s="84"/>
    </row>
    <row r="216">
      <c r="A216" s="84"/>
      <c r="B216" s="84"/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7"/>
      <c r="X216" s="84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4"/>
      <c r="AJ216" s="84"/>
      <c r="AK216" s="84"/>
    </row>
    <row r="217">
      <c r="A217" s="84"/>
      <c r="B217" s="84"/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7"/>
      <c r="X217" s="84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4"/>
      <c r="AJ217" s="84"/>
      <c r="AK217" s="84"/>
    </row>
    <row r="218">
      <c r="A218" s="84"/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7"/>
      <c r="X218" s="84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4"/>
      <c r="AJ218" s="84"/>
      <c r="AK218" s="84"/>
    </row>
    <row r="219">
      <c r="A219" s="84"/>
      <c r="B219" s="84"/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7"/>
      <c r="X219" s="84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4"/>
      <c r="AJ219" s="84"/>
      <c r="AK219" s="84"/>
    </row>
    <row r="220">
      <c r="A220" s="84"/>
      <c r="B220" s="84"/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7"/>
      <c r="X220" s="84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4"/>
      <c r="AJ220" s="84"/>
      <c r="AK220" s="84"/>
    </row>
    <row r="221">
      <c r="A221" s="84"/>
      <c r="B221" s="84"/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7"/>
      <c r="X221" s="84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4"/>
      <c r="AJ221" s="84"/>
      <c r="AK221" s="84"/>
    </row>
    <row r="222">
      <c r="A222" s="84"/>
      <c r="B222" s="84"/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7"/>
      <c r="X222" s="84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4"/>
      <c r="AJ222" s="84"/>
      <c r="AK222" s="84"/>
    </row>
    <row r="223">
      <c r="A223" s="84"/>
      <c r="B223" s="84"/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7"/>
      <c r="X223" s="84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4"/>
      <c r="AJ223" s="84"/>
      <c r="AK223" s="84"/>
    </row>
    <row r="224">
      <c r="A224" s="84"/>
      <c r="B224" s="84"/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7"/>
      <c r="X224" s="84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4"/>
      <c r="AJ224" s="84"/>
      <c r="AK224" s="84"/>
    </row>
    <row r="225">
      <c r="A225" s="84"/>
      <c r="B225" s="84"/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7"/>
      <c r="X225" s="84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4"/>
      <c r="AJ225" s="84"/>
      <c r="AK225" s="84"/>
    </row>
    <row r="226">
      <c r="A226" s="84"/>
      <c r="B226" s="84"/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7"/>
      <c r="X226" s="84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4"/>
      <c r="AJ226" s="84"/>
      <c r="AK226" s="84"/>
    </row>
    <row r="227">
      <c r="A227" s="84"/>
      <c r="B227" s="84"/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7"/>
      <c r="X227" s="84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4"/>
      <c r="AJ227" s="84"/>
      <c r="AK227" s="84"/>
    </row>
    <row r="228">
      <c r="A228" s="84"/>
      <c r="B228" s="84"/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7"/>
      <c r="X228" s="84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4"/>
      <c r="AJ228" s="84"/>
      <c r="AK228" s="84"/>
    </row>
    <row r="229">
      <c r="A229" s="84"/>
      <c r="B229" s="84"/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7"/>
      <c r="X229" s="84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4"/>
      <c r="AJ229" s="84"/>
      <c r="AK229" s="84"/>
    </row>
    <row r="230">
      <c r="A230" s="84"/>
      <c r="B230" s="84"/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7"/>
      <c r="X230" s="84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4"/>
      <c r="AJ230" s="84"/>
      <c r="AK230" s="84"/>
    </row>
    <row r="231">
      <c r="A231" s="84"/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7"/>
      <c r="X231" s="84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4"/>
      <c r="AJ231" s="84"/>
      <c r="AK231" s="84"/>
    </row>
    <row r="232">
      <c r="A232" s="84"/>
      <c r="B232" s="84"/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7"/>
      <c r="X232" s="84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4"/>
      <c r="AJ232" s="84"/>
      <c r="AK232" s="84"/>
    </row>
    <row r="233">
      <c r="A233" s="84"/>
      <c r="B233" s="84"/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7"/>
      <c r="X233" s="84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4"/>
      <c r="AJ233" s="84"/>
      <c r="AK233" s="84"/>
    </row>
    <row r="234">
      <c r="A234" s="84"/>
      <c r="B234" s="84"/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7"/>
      <c r="X234" s="84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4"/>
      <c r="AJ234" s="84"/>
      <c r="AK234" s="84"/>
    </row>
    <row r="235">
      <c r="A235" s="84"/>
      <c r="B235" s="84"/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7"/>
      <c r="X235" s="84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4"/>
      <c r="AJ235" s="84"/>
      <c r="AK235" s="84"/>
    </row>
    <row r="236">
      <c r="A236" s="84"/>
      <c r="B236" s="84"/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7"/>
      <c r="X236" s="84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4"/>
      <c r="AJ236" s="84"/>
      <c r="AK236" s="84"/>
    </row>
    <row r="237">
      <c r="A237" s="84"/>
      <c r="B237" s="84"/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7"/>
      <c r="X237" s="84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4"/>
      <c r="AJ237" s="84"/>
      <c r="AK237" s="84"/>
    </row>
    <row r="238">
      <c r="A238" s="84"/>
      <c r="B238" s="84"/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7"/>
      <c r="X238" s="84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4"/>
      <c r="AJ238" s="84"/>
      <c r="AK238" s="84"/>
    </row>
    <row r="239">
      <c r="A239" s="84"/>
      <c r="B239" s="84"/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7"/>
      <c r="X239" s="84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4"/>
      <c r="AJ239" s="84"/>
      <c r="AK239" s="84"/>
    </row>
    <row r="240">
      <c r="A240" s="84"/>
      <c r="B240" s="84"/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7"/>
      <c r="X240" s="84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4"/>
      <c r="AJ240" s="84"/>
      <c r="AK240" s="84"/>
    </row>
    <row r="241">
      <c r="A241" s="84"/>
      <c r="B241" s="84"/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7"/>
      <c r="X241" s="84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4"/>
      <c r="AJ241" s="84"/>
      <c r="AK241" s="84"/>
    </row>
    <row r="242">
      <c r="A242" s="84"/>
      <c r="B242" s="84"/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7"/>
      <c r="X242" s="84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4"/>
      <c r="AJ242" s="84"/>
      <c r="AK242" s="84"/>
    </row>
    <row r="243">
      <c r="A243" s="84"/>
      <c r="B243" s="84"/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7"/>
      <c r="X243" s="84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4"/>
      <c r="AJ243" s="84"/>
      <c r="AK243" s="84"/>
    </row>
    <row r="244">
      <c r="A244" s="84"/>
      <c r="B244" s="84"/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7"/>
      <c r="X244" s="84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4"/>
      <c r="AJ244" s="84"/>
      <c r="AK244" s="84"/>
    </row>
    <row r="245">
      <c r="A245" s="84"/>
      <c r="B245" s="84"/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7"/>
      <c r="X245" s="84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4"/>
      <c r="AJ245" s="84"/>
      <c r="AK245" s="84"/>
    </row>
    <row r="246">
      <c r="A246" s="84"/>
      <c r="B246" s="84"/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7"/>
      <c r="X246" s="84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4"/>
      <c r="AJ246" s="84"/>
      <c r="AK246" s="84"/>
    </row>
    <row r="247">
      <c r="A247" s="84"/>
      <c r="B247" s="84"/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7"/>
      <c r="X247" s="84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4"/>
      <c r="AJ247" s="84"/>
      <c r="AK247" s="84"/>
    </row>
    <row r="248">
      <c r="A248" s="84"/>
      <c r="B248" s="84"/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7"/>
      <c r="X248" s="84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4"/>
      <c r="AJ248" s="84"/>
      <c r="AK248" s="84"/>
    </row>
    <row r="249">
      <c r="A249" s="84"/>
      <c r="B249" s="84"/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7"/>
      <c r="X249" s="84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4"/>
      <c r="AJ249" s="84"/>
      <c r="AK249" s="84"/>
    </row>
    <row r="250">
      <c r="A250" s="84"/>
      <c r="B250" s="84"/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7"/>
      <c r="X250" s="84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4"/>
      <c r="AJ250" s="84"/>
      <c r="AK250" s="84"/>
    </row>
    <row r="251">
      <c r="A251" s="84"/>
      <c r="B251" s="84"/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7"/>
      <c r="X251" s="84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4"/>
      <c r="AJ251" s="84"/>
      <c r="AK251" s="84"/>
    </row>
    <row r="252">
      <c r="A252" s="84"/>
      <c r="B252" s="84"/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7"/>
      <c r="X252" s="84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4"/>
      <c r="AJ252" s="84"/>
      <c r="AK252" s="84"/>
    </row>
    <row r="253">
      <c r="A253" s="84"/>
      <c r="B253" s="84"/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7"/>
      <c r="X253" s="84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4"/>
      <c r="AJ253" s="84"/>
      <c r="AK253" s="84"/>
    </row>
    <row r="254">
      <c r="A254" s="84"/>
      <c r="B254" s="84"/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7"/>
      <c r="X254" s="84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4"/>
      <c r="AJ254" s="84"/>
      <c r="AK254" s="84"/>
    </row>
    <row r="255">
      <c r="A255" s="84"/>
      <c r="B255" s="84"/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7"/>
      <c r="X255" s="84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4"/>
      <c r="AJ255" s="84"/>
      <c r="AK255" s="84"/>
    </row>
    <row r="256">
      <c r="A256" s="84"/>
      <c r="B256" s="84"/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7"/>
      <c r="X256" s="84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4"/>
      <c r="AJ256" s="84"/>
      <c r="AK256" s="84"/>
    </row>
    <row r="257">
      <c r="A257" s="84"/>
      <c r="B257" s="84"/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7"/>
      <c r="X257" s="84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4"/>
      <c r="AJ257" s="84"/>
      <c r="AK257" s="84"/>
    </row>
    <row r="258">
      <c r="A258" s="84"/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7"/>
      <c r="X258" s="84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4"/>
      <c r="AJ258" s="84"/>
      <c r="AK258" s="84"/>
    </row>
    <row r="259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7"/>
      <c r="X259" s="84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4"/>
      <c r="AJ259" s="84"/>
      <c r="AK259" s="84"/>
    </row>
    <row r="260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7"/>
      <c r="X260" s="84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4"/>
      <c r="AJ260" s="84"/>
      <c r="AK260" s="84"/>
    </row>
    <row r="261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7"/>
      <c r="X261" s="84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4"/>
      <c r="AJ261" s="84"/>
      <c r="AK261" s="84"/>
    </row>
    <row r="26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7"/>
      <c r="X262" s="84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4"/>
      <c r="AJ262" s="84"/>
      <c r="AK262" s="84"/>
    </row>
    <row r="263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7"/>
      <c r="X263" s="84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4"/>
      <c r="AJ263" s="84"/>
      <c r="AK263" s="84"/>
    </row>
    <row r="264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7"/>
      <c r="X264" s="84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4"/>
      <c r="AJ264" s="84"/>
      <c r="AK264" s="84"/>
    </row>
    <row r="265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7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</row>
    <row r="266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7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</row>
    <row r="267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7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</row>
    <row r="268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7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</row>
    <row r="269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7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</row>
    <row r="270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7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</row>
    <row r="27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7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</row>
    <row r="272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7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</row>
    <row r="273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7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</row>
    <row r="274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7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</row>
    <row r="275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7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</row>
    <row r="276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7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</row>
    <row r="277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7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</row>
    <row r="278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7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</row>
    <row r="279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7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</row>
    <row r="280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7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</row>
    <row r="28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7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</row>
    <row r="28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7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</row>
    <row r="283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7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</row>
    <row r="284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7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</row>
    <row r="285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7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</row>
    <row r="286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7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</row>
    <row r="287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7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</row>
    <row r="288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7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</row>
    <row r="289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7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</row>
    <row r="290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7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</row>
    <row r="29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7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</row>
    <row r="29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7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</row>
    <row r="293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7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</row>
    <row r="294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7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</row>
    <row r="295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7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</row>
    <row r="296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7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</row>
    <row r="297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7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</row>
    <row r="298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7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</row>
    <row r="299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7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</row>
    <row r="300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7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</row>
    <row r="30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7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</row>
    <row r="30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7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</row>
    <row r="303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7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</row>
    <row r="304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7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</row>
    <row r="305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7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</row>
    <row r="306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7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</row>
    <row r="307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7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</row>
    <row r="308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7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</row>
    <row r="309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7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</row>
    <row r="310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7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</row>
    <row r="31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7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</row>
    <row r="31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7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</row>
    <row r="313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7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</row>
    <row r="314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7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</row>
    <row r="315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7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</row>
    <row r="316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7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</row>
    <row r="317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7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</row>
    <row r="318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7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</row>
    <row r="319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7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</row>
    <row r="320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7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</row>
    <row r="32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7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</row>
    <row r="32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7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</row>
    <row r="323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7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</row>
    <row r="324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7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</row>
    <row r="325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7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</row>
    <row r="326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7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</row>
    <row r="327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7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</row>
    <row r="328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7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</row>
    <row r="329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7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</row>
    <row r="330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7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</row>
    <row r="33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7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</row>
    <row r="33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7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</row>
    <row r="333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7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</row>
    <row r="334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7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</row>
    <row r="335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7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</row>
    <row r="336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7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</row>
    <row r="337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7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</row>
    <row r="338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7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</row>
    <row r="339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7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</row>
    <row r="340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7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</row>
    <row r="34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7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</row>
    <row r="34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7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</row>
    <row r="343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7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</row>
    <row r="344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7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</row>
    <row r="345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7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</row>
    <row r="346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7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</row>
    <row r="347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7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</row>
    <row r="348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7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</row>
    <row r="349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7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</row>
    <row r="350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7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</row>
    <row r="35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7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</row>
    <row r="35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7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</row>
    <row r="353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7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</row>
    <row r="354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7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</row>
    <row r="355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7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</row>
    <row r="356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7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</row>
    <row r="357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7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</row>
    <row r="358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7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</row>
    <row r="359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7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</row>
    <row r="360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7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</row>
    <row r="36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7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</row>
    <row r="36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7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</row>
    <row r="363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7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</row>
    <row r="364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7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</row>
    <row r="365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7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</row>
    <row r="366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7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</row>
    <row r="367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7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</row>
    <row r="368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7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</row>
    <row r="369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7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</row>
    <row r="370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7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</row>
    <row r="37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7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</row>
    <row r="37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7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</row>
    <row r="373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7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</row>
    <row r="374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7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</row>
    <row r="375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7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</row>
    <row r="376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7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</row>
    <row r="377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7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</row>
    <row r="378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7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</row>
    <row r="379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7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</row>
    <row r="380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7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</row>
    <row r="38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7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</row>
    <row r="38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7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</row>
    <row r="383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7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</row>
    <row r="384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7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</row>
    <row r="385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7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</row>
    <row r="386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7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</row>
    <row r="387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7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</row>
    <row r="388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7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</row>
    <row r="389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7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</row>
    <row r="390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7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</row>
    <row r="39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7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</row>
    <row r="39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7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</row>
    <row r="393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7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</row>
    <row r="394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7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</row>
    <row r="395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7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</row>
    <row r="396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7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</row>
    <row r="397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7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</row>
    <row r="398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7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</row>
    <row r="399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7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</row>
    <row r="400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7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</row>
    <row r="40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7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</row>
    <row r="40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7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</row>
    <row r="403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7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</row>
    <row r="404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7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</row>
    <row r="405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7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</row>
    <row r="406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7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</row>
    <row r="407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7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</row>
    <row r="408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7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</row>
    <row r="409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7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</row>
    <row r="410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7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</row>
    <row r="41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7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</row>
    <row r="41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7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</row>
    <row r="413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7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</row>
    <row r="414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7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</row>
    <row r="415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7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</row>
    <row r="416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7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</row>
    <row r="417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7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</row>
    <row r="418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7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</row>
    <row r="419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7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</row>
    <row r="420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7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</row>
    <row r="42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7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</row>
    <row r="42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7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</row>
    <row r="423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7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</row>
    <row r="424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7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</row>
    <row r="425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7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</row>
    <row r="426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7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</row>
    <row r="427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7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</row>
    <row r="428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7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</row>
    <row r="429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7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</row>
    <row r="430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7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</row>
    <row r="43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7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</row>
    <row r="432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7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</row>
    <row r="433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7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</row>
    <row r="434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7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</row>
    <row r="435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7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</row>
    <row r="436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7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</row>
    <row r="437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7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</row>
    <row r="438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7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</row>
    <row r="439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7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</row>
    <row r="440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7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</row>
    <row r="44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7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</row>
    <row r="442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7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</row>
    <row r="443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7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</row>
    <row r="444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7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</row>
    <row r="445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7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</row>
    <row r="446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7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</row>
    <row r="447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7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</row>
    <row r="448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7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</row>
    <row r="449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7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</row>
    <row r="450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7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</row>
    <row r="45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7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</row>
    <row r="452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7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</row>
    <row r="453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7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</row>
    <row r="454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7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</row>
    <row r="455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7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</row>
    <row r="456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7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</row>
    <row r="457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7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</row>
    <row r="458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7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</row>
    <row r="459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7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</row>
    <row r="460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7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</row>
    <row r="46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7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</row>
    <row r="462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7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</row>
    <row r="463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7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</row>
    <row r="464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7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</row>
    <row r="465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7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</row>
    <row r="466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7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</row>
    <row r="467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7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</row>
    <row r="468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7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</row>
    <row r="469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7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</row>
    <row r="470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7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</row>
    <row r="47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7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</row>
    <row r="472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7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</row>
    <row r="473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7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</row>
    <row r="474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7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</row>
    <row r="475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7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</row>
    <row r="476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7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</row>
    <row r="477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7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</row>
    <row r="478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7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</row>
    <row r="479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7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</row>
    <row r="480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7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</row>
    <row r="48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7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</row>
    <row r="482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7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</row>
    <row r="483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7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</row>
    <row r="484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7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</row>
    <row r="485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7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</row>
    <row r="486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7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</row>
    <row r="487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7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</row>
    <row r="488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7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</row>
    <row r="489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7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</row>
    <row r="490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7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</row>
    <row r="49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7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</row>
    <row r="492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7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</row>
    <row r="493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7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</row>
    <row r="494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7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</row>
    <row r="495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7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</row>
    <row r="496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7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</row>
    <row r="497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7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</row>
    <row r="498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7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</row>
    <row r="499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7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</row>
    <row r="500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7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</row>
    <row r="50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7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</row>
    <row r="502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7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</row>
    <row r="503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7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</row>
    <row r="504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7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</row>
    <row r="505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7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</row>
    <row r="506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7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</row>
    <row r="507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7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</row>
    <row r="508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7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</row>
    <row r="509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7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</row>
    <row r="510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7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</row>
    <row r="51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7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</row>
    <row r="512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7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</row>
    <row r="513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7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</row>
    <row r="514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7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</row>
    <row r="515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7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</row>
    <row r="516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7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</row>
    <row r="517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7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</row>
    <row r="518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7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</row>
    <row r="519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7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</row>
    <row r="520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7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</row>
    <row r="52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7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</row>
    <row r="522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7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</row>
    <row r="523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7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</row>
    <row r="524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7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</row>
    <row r="525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7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</row>
    <row r="526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7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</row>
    <row r="527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7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</row>
    <row r="528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7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</row>
    <row r="529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7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</row>
    <row r="530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7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</row>
    <row r="53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7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</row>
    <row r="532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7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</row>
    <row r="533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7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</row>
    <row r="534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7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</row>
    <row r="535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7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</row>
    <row r="536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7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</row>
    <row r="537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7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</row>
    <row r="538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7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</row>
    <row r="539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7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</row>
    <row r="540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7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</row>
    <row r="54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7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</row>
    <row r="542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7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</row>
    <row r="543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7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</row>
    <row r="544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7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</row>
    <row r="545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7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</row>
    <row r="546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7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</row>
    <row r="547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7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</row>
    <row r="548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7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</row>
    <row r="549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7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</row>
    <row r="550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7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</row>
    <row r="55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7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</row>
    <row r="552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7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</row>
    <row r="553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7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</row>
    <row r="554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7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</row>
    <row r="555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7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</row>
    <row r="556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7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</row>
    <row r="557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7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</row>
    <row r="558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7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</row>
    <row r="559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7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</row>
    <row r="560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7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4"/>
      <c r="AI560" s="84"/>
      <c r="AJ560" s="84"/>
      <c r="AK560" s="84"/>
    </row>
    <row r="56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7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4"/>
      <c r="AI561" s="84"/>
      <c r="AJ561" s="84"/>
      <c r="AK561" s="84"/>
    </row>
    <row r="562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7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4"/>
      <c r="AI562" s="84"/>
      <c r="AJ562" s="84"/>
      <c r="AK562" s="84"/>
    </row>
    <row r="563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7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4"/>
      <c r="AI563" s="84"/>
      <c r="AJ563" s="84"/>
      <c r="AK563" s="84"/>
    </row>
    <row r="564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7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4"/>
      <c r="AI564" s="84"/>
      <c r="AJ564" s="84"/>
      <c r="AK564" s="84"/>
    </row>
    <row r="565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7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4"/>
      <c r="AI565" s="84"/>
      <c r="AJ565" s="84"/>
      <c r="AK565" s="84"/>
    </row>
    <row r="566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7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</row>
    <row r="567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7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</row>
    <row r="568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7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</row>
    <row r="569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7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</row>
    <row r="570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7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</row>
    <row r="57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7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</row>
    <row r="572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7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</row>
    <row r="573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7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</row>
    <row r="574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7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</row>
    <row r="575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7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</row>
    <row r="576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7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</row>
    <row r="577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7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</row>
    <row r="578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7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</row>
    <row r="579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7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</row>
    <row r="580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7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</row>
    <row r="58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7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</row>
    <row r="582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7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</row>
    <row r="583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7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</row>
    <row r="584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7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</row>
    <row r="585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7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</row>
    <row r="586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7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</row>
    <row r="587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7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</row>
    <row r="588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7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</row>
    <row r="589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7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</row>
    <row r="590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7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</row>
    <row r="59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7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</row>
    <row r="592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7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</row>
    <row r="593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7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</row>
    <row r="594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7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</row>
    <row r="595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7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</row>
    <row r="596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7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</row>
    <row r="597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7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</row>
    <row r="598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7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</row>
    <row r="599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7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</row>
    <row r="600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7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</row>
    <row r="60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7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</row>
    <row r="602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7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</row>
    <row r="603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7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</row>
    <row r="604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7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</row>
    <row r="605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7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</row>
    <row r="606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7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</row>
    <row r="607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7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</row>
    <row r="608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7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</row>
    <row r="609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7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</row>
    <row r="610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7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</row>
    <row r="61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7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4"/>
      <c r="AI611" s="84"/>
      <c r="AJ611" s="84"/>
      <c r="AK611" s="84"/>
    </row>
    <row r="612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7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4"/>
      <c r="AI612" s="84"/>
      <c r="AJ612" s="84"/>
      <c r="AK612" s="84"/>
    </row>
    <row r="613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7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4"/>
      <c r="AI613" s="84"/>
      <c r="AJ613" s="84"/>
      <c r="AK613" s="84"/>
    </row>
    <row r="614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7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4"/>
      <c r="AI614" s="84"/>
      <c r="AJ614" s="84"/>
      <c r="AK614" s="84"/>
    </row>
    <row r="615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7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4"/>
      <c r="AI615" s="84"/>
      <c r="AJ615" s="84"/>
      <c r="AK615" s="84"/>
    </row>
    <row r="616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7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4"/>
      <c r="AI616" s="84"/>
      <c r="AJ616" s="84"/>
      <c r="AK616" s="84"/>
    </row>
    <row r="617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7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4"/>
      <c r="AI617" s="84"/>
      <c r="AJ617" s="84"/>
      <c r="AK617" s="84"/>
    </row>
    <row r="618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7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4"/>
      <c r="AI618" s="84"/>
      <c r="AJ618" s="84"/>
      <c r="AK618" s="84"/>
    </row>
    <row r="619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7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4"/>
      <c r="AI619" s="84"/>
      <c r="AJ619" s="84"/>
      <c r="AK619" s="84"/>
    </row>
    <row r="620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7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4"/>
      <c r="AI620" s="84"/>
      <c r="AJ620" s="84"/>
      <c r="AK620" s="84"/>
    </row>
    <row r="62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7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4"/>
      <c r="AI621" s="84"/>
      <c r="AJ621" s="84"/>
      <c r="AK621" s="84"/>
    </row>
    <row r="622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7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4"/>
      <c r="AI622" s="84"/>
      <c r="AJ622" s="84"/>
      <c r="AK622" s="84"/>
    </row>
    <row r="623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7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4"/>
      <c r="AI623" s="84"/>
      <c r="AJ623" s="84"/>
      <c r="AK623" s="84"/>
    </row>
    <row r="624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7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4"/>
      <c r="AI624" s="84"/>
      <c r="AJ624" s="84"/>
      <c r="AK624" s="84"/>
    </row>
    <row r="625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7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4"/>
      <c r="AI625" s="84"/>
      <c r="AJ625" s="84"/>
      <c r="AK625" s="84"/>
    </row>
    <row r="626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7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4"/>
      <c r="AI626" s="84"/>
      <c r="AJ626" s="84"/>
      <c r="AK626" s="84"/>
    </row>
    <row r="627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7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4"/>
      <c r="AI627" s="84"/>
      <c r="AJ627" s="84"/>
      <c r="AK627" s="84"/>
    </row>
    <row r="628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7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4"/>
      <c r="AI628" s="84"/>
      <c r="AJ628" s="84"/>
      <c r="AK628" s="84"/>
    </row>
    <row r="629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7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4"/>
      <c r="AI629" s="84"/>
      <c r="AJ629" s="84"/>
      <c r="AK629" s="84"/>
    </row>
    <row r="630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7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4"/>
      <c r="AI630" s="84"/>
      <c r="AJ630" s="84"/>
      <c r="AK630" s="84"/>
    </row>
    <row r="63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7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4"/>
      <c r="AI631" s="84"/>
      <c r="AJ631" s="84"/>
      <c r="AK631" s="84"/>
    </row>
    <row r="632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7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4"/>
      <c r="AI632" s="84"/>
      <c r="AJ632" s="84"/>
      <c r="AK632" s="84"/>
    </row>
    <row r="633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7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4"/>
      <c r="AI633" s="84"/>
      <c r="AJ633" s="84"/>
      <c r="AK633" s="84"/>
    </row>
    <row r="634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7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4"/>
      <c r="AI634" s="84"/>
      <c r="AJ634" s="84"/>
      <c r="AK634" s="84"/>
    </row>
    <row r="635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7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4"/>
      <c r="AI635" s="84"/>
      <c r="AJ635" s="84"/>
      <c r="AK635" s="84"/>
    </row>
    <row r="636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7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4"/>
      <c r="AI636" s="84"/>
      <c r="AJ636" s="84"/>
      <c r="AK636" s="84"/>
    </row>
    <row r="637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7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4"/>
      <c r="AI637" s="84"/>
      <c r="AJ637" s="84"/>
      <c r="AK637" s="84"/>
    </row>
    <row r="638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7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4"/>
      <c r="AI638" s="84"/>
      <c r="AJ638" s="84"/>
      <c r="AK638" s="84"/>
    </row>
    <row r="639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7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4"/>
      <c r="AI639" s="84"/>
      <c r="AJ639" s="84"/>
      <c r="AK639" s="84"/>
    </row>
    <row r="640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7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4"/>
      <c r="AI640" s="84"/>
      <c r="AJ640" s="84"/>
      <c r="AK640" s="84"/>
    </row>
    <row r="64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7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4"/>
      <c r="AI641" s="84"/>
      <c r="AJ641" s="84"/>
      <c r="AK641" s="84"/>
    </row>
    <row r="642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7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4"/>
      <c r="AI642" s="84"/>
      <c r="AJ642" s="84"/>
      <c r="AK642" s="84"/>
    </row>
    <row r="643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7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4"/>
      <c r="AI643" s="84"/>
      <c r="AJ643" s="84"/>
      <c r="AK643" s="84"/>
    </row>
    <row r="644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7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4"/>
      <c r="AI644" s="84"/>
      <c r="AJ644" s="84"/>
      <c r="AK644" s="84"/>
    </row>
    <row r="645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7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4"/>
      <c r="AI645" s="84"/>
      <c r="AJ645" s="84"/>
      <c r="AK645" s="84"/>
    </row>
    <row r="646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7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4"/>
      <c r="AI646" s="84"/>
      <c r="AJ646" s="84"/>
      <c r="AK646" s="84"/>
    </row>
    <row r="647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7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4"/>
      <c r="AI647" s="84"/>
      <c r="AJ647" s="84"/>
      <c r="AK647" s="84"/>
    </row>
    <row r="648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7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4"/>
      <c r="AI648" s="84"/>
      <c r="AJ648" s="84"/>
      <c r="AK648" s="84"/>
    </row>
    <row r="649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7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4"/>
      <c r="AI649" s="84"/>
      <c r="AJ649" s="84"/>
      <c r="AK649" s="84"/>
    </row>
    <row r="650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7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4"/>
      <c r="AI650" s="84"/>
      <c r="AJ650" s="84"/>
      <c r="AK650" s="84"/>
    </row>
    <row r="65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7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4"/>
      <c r="AI651" s="84"/>
      <c r="AJ651" s="84"/>
      <c r="AK651" s="84"/>
    </row>
    <row r="652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7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4"/>
      <c r="AI652" s="84"/>
      <c r="AJ652" s="84"/>
      <c r="AK652" s="84"/>
    </row>
    <row r="653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7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4"/>
      <c r="AI653" s="84"/>
      <c r="AJ653" s="84"/>
      <c r="AK653" s="84"/>
    </row>
    <row r="654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7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4"/>
      <c r="AI654" s="84"/>
      <c r="AJ654" s="84"/>
      <c r="AK654" s="84"/>
    </row>
    <row r="655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7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4"/>
      <c r="AI655" s="84"/>
      <c r="AJ655" s="84"/>
      <c r="AK655" s="84"/>
    </row>
    <row r="656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7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4"/>
      <c r="AI656" s="84"/>
      <c r="AJ656" s="84"/>
      <c r="AK656" s="84"/>
    </row>
    <row r="657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7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4"/>
      <c r="AI657" s="84"/>
      <c r="AJ657" s="84"/>
      <c r="AK657" s="84"/>
    </row>
    <row r="658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7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4"/>
      <c r="AI658" s="84"/>
      <c r="AJ658" s="84"/>
      <c r="AK658" s="84"/>
    </row>
    <row r="659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7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4"/>
      <c r="AI659" s="84"/>
      <c r="AJ659" s="84"/>
      <c r="AK659" s="84"/>
    </row>
    <row r="660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7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4"/>
      <c r="AI660" s="84"/>
      <c r="AJ660" s="84"/>
      <c r="AK660" s="84"/>
    </row>
    <row r="66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7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4"/>
      <c r="AI661" s="84"/>
      <c r="AJ661" s="84"/>
      <c r="AK661" s="84"/>
    </row>
    <row r="662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7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4"/>
      <c r="AI662" s="84"/>
      <c r="AJ662" s="84"/>
      <c r="AK662" s="84"/>
    </row>
    <row r="663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7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4"/>
      <c r="AI663" s="84"/>
      <c r="AJ663" s="84"/>
      <c r="AK663" s="84"/>
    </row>
    <row r="664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7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4"/>
      <c r="AI664" s="84"/>
      <c r="AJ664" s="84"/>
      <c r="AK664" s="84"/>
    </row>
    <row r="665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7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4"/>
      <c r="AI665" s="84"/>
      <c r="AJ665" s="84"/>
      <c r="AK665" s="84"/>
    </row>
    <row r="666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7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4"/>
      <c r="AI666" s="84"/>
      <c r="AJ666" s="84"/>
      <c r="AK666" s="84"/>
    </row>
    <row r="667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7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4"/>
      <c r="AI667" s="84"/>
      <c r="AJ667" s="84"/>
      <c r="AK667" s="84"/>
    </row>
    <row r="668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7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4"/>
      <c r="AI668" s="84"/>
      <c r="AJ668" s="84"/>
      <c r="AK668" s="84"/>
    </row>
    <row r="669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7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4"/>
      <c r="AI669" s="84"/>
      <c r="AJ669" s="84"/>
      <c r="AK669" s="84"/>
    </row>
    <row r="670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7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4"/>
      <c r="AI670" s="84"/>
      <c r="AJ670" s="84"/>
      <c r="AK670" s="84"/>
    </row>
    <row r="67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7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4"/>
      <c r="AI671" s="84"/>
      <c r="AJ671" s="84"/>
      <c r="AK671" s="84"/>
    </row>
    <row r="672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7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4"/>
      <c r="AI672" s="84"/>
      <c r="AJ672" s="84"/>
      <c r="AK672" s="84"/>
    </row>
    <row r="673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7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4"/>
      <c r="AI673" s="84"/>
      <c r="AJ673" s="84"/>
      <c r="AK673" s="84"/>
    </row>
    <row r="674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7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4"/>
      <c r="AI674" s="84"/>
      <c r="AJ674" s="84"/>
      <c r="AK674" s="84"/>
    </row>
    <row r="675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7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  <c r="AH675" s="84"/>
      <c r="AI675" s="84"/>
      <c r="AJ675" s="84"/>
      <c r="AK675" s="84"/>
    </row>
    <row r="676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7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  <c r="AH676" s="84"/>
      <c r="AI676" s="84"/>
      <c r="AJ676" s="84"/>
      <c r="AK676" s="84"/>
    </row>
    <row r="677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7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  <c r="AH677" s="84"/>
      <c r="AI677" s="84"/>
      <c r="AJ677" s="84"/>
      <c r="AK677" s="84"/>
    </row>
    <row r="678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7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  <c r="AH678" s="84"/>
      <c r="AI678" s="84"/>
      <c r="AJ678" s="84"/>
      <c r="AK678" s="84"/>
    </row>
    <row r="679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7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  <c r="AH679" s="84"/>
      <c r="AI679" s="84"/>
      <c r="AJ679" s="84"/>
      <c r="AK679" s="84"/>
    </row>
    <row r="680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7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  <c r="AH680" s="84"/>
      <c r="AI680" s="84"/>
      <c r="AJ680" s="84"/>
      <c r="AK680" s="84"/>
    </row>
    <row r="68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7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  <c r="AH681" s="84"/>
      <c r="AI681" s="84"/>
      <c r="AJ681" s="84"/>
      <c r="AK681" s="84"/>
    </row>
    <row r="682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7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  <c r="AH682" s="84"/>
      <c r="AI682" s="84"/>
      <c r="AJ682" s="84"/>
      <c r="AK682" s="84"/>
    </row>
    <row r="683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7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  <c r="AH683" s="84"/>
      <c r="AI683" s="84"/>
      <c r="AJ683" s="84"/>
      <c r="AK683" s="84"/>
    </row>
    <row r="684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7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  <c r="AH684" s="84"/>
      <c r="AI684" s="84"/>
      <c r="AJ684" s="84"/>
      <c r="AK684" s="84"/>
    </row>
    <row r="685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7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  <c r="AH685" s="84"/>
      <c r="AI685" s="84"/>
      <c r="AJ685" s="84"/>
      <c r="AK685" s="84"/>
    </row>
    <row r="686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7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  <c r="AH686" s="84"/>
      <c r="AI686" s="84"/>
      <c r="AJ686" s="84"/>
      <c r="AK686" s="84"/>
    </row>
    <row r="687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7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  <c r="AH687" s="84"/>
      <c r="AI687" s="84"/>
      <c r="AJ687" s="84"/>
      <c r="AK687" s="84"/>
    </row>
    <row r="688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7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  <c r="AH688" s="84"/>
      <c r="AI688" s="84"/>
      <c r="AJ688" s="84"/>
      <c r="AK688" s="84"/>
    </row>
    <row r="689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7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  <c r="AH689" s="84"/>
      <c r="AI689" s="84"/>
      <c r="AJ689" s="84"/>
      <c r="AK689" s="84"/>
    </row>
    <row r="690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7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  <c r="AH690" s="84"/>
      <c r="AI690" s="84"/>
      <c r="AJ690" s="84"/>
      <c r="AK690" s="84"/>
    </row>
    <row r="69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7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  <c r="AH691" s="84"/>
      <c r="AI691" s="84"/>
      <c r="AJ691" s="84"/>
      <c r="AK691" s="84"/>
    </row>
    <row r="692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7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  <c r="AH692" s="84"/>
      <c r="AI692" s="84"/>
      <c r="AJ692" s="84"/>
      <c r="AK692" s="84"/>
    </row>
    <row r="693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7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  <c r="AH693" s="84"/>
      <c r="AI693" s="84"/>
      <c r="AJ693" s="84"/>
      <c r="AK693" s="84"/>
    </row>
    <row r="694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7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  <c r="AH694" s="84"/>
      <c r="AI694" s="84"/>
      <c r="AJ694" s="84"/>
      <c r="AK694" s="84"/>
    </row>
    <row r="695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7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  <c r="AH695" s="84"/>
      <c r="AI695" s="84"/>
      <c r="AJ695" s="84"/>
      <c r="AK695" s="84"/>
    </row>
    <row r="696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7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  <c r="AH696" s="84"/>
      <c r="AI696" s="84"/>
      <c r="AJ696" s="84"/>
      <c r="AK696" s="84"/>
    </row>
    <row r="697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7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  <c r="AH697" s="84"/>
      <c r="AI697" s="84"/>
      <c r="AJ697" s="84"/>
      <c r="AK697" s="84"/>
    </row>
    <row r="698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7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  <c r="AH698" s="84"/>
      <c r="AI698" s="84"/>
      <c r="AJ698" s="84"/>
      <c r="AK698" s="84"/>
    </row>
    <row r="699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7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  <c r="AH699" s="84"/>
      <c r="AI699" s="84"/>
      <c r="AJ699" s="84"/>
      <c r="AK699" s="84"/>
    </row>
    <row r="700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7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  <c r="AH700" s="84"/>
      <c r="AI700" s="84"/>
      <c r="AJ700" s="84"/>
      <c r="AK700" s="84"/>
    </row>
    <row r="70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7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  <c r="AH701" s="84"/>
      <c r="AI701" s="84"/>
      <c r="AJ701" s="84"/>
      <c r="AK701" s="84"/>
    </row>
    <row r="702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7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  <c r="AH702" s="84"/>
      <c r="AI702" s="84"/>
      <c r="AJ702" s="84"/>
      <c r="AK702" s="84"/>
    </row>
    <row r="703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7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  <c r="AH703" s="84"/>
      <c r="AI703" s="84"/>
      <c r="AJ703" s="84"/>
      <c r="AK703" s="84"/>
    </row>
    <row r="704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7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  <c r="AH704" s="84"/>
      <c r="AI704" s="84"/>
      <c r="AJ704" s="84"/>
      <c r="AK704" s="84"/>
    </row>
    <row r="705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7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  <c r="AH705" s="84"/>
      <c r="AI705" s="84"/>
      <c r="AJ705" s="84"/>
      <c r="AK705" s="84"/>
    </row>
    <row r="706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7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  <c r="AH706" s="84"/>
      <c r="AI706" s="84"/>
      <c r="AJ706" s="84"/>
      <c r="AK706" s="84"/>
    </row>
    <row r="707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7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  <c r="AH707" s="84"/>
      <c r="AI707" s="84"/>
      <c r="AJ707" s="84"/>
      <c r="AK707" s="84"/>
    </row>
    <row r="708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7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  <c r="AH708" s="84"/>
      <c r="AI708" s="84"/>
      <c r="AJ708" s="84"/>
      <c r="AK708" s="84"/>
    </row>
    <row r="709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7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  <c r="AH709" s="84"/>
      <c r="AI709" s="84"/>
      <c r="AJ709" s="84"/>
      <c r="AK709" s="84"/>
    </row>
    <row r="710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7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  <c r="AH710" s="84"/>
      <c r="AI710" s="84"/>
      <c r="AJ710" s="84"/>
      <c r="AK710" s="84"/>
    </row>
    <row r="71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7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  <c r="AH711" s="84"/>
      <c r="AI711" s="84"/>
      <c r="AJ711" s="84"/>
      <c r="AK711" s="84"/>
    </row>
    <row r="712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7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  <c r="AH712" s="84"/>
      <c r="AI712" s="84"/>
      <c r="AJ712" s="84"/>
      <c r="AK712" s="84"/>
    </row>
    <row r="713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7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  <c r="AH713" s="84"/>
      <c r="AI713" s="84"/>
      <c r="AJ713" s="84"/>
      <c r="AK713" s="84"/>
    </row>
    <row r="714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7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</row>
    <row r="715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7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</row>
    <row r="716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7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</row>
    <row r="717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7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</row>
    <row r="718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7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</row>
    <row r="719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7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</row>
    <row r="720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7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</row>
    <row r="72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7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</row>
    <row r="722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7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</row>
    <row r="723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7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</row>
    <row r="724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7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</row>
    <row r="725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7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</row>
    <row r="726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7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</row>
    <row r="727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7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</row>
    <row r="728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7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</row>
    <row r="729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7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</row>
    <row r="730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7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</row>
    <row r="73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7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</row>
    <row r="732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7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</row>
    <row r="733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7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</row>
    <row r="734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7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</row>
    <row r="735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7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</row>
    <row r="736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7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</row>
    <row r="737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7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</row>
    <row r="738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7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</row>
    <row r="739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7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</row>
    <row r="740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7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</row>
    <row r="74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7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</row>
    <row r="742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7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</row>
    <row r="743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7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</row>
    <row r="744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7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</row>
    <row r="745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7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</row>
    <row r="746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7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</row>
    <row r="747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7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</row>
    <row r="748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7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</row>
    <row r="749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7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</row>
    <row r="750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7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</row>
    <row r="75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7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</row>
    <row r="752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7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</row>
    <row r="753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7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</row>
    <row r="754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7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</row>
    <row r="755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7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</row>
    <row r="756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7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</row>
    <row r="757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7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</row>
    <row r="758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7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</row>
    <row r="759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7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</row>
    <row r="760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7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</row>
    <row r="76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7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</row>
    <row r="762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7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</row>
    <row r="763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7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</row>
    <row r="764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7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</row>
    <row r="765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7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</row>
    <row r="766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7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</row>
    <row r="767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7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</row>
    <row r="768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7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</row>
    <row r="769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7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</row>
    <row r="770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7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</row>
    <row r="77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7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</row>
    <row r="772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7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</row>
    <row r="773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7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</row>
    <row r="774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7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</row>
    <row r="775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7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</row>
    <row r="776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7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</row>
    <row r="777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7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</row>
    <row r="778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7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</row>
    <row r="779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7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</row>
    <row r="780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7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</row>
    <row r="78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7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</row>
    <row r="782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7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</row>
    <row r="783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7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</row>
    <row r="784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7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</row>
    <row r="785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7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</row>
    <row r="786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7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</row>
    <row r="787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7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</row>
    <row r="788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7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</row>
    <row r="789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7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</row>
    <row r="790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7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</row>
    <row r="79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7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</row>
    <row r="792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7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</row>
    <row r="793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7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</row>
    <row r="794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7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</row>
    <row r="795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7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</row>
    <row r="796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7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</row>
    <row r="797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7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</row>
    <row r="798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7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</row>
    <row r="799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7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</row>
    <row r="800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7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</row>
    <row r="80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7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</row>
    <row r="802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7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</row>
    <row r="803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7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</row>
    <row r="804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7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</row>
    <row r="805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7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</row>
    <row r="806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7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</row>
    <row r="807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7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  <c r="AH807" s="84"/>
      <c r="AI807" s="84"/>
      <c r="AJ807" s="84"/>
      <c r="AK807" s="84"/>
    </row>
    <row r="808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7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  <c r="AH808" s="84"/>
      <c r="AI808" s="84"/>
      <c r="AJ808" s="84"/>
      <c r="AK808" s="84"/>
    </row>
    <row r="809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7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  <c r="AH809" s="84"/>
      <c r="AI809" s="84"/>
      <c r="AJ809" s="84"/>
      <c r="AK809" s="84"/>
    </row>
    <row r="810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7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  <c r="AH810" s="84"/>
      <c r="AI810" s="84"/>
      <c r="AJ810" s="84"/>
      <c r="AK810" s="84"/>
    </row>
    <row r="81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7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  <c r="AH811" s="84"/>
      <c r="AI811" s="84"/>
      <c r="AJ811" s="84"/>
      <c r="AK811" s="84"/>
    </row>
    <row r="812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7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  <c r="AH812" s="84"/>
      <c r="AI812" s="84"/>
      <c r="AJ812" s="84"/>
      <c r="AK812" s="84"/>
    </row>
    <row r="813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7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  <c r="AH813" s="84"/>
      <c r="AI813" s="84"/>
      <c r="AJ813" s="84"/>
      <c r="AK813" s="84"/>
    </row>
    <row r="814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7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  <c r="AH814" s="84"/>
      <c r="AI814" s="84"/>
      <c r="AJ814" s="84"/>
      <c r="AK814" s="84"/>
    </row>
    <row r="815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7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  <c r="AH815" s="84"/>
      <c r="AI815" s="84"/>
      <c r="AJ815" s="84"/>
      <c r="AK815" s="84"/>
    </row>
    <row r="816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7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  <c r="AH816" s="84"/>
      <c r="AI816" s="84"/>
      <c r="AJ816" s="84"/>
      <c r="AK816" s="84"/>
    </row>
    <row r="817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7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  <c r="AH817" s="84"/>
      <c r="AI817" s="84"/>
      <c r="AJ817" s="84"/>
      <c r="AK817" s="84"/>
    </row>
    <row r="818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7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  <c r="AH818" s="84"/>
      <c r="AI818" s="84"/>
      <c r="AJ818" s="84"/>
      <c r="AK818" s="84"/>
    </row>
    <row r="819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7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  <c r="AH819" s="84"/>
      <c r="AI819" s="84"/>
      <c r="AJ819" s="84"/>
      <c r="AK819" s="84"/>
    </row>
    <row r="820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7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  <c r="AH820" s="84"/>
      <c r="AI820" s="84"/>
      <c r="AJ820" s="84"/>
      <c r="AK820" s="84"/>
    </row>
    <row r="82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7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  <c r="AH821" s="84"/>
      <c r="AI821" s="84"/>
      <c r="AJ821" s="84"/>
      <c r="AK821" s="84"/>
    </row>
    <row r="822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7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  <c r="AH822" s="84"/>
      <c r="AI822" s="84"/>
      <c r="AJ822" s="84"/>
      <c r="AK822" s="84"/>
    </row>
    <row r="823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7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  <c r="AH823" s="84"/>
      <c r="AI823" s="84"/>
      <c r="AJ823" s="84"/>
      <c r="AK823" s="84"/>
    </row>
    <row r="824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7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  <c r="AH824" s="84"/>
      <c r="AI824" s="84"/>
      <c r="AJ824" s="84"/>
      <c r="AK824" s="84"/>
    </row>
    <row r="825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7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  <c r="AH825" s="84"/>
      <c r="AI825" s="84"/>
      <c r="AJ825" s="84"/>
      <c r="AK825" s="84"/>
    </row>
    <row r="826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7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  <c r="AH826" s="84"/>
      <c r="AI826" s="84"/>
      <c r="AJ826" s="84"/>
      <c r="AK826" s="84"/>
    </row>
    <row r="827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7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  <c r="AH827" s="84"/>
      <c r="AI827" s="84"/>
      <c r="AJ827" s="84"/>
      <c r="AK827" s="84"/>
    </row>
    <row r="828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7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  <c r="AH828" s="84"/>
      <c r="AI828" s="84"/>
      <c r="AJ828" s="84"/>
      <c r="AK828" s="84"/>
    </row>
    <row r="829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7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  <c r="AH829" s="84"/>
      <c r="AI829" s="84"/>
      <c r="AJ829" s="84"/>
      <c r="AK829" s="84"/>
    </row>
    <row r="830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7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  <c r="AH830" s="84"/>
      <c r="AI830" s="84"/>
      <c r="AJ830" s="84"/>
      <c r="AK830" s="84"/>
    </row>
    <row r="83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7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  <c r="AH831" s="84"/>
      <c r="AI831" s="84"/>
      <c r="AJ831" s="84"/>
      <c r="AK831" s="84"/>
    </row>
    <row r="832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7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  <c r="AH832" s="84"/>
      <c r="AI832" s="84"/>
      <c r="AJ832" s="84"/>
      <c r="AK832" s="84"/>
    </row>
    <row r="833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7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  <c r="AH833" s="84"/>
      <c r="AI833" s="84"/>
      <c r="AJ833" s="84"/>
      <c r="AK833" s="84"/>
    </row>
    <row r="834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7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  <c r="AH834" s="84"/>
      <c r="AI834" s="84"/>
      <c r="AJ834" s="84"/>
      <c r="AK834" s="84"/>
    </row>
    <row r="835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7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  <c r="AH835" s="84"/>
      <c r="AI835" s="84"/>
      <c r="AJ835" s="84"/>
      <c r="AK835" s="84"/>
    </row>
    <row r="836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7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  <c r="AH836" s="84"/>
      <c r="AI836" s="84"/>
      <c r="AJ836" s="84"/>
      <c r="AK836" s="84"/>
    </row>
    <row r="837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7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  <c r="AH837" s="84"/>
      <c r="AI837" s="84"/>
      <c r="AJ837" s="84"/>
      <c r="AK837" s="84"/>
    </row>
    <row r="838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7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  <c r="AH838" s="84"/>
      <c r="AI838" s="84"/>
      <c r="AJ838" s="84"/>
      <c r="AK838" s="84"/>
    </row>
    <row r="839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7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  <c r="AH839" s="84"/>
      <c r="AI839" s="84"/>
      <c r="AJ839" s="84"/>
      <c r="AK839" s="84"/>
    </row>
    <row r="840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7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  <c r="AH840" s="84"/>
      <c r="AI840" s="84"/>
      <c r="AJ840" s="84"/>
      <c r="AK840" s="84"/>
    </row>
    <row r="84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7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  <c r="AH841" s="84"/>
      <c r="AI841" s="84"/>
      <c r="AJ841" s="84"/>
      <c r="AK841" s="84"/>
    </row>
    <row r="842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7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  <c r="AH842" s="84"/>
      <c r="AI842" s="84"/>
      <c r="AJ842" s="84"/>
      <c r="AK842" s="84"/>
    </row>
    <row r="843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7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  <c r="AH843" s="84"/>
      <c r="AI843" s="84"/>
      <c r="AJ843" s="84"/>
      <c r="AK843" s="84"/>
    </row>
    <row r="844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7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  <c r="AH844" s="84"/>
      <c r="AI844" s="84"/>
      <c r="AJ844" s="84"/>
      <c r="AK844" s="84"/>
    </row>
    <row r="845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7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  <c r="AH845" s="84"/>
      <c r="AI845" s="84"/>
      <c r="AJ845" s="84"/>
      <c r="AK845" s="84"/>
    </row>
    <row r="846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7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  <c r="AH846" s="84"/>
      <c r="AI846" s="84"/>
      <c r="AJ846" s="84"/>
      <c r="AK846" s="84"/>
    </row>
    <row r="847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7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  <c r="AH847" s="84"/>
      <c r="AI847" s="84"/>
      <c r="AJ847" s="84"/>
      <c r="AK847" s="84"/>
    </row>
    <row r="848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7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  <c r="AH848" s="84"/>
      <c r="AI848" s="84"/>
      <c r="AJ848" s="84"/>
      <c r="AK848" s="84"/>
    </row>
    <row r="849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7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  <c r="AH849" s="84"/>
      <c r="AI849" s="84"/>
      <c r="AJ849" s="84"/>
      <c r="AK849" s="84"/>
    </row>
    <row r="850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7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  <c r="AH850" s="84"/>
      <c r="AI850" s="84"/>
      <c r="AJ850" s="84"/>
      <c r="AK850" s="84"/>
    </row>
    <row r="85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7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  <c r="AH851" s="84"/>
      <c r="AI851" s="84"/>
      <c r="AJ851" s="84"/>
      <c r="AK851" s="84"/>
    </row>
    <row r="852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7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  <c r="AH852" s="84"/>
      <c r="AI852" s="84"/>
      <c r="AJ852" s="84"/>
      <c r="AK852" s="84"/>
    </row>
    <row r="853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7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  <c r="AH853" s="84"/>
      <c r="AI853" s="84"/>
      <c r="AJ853" s="84"/>
      <c r="AK853" s="84"/>
    </row>
    <row r="854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7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  <c r="AH854" s="84"/>
      <c r="AI854" s="84"/>
      <c r="AJ854" s="84"/>
      <c r="AK854" s="84"/>
    </row>
    <row r="855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7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  <c r="AH855" s="84"/>
      <c r="AI855" s="84"/>
      <c r="AJ855" s="84"/>
      <c r="AK855" s="84"/>
    </row>
    <row r="856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7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  <c r="AH856" s="84"/>
      <c r="AI856" s="84"/>
      <c r="AJ856" s="84"/>
      <c r="AK856" s="84"/>
    </row>
    <row r="857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7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  <c r="AH857" s="84"/>
      <c r="AI857" s="84"/>
      <c r="AJ857" s="84"/>
      <c r="AK857" s="84"/>
    </row>
    <row r="858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7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  <c r="AH858" s="84"/>
      <c r="AI858" s="84"/>
      <c r="AJ858" s="84"/>
      <c r="AK858" s="84"/>
    </row>
    <row r="859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7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  <c r="AH859" s="84"/>
      <c r="AI859" s="84"/>
      <c r="AJ859" s="84"/>
      <c r="AK859" s="84"/>
    </row>
    <row r="860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7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  <c r="AH860" s="84"/>
      <c r="AI860" s="84"/>
      <c r="AJ860" s="84"/>
      <c r="AK860" s="84"/>
    </row>
    <row r="86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7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  <c r="AH861" s="84"/>
      <c r="AI861" s="84"/>
      <c r="AJ861" s="84"/>
      <c r="AK861" s="84"/>
    </row>
    <row r="862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7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  <c r="AH862" s="84"/>
      <c r="AI862" s="84"/>
      <c r="AJ862" s="84"/>
      <c r="AK862" s="84"/>
    </row>
    <row r="863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7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  <c r="AH863" s="84"/>
      <c r="AI863" s="84"/>
      <c r="AJ863" s="84"/>
      <c r="AK863" s="84"/>
    </row>
    <row r="864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7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  <c r="AH864" s="84"/>
      <c r="AI864" s="84"/>
      <c r="AJ864" s="84"/>
      <c r="AK864" s="84"/>
    </row>
    <row r="865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7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  <c r="AH865" s="84"/>
      <c r="AI865" s="84"/>
      <c r="AJ865" s="84"/>
      <c r="AK865" s="84"/>
    </row>
    <row r="866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7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  <c r="AH866" s="84"/>
      <c r="AI866" s="84"/>
      <c r="AJ866" s="84"/>
      <c r="AK866" s="84"/>
    </row>
    <row r="867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7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  <c r="AH867" s="84"/>
      <c r="AI867" s="84"/>
      <c r="AJ867" s="84"/>
      <c r="AK867" s="84"/>
    </row>
    <row r="868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7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  <c r="AH868" s="84"/>
      <c r="AI868" s="84"/>
      <c r="AJ868" s="84"/>
      <c r="AK868" s="84"/>
    </row>
    <row r="869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7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  <c r="AH869" s="84"/>
      <c r="AI869" s="84"/>
      <c r="AJ869" s="84"/>
      <c r="AK869" s="84"/>
    </row>
    <row r="870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7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  <c r="AH870" s="84"/>
      <c r="AI870" s="84"/>
      <c r="AJ870" s="84"/>
      <c r="AK870" s="84"/>
    </row>
    <row r="87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7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  <c r="AH871" s="84"/>
      <c r="AI871" s="84"/>
      <c r="AJ871" s="84"/>
      <c r="AK871" s="84"/>
    </row>
    <row r="872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7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  <c r="AH872" s="84"/>
      <c r="AI872" s="84"/>
      <c r="AJ872" s="84"/>
      <c r="AK872" s="84"/>
    </row>
    <row r="873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7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  <c r="AH873" s="84"/>
      <c r="AI873" s="84"/>
      <c r="AJ873" s="84"/>
      <c r="AK873" s="84"/>
    </row>
    <row r="874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7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  <c r="AH874" s="84"/>
      <c r="AI874" s="84"/>
      <c r="AJ874" s="84"/>
      <c r="AK874" s="84"/>
    </row>
    <row r="875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7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  <c r="AH875" s="84"/>
      <c r="AI875" s="84"/>
      <c r="AJ875" s="84"/>
      <c r="AK875" s="84"/>
    </row>
    <row r="876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7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  <c r="AH876" s="84"/>
      <c r="AI876" s="84"/>
      <c r="AJ876" s="84"/>
      <c r="AK876" s="84"/>
    </row>
    <row r="877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7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  <c r="AH877" s="84"/>
      <c r="AI877" s="84"/>
      <c r="AJ877" s="84"/>
      <c r="AK877" s="84"/>
    </row>
    <row r="878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7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  <c r="AH878" s="84"/>
      <c r="AI878" s="84"/>
      <c r="AJ878" s="84"/>
      <c r="AK878" s="84"/>
    </row>
    <row r="879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7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  <c r="AH879" s="84"/>
      <c r="AI879" s="84"/>
      <c r="AJ879" s="84"/>
      <c r="AK879" s="84"/>
    </row>
    <row r="880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7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  <c r="AH880" s="84"/>
      <c r="AI880" s="84"/>
      <c r="AJ880" s="84"/>
      <c r="AK880" s="84"/>
    </row>
    <row r="88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7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  <c r="AH881" s="84"/>
      <c r="AI881" s="84"/>
      <c r="AJ881" s="84"/>
      <c r="AK881" s="84"/>
    </row>
    <row r="882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7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  <c r="AH882" s="84"/>
      <c r="AI882" s="84"/>
      <c r="AJ882" s="84"/>
      <c r="AK882" s="84"/>
    </row>
    <row r="883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7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  <c r="AH883" s="84"/>
      <c r="AI883" s="84"/>
      <c r="AJ883" s="84"/>
      <c r="AK883" s="84"/>
    </row>
    <row r="884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7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  <c r="AH884" s="84"/>
      <c r="AI884" s="84"/>
      <c r="AJ884" s="84"/>
      <c r="AK884" s="84"/>
    </row>
    <row r="885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7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  <c r="AH885" s="84"/>
      <c r="AI885" s="84"/>
      <c r="AJ885" s="84"/>
      <c r="AK885" s="84"/>
    </row>
    <row r="886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7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  <c r="AH886" s="84"/>
      <c r="AI886" s="84"/>
      <c r="AJ886" s="84"/>
      <c r="AK886" s="84"/>
    </row>
    <row r="887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7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  <c r="AH887" s="84"/>
      <c r="AI887" s="84"/>
      <c r="AJ887" s="84"/>
      <c r="AK887" s="84"/>
    </row>
    <row r="888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7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  <c r="AH888" s="84"/>
      <c r="AI888" s="84"/>
      <c r="AJ888" s="84"/>
      <c r="AK888" s="84"/>
    </row>
    <row r="889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7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  <c r="AH889" s="84"/>
      <c r="AI889" s="84"/>
      <c r="AJ889" s="84"/>
      <c r="AK889" s="84"/>
    </row>
    <row r="890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7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  <c r="AH890" s="84"/>
      <c r="AI890" s="84"/>
      <c r="AJ890" s="84"/>
      <c r="AK890" s="84"/>
    </row>
    <row r="89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7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  <c r="AH891" s="84"/>
      <c r="AI891" s="84"/>
      <c r="AJ891" s="84"/>
      <c r="AK891" s="84"/>
    </row>
    <row r="892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7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  <c r="AH892" s="84"/>
      <c r="AI892" s="84"/>
      <c r="AJ892" s="84"/>
      <c r="AK892" s="84"/>
    </row>
    <row r="893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7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  <c r="AH893" s="84"/>
      <c r="AI893" s="84"/>
      <c r="AJ893" s="84"/>
      <c r="AK893" s="84"/>
    </row>
    <row r="894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7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  <c r="AH894" s="84"/>
      <c r="AI894" s="84"/>
      <c r="AJ894" s="84"/>
      <c r="AK894" s="84"/>
    </row>
    <row r="895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7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  <c r="AH895" s="84"/>
      <c r="AI895" s="84"/>
      <c r="AJ895" s="84"/>
      <c r="AK895" s="84"/>
    </row>
    <row r="896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7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  <c r="AH896" s="84"/>
      <c r="AI896" s="84"/>
      <c r="AJ896" s="84"/>
      <c r="AK896" s="84"/>
    </row>
    <row r="897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7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  <c r="AH897" s="84"/>
      <c r="AI897" s="84"/>
      <c r="AJ897" s="84"/>
      <c r="AK897" s="84"/>
    </row>
    <row r="898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7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  <c r="AH898" s="84"/>
      <c r="AI898" s="84"/>
      <c r="AJ898" s="84"/>
      <c r="AK898" s="84"/>
    </row>
    <row r="899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7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  <c r="AH899" s="84"/>
      <c r="AI899" s="84"/>
      <c r="AJ899" s="84"/>
      <c r="AK899" s="84"/>
    </row>
    <row r="900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7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  <c r="AH900" s="84"/>
      <c r="AI900" s="84"/>
      <c r="AJ900" s="84"/>
      <c r="AK900" s="84"/>
    </row>
    <row r="90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7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  <c r="AH901" s="84"/>
      <c r="AI901" s="84"/>
      <c r="AJ901" s="84"/>
      <c r="AK901" s="84"/>
    </row>
    <row r="902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7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  <c r="AH902" s="84"/>
      <c r="AI902" s="84"/>
      <c r="AJ902" s="84"/>
      <c r="AK902" s="84"/>
    </row>
    <row r="903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7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  <c r="AH903" s="84"/>
      <c r="AI903" s="84"/>
      <c r="AJ903" s="84"/>
      <c r="AK903" s="84"/>
    </row>
    <row r="904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7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  <c r="AH904" s="84"/>
      <c r="AI904" s="84"/>
      <c r="AJ904" s="84"/>
      <c r="AK904" s="84"/>
    </row>
    <row r="905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7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  <c r="AH905" s="84"/>
      <c r="AI905" s="84"/>
      <c r="AJ905" s="84"/>
      <c r="AK905" s="84"/>
    </row>
    <row r="906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7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  <c r="AH906" s="84"/>
      <c r="AI906" s="84"/>
      <c r="AJ906" s="84"/>
      <c r="AK906" s="84"/>
    </row>
    <row r="907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7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</row>
    <row r="908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7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</row>
    <row r="909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7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</row>
    <row r="910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7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</row>
    <row r="91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7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</row>
    <row r="912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7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</row>
    <row r="913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7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</row>
    <row r="914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7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</row>
    <row r="915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7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</row>
    <row r="916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7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</row>
    <row r="917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7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</row>
    <row r="918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7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</row>
    <row r="919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7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</row>
    <row r="920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7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</row>
    <row r="92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7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</row>
    <row r="922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7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</row>
    <row r="923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7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</row>
    <row r="924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7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</row>
    <row r="925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7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</row>
    <row r="926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7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</row>
    <row r="927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7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</row>
    <row r="928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7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</row>
    <row r="929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7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</row>
    <row r="930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7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</row>
    <row r="93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7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</row>
    <row r="932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7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</row>
    <row r="933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7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</row>
    <row r="934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7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</row>
    <row r="935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7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</row>
    <row r="936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7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</row>
    <row r="937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7"/>
      <c r="X937" s="84"/>
      <c r="Y937" s="84"/>
      <c r="Z937" s="84"/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</row>
    <row r="938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7"/>
      <c r="X938" s="84"/>
      <c r="Y938" s="84"/>
      <c r="Z938" s="84"/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</row>
    <row r="939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7"/>
      <c r="X939" s="84"/>
      <c r="Y939" s="84"/>
      <c r="Z939" s="84"/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</row>
    <row r="940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7"/>
      <c r="X940" s="84"/>
      <c r="Y940" s="84"/>
      <c r="Z940" s="84"/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</row>
    <row r="94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7"/>
      <c r="X941" s="84"/>
      <c r="Y941" s="84"/>
      <c r="Z941" s="84"/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</row>
    <row r="942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7"/>
      <c r="X942" s="84"/>
      <c r="Y942" s="84"/>
      <c r="Z942" s="84"/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</row>
    <row r="943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7"/>
      <c r="X943" s="84"/>
      <c r="Y943" s="84"/>
      <c r="Z943" s="84"/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</row>
    <row r="944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7"/>
      <c r="X944" s="84"/>
      <c r="Y944" s="84"/>
      <c r="Z944" s="84"/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</row>
    <row r="945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7"/>
      <c r="X945" s="84"/>
      <c r="Y945" s="84"/>
      <c r="Z945" s="84"/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</row>
    <row r="946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7"/>
      <c r="X946" s="84"/>
      <c r="Y946" s="84"/>
      <c r="Z946" s="84"/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</row>
    <row r="947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7"/>
      <c r="X947" s="84"/>
      <c r="Y947" s="84"/>
      <c r="Z947" s="84"/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</row>
    <row r="948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7"/>
      <c r="X948" s="84"/>
      <c r="Y948" s="84"/>
      <c r="Z948" s="84"/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</row>
    <row r="949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7"/>
      <c r="X949" s="84"/>
      <c r="Y949" s="84"/>
      <c r="Z949" s="84"/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</row>
    <row r="950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7"/>
      <c r="X950" s="84"/>
      <c r="Y950" s="84"/>
      <c r="Z950" s="84"/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</row>
    <row r="95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7"/>
      <c r="X951" s="84"/>
      <c r="Y951" s="84"/>
      <c r="Z951" s="84"/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</row>
    <row r="952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7"/>
      <c r="X952" s="84"/>
      <c r="Y952" s="84"/>
      <c r="Z952" s="84"/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</row>
    <row r="953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7"/>
      <c r="X953" s="84"/>
      <c r="Y953" s="84"/>
      <c r="Z953" s="84"/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</row>
    <row r="954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7"/>
      <c r="X954" s="84"/>
      <c r="Y954" s="84"/>
      <c r="Z954" s="84"/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</row>
    <row r="955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7"/>
      <c r="X955" s="84"/>
      <c r="Y955" s="84"/>
      <c r="Z955" s="84"/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</row>
    <row r="956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7"/>
      <c r="X956" s="84"/>
      <c r="Y956" s="84"/>
      <c r="Z956" s="84"/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</row>
    <row r="957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7"/>
      <c r="X957" s="84"/>
      <c r="Y957" s="84"/>
      <c r="Z957" s="84"/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</row>
    <row r="958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7"/>
      <c r="X958" s="84"/>
      <c r="Y958" s="84"/>
      <c r="Z958" s="84"/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</row>
    <row r="959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7"/>
      <c r="X959" s="84"/>
      <c r="Y959" s="84"/>
      <c r="Z959" s="84"/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</row>
    <row r="960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7"/>
      <c r="X960" s="84"/>
      <c r="Y960" s="84"/>
      <c r="Z960" s="84"/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</row>
    <row r="96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7"/>
      <c r="X961" s="84"/>
      <c r="Y961" s="84"/>
      <c r="Z961" s="84"/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</row>
    <row r="962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7"/>
      <c r="X962" s="84"/>
      <c r="Y962" s="84"/>
      <c r="Z962" s="84"/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</row>
    <row r="963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7"/>
      <c r="X963" s="84"/>
      <c r="Y963" s="84"/>
      <c r="Z963" s="84"/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</row>
    <row r="964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7"/>
      <c r="X964" s="84"/>
      <c r="Y964" s="84"/>
      <c r="Z964" s="84"/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</row>
    <row r="965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7"/>
      <c r="X965" s="84"/>
      <c r="Y965" s="84"/>
      <c r="Z965" s="84"/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</row>
    <row r="966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7"/>
      <c r="X966" s="84"/>
      <c r="Y966" s="84"/>
      <c r="Z966" s="84"/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</row>
    <row r="967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7"/>
      <c r="X967" s="84"/>
      <c r="Y967" s="84"/>
      <c r="Z967" s="84"/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</row>
    <row r="968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7"/>
      <c r="X968" s="84"/>
      <c r="Y968" s="84"/>
      <c r="Z968" s="84"/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</row>
    <row r="969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7"/>
      <c r="X969" s="84"/>
      <c r="Y969" s="84"/>
      <c r="Z969" s="84"/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</row>
    <row r="970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7"/>
      <c r="X970" s="84"/>
      <c r="Y970" s="84"/>
      <c r="Z970" s="84"/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</row>
    <row r="97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7"/>
      <c r="X971" s="84"/>
      <c r="Y971" s="84"/>
      <c r="Z971" s="84"/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</row>
    <row r="972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7"/>
      <c r="X972" s="84"/>
      <c r="Y972" s="84"/>
      <c r="Z972" s="84"/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</row>
    <row r="973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7"/>
      <c r="X973" s="84"/>
      <c r="Y973" s="84"/>
      <c r="Z973" s="84"/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</row>
    <row r="974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7"/>
      <c r="X974" s="84"/>
      <c r="Y974" s="84"/>
      <c r="Z974" s="84"/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</row>
    <row r="975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7"/>
      <c r="X975" s="84"/>
      <c r="Y975" s="84"/>
      <c r="Z975" s="84"/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</row>
    <row r="976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7"/>
      <c r="X976" s="84"/>
      <c r="Y976" s="84"/>
      <c r="Z976" s="84"/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</row>
    <row r="977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7"/>
      <c r="X977" s="84"/>
      <c r="Y977" s="84"/>
      <c r="Z977" s="84"/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</row>
    <row r="978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7"/>
      <c r="X978" s="84"/>
      <c r="Y978" s="84"/>
      <c r="Z978" s="84"/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</row>
    <row r="979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7"/>
      <c r="X979" s="84"/>
      <c r="Y979" s="84"/>
      <c r="Z979" s="84"/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</row>
    <row r="980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7"/>
      <c r="X980" s="84"/>
      <c r="Y980" s="84"/>
      <c r="Z980" s="84"/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</row>
    <row r="98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7"/>
      <c r="X981" s="84"/>
      <c r="Y981" s="84"/>
      <c r="Z981" s="84"/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</row>
    <row r="982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7"/>
      <c r="X982" s="84"/>
      <c r="Y982" s="84"/>
      <c r="Z982" s="84"/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</row>
    <row r="983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7"/>
      <c r="X983" s="84"/>
      <c r="Y983" s="84"/>
      <c r="Z983" s="84"/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</row>
    <row r="984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7"/>
      <c r="X984" s="84"/>
      <c r="Y984" s="84"/>
      <c r="Z984" s="84"/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</row>
    <row r="985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7"/>
      <c r="X985" s="84"/>
      <c r="Y985" s="84"/>
      <c r="Z985" s="84"/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</row>
    <row r="986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7"/>
      <c r="X986" s="84"/>
      <c r="Y986" s="84"/>
      <c r="Z986" s="84"/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</row>
    <row r="987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7"/>
      <c r="X987" s="84"/>
      <c r="Y987" s="84"/>
      <c r="Z987" s="84"/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</row>
    <row r="988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7"/>
      <c r="X988" s="84"/>
      <c r="Y988" s="84"/>
      <c r="Z988" s="84"/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</row>
    <row r="989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7"/>
      <c r="X989" s="84"/>
      <c r="Y989" s="84"/>
      <c r="Z989" s="84"/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</row>
    <row r="990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7"/>
      <c r="X990" s="84"/>
      <c r="Y990" s="84"/>
      <c r="Z990" s="84"/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</row>
    <row r="99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7"/>
      <c r="X991" s="84"/>
      <c r="Y991" s="84"/>
      <c r="Z991" s="84"/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</row>
    <row r="992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7"/>
      <c r="X992" s="84"/>
      <c r="Y992" s="84"/>
      <c r="Z992" s="84"/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</row>
    <row r="993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7"/>
      <c r="X993" s="84"/>
      <c r="Y993" s="84"/>
      <c r="Z993" s="84"/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</row>
    <row r="994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7"/>
      <c r="X994" s="84"/>
      <c r="Y994" s="84"/>
      <c r="Z994" s="84"/>
      <c r="AA994" s="84"/>
      <c r="AB994" s="84"/>
      <c r="AC994" s="84"/>
      <c r="AD994" s="84"/>
      <c r="AE994" s="84"/>
      <c r="AF994" s="84"/>
      <c r="AG994" s="84"/>
      <c r="AH994" s="84"/>
      <c r="AI994" s="84"/>
      <c r="AJ994" s="84"/>
      <c r="AK994" s="84"/>
    </row>
    <row r="995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7"/>
      <c r="X995" s="84"/>
      <c r="Y995" s="84"/>
      <c r="Z995" s="84"/>
      <c r="AA995" s="84"/>
      <c r="AB995" s="84"/>
      <c r="AC995" s="84"/>
      <c r="AD995" s="84"/>
      <c r="AE995" s="84"/>
      <c r="AF995" s="84"/>
      <c r="AG995" s="84"/>
      <c r="AH995" s="84"/>
      <c r="AI995" s="84"/>
      <c r="AJ995" s="84"/>
      <c r="AK995" s="84"/>
    </row>
    <row r="996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7"/>
      <c r="X996" s="84"/>
      <c r="Y996" s="84"/>
      <c r="Z996" s="84"/>
      <c r="AA996" s="84"/>
      <c r="AB996" s="84"/>
      <c r="AC996" s="84"/>
      <c r="AD996" s="84"/>
      <c r="AE996" s="84"/>
      <c r="AF996" s="84"/>
      <c r="AG996" s="84"/>
      <c r="AH996" s="84"/>
      <c r="AI996" s="84"/>
      <c r="AJ996" s="84"/>
      <c r="AK996" s="84"/>
    </row>
    <row r="997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7"/>
      <c r="X997" s="84"/>
      <c r="Y997" s="84"/>
      <c r="Z997" s="84"/>
      <c r="AA997" s="84"/>
      <c r="AB997" s="84"/>
      <c r="AC997" s="84"/>
      <c r="AD997" s="84"/>
      <c r="AE997" s="84"/>
      <c r="AF997" s="84"/>
      <c r="AG997" s="84"/>
      <c r="AH997" s="84"/>
      <c r="AI997" s="84"/>
      <c r="AJ997" s="84"/>
      <c r="AK997" s="84"/>
    </row>
    <row r="998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7"/>
      <c r="X998" s="84"/>
      <c r="Y998" s="84"/>
      <c r="Z998" s="84"/>
      <c r="AA998" s="84"/>
      <c r="AB998" s="84"/>
      <c r="AC998" s="84"/>
      <c r="AD998" s="84"/>
      <c r="AE998" s="84"/>
      <c r="AF998" s="84"/>
      <c r="AG998" s="84"/>
      <c r="AH998" s="84"/>
      <c r="AI998" s="84"/>
      <c r="AJ998" s="84"/>
      <c r="AK998" s="84"/>
    </row>
    <row r="999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7"/>
      <c r="X999" s="84"/>
      <c r="Y999" s="84"/>
      <c r="Z999" s="84"/>
      <c r="AA999" s="84"/>
      <c r="AB999" s="84"/>
      <c r="AC999" s="84"/>
      <c r="AD999" s="84"/>
      <c r="AE999" s="84"/>
      <c r="AF999" s="84"/>
      <c r="AG999" s="84"/>
      <c r="AH999" s="84"/>
      <c r="AI999" s="84"/>
      <c r="AJ999" s="84"/>
      <c r="AK999" s="84"/>
    </row>
    <row r="1000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7"/>
      <c r="X1000" s="84"/>
      <c r="Y1000" s="84"/>
      <c r="Z1000" s="84"/>
      <c r="AA1000" s="84"/>
      <c r="AB1000" s="84"/>
      <c r="AC1000" s="84"/>
      <c r="AD1000" s="84"/>
      <c r="AE1000" s="84"/>
      <c r="AF1000" s="84"/>
      <c r="AG1000" s="84"/>
      <c r="AH1000" s="84"/>
      <c r="AI1000" s="84"/>
      <c r="AJ1000" s="84"/>
      <c r="AK1000" s="8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4" t="s">
        <v>1</v>
      </c>
      <c r="B1" s="94" t="s">
        <v>27</v>
      </c>
      <c r="C1" s="94" t="s">
        <v>4</v>
      </c>
      <c r="D1" s="94" t="s">
        <v>7</v>
      </c>
      <c r="E1" s="94" t="s">
        <v>8</v>
      </c>
      <c r="F1" s="94" t="s">
        <v>28</v>
      </c>
      <c r="G1" s="94" t="s">
        <v>10</v>
      </c>
      <c r="H1" s="94" t="s">
        <v>29</v>
      </c>
      <c r="I1" s="94" t="s">
        <v>30</v>
      </c>
      <c r="J1" s="94" t="s">
        <v>15</v>
      </c>
      <c r="K1" s="94" t="s">
        <v>17</v>
      </c>
    </row>
    <row r="2">
      <c r="A2" s="95">
        <v>45528.0</v>
      </c>
      <c r="B2" s="94" t="s">
        <v>31</v>
      </c>
      <c r="C2" s="94" t="s">
        <v>32</v>
      </c>
      <c r="D2" s="96" t="s">
        <v>33</v>
      </c>
      <c r="E2" s="96" t="s">
        <v>34</v>
      </c>
      <c r="F2" s="96" t="s">
        <v>35</v>
      </c>
      <c r="G2" s="96" t="s">
        <v>36</v>
      </c>
      <c r="H2" s="97">
        <v>3728.0</v>
      </c>
    </row>
    <row r="3">
      <c r="A3" s="95">
        <v>45528.0</v>
      </c>
      <c r="B3" s="94" t="s">
        <v>31</v>
      </c>
      <c r="C3" s="94" t="s">
        <v>37</v>
      </c>
      <c r="D3" s="96" t="s">
        <v>38</v>
      </c>
      <c r="E3" s="96" t="s">
        <v>39</v>
      </c>
      <c r="F3" s="96" t="s">
        <v>35</v>
      </c>
      <c r="G3" s="96" t="s">
        <v>36</v>
      </c>
      <c r="H3" s="97">
        <v>3728.0</v>
      </c>
    </row>
    <row r="4">
      <c r="A4" s="95">
        <v>45528.0</v>
      </c>
      <c r="B4" s="94" t="s">
        <v>31</v>
      </c>
      <c r="C4" s="94" t="s">
        <v>23</v>
      </c>
      <c r="D4" s="96" t="s">
        <v>40</v>
      </c>
      <c r="E4" s="96" t="s">
        <v>38</v>
      </c>
      <c r="G4" s="96" t="s">
        <v>40</v>
      </c>
      <c r="H4" s="97">
        <v>3728.0</v>
      </c>
    </row>
    <row r="5">
      <c r="A5" s="95">
        <v>45528.0</v>
      </c>
      <c r="B5" s="94" t="s">
        <v>31</v>
      </c>
      <c r="I5" s="97">
        <v>12.0</v>
      </c>
      <c r="J5" s="97">
        <v>15.0</v>
      </c>
      <c r="K5" s="97">
        <v>14.0</v>
      </c>
    </row>
    <row r="6">
      <c r="A6" s="95">
        <v>45526.0</v>
      </c>
      <c r="B6" s="94" t="s">
        <v>41</v>
      </c>
      <c r="C6" s="94" t="s">
        <v>32</v>
      </c>
      <c r="D6" s="96" t="s">
        <v>33</v>
      </c>
      <c r="E6" s="96" t="s">
        <v>34</v>
      </c>
      <c r="F6" s="96" t="s">
        <v>35</v>
      </c>
      <c r="G6" s="96" t="s">
        <v>36</v>
      </c>
      <c r="H6" s="97">
        <v>3728.0</v>
      </c>
    </row>
    <row r="7">
      <c r="A7" s="95">
        <v>45526.0</v>
      </c>
      <c r="B7" s="94" t="s">
        <v>41</v>
      </c>
      <c r="C7" s="94" t="s">
        <v>37</v>
      </c>
      <c r="D7" s="96" t="s">
        <v>38</v>
      </c>
      <c r="E7" s="96" t="s">
        <v>39</v>
      </c>
      <c r="F7" s="96" t="s">
        <v>35</v>
      </c>
      <c r="G7" s="96" t="s">
        <v>36</v>
      </c>
      <c r="H7" s="97">
        <v>3728.0</v>
      </c>
    </row>
    <row r="8">
      <c r="A8" s="95">
        <v>45526.0</v>
      </c>
      <c r="B8" s="94" t="s">
        <v>41</v>
      </c>
      <c r="C8" s="94" t="s">
        <v>23</v>
      </c>
      <c r="D8" s="96" t="s">
        <v>40</v>
      </c>
      <c r="E8" s="96" t="s">
        <v>38</v>
      </c>
      <c r="G8" s="96" t="s">
        <v>40</v>
      </c>
      <c r="H8" s="97">
        <v>3728.0</v>
      </c>
    </row>
    <row r="9">
      <c r="A9" s="95">
        <v>45526.0</v>
      </c>
      <c r="B9" s="94" t="s">
        <v>41</v>
      </c>
      <c r="I9" s="97">
        <v>12.0</v>
      </c>
      <c r="J9" s="97">
        <v>15.0</v>
      </c>
      <c r="K9" s="97">
        <v>14.0</v>
      </c>
    </row>
    <row r="10">
      <c r="A10" s="95">
        <v>45526.0</v>
      </c>
      <c r="B10" s="94" t="s">
        <v>41</v>
      </c>
      <c r="C10" s="94" t="s">
        <v>32</v>
      </c>
      <c r="D10" s="96" t="s">
        <v>33</v>
      </c>
      <c r="E10" s="96" t="s">
        <v>34</v>
      </c>
      <c r="F10" s="96" t="s">
        <v>35</v>
      </c>
      <c r="G10" s="96" t="s">
        <v>36</v>
      </c>
      <c r="H10" s="97">
        <v>3728.0</v>
      </c>
    </row>
    <row r="11">
      <c r="A11" s="95">
        <v>45526.0</v>
      </c>
      <c r="B11" s="94" t="s">
        <v>41</v>
      </c>
      <c r="C11" s="94" t="s">
        <v>37</v>
      </c>
      <c r="D11" s="96" t="s">
        <v>38</v>
      </c>
      <c r="E11" s="96" t="s">
        <v>39</v>
      </c>
      <c r="F11" s="96" t="s">
        <v>35</v>
      </c>
      <c r="G11" s="96" t="s">
        <v>36</v>
      </c>
      <c r="H11" s="97">
        <v>3728.0</v>
      </c>
    </row>
    <row r="12">
      <c r="A12" s="95">
        <v>45526.0</v>
      </c>
      <c r="B12" s="94" t="s">
        <v>41</v>
      </c>
      <c r="C12" s="94" t="s">
        <v>23</v>
      </c>
      <c r="D12" s="96" t="s">
        <v>40</v>
      </c>
      <c r="E12" s="96" t="s">
        <v>38</v>
      </c>
      <c r="G12" s="96" t="s">
        <v>40</v>
      </c>
      <c r="H12" s="97">
        <v>3728.0</v>
      </c>
    </row>
    <row r="13">
      <c r="A13" s="95">
        <v>45526.0</v>
      </c>
      <c r="B13" s="94" t="s">
        <v>41</v>
      </c>
      <c r="I13" s="97">
        <v>12.0</v>
      </c>
      <c r="J13" s="97">
        <v>15.0</v>
      </c>
      <c r="K13" s="97">
        <v>14.0</v>
      </c>
    </row>
    <row r="14">
      <c r="A14" s="95">
        <v>45532.0</v>
      </c>
      <c r="B14" s="94" t="s">
        <v>42</v>
      </c>
    </row>
    <row r="15">
      <c r="A15" s="95">
        <v>45533.0</v>
      </c>
      <c r="B15" s="94" t="s">
        <v>41</v>
      </c>
    </row>
    <row r="16">
      <c r="A16" s="95">
        <v>45534.0</v>
      </c>
      <c r="B16" s="94" t="s">
        <v>43</v>
      </c>
    </row>
    <row r="17">
      <c r="A17" s="95">
        <v>45535.0</v>
      </c>
      <c r="B17" s="94" t="s">
        <v>31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98" t="s">
        <v>44</v>
      </c>
      <c r="B1" s="7"/>
      <c r="C1" s="7"/>
      <c r="D1" s="7"/>
      <c r="E1" s="7"/>
      <c r="F1" s="7"/>
      <c r="G1" s="7"/>
      <c r="H1" s="8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</row>
    <row r="14">
      <c r="A14" s="100"/>
      <c r="B14" s="100"/>
      <c r="C14" s="100"/>
      <c r="D14" s="100"/>
      <c r="E14" s="100"/>
      <c r="F14" s="100"/>
      <c r="G14" s="100"/>
      <c r="H14" s="100"/>
      <c r="I14" s="100"/>
      <c r="J14" s="100"/>
      <c r="K14" s="100"/>
      <c r="L14" s="100"/>
      <c r="M14" s="100"/>
      <c r="O14" s="100"/>
      <c r="P14" s="100"/>
      <c r="Q14" s="100"/>
      <c r="S14" s="100"/>
      <c r="T14" s="100"/>
      <c r="U14" s="100"/>
      <c r="V14" s="100"/>
      <c r="W14" s="100"/>
      <c r="X14" s="100"/>
      <c r="Y14" s="100"/>
      <c r="Z14" s="100"/>
      <c r="AB14" s="94">
        <v>3.0</v>
      </c>
    </row>
    <row r="15">
      <c r="A15" s="100"/>
      <c r="B15" s="100"/>
      <c r="C15" s="100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T15" s="100"/>
      <c r="U15" s="100"/>
      <c r="V15" s="100"/>
      <c r="W15" s="100"/>
      <c r="X15" s="100"/>
      <c r="Y15" s="100"/>
      <c r="Z15" s="100"/>
      <c r="AB15" s="94">
        <v>-8.0</v>
      </c>
    </row>
    <row r="16">
      <c r="A16" s="100"/>
      <c r="B16" s="100"/>
      <c r="C16" s="100"/>
      <c r="D16" s="100"/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T16" s="100"/>
      <c r="U16" s="100"/>
      <c r="V16" s="100"/>
      <c r="W16" s="100"/>
      <c r="X16" s="100"/>
      <c r="Y16" s="100"/>
      <c r="Z16" s="100"/>
      <c r="AB16" s="94">
        <v>-5.0</v>
      </c>
    </row>
    <row r="17">
      <c r="A17" s="100"/>
      <c r="B17" s="100"/>
      <c r="C17" s="100"/>
      <c r="D17" s="100"/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S17" s="100"/>
      <c r="T17" s="100"/>
      <c r="U17" s="100"/>
      <c r="V17" s="100"/>
      <c r="W17" s="100"/>
      <c r="X17" s="100"/>
      <c r="Y17" s="100"/>
      <c r="Z17" s="100"/>
      <c r="AB17" s="94">
        <v>-6.0</v>
      </c>
    </row>
    <row r="18">
      <c r="A18" s="100"/>
      <c r="B18" s="100"/>
      <c r="C18" s="100"/>
      <c r="D18" s="100"/>
      <c r="E18" s="100"/>
      <c r="F18" s="100"/>
      <c r="G18" s="100"/>
      <c r="H18" s="100"/>
      <c r="I18" s="100"/>
      <c r="J18" s="100"/>
      <c r="K18" s="100"/>
      <c r="L18" s="100"/>
      <c r="M18" s="100"/>
      <c r="O18" s="100"/>
      <c r="P18" s="100"/>
      <c r="Q18" s="100"/>
      <c r="S18" s="100"/>
      <c r="T18" s="100"/>
      <c r="U18" s="100"/>
      <c r="V18" s="100"/>
      <c r="W18" s="100"/>
      <c r="X18" s="100"/>
      <c r="Y18" s="100"/>
      <c r="Z18" s="100"/>
      <c r="AB18" s="94">
        <v>2.0</v>
      </c>
    </row>
    <row r="19">
      <c r="A19" s="100"/>
      <c r="B19" s="100"/>
      <c r="C19" s="100"/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94" t="s">
        <v>45</v>
      </c>
      <c r="AB19" s="94">
        <v>-11.0</v>
      </c>
    </row>
    <row r="20">
      <c r="A20" s="100"/>
      <c r="B20" s="100"/>
      <c r="C20" s="100"/>
      <c r="D20" s="100"/>
      <c r="E20" s="100"/>
      <c r="F20" s="100"/>
      <c r="G20" s="100"/>
      <c r="H20" s="100"/>
      <c r="I20" s="100"/>
      <c r="J20" s="100"/>
      <c r="K20" s="100"/>
      <c r="L20" s="100"/>
      <c r="M20" s="100"/>
      <c r="O20" s="100"/>
      <c r="P20" s="100"/>
      <c r="Q20" s="100"/>
      <c r="S20" s="100"/>
      <c r="T20" s="100"/>
      <c r="U20" s="100"/>
      <c r="V20" s="100"/>
      <c r="W20" s="100"/>
      <c r="X20" s="100"/>
      <c r="Y20" s="100"/>
      <c r="Z20" s="100"/>
      <c r="AB20" s="94">
        <v>0.0</v>
      </c>
    </row>
    <row r="21">
      <c r="A21" s="100"/>
      <c r="B21" s="100"/>
      <c r="C21" s="100"/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O21" s="100"/>
      <c r="P21" s="100"/>
      <c r="Q21" s="100"/>
      <c r="S21" s="100"/>
      <c r="T21" s="100"/>
      <c r="U21" s="100"/>
      <c r="V21" s="100"/>
      <c r="W21" s="100"/>
      <c r="X21" s="100"/>
      <c r="Y21" s="100"/>
      <c r="Z21" s="100"/>
      <c r="AB21" s="94">
        <v>5.0</v>
      </c>
    </row>
    <row r="22">
      <c r="A22" s="100"/>
      <c r="B22" s="100"/>
      <c r="C22" s="100"/>
      <c r="D22" s="100"/>
      <c r="E22" s="100"/>
      <c r="F22" s="100"/>
      <c r="G22" s="100"/>
      <c r="H22" s="100"/>
      <c r="I22" s="100"/>
      <c r="J22" s="100"/>
      <c r="K22" s="100"/>
      <c r="L22" s="100"/>
      <c r="M22" s="100"/>
      <c r="N22" s="100"/>
      <c r="O22" s="100"/>
      <c r="P22" s="100"/>
      <c r="Q22" s="100"/>
      <c r="T22" s="100"/>
      <c r="U22" s="100"/>
      <c r="V22" s="100"/>
      <c r="W22" s="100"/>
      <c r="X22" s="100"/>
      <c r="Y22" s="100"/>
      <c r="Z22" s="100"/>
      <c r="AB22" s="94">
        <v>-7.0</v>
      </c>
    </row>
    <row r="23">
      <c r="A23" s="100"/>
      <c r="B23" s="100"/>
      <c r="C23" s="100"/>
      <c r="D23" s="100"/>
      <c r="E23" s="100"/>
      <c r="F23" s="100"/>
      <c r="G23" s="100"/>
      <c r="H23" s="100"/>
      <c r="I23" s="100"/>
      <c r="J23" s="100"/>
      <c r="K23" s="100"/>
      <c r="L23" s="100"/>
      <c r="M23" s="100"/>
      <c r="O23" s="100"/>
      <c r="P23" s="100"/>
      <c r="Q23" s="100"/>
      <c r="S23" s="100"/>
      <c r="T23" s="100"/>
      <c r="U23" s="100"/>
      <c r="V23" s="100"/>
      <c r="W23" s="100"/>
      <c r="X23" s="100"/>
      <c r="Y23" s="100"/>
      <c r="Z23" s="100"/>
      <c r="AB23" s="94">
        <v>1.0</v>
      </c>
    </row>
    <row r="24">
      <c r="A24" s="100"/>
      <c r="B24" s="100"/>
      <c r="C24" s="100"/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O24" s="100"/>
      <c r="P24" s="100"/>
      <c r="Q24" s="100"/>
      <c r="S24" s="100"/>
      <c r="T24" s="100"/>
      <c r="U24" s="100"/>
      <c r="V24" s="100"/>
      <c r="W24" s="100"/>
      <c r="X24" s="100"/>
      <c r="Y24" s="100"/>
      <c r="Z24" s="100"/>
      <c r="AB24" s="94">
        <v>-2.0</v>
      </c>
    </row>
    <row r="25">
      <c r="A25" s="100"/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O25" s="100"/>
      <c r="P25" s="100"/>
      <c r="Q25" s="100"/>
      <c r="S25" s="100"/>
      <c r="T25" s="100"/>
      <c r="U25" s="100"/>
      <c r="V25" s="100"/>
      <c r="W25" s="100"/>
      <c r="X25" s="100"/>
      <c r="Y25" s="100"/>
      <c r="Z25" s="100"/>
      <c r="AB25" s="94">
        <v>-1.0</v>
      </c>
    </row>
    <row r="26">
      <c r="A26" s="100"/>
      <c r="B26" s="100"/>
      <c r="C26" s="100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O26" s="100"/>
      <c r="P26" s="100"/>
      <c r="Q26" s="100"/>
      <c r="S26" s="100"/>
      <c r="T26" s="100"/>
      <c r="U26" s="100"/>
      <c r="V26" s="100"/>
      <c r="W26" s="100"/>
      <c r="X26" s="100"/>
      <c r="Y26" s="100"/>
      <c r="Z26" s="100"/>
      <c r="AB26" s="94">
        <v>0.0</v>
      </c>
    </row>
    <row r="27">
      <c r="A27" s="100"/>
      <c r="B27" s="100"/>
      <c r="C27" s="100"/>
      <c r="D27" s="100"/>
      <c r="E27" s="100"/>
      <c r="F27" s="100"/>
      <c r="G27" s="100"/>
      <c r="H27" s="100"/>
      <c r="I27" s="100"/>
      <c r="J27" s="100"/>
      <c r="K27" s="100"/>
      <c r="L27" s="100"/>
      <c r="M27" s="100"/>
      <c r="N27" s="100"/>
      <c r="O27" s="100"/>
      <c r="P27" s="100"/>
      <c r="Q27" s="100"/>
      <c r="S27" s="100"/>
      <c r="T27" s="100"/>
      <c r="U27" s="100"/>
      <c r="V27" s="100"/>
      <c r="W27" s="100"/>
      <c r="X27" s="100"/>
      <c r="Y27" s="100"/>
      <c r="Z27" s="100"/>
      <c r="AB27" s="94">
        <v>-7.0</v>
      </c>
    </row>
    <row r="28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O28" s="100"/>
      <c r="P28" s="100"/>
      <c r="Q28" s="100"/>
      <c r="S28" s="100"/>
      <c r="T28" s="100"/>
      <c r="U28" s="100"/>
      <c r="V28" s="100"/>
      <c r="W28" s="100"/>
      <c r="X28" s="100"/>
      <c r="Y28" s="100"/>
      <c r="Z28" s="100"/>
      <c r="AB28" s="94">
        <v>-9.0</v>
      </c>
    </row>
    <row r="29">
      <c r="A29" s="100"/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O29" s="100"/>
      <c r="P29" s="100"/>
      <c r="Q29" s="100"/>
      <c r="S29" s="100"/>
      <c r="T29" s="100"/>
      <c r="U29" s="100"/>
      <c r="V29" s="100"/>
      <c r="W29" s="100"/>
      <c r="X29" s="100"/>
      <c r="Y29" s="100"/>
      <c r="Z29" s="100"/>
      <c r="AB29" s="94">
        <v>0.0</v>
      </c>
    </row>
    <row r="30">
      <c r="A30" s="100"/>
      <c r="B30" s="100"/>
      <c r="C30" s="100"/>
      <c r="D30" s="100"/>
      <c r="E30" s="100"/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94" t="s">
        <v>46</v>
      </c>
      <c r="AB30" s="94">
        <v>-8.0</v>
      </c>
    </row>
    <row r="31">
      <c r="A31" s="100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T31" s="100"/>
      <c r="U31" s="100"/>
      <c r="V31" s="100"/>
      <c r="W31" s="100"/>
      <c r="X31" s="100"/>
      <c r="Y31" s="100"/>
      <c r="Z31" s="100"/>
      <c r="AB31" s="94">
        <v>-7.0</v>
      </c>
    </row>
    <row r="32">
      <c r="A32" s="100"/>
      <c r="B32" s="100"/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O32" s="100"/>
      <c r="P32" s="100"/>
      <c r="Q32" s="100"/>
      <c r="S32" s="100"/>
      <c r="T32" s="100"/>
      <c r="U32" s="100"/>
      <c r="V32" s="100"/>
      <c r="W32" s="100"/>
      <c r="X32" s="100"/>
      <c r="Y32" s="100"/>
      <c r="Z32" s="100"/>
      <c r="AB32" s="94">
        <v>-2.0</v>
      </c>
    </row>
    <row r="33">
      <c r="A33" s="100"/>
      <c r="B33" s="100"/>
      <c r="C33" s="100"/>
      <c r="D33" s="100"/>
      <c r="E33" s="100"/>
      <c r="F33" s="100"/>
      <c r="G33" s="100"/>
      <c r="H33" s="100"/>
      <c r="I33" s="100"/>
      <c r="J33" s="100"/>
      <c r="K33" s="100"/>
      <c r="L33" s="100"/>
      <c r="M33" s="100"/>
      <c r="N33" s="100"/>
      <c r="O33" s="100"/>
      <c r="P33" s="100"/>
      <c r="Q33" s="100"/>
      <c r="T33" s="100"/>
      <c r="U33" s="100"/>
      <c r="V33" s="100"/>
      <c r="W33" s="100"/>
      <c r="X33" s="100"/>
      <c r="Y33" s="100"/>
      <c r="Z33" s="100"/>
      <c r="AB33" s="94">
        <v>-8.0</v>
      </c>
    </row>
    <row r="34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94" t="s">
        <v>47</v>
      </c>
      <c r="AB34" s="94">
        <v>0.0</v>
      </c>
    </row>
    <row r="35">
      <c r="A35" s="100"/>
      <c r="B35" s="100"/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O35" s="100"/>
      <c r="P35" s="100"/>
      <c r="Q35" s="100"/>
      <c r="S35" s="100"/>
      <c r="T35" s="100"/>
      <c r="U35" s="100"/>
      <c r="V35" s="100"/>
      <c r="W35" s="100"/>
      <c r="X35" s="100"/>
      <c r="Y35" s="100"/>
      <c r="Z35" s="100"/>
      <c r="AB35" s="94">
        <v>1.0</v>
      </c>
    </row>
    <row r="36">
      <c r="A36" s="100"/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0"/>
      <c r="O36" s="100"/>
      <c r="P36" s="100"/>
      <c r="Q36" s="100"/>
      <c r="S36" s="100"/>
      <c r="T36" s="100"/>
      <c r="U36" s="100"/>
      <c r="V36" s="100"/>
      <c r="Y36" s="100"/>
      <c r="Z36" s="100"/>
      <c r="AB36" s="94">
        <v>0.0</v>
      </c>
    </row>
    <row r="37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O37" s="100"/>
      <c r="P37" s="100"/>
      <c r="Q37" s="100"/>
      <c r="S37" s="100"/>
      <c r="T37" s="100"/>
      <c r="U37" s="100"/>
      <c r="V37" s="100"/>
      <c r="W37" s="100"/>
      <c r="X37" s="100"/>
      <c r="Y37" s="100"/>
      <c r="Z37" s="100"/>
      <c r="AB37" s="94">
        <v>4.0</v>
      </c>
    </row>
    <row r="38">
      <c r="A38" s="100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94" t="s">
        <v>48</v>
      </c>
      <c r="AB38" s="94">
        <v>-12.0</v>
      </c>
    </row>
    <row r="39">
      <c r="A39" s="100"/>
      <c r="B39" s="100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94" t="s">
        <v>49</v>
      </c>
      <c r="AB39" s="94">
        <v>0.0</v>
      </c>
    </row>
    <row r="40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O40" s="100"/>
      <c r="P40" s="100"/>
      <c r="Q40" s="100"/>
      <c r="S40" s="100"/>
      <c r="T40" s="100"/>
      <c r="U40" s="100"/>
      <c r="V40" s="100"/>
      <c r="W40" s="100"/>
      <c r="X40" s="100"/>
      <c r="Y40" s="100"/>
      <c r="Z40" s="100"/>
      <c r="AB40" s="94">
        <v>-2.0</v>
      </c>
    </row>
    <row r="41">
      <c r="A41" s="100"/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O41" s="100"/>
      <c r="P41" s="100"/>
      <c r="Q41" s="100"/>
      <c r="S41" s="100"/>
      <c r="T41" s="100"/>
      <c r="U41" s="100"/>
      <c r="V41" s="100"/>
      <c r="W41" s="100"/>
      <c r="X41" s="100"/>
      <c r="Y41" s="100"/>
      <c r="Z41" s="100"/>
      <c r="AB41" s="94">
        <v>-10.0</v>
      </c>
    </row>
    <row r="42">
      <c r="A42" s="100"/>
      <c r="B42" s="100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94" t="s">
        <v>50</v>
      </c>
      <c r="AB42" s="94">
        <v>6.0</v>
      </c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T43" s="100"/>
      <c r="U43" s="100"/>
      <c r="V43" s="100"/>
      <c r="W43" s="100"/>
      <c r="X43" s="100"/>
      <c r="Y43" s="100"/>
      <c r="Z43" s="100"/>
      <c r="AB43" s="94">
        <v>-7.0</v>
      </c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O44" s="100"/>
      <c r="P44" s="100"/>
      <c r="Q44" s="100"/>
      <c r="S44" s="100"/>
      <c r="T44" s="100"/>
      <c r="U44" s="100"/>
      <c r="V44" s="100"/>
      <c r="W44" s="100"/>
      <c r="X44" s="100"/>
      <c r="Y44" s="100"/>
      <c r="Z44" s="100"/>
      <c r="AB44" s="94">
        <v>-2.0</v>
      </c>
    </row>
    <row r="45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O45" s="100"/>
      <c r="P45" s="100"/>
      <c r="Q45" s="100"/>
      <c r="S45" s="100"/>
      <c r="T45" s="100"/>
      <c r="U45" s="100"/>
      <c r="V45" s="100"/>
      <c r="W45" s="100"/>
      <c r="X45" s="100"/>
      <c r="Y45" s="100"/>
      <c r="Z45" s="100"/>
      <c r="AB45" s="94">
        <v>0.0</v>
      </c>
    </row>
    <row r="46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T46" s="100"/>
      <c r="U46" s="100"/>
      <c r="V46" s="100"/>
      <c r="W46" s="100"/>
      <c r="X46" s="100"/>
      <c r="Y46" s="100"/>
      <c r="Z46" s="100"/>
      <c r="AB46" s="94">
        <v>-2.0</v>
      </c>
    </row>
    <row r="47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O47" s="100"/>
      <c r="P47" s="100"/>
      <c r="Q47" s="100"/>
      <c r="S47" s="100"/>
      <c r="T47" s="100"/>
      <c r="U47" s="100"/>
      <c r="V47" s="100"/>
      <c r="W47" s="100"/>
      <c r="X47" s="100"/>
      <c r="Y47" s="100"/>
      <c r="Z47" s="100"/>
      <c r="AB47" s="94">
        <v>0.0</v>
      </c>
    </row>
    <row r="48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94" t="s">
        <v>51</v>
      </c>
      <c r="AB48" s="94">
        <v>-13.0</v>
      </c>
    </row>
    <row r="49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T49" s="100"/>
      <c r="U49" s="100"/>
      <c r="V49" s="100"/>
      <c r="W49" s="100"/>
      <c r="X49" s="100"/>
      <c r="Y49" s="100"/>
      <c r="Z49" s="100"/>
      <c r="AB49" s="94">
        <v>-6.0</v>
      </c>
    </row>
    <row r="50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O50" s="100"/>
      <c r="P50" s="100"/>
      <c r="Q50" s="100"/>
      <c r="S50" s="100"/>
      <c r="T50" s="100"/>
      <c r="U50" s="100"/>
      <c r="V50" s="100"/>
      <c r="W50" s="100"/>
      <c r="X50" s="100"/>
      <c r="Y50" s="100"/>
      <c r="Z50" s="100"/>
      <c r="AB50" s="94">
        <v>0.0</v>
      </c>
    </row>
    <row r="5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O51" s="100"/>
      <c r="P51" s="100"/>
      <c r="Q51" s="100"/>
      <c r="S51" s="100"/>
      <c r="T51" s="100"/>
      <c r="U51" s="100"/>
      <c r="V51" s="100"/>
      <c r="W51" s="100"/>
      <c r="X51" s="100"/>
      <c r="Y51" s="100"/>
      <c r="Z51" s="100"/>
      <c r="AB51" s="94">
        <v>-6.0</v>
      </c>
    </row>
    <row r="52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94" t="s">
        <v>52</v>
      </c>
      <c r="AB52" s="94">
        <v>5.0</v>
      </c>
    </row>
    <row r="53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O53" s="100"/>
      <c r="P53" s="100"/>
      <c r="Q53" s="100"/>
      <c r="S53" s="100"/>
      <c r="T53" s="100"/>
      <c r="U53" s="100"/>
      <c r="V53" s="100"/>
      <c r="W53" s="100"/>
      <c r="X53" s="100"/>
      <c r="Y53" s="100"/>
      <c r="Z53" s="100"/>
      <c r="AB53" s="94">
        <v>0.0</v>
      </c>
    </row>
    <row r="54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O54" s="100"/>
      <c r="P54" s="100"/>
      <c r="Q54" s="100"/>
      <c r="S54" s="100"/>
      <c r="T54" s="100"/>
      <c r="U54" s="100"/>
      <c r="V54" s="100"/>
      <c r="W54" s="100"/>
      <c r="X54" s="100"/>
      <c r="Y54" s="100"/>
      <c r="Z54" s="100"/>
      <c r="AB54" s="94">
        <v>0.0</v>
      </c>
    </row>
    <row r="55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T55" s="100"/>
      <c r="U55" s="100"/>
      <c r="V55" s="100"/>
      <c r="W55" s="100"/>
      <c r="X55" s="100"/>
      <c r="Y55" s="100"/>
      <c r="Z55" s="100"/>
      <c r="AB55" s="94">
        <v>-8.0</v>
      </c>
    </row>
    <row r="56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T56" s="100"/>
      <c r="U56" s="100"/>
      <c r="V56" s="100"/>
      <c r="W56" s="100"/>
      <c r="X56" s="100"/>
      <c r="Y56" s="100"/>
      <c r="Z56" s="100"/>
      <c r="AB56" s="94">
        <v>-11.0</v>
      </c>
    </row>
    <row r="57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T57" s="100"/>
      <c r="U57" s="100"/>
      <c r="V57" s="100"/>
      <c r="W57" s="100"/>
      <c r="X57" s="100"/>
      <c r="Y57" s="100"/>
      <c r="Z57" s="100"/>
      <c r="AB57" s="94">
        <v>-6.0</v>
      </c>
    </row>
    <row r="58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O58" s="100"/>
      <c r="P58" s="100"/>
      <c r="Q58" s="100"/>
      <c r="S58" s="100"/>
      <c r="T58" s="100"/>
      <c r="U58" s="100"/>
      <c r="V58" s="100"/>
      <c r="W58" s="100"/>
      <c r="X58" s="100"/>
      <c r="Y58" s="100"/>
      <c r="Z58" s="100"/>
      <c r="AB58" s="94">
        <v>-2.0</v>
      </c>
    </row>
    <row r="59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94" t="s">
        <v>53</v>
      </c>
      <c r="AB59" s="94">
        <v>-9.0</v>
      </c>
    </row>
    <row r="60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T60" s="100"/>
      <c r="U60" s="100"/>
      <c r="V60" s="100"/>
      <c r="W60" s="100"/>
      <c r="X60" s="100"/>
      <c r="Y60" s="100"/>
      <c r="Z60" s="100"/>
      <c r="AB60" s="94">
        <v>-9.0</v>
      </c>
    </row>
    <row r="6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O61" s="100"/>
      <c r="P61" s="100"/>
      <c r="Q61" s="100"/>
      <c r="S61" s="100"/>
      <c r="T61" s="100"/>
      <c r="U61" s="100"/>
      <c r="V61" s="100"/>
      <c r="W61" s="100"/>
      <c r="X61" s="100"/>
      <c r="Y61" s="100"/>
      <c r="Z61" s="100"/>
      <c r="AB61" s="94">
        <v>-2.0</v>
      </c>
    </row>
    <row r="62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T62" s="100"/>
      <c r="U62" s="100"/>
      <c r="V62" s="100"/>
      <c r="W62" s="100"/>
      <c r="X62" s="100"/>
      <c r="Y62" s="100"/>
      <c r="Z62" s="100"/>
      <c r="AB62" s="94">
        <v>-8.0</v>
      </c>
    </row>
    <row r="63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94" t="s">
        <v>54</v>
      </c>
      <c r="AB63" s="94">
        <v>-19.0</v>
      </c>
    </row>
    <row r="64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O64" s="100"/>
      <c r="P64" s="100"/>
      <c r="Q64" s="100"/>
      <c r="S64" s="100"/>
      <c r="T64" s="100"/>
      <c r="U64" s="100"/>
      <c r="V64" s="100"/>
      <c r="W64" s="100"/>
      <c r="X64" s="100"/>
      <c r="Y64" s="100"/>
      <c r="Z64" s="100"/>
      <c r="AB64" s="94">
        <v>-12.0</v>
      </c>
    </row>
    <row r="65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T65" s="100"/>
      <c r="U65" s="100"/>
      <c r="V65" s="100"/>
      <c r="W65" s="100"/>
      <c r="X65" s="100"/>
      <c r="Y65" s="100"/>
      <c r="Z65" s="100"/>
      <c r="AB65" s="94">
        <v>-7.0</v>
      </c>
    </row>
    <row r="66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T66" s="100"/>
      <c r="U66" s="100"/>
      <c r="V66" s="100"/>
      <c r="W66" s="100"/>
      <c r="X66" s="100"/>
      <c r="Y66" s="100"/>
      <c r="Z66" s="100"/>
      <c r="AB66" s="94">
        <v>-9.0</v>
      </c>
    </row>
    <row r="67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O67" s="100"/>
      <c r="P67" s="100"/>
      <c r="Q67" s="100"/>
      <c r="S67" s="100"/>
      <c r="T67" s="100"/>
      <c r="U67" s="100"/>
      <c r="V67" s="100"/>
      <c r="W67" s="100"/>
      <c r="X67" s="100"/>
      <c r="Y67" s="100"/>
      <c r="Z67" s="100"/>
      <c r="AB67" s="94">
        <v>-9.0</v>
      </c>
    </row>
    <row r="68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O68" s="100"/>
      <c r="P68" s="100"/>
      <c r="Q68" s="100"/>
      <c r="S68" s="100"/>
      <c r="T68" s="100"/>
      <c r="U68" s="100"/>
      <c r="V68" s="100"/>
      <c r="W68" s="100"/>
      <c r="X68" s="100"/>
      <c r="Y68" s="100"/>
      <c r="Z68" s="100"/>
      <c r="AB68" s="94">
        <v>-11.0</v>
      </c>
    </row>
    <row r="69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O69" s="100"/>
      <c r="P69" s="100"/>
      <c r="Q69" s="100"/>
      <c r="S69" s="100"/>
      <c r="T69" s="100"/>
      <c r="U69" s="100"/>
      <c r="V69" s="100"/>
      <c r="W69" s="100"/>
      <c r="X69" s="100"/>
      <c r="Y69" s="100"/>
      <c r="Z69" s="100"/>
      <c r="AB69" s="94">
        <v>3.0</v>
      </c>
    </row>
    <row r="70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94" t="s">
        <v>55</v>
      </c>
      <c r="AB70" s="94">
        <v>-14.0</v>
      </c>
    </row>
    <row r="7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O71" s="100"/>
      <c r="P71" s="100"/>
      <c r="Q71" s="100"/>
      <c r="S71" s="100"/>
      <c r="T71" s="100"/>
      <c r="U71" s="100"/>
      <c r="V71" s="100"/>
      <c r="W71" s="100"/>
      <c r="X71" s="100"/>
      <c r="Y71" s="100"/>
      <c r="Z71" s="100"/>
      <c r="AB71" s="94">
        <v>1.0</v>
      </c>
    </row>
    <row r="72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O72" s="100"/>
      <c r="P72" s="100"/>
      <c r="Q72" s="100"/>
      <c r="S72" s="100"/>
      <c r="T72" s="100"/>
      <c r="U72" s="100"/>
      <c r="V72" s="100"/>
      <c r="W72" s="100"/>
      <c r="X72" s="100"/>
      <c r="Y72" s="100"/>
      <c r="Z72" s="100"/>
      <c r="AB72" s="94">
        <v>-2.0</v>
      </c>
    </row>
    <row r="73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O73" s="100"/>
      <c r="P73" s="100"/>
      <c r="Q73" s="100"/>
      <c r="S73" s="100"/>
      <c r="T73" s="100"/>
      <c r="U73" s="100"/>
      <c r="V73" s="100"/>
      <c r="W73" s="100"/>
      <c r="X73" s="100"/>
      <c r="Y73" s="100"/>
      <c r="Z73" s="100"/>
      <c r="AB73" s="94">
        <v>1.0</v>
      </c>
    </row>
    <row r="74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O74" s="100"/>
      <c r="P74" s="100"/>
      <c r="Q74" s="100"/>
      <c r="S74" s="100"/>
      <c r="T74" s="100"/>
      <c r="U74" s="100"/>
      <c r="V74" s="100"/>
      <c r="W74" s="100"/>
      <c r="X74" s="100"/>
      <c r="Y74" s="100"/>
      <c r="Z74" s="100"/>
      <c r="AB74" s="94">
        <v>-1.0</v>
      </c>
    </row>
    <row r="75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T75" s="100"/>
      <c r="U75" s="100"/>
      <c r="V75" s="100"/>
      <c r="W75" s="100"/>
      <c r="X75" s="100"/>
      <c r="Y75" s="100"/>
      <c r="Z75" s="100"/>
      <c r="AB75" s="94">
        <v>-9.0</v>
      </c>
    </row>
    <row r="76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O76" s="100"/>
      <c r="P76" s="100"/>
      <c r="Q76" s="100"/>
      <c r="S76" s="100"/>
      <c r="T76" s="100"/>
      <c r="U76" s="100"/>
      <c r="V76" s="100"/>
      <c r="W76" s="100"/>
      <c r="X76" s="100"/>
      <c r="Y76" s="100"/>
      <c r="Z76" s="100"/>
      <c r="AB76" s="94">
        <v>0.0</v>
      </c>
    </row>
    <row r="77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T77" s="100"/>
      <c r="U77" s="100"/>
      <c r="V77" s="100"/>
      <c r="W77" s="100"/>
      <c r="X77" s="100"/>
      <c r="Y77" s="100"/>
      <c r="Z77" s="100"/>
      <c r="AB77" s="94">
        <v>-7.0</v>
      </c>
    </row>
    <row r="78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O78" s="100"/>
      <c r="P78" s="100"/>
      <c r="Q78" s="100"/>
      <c r="S78" s="100"/>
      <c r="T78" s="100"/>
      <c r="U78" s="100"/>
      <c r="V78" s="100"/>
      <c r="W78" s="100"/>
      <c r="X78" s="100"/>
      <c r="Y78" s="100"/>
      <c r="Z78" s="100"/>
      <c r="AB78" s="94">
        <v>0.0</v>
      </c>
    </row>
    <row r="79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T79" s="100"/>
      <c r="U79" s="100"/>
      <c r="V79" s="100"/>
      <c r="W79" s="100"/>
      <c r="X79" s="100"/>
      <c r="Y79" s="100"/>
      <c r="Z79" s="100"/>
      <c r="AB79" s="94">
        <v>-8.0</v>
      </c>
    </row>
    <row r="80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O80" s="100"/>
      <c r="P80" s="100"/>
      <c r="Q80" s="100"/>
      <c r="S80" s="100"/>
      <c r="T80" s="100"/>
      <c r="U80" s="100"/>
      <c r="V80" s="100"/>
      <c r="W80" s="100"/>
      <c r="X80" s="100"/>
      <c r="Y80" s="100"/>
      <c r="Z80" s="100"/>
      <c r="AB80" s="94">
        <v>0.0</v>
      </c>
    </row>
    <row r="8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O81" s="100"/>
      <c r="P81" s="100"/>
      <c r="Q81" s="100"/>
      <c r="S81" s="100"/>
      <c r="T81" s="100"/>
      <c r="U81" s="100"/>
      <c r="V81" s="100"/>
      <c r="W81" s="100"/>
      <c r="X81" s="100"/>
      <c r="Y81" s="100"/>
      <c r="Z81" s="100"/>
      <c r="AB81" s="94">
        <v>1.0</v>
      </c>
    </row>
    <row r="82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T82" s="100"/>
      <c r="U82" s="100"/>
      <c r="V82" s="100"/>
      <c r="W82" s="100"/>
      <c r="X82" s="100"/>
      <c r="Y82" s="100"/>
      <c r="Z82" s="100"/>
      <c r="AB82" s="94">
        <v>-7.0</v>
      </c>
    </row>
    <row r="83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O83" s="100"/>
      <c r="P83" s="100"/>
      <c r="Q83" s="100"/>
      <c r="S83" s="100"/>
      <c r="T83" s="100"/>
      <c r="U83" s="100"/>
      <c r="V83" s="100"/>
      <c r="W83" s="100"/>
      <c r="X83" s="100"/>
      <c r="Y83" s="100"/>
      <c r="Z83" s="100"/>
      <c r="AB83" s="94">
        <v>0.0</v>
      </c>
    </row>
    <row r="84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O84" s="100"/>
      <c r="P84" s="100"/>
      <c r="Q84" s="100"/>
      <c r="S84" s="100"/>
      <c r="T84" s="100"/>
      <c r="U84" s="100"/>
      <c r="V84" s="100"/>
      <c r="W84" s="100"/>
      <c r="X84" s="100"/>
      <c r="Y84" s="100"/>
      <c r="Z84" s="100"/>
      <c r="AB84" s="94">
        <v>-11.0</v>
      </c>
    </row>
    <row r="85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O85" s="100"/>
      <c r="P85" s="100"/>
      <c r="Q85" s="100"/>
      <c r="S85" s="100"/>
      <c r="T85" s="100"/>
      <c r="U85" s="100"/>
      <c r="V85" s="100"/>
      <c r="W85" s="100"/>
      <c r="X85" s="100"/>
      <c r="Y85" s="100"/>
      <c r="Z85" s="100"/>
      <c r="AB85" s="94">
        <v>-13.0</v>
      </c>
    </row>
    <row r="86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94" t="s">
        <v>56</v>
      </c>
      <c r="AB86" s="94">
        <v>-21.0</v>
      </c>
    </row>
    <row r="87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94" t="s">
        <v>57</v>
      </c>
      <c r="AB87" s="94">
        <v>-7.0</v>
      </c>
    </row>
    <row r="88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94" t="s">
        <v>58</v>
      </c>
      <c r="AB88" s="94">
        <v>-10.0</v>
      </c>
    </row>
    <row r="89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94" t="s">
        <v>59</v>
      </c>
      <c r="AB89" s="94">
        <v>-6.0</v>
      </c>
    </row>
    <row r="90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S90" s="100"/>
      <c r="T90" s="100"/>
      <c r="U90" s="100"/>
      <c r="V90" s="100"/>
      <c r="W90" s="100"/>
      <c r="X90" s="100"/>
      <c r="Y90" s="100"/>
      <c r="Z90" s="100"/>
      <c r="AB90" s="94">
        <v>-7.0</v>
      </c>
    </row>
    <row r="9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O91" s="100"/>
      <c r="P91" s="100"/>
      <c r="Q91" s="100"/>
      <c r="S91" s="100"/>
      <c r="T91" s="100"/>
      <c r="U91" s="100"/>
      <c r="V91" s="100"/>
      <c r="W91" s="100"/>
      <c r="X91" s="100"/>
      <c r="Y91" s="100"/>
      <c r="Z91" s="100"/>
      <c r="AB91" s="94">
        <v>-2.0</v>
      </c>
    </row>
    <row r="92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94" t="s">
        <v>60</v>
      </c>
      <c r="AB92" s="94">
        <v>-17.0</v>
      </c>
    </row>
    <row r="93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O93" s="100"/>
      <c r="P93" s="100"/>
      <c r="Q93" s="100"/>
      <c r="S93" s="100"/>
      <c r="T93" s="100"/>
      <c r="U93" s="100"/>
      <c r="V93" s="100"/>
      <c r="W93" s="100"/>
      <c r="X93" s="100"/>
      <c r="Y93" s="100"/>
      <c r="Z93" s="100"/>
      <c r="AB93" s="94">
        <v>-12.0</v>
      </c>
    </row>
    <row r="94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T94" s="100"/>
      <c r="U94" s="100"/>
      <c r="V94" s="100"/>
      <c r="W94" s="100"/>
      <c r="X94" s="100"/>
      <c r="Y94" s="100"/>
      <c r="Z94" s="100"/>
      <c r="AB94" s="94">
        <v>-4.0</v>
      </c>
    </row>
    <row r="95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T95" s="100"/>
      <c r="U95" s="100"/>
      <c r="V95" s="100"/>
      <c r="W95" s="100"/>
      <c r="X95" s="100"/>
      <c r="Y95" s="100"/>
      <c r="Z95" s="100"/>
      <c r="AB95" s="94">
        <v>-11.0</v>
      </c>
    </row>
    <row r="96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O96" s="100"/>
      <c r="P96" s="100"/>
      <c r="Q96" s="100"/>
      <c r="S96" s="100"/>
      <c r="T96" s="100"/>
      <c r="U96" s="100"/>
      <c r="V96" s="100"/>
      <c r="W96" s="100"/>
      <c r="X96" s="100"/>
      <c r="Y96" s="100"/>
      <c r="Z96" s="100"/>
      <c r="AB96" s="94">
        <v>1.0</v>
      </c>
    </row>
    <row r="97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O97" s="100"/>
      <c r="P97" s="100"/>
      <c r="Q97" s="100"/>
      <c r="S97" s="100"/>
      <c r="T97" s="100"/>
      <c r="U97" s="100"/>
      <c r="V97" s="100"/>
      <c r="W97" s="100"/>
      <c r="X97" s="100"/>
      <c r="Y97" s="100"/>
      <c r="Z97" s="100"/>
      <c r="AB97" s="94">
        <v>0.0</v>
      </c>
    </row>
    <row r="98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T98" s="100"/>
      <c r="U98" s="100"/>
      <c r="V98" s="100"/>
      <c r="W98" s="100"/>
      <c r="X98" s="100"/>
      <c r="Y98" s="100"/>
      <c r="Z98" s="100"/>
      <c r="AB98" s="94">
        <v>-9.0</v>
      </c>
    </row>
    <row r="99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O99" s="100"/>
      <c r="P99" s="100"/>
      <c r="Q99" s="100"/>
      <c r="S99" s="100"/>
      <c r="T99" s="100"/>
      <c r="U99" s="100"/>
      <c r="V99" s="100"/>
      <c r="W99" s="100"/>
      <c r="X99" s="100"/>
      <c r="Y99" s="100"/>
      <c r="Z99" s="100"/>
      <c r="AB99" s="94">
        <v>1.0</v>
      </c>
    </row>
    <row r="100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T100" s="100"/>
      <c r="U100" s="100"/>
      <c r="V100" s="100"/>
      <c r="W100" s="100"/>
      <c r="X100" s="100"/>
      <c r="Y100" s="100"/>
      <c r="Z100" s="100"/>
      <c r="AB100" s="94">
        <v>-8.0</v>
      </c>
    </row>
    <row r="10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94" t="s">
        <v>61</v>
      </c>
      <c r="AB101" s="94">
        <v>-6.0</v>
      </c>
    </row>
    <row r="102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94" t="s">
        <v>62</v>
      </c>
      <c r="AB102" s="94">
        <v>1.0</v>
      </c>
    </row>
    <row r="103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O103" s="100"/>
      <c r="P103" s="100"/>
      <c r="Q103" s="100"/>
      <c r="S103" s="100"/>
      <c r="T103" s="100"/>
      <c r="U103" s="100"/>
      <c r="V103" s="100"/>
      <c r="W103" s="100"/>
      <c r="X103" s="100"/>
      <c r="Y103" s="100"/>
      <c r="Z103" s="100"/>
      <c r="AB103" s="94">
        <v>-1.0</v>
      </c>
    </row>
    <row r="104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T104" s="100"/>
      <c r="U104" s="100"/>
      <c r="V104" s="100"/>
      <c r="W104" s="100"/>
      <c r="X104" s="100"/>
      <c r="Y104" s="100"/>
      <c r="Z104" s="100"/>
      <c r="AB104" s="94">
        <v>-5.0</v>
      </c>
    </row>
    <row r="105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94" t="s">
        <v>63</v>
      </c>
      <c r="AB105" s="94">
        <v>-2.0</v>
      </c>
    </row>
    <row r="106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O106" s="100"/>
      <c r="P106" s="100"/>
      <c r="Q106" s="100"/>
      <c r="S106" s="100"/>
      <c r="T106" s="100"/>
      <c r="U106" s="100"/>
      <c r="V106" s="100"/>
      <c r="W106" s="100"/>
      <c r="X106" s="100"/>
      <c r="Y106" s="100"/>
      <c r="Z106" s="100"/>
      <c r="AB106" s="94">
        <v>1.0</v>
      </c>
    </row>
    <row r="107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94" t="s">
        <v>64</v>
      </c>
      <c r="AB107" s="94">
        <v>-12.0</v>
      </c>
    </row>
    <row r="108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O108" s="100"/>
      <c r="P108" s="100"/>
      <c r="Q108" s="100"/>
      <c r="S108" s="100"/>
      <c r="T108" s="100"/>
      <c r="U108" s="100"/>
      <c r="V108" s="100"/>
      <c r="W108" s="100"/>
      <c r="X108" s="100"/>
      <c r="Y108" s="100"/>
      <c r="Z108" s="100"/>
      <c r="AB108" s="94">
        <v>0.0</v>
      </c>
    </row>
    <row r="109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O109" s="100"/>
      <c r="P109" s="100"/>
      <c r="Q109" s="100"/>
      <c r="S109" s="100"/>
      <c r="T109" s="100"/>
      <c r="U109" s="100"/>
      <c r="V109" s="100"/>
      <c r="W109" s="100"/>
      <c r="X109" s="100"/>
      <c r="Y109" s="100"/>
      <c r="Z109" s="100"/>
      <c r="AB109" s="94">
        <v>-1.0</v>
      </c>
    </row>
    <row r="110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94" t="s">
        <v>65</v>
      </c>
      <c r="AB110" s="94">
        <v>-14.0</v>
      </c>
    </row>
    <row r="11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94" t="s">
        <v>66</v>
      </c>
      <c r="AB111" s="94">
        <v>-6.0</v>
      </c>
    </row>
    <row r="112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94" t="s">
        <v>67</v>
      </c>
      <c r="AB112" s="94">
        <v>-11.0</v>
      </c>
    </row>
    <row r="113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T113" s="100"/>
      <c r="U113" s="100"/>
      <c r="V113" s="100"/>
      <c r="W113" s="100"/>
      <c r="X113" s="100"/>
      <c r="Y113" s="100"/>
      <c r="Z113" s="100"/>
      <c r="AB113" s="94">
        <v>-8.0</v>
      </c>
    </row>
    <row r="114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94" t="s">
        <v>68</v>
      </c>
      <c r="AB114" s="94">
        <v>-1.0</v>
      </c>
    </row>
    <row r="115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O115" s="100"/>
      <c r="P115" s="100"/>
      <c r="Q115" s="100"/>
      <c r="S115" s="100"/>
      <c r="T115" s="100"/>
      <c r="U115" s="100"/>
      <c r="V115" s="100"/>
      <c r="W115" s="100"/>
      <c r="X115" s="100"/>
      <c r="Y115" s="100"/>
      <c r="Z115" s="100"/>
      <c r="AB115" s="94">
        <v>4.0</v>
      </c>
    </row>
    <row r="116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O116" s="100"/>
      <c r="P116" s="100"/>
      <c r="Q116" s="100"/>
      <c r="S116" s="100"/>
      <c r="T116" s="100"/>
      <c r="U116" s="100"/>
      <c r="V116" s="100"/>
      <c r="W116" s="100"/>
      <c r="X116" s="100"/>
      <c r="Y116" s="100"/>
      <c r="Z116" s="100"/>
      <c r="AB116" s="94">
        <v>-7.0</v>
      </c>
    </row>
    <row r="117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94" t="s">
        <v>69</v>
      </c>
      <c r="AB117" s="94">
        <v>12.0</v>
      </c>
    </row>
    <row r="118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O118" s="100"/>
      <c r="P118" s="100"/>
      <c r="Q118" s="100"/>
      <c r="S118" s="100"/>
      <c r="T118" s="100"/>
      <c r="U118" s="100"/>
      <c r="V118" s="100"/>
      <c r="W118" s="100"/>
      <c r="X118" s="100"/>
      <c r="Y118" s="100"/>
      <c r="Z118" s="100"/>
      <c r="AB118" s="94">
        <v>-1.0</v>
      </c>
    </row>
    <row r="119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94" t="s">
        <v>70</v>
      </c>
      <c r="AB119" s="94">
        <v>-17.0</v>
      </c>
    </row>
    <row r="120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T120" s="100"/>
      <c r="U120" s="100"/>
      <c r="V120" s="100"/>
      <c r="W120" s="100"/>
      <c r="X120" s="100"/>
      <c r="Y120" s="100"/>
      <c r="Z120" s="100"/>
      <c r="AB120" s="94">
        <v>-5.0</v>
      </c>
    </row>
    <row r="12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T121" s="100"/>
      <c r="U121" s="100"/>
      <c r="V121" s="100"/>
      <c r="W121" s="100"/>
      <c r="X121" s="100"/>
      <c r="Y121" s="100"/>
      <c r="Z121" s="100"/>
      <c r="AB121" s="94">
        <v>-6.0</v>
      </c>
    </row>
    <row r="122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T122" s="100"/>
      <c r="U122" s="100"/>
      <c r="V122" s="100"/>
      <c r="W122" s="100"/>
      <c r="X122" s="100"/>
      <c r="Y122" s="100"/>
      <c r="Z122" s="100"/>
      <c r="AB122" s="94">
        <v>-6.0</v>
      </c>
    </row>
    <row r="123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94" t="s">
        <v>71</v>
      </c>
      <c r="AB123" s="94">
        <v>-15.0</v>
      </c>
    </row>
    <row r="124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S124" s="100"/>
      <c r="T124" s="100"/>
      <c r="U124" s="100"/>
      <c r="V124" s="100"/>
      <c r="W124" s="100"/>
      <c r="X124" s="100"/>
      <c r="Y124" s="100"/>
      <c r="Z124" s="100"/>
      <c r="AB124" s="94">
        <v>-6.0</v>
      </c>
    </row>
    <row r="125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O125" s="100"/>
      <c r="P125" s="100"/>
      <c r="Q125" s="100"/>
      <c r="S125" s="100"/>
      <c r="T125" s="100"/>
      <c r="U125" s="100"/>
      <c r="V125" s="100"/>
      <c r="W125" s="100"/>
      <c r="X125" s="100"/>
      <c r="Y125" s="100"/>
      <c r="Z125" s="100"/>
      <c r="AB125" s="94">
        <v>0.0</v>
      </c>
    </row>
    <row r="126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O126" s="100"/>
      <c r="P126" s="100"/>
      <c r="Q126" s="100"/>
      <c r="S126" s="100"/>
      <c r="T126" s="100"/>
      <c r="U126" s="100"/>
      <c r="V126" s="100"/>
      <c r="W126" s="100"/>
      <c r="X126" s="100"/>
      <c r="Y126" s="100"/>
      <c r="Z126" s="100"/>
      <c r="AB126" s="94">
        <v>-12.0</v>
      </c>
    </row>
    <row r="127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O127" s="100"/>
      <c r="P127" s="100"/>
      <c r="Q127" s="100"/>
      <c r="S127" s="100"/>
      <c r="T127" s="100"/>
      <c r="U127" s="100"/>
      <c r="V127" s="100"/>
      <c r="W127" s="100"/>
      <c r="X127" s="100"/>
      <c r="Y127" s="100"/>
      <c r="Z127" s="100"/>
      <c r="AB127" s="94">
        <v>-11.0</v>
      </c>
    </row>
    <row r="128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94" t="s">
        <v>72</v>
      </c>
      <c r="AB128" s="94">
        <v>-11.0</v>
      </c>
    </row>
    <row r="129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T129" s="100"/>
      <c r="U129" s="100"/>
      <c r="V129" s="100"/>
      <c r="W129" s="100"/>
      <c r="X129" s="100"/>
      <c r="Y129" s="100"/>
      <c r="Z129" s="100"/>
      <c r="AB129" s="94">
        <v>-6.0</v>
      </c>
    </row>
    <row r="130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T130" s="100"/>
      <c r="U130" s="100"/>
      <c r="V130" s="100"/>
      <c r="W130" s="100"/>
      <c r="X130" s="100"/>
      <c r="Y130" s="100"/>
      <c r="Z130" s="100"/>
      <c r="AB130" s="94">
        <v>-8.0</v>
      </c>
    </row>
    <row r="13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O131" s="100"/>
      <c r="P131" s="100"/>
      <c r="Q131" s="100"/>
      <c r="S131" s="100"/>
      <c r="T131" s="100"/>
      <c r="U131" s="100"/>
      <c r="V131" s="100"/>
      <c r="W131" s="100"/>
      <c r="X131" s="100"/>
      <c r="Y131" s="100"/>
      <c r="Z131" s="100"/>
      <c r="AB131" s="94">
        <v>0.0</v>
      </c>
    </row>
    <row r="132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O132" s="100"/>
      <c r="P132" s="100"/>
      <c r="Q132" s="100"/>
      <c r="S132" s="100"/>
      <c r="T132" s="100"/>
      <c r="U132" s="100"/>
      <c r="V132" s="100"/>
      <c r="W132" s="100"/>
      <c r="X132" s="100"/>
      <c r="Y132" s="100"/>
      <c r="Z132" s="100"/>
      <c r="AB132" s="94">
        <v>0.0</v>
      </c>
    </row>
    <row r="133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O133" s="100"/>
      <c r="P133" s="100"/>
      <c r="Q133" s="100"/>
      <c r="S133" s="100"/>
      <c r="T133" s="100"/>
      <c r="U133" s="100"/>
      <c r="V133" s="100"/>
      <c r="W133" s="100"/>
      <c r="X133" s="100"/>
      <c r="Y133" s="100"/>
      <c r="Z133" s="100"/>
      <c r="AB133" s="94">
        <v>-8.0</v>
      </c>
    </row>
    <row r="134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S134" s="100"/>
      <c r="T134" s="100"/>
      <c r="U134" s="100"/>
      <c r="V134" s="100"/>
      <c r="W134" s="100"/>
      <c r="X134" s="100"/>
      <c r="Y134" s="100"/>
      <c r="Z134" s="100"/>
      <c r="AB134" s="94">
        <v>-8.0</v>
      </c>
    </row>
    <row r="135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S135" s="100"/>
      <c r="T135" s="100"/>
      <c r="U135" s="100"/>
      <c r="V135" s="100"/>
      <c r="W135" s="100"/>
      <c r="X135" s="100"/>
      <c r="Y135" s="100"/>
      <c r="Z135" s="100"/>
      <c r="AB135" s="94">
        <v>-8.0</v>
      </c>
    </row>
    <row r="136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O136" s="100"/>
      <c r="P136" s="100"/>
      <c r="Q136" s="100"/>
      <c r="S136" s="100"/>
      <c r="T136" s="100"/>
      <c r="U136" s="100"/>
      <c r="V136" s="100"/>
      <c r="W136" s="100"/>
      <c r="X136" s="100"/>
      <c r="Y136" s="100"/>
      <c r="Z136" s="100"/>
      <c r="AB136" s="94">
        <v>0.0</v>
      </c>
    </row>
    <row r="137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T137" s="100"/>
      <c r="U137" s="100"/>
      <c r="V137" s="100"/>
      <c r="W137" s="100"/>
      <c r="X137" s="100"/>
      <c r="Y137" s="100"/>
      <c r="Z137" s="100"/>
      <c r="AB137" s="94">
        <v>-5.0</v>
      </c>
    </row>
    <row r="138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O138" s="100"/>
      <c r="P138" s="100"/>
      <c r="Q138" s="100"/>
      <c r="S138" s="100"/>
      <c r="T138" s="100"/>
      <c r="U138" s="100"/>
      <c r="V138" s="100"/>
      <c r="W138" s="100"/>
      <c r="X138" s="100"/>
      <c r="Y138" s="100"/>
      <c r="Z138" s="100"/>
      <c r="AB138" s="94">
        <v>0.0</v>
      </c>
    </row>
    <row r="139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S139" s="100"/>
      <c r="T139" s="100"/>
      <c r="U139" s="100"/>
      <c r="V139" s="100"/>
      <c r="W139" s="100"/>
      <c r="X139" s="100"/>
      <c r="Y139" s="100"/>
      <c r="Z139" s="100"/>
      <c r="AB139" s="94">
        <v>-10.0</v>
      </c>
    </row>
    <row r="140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O140" s="100"/>
      <c r="P140" s="100"/>
      <c r="Q140" s="100"/>
      <c r="S140" s="100"/>
      <c r="T140" s="100"/>
      <c r="U140" s="100"/>
      <c r="V140" s="100"/>
      <c r="W140" s="100"/>
      <c r="X140" s="100"/>
      <c r="Y140" s="100"/>
      <c r="Z140" s="100"/>
      <c r="AB140" s="94">
        <v>-12.0</v>
      </c>
    </row>
    <row r="14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94" t="s">
        <v>73</v>
      </c>
      <c r="AB141" s="94">
        <v>-10.0</v>
      </c>
    </row>
  </sheetData>
  <mergeCells count="1">
    <mergeCell ref="A1:H1"/>
  </mergeCells>
  <drawing r:id="rId1"/>
</worksheet>
</file>