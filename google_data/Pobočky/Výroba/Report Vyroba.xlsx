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<sst xmlns="http://schemas.openxmlformats.org/spreadsheetml/2006/main" count="140" uniqueCount="73">
  <si>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</si>
  <si>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</si>
  <si>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</si>
  <si>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</si>
  <si>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</si>
  <si>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</si>
  <si>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</si>
  <si>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</si>
  <si>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</si>
  <si>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</si>
  <si>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</si>
  <si>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</si>
  <si>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</si>
  <si>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</si>
  <si>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14:30</t>
  </si>
  <si>
    <t>Suroviny</t>
  </si>
  <si>
    <t>Kursheva Diana</t>
  </si>
  <si>
    <t>Ostatní</t>
  </si>
  <si>
    <t>Ahurieva Viktoriia</t>
  </si>
  <si>
    <t>Vyber datum    &lt;----------&gt;</t>
  </si>
  <si>
    <t>Celkem hodin</t>
  </si>
  <si>
    <t>Počet dní</t>
  </si>
  <si>
    <t>Stepanenko Solomiia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</si>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</sst>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46178.0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J15"),40484.25)</f>
        <v>40484.25</v>
      </c>
      <c r="H2" s="16"/>
      <c r="K2" s="16"/>
    </row>
    <row r="3">
      <c r="A3" s="17"/>
      <c r="B3" s="18" t="str">
        <f>CHOOSE(WEEKDAY(D1), "Neděle", "Pondělí", "Úterý", "Středa", "Čtvrtek", "Pátek", "Sobota")</f>
        <v>Pátek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08:30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276.25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08:30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204</v>
      </c>
      <c r="B16" s="39" t="s">
        <v>18</v>
      </c>
      <c r="C16" s="40" t="s">
        <v>13</v>
      </c>
      <c r="D16" s="40" t="s">
        <v>14</v>
      </c>
      <c r="E16" s="52"/>
      <c r="F16" s="53" t="str">
        <f t="shared" si="1"/>
        <v>08:30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Viktoriia,Stepanenko Solomiia,Kursheva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19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20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21</v>
      </c>
      <c r="D9" s="79" t="s">
        <v>10</v>
      </c>
      <c r="F9" s="64"/>
    </row>
    <row r="10" ht="18.75" customHeight="1">
      <c r="A10" s="71"/>
      <c r="B10" s="80" t="s">
        <v>12</v>
      </c>
      <c r="C10" s="81">
        <v>15.0</v>
      </c>
      <c r="D10" s="82">
        <v>118.0</v>
      </c>
    </row>
    <row r="11" ht="18.75" customHeight="1">
      <c r="A11" s="71"/>
      <c r="B11" s="80" t="s">
        <v>22</v>
      </c>
      <c r="C11" s="81">
        <v>16.0</v>
      </c>
      <c r="D11" s="82">
        <v>126.0</v>
      </c>
    </row>
    <row r="12" ht="18.75" customHeight="1">
      <c r="A12" s="71"/>
      <c r="B12" s="80" t="s">
        <v>16</v>
      </c>
      <c r="C12" s="81">
        <v>18.0</v>
      </c>
      <c r="D12" s="82">
        <v>142.0</v>
      </c>
    </row>
    <row r="13" ht="18.75" customHeight="1">
      <c r="A13" s="71"/>
      <c r="B13" s="80" t="s">
        <v>23</v>
      </c>
      <c r="C13" s="81">
        <v>11.0</v>
      </c>
      <c r="D13" s="83">
        <v>116.0</v>
      </c>
    </row>
    <row r="14" ht="18.75" customHeight="1">
      <c r="A14" s="71"/>
      <c r="B14" s="80" t="s">
        <v>24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""Mzdy!u1:v200"")"),46174.0)</f>
        <v>46174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25</v>
      </c>
      <c r="B4" s="88" t="s">
        <v>26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IFERROR(__xludf.DUMMYFUNCTION("""COMPUTED_VALUE"""),13.5)</f>
        <v>13.5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IFERROR(__xludf.DUMMYFUNCTION("""COMPUTED_VALUE"""),38.5)</f>
        <v>38.5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IFERROR(__xludf.DUMMYFUNCTION("""COMPUTED_VALUE"""),32.5)</f>
        <v>32.5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IFERROR(__xludf.DUMMYFUNCTION("""COMPUTED_VALUE"""),24.0)</f>
        <v>24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IFERROR(__xludf.DUMMYFUNCTION("""COMPUTED_VALUE"""),14.5)</f>
        <v>14.5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IFERROR(__xludf.DUMMYFUNCTION("""COMPUTED_VALUE"""),18.0)</f>
        <v>18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IFERROR(__xludf.DUMMYFUNCTION("""COMPUTED_VALUE"""),22.0)</f>
        <v>22</v>
      </c>
      <c r="W11" s="87">
        <f>IFERROR(__xludf.DUMMYFUNCTION("""COMPUTED_VALUE"""),4298.008)</f>
        <v>4298.008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IFERROR(__xludf.DUMMYFUNCTION("""COMPUTED_VALUE"""),22.5)</f>
        <v>22.5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IFERROR(__xludf.DUMMYFUNCTION("""COMPUTED_VALUE"""),9.5)</f>
        <v>9.5</v>
      </c>
      <c r="W14" s="87">
        <f>IFERROR(__xludf.DUMMYFUNCTION("""COMPUTED_VALUE"""),1570.426)</f>
        <v>1570.426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IFERROR(__xludf.DUMMYFUNCTION("""COMPUTED_VALUE"""),21.0)</f>
        <v>21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IFERROR(__xludf.DUMMYFUNCTION("""COMPUTED_VALUE"""),35.0)</f>
        <v>35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IFERROR(__xludf.DUMMYFUNCTION("""COMPUTED_VALUE"""),0.0)</f>
        <v>0</v>
      </c>
      <c r="W17" s="87">
        <f>IFERROR(__xludf.DUMMYFUNCTION("""COMPUTED_VALUE"""),0.0)</f>
        <v>0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IFERROR(__xludf.DUMMYFUNCTION("""COMPUTED_VALUE"""),0.0)</f>
        <v>0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IFERROR(__xludf.DUMMYFUNCTION("""COMPUTED_VALUE"""),14.0)</f>
        <v>14</v>
      </c>
      <c r="W20" s="87">
        <f>IFERROR(__xludf.DUMMYFUNCTION("""COMPUTED_VALUE"""),2475.2)</f>
        <v>2475.2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IFERROR(__xludf.DUMMYFUNCTION("""COMPUTED_VALUE"""),27.5)</f>
        <v>27.5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IFERROR(__xludf.DUMMYFUNCTION("""COMPUTED_VALUE"""),60.5)</f>
        <v>60.5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IFERROR(__xludf.DUMMYFUNCTION("""COMPUTED_VALUE"""),23.5)</f>
        <v>23.5</v>
      </c>
      <c r="W24" s="87">
        <f>IFERROR(__xludf.DUMMYFUNCTION("""COMPUTED_VALUE"""),4154.8)</f>
        <v>4154.8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IFERROR(__xludf.DUMMYFUNCTION("""COMPUTED_VALUE"""),0.0)</f>
        <v>0</v>
      </c>
      <c r="W27" s="87">
        <f>IFERROR(__xludf.DUMMYFUNCTION("""COMPUTED_VALUE"""),0.0)</f>
        <v>0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IFERROR(__xludf.DUMMYFUNCTION("""COMPUTED_VALUE"""),35.5)</f>
        <v>35.5</v>
      </c>
      <c r="W28" s="87">
        <f>IFERROR(__xludf.DUMMYFUNCTION("""COMPUTED_VALUE"""),6276.4)</f>
        <v>6276.4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IFERROR(__xludf.DUMMYFUNCTION("""COMPUTED_VALUE"""),21.5)</f>
        <v>21.5</v>
      </c>
      <c r="W30" s="87">
        <f>IFERROR(__xludf.DUMMYFUNCTION("""COMPUTED_VALUE"""),3554.122)</f>
        <v>3554.122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IFERROR(__xludf.DUMMYFUNCTION("""COMPUTED_VALUE"""),32.5)</f>
        <v>32.5</v>
      </c>
      <c r="W35" s="87">
        <f>IFERROR(__xludf.DUMMYFUNCTION("""COMPUTED_VALUE"""),5372.51)</f>
        <v>5372.51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IFERROR(__xludf.DUMMYFUNCTION("""COMPUTED_VALUE"""),16.0)</f>
        <v>16</v>
      </c>
      <c r="W38" s="87">
        <f>IFERROR(__xludf.DUMMYFUNCTION("""COMPUTED_VALUE"""),2644.928)</f>
        <v>2644.928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IFERROR(__xludf.DUMMYFUNCTION("""COMPUTED_VALUE"""),29.5)</f>
        <v>29.5</v>
      </c>
      <c r="W39" s="87">
        <f>IFERROR(__xludf.DUMMYFUNCTION("""COMPUTED_VALUE"""),4876.586)</f>
        <v>4876.586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IFERROR(__xludf.DUMMYFUNCTION("""COMPUTED_VALUE"""),13.0)</f>
        <v>13</v>
      </c>
      <c r="W41" s="87">
        <f>IFERROR(__xludf.DUMMYFUNCTION("""COMPUTED_VALUE"""),2149.004)</f>
        <v>2149.004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IFERROR(__xludf.DUMMYFUNCTION("""COMPUTED_VALUE"""),524.5)</f>
        <v>524.5</v>
      </c>
      <c r="W60" s="87">
        <f>IFERROR(__xludf.DUMMYFUNCTION("""COMPUTED_VALUE"""),615398.4639999999)</f>
        <v>615398.464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IFERROR(__xludf.DUMMYFUNCTION("""COMPUTED_VALUE"""),30462.0)</f>
        <v>30462</v>
      </c>
      <c r="W65" s="87">
        <f>IFERROR(__xludf.DUMMYFUNCTION("""COMPUTED_VALUE"""),152.31)</f>
        <v>152.31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IFERROR(__xludf.DUMMYFUNCTION("""COMPUTED_VALUE"""),0.0)</f>
        <v>0</v>
      </c>
      <c r="W75" s="87">
        <f>IFERROR(__xludf.DUMMYFUNCTION("""COMPUTED_VALUE"""),0.0)</f>
        <v>0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IFERROR(__xludf.DUMMYFUNCTION("""COMPUTED_VALUE"""),31.0)</f>
        <v>31</v>
      </c>
      <c r="W76" s="87">
        <f>IFERROR(__xludf.DUMMYFUNCTION("""COMPUTED_VALUE"""),5480.8)</f>
        <v>5480.8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IFERROR(__xludf.DUMMYFUNCTION("""COMPUTED_VALUE"""),10.0)</f>
        <v>10</v>
      </c>
      <c r="W78" s="87">
        <f>IFERROR(__xludf.DUMMYFUNCTION("""COMPUTED_VALUE"""),1768.0)</f>
        <v>1768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IFERROR(__xludf.DUMMYFUNCTION("""COMPUTED_VALUE"""),5.5)</f>
        <v>5.5</v>
      </c>
      <c r="W79" s="87">
        <f>IFERROR(__xludf.DUMMYFUNCTION("""COMPUTED_VALUE"""),841.126)</f>
        <v>841.126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IFERROR(__xludf.DUMMYFUNCTION("""COMPUTED_VALUE"""),22.5)</f>
        <v>22.5</v>
      </c>
      <c r="W80" s="87">
        <f>IFERROR(__xludf.DUMMYFUNCTION("""COMPUTED_VALUE"""),3719.43)</f>
        <v>3719.43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IFERROR(__xludf.DUMMYFUNCTION("""COMPUTED_VALUE"""),14.0)</f>
        <v>14</v>
      </c>
      <c r="W81" s="87">
        <f>IFERROR(__xludf.DUMMYFUNCTION("""COMPUTED_VALUE"""),2141.048)</f>
        <v>2141.048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IFERROR(__xludf.DUMMYFUNCTION("""COMPUTED_VALUE"""),0.0)</f>
        <v>0</v>
      </c>
      <c r="W83" s="87">
        <f>IFERROR(__xludf.DUMMYFUNCTION("""COMPUTED_VALUE"""),0.0)</f>
        <v>0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IFERROR(__xludf.DUMMYFUNCTION("""COMPUTED_VALUE"""),6.0)</f>
        <v>6</v>
      </c>
      <c r="W84" s="87">
        <f>IFERROR(__xludf.DUMMYFUNCTION("""COMPUTED_VALUE"""),991.848)</f>
        <v>991.848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IFERROR(__xludf.DUMMYFUNCTION("""COMPUTED_VALUE"""),5.0)</f>
        <v>5</v>
      </c>
      <c r="W85" s="87">
        <f>IFERROR(__xludf.DUMMYFUNCTION("""COMPUTED_VALUE"""),750.0)</f>
        <v>750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IFERROR(__xludf.DUMMYFUNCTION("""COMPUTED_VALUE"""),3.5)</f>
        <v>3.5</v>
      </c>
      <c r="W87" s="87">
        <f>IFERROR(__xludf.DUMMYFUNCTION("""COMPUTED_VALUE"""),535.262)</f>
        <v>535.262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IFERROR(__xludf.DUMMYFUNCTION("""COMPUTED_VALUE"""),4.5)</f>
        <v>4.5</v>
      </c>
      <c r="W89" s="87">
        <f>IFERROR(__xludf.DUMMYFUNCTION("""COMPUTED_VALUE"""),765.0)</f>
        <v>765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IFERROR(__xludf.DUMMYFUNCTION("""COMPUTED_VALUE"""),14.0)</f>
        <v>14</v>
      </c>
      <c r="W90" s="87">
        <f>IFERROR(__xludf.DUMMYFUNCTION("""COMPUTED_VALUE"""),2240.0)</f>
        <v>2240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IFERROR(__xludf.DUMMYFUNCTION("""COMPUTED_VALUE"""),14.0)</f>
        <v>14</v>
      </c>
      <c r="W93" s="87">
        <f>IFERROR(__xludf.DUMMYFUNCTION("""COMPUTED_VALUE"""),2314.312)</f>
        <v>2314.312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IFERROR(__xludf.DUMMYFUNCTION("""COMPUTED_VALUE"""),35.0)</f>
        <v>35</v>
      </c>
      <c r="W94" s="87">
        <f>IFERROR(__xludf.DUMMYFUNCTION("""COMPUTED_VALUE"""),5785.78)</f>
        <v>5785.78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IFERROR(__xludf.DUMMYFUNCTION("""COMPUTED_VALUE"""),20.0)</f>
        <v>20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IFERROR(__xludf.DUMMYFUNCTION("""COMPUTED_VALUE"""),0.0)</f>
        <v>0</v>
      </c>
      <c r="W97" s="87">
        <f>IFERROR(__xludf.DUMMYFUNCTION("""COMPUTED_VALUE"""),0.0)</f>
        <v>0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IFERROR(__xludf.DUMMYFUNCTION("""COMPUTED_VALUE"""),6.0)</f>
        <v>6</v>
      </c>
      <c r="W98" s="87">
        <f>IFERROR(__xludf.DUMMYFUNCTION("""COMPUTED_VALUE"""),848.64)</f>
        <v>848.64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IFERROR(__xludf.DUMMYFUNCTION("""COMPUTED_VALUE"""),5.0)</f>
        <v>5</v>
      </c>
      <c r="W105" s="87">
        <f>IFERROR(__xludf.DUMMYFUNCTION("""COMPUTED_VALUE"""),764.66)</f>
        <v>764.66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IFERROR(__xludf.DUMMYFUNCTION("""COMPUTED_VALUE"""),0.0)</f>
        <v>0</v>
      </c>
      <c r="W107" s="87">
        <f>IFERROR(__xludf.DUMMYFUNCTION("""COMPUTED_VALUE"""),0.0)</f>
        <v>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IFERROR(__xludf.DUMMYFUNCTION("""COMPUTED_VALUE"""),48.0)</f>
        <v>48</v>
      </c>
      <c r="W108" s="87">
        <f>IFERROR(__xludf.DUMMYFUNCTION("""COMPUTED_VALUE"""),7934.784)</f>
        <v>7934.784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IFERROR(__xludf.DUMMYFUNCTION("""COMPUTED_VALUE"""),19.0)</f>
        <v>19</v>
      </c>
      <c r="W112" s="87">
        <f>IFERROR(__xludf.DUMMYFUNCTION("""COMPUTED_VALUE"""),2687.36)</f>
        <v>2687.36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IFERROR(__xludf.DUMMYFUNCTION("""COMPUTED_VALUE"""),0.0)</f>
        <v>0</v>
      </c>
      <c r="W113" s="87">
        <f>IFERROR(__xludf.DUMMYFUNCTION("""COMPUTED_VALUE"""),0.0)</f>
        <v>0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IFERROR(__xludf.DUMMYFUNCTION("""COMPUTED_VALUE"""),0.0)</f>
        <v>0</v>
      </c>
      <c r="W115" s="87">
        <f>IFERROR(__xludf.DUMMYFUNCTION("""COMPUTED_VALUE"""),0.0)</f>
        <v>0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IFERROR(__xludf.DUMMYFUNCTION("""COMPUTED_VALUE"""),4.0)</f>
        <v>4</v>
      </c>
      <c r="W116" s="87">
        <f>IFERROR(__xludf.DUMMYFUNCTION("""COMPUTED_VALUE"""),611.728)</f>
        <v>611.728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IFERROR(__xludf.DUMMYFUNCTION("""COMPUTED_VALUE"""),23.0)</f>
        <v>23</v>
      </c>
      <c r="W117" s="87">
        <f>IFERROR(__xludf.DUMMYFUNCTION("""COMPUTED_VALUE"""),3802.084)</f>
        <v>3802.084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IFERROR(__xludf.DUMMYFUNCTION("""COMPUTED_VALUE"""),33.0)</f>
        <v>33</v>
      </c>
      <c r="W119" s="87">
        <f>IFERROR(__xludf.DUMMYFUNCTION("""COMPUTED_VALUE"""),4667.52)</f>
        <v>4667.52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IFERROR(__xludf.DUMMYFUNCTION("""COMPUTED_VALUE"""),12.0)</f>
        <v>12</v>
      </c>
      <c r="W125" s="87">
        <f>IFERROR(__xludf.DUMMYFUNCTION("""COMPUTED_VALUE"""),1835.184)</f>
        <v>1835.184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IFERROR(__xludf.DUMMYFUNCTION("""COMPUTED_VALUE"""),14.0)</f>
        <v>14</v>
      </c>
      <c r="W126" s="87">
        <f>IFERROR(__xludf.DUMMYFUNCTION("""COMPUTED_VALUE"""),2141.048)</f>
        <v>2141.048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IFERROR(__xludf.DUMMYFUNCTION("""COMPUTED_VALUE"""),12.0)</f>
        <v>12</v>
      </c>
      <c r="W127" s="87">
        <f>IFERROR(__xludf.DUMMYFUNCTION("""COMPUTED_VALUE"""),2040.0)</f>
        <v>2040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IFERROR(__xludf.DUMMYFUNCTION("""COMPUTED_VALUE"""),14.0)</f>
        <v>14</v>
      </c>
      <c r="W128" s="87">
        <f>IFERROR(__xludf.DUMMYFUNCTION("""COMPUTED_VALUE"""),2141.048)</f>
        <v>2141.048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IFERROR(__xludf.DUMMYFUNCTION("""COMPUTED_VALUE"""),6.0)</f>
        <v>6</v>
      </c>
      <c r="W129" s="87">
        <f>IFERROR(__xludf.DUMMYFUNCTION("""COMPUTED_VALUE"""),1200.0)</f>
        <v>1200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IFERROR(__xludf.DUMMYFUNCTION("""COMPUTED_VALUE"""),381.0)</f>
        <v>381</v>
      </c>
      <c r="W196" s="87">
        <f>IFERROR(__xludf.DUMMYFUNCTION("""COMPUTED_VALUE"""),132729.862)</f>
        <v>132729.862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27</v>
      </c>
      <c r="C1" s="94" t="s">
        <v>4</v>
      </c>
      <c r="D1" s="94" t="s">
        <v>7</v>
      </c>
      <c r="E1" s="94" t="s">
        <v>8</v>
      </c>
      <c r="F1" s="94" t="s">
        <v>28</v>
      </c>
      <c r="G1" s="94" t="s">
        <v>10</v>
      </c>
      <c r="H1" s="94" t="s">
        <v>29</v>
      </c>
      <c r="I1" s="94" t="s">
        <v>30</v>
      </c>
      <c r="J1" s="94" t="s">
        <v>15</v>
      </c>
      <c r="K1" s="94" t="s">
        <v>17</v>
      </c>
    </row>
    <row r="2">
      <c r="A2" s="95">
        <v>45528.0</v>
      </c>
      <c r="B2" s="94" t="s">
        <v>31</v>
      </c>
      <c r="C2" s="94" t="s">
        <v>32</v>
      </c>
      <c r="D2" s="96" t="s">
        <v>33</v>
      </c>
      <c r="E2" s="96" t="s">
        <v>34</v>
      </c>
      <c r="F2" s="96" t="s">
        <v>35</v>
      </c>
      <c r="G2" s="96" t="s">
        <v>36</v>
      </c>
      <c r="H2" s="97">
        <v>3728.0</v>
      </c>
    </row>
    <row r="3">
      <c r="A3" s="95">
        <v>45528.0</v>
      </c>
      <c r="B3" s="94" t="s">
        <v>31</v>
      </c>
      <c r="C3" s="94" t="s">
        <v>22</v>
      </c>
      <c r="D3" s="96" t="s">
        <v>37</v>
      </c>
      <c r="E3" s="96" t="s">
        <v>38</v>
      </c>
      <c r="F3" s="96" t="s">
        <v>35</v>
      </c>
      <c r="G3" s="96" t="s">
        <v>36</v>
      </c>
      <c r="H3" s="97">
        <v>3728.0</v>
      </c>
    </row>
    <row r="4">
      <c r="A4" s="95">
        <v>45528.0</v>
      </c>
      <c r="B4" s="94" t="s">
        <v>31</v>
      </c>
      <c r="C4" s="94" t="s">
        <v>23</v>
      </c>
      <c r="D4" s="96" t="s">
        <v>39</v>
      </c>
      <c r="E4" s="96" t="s">
        <v>37</v>
      </c>
      <c r="G4" s="96" t="s">
        <v>39</v>
      </c>
      <c r="H4" s="97">
        <v>3728.0</v>
      </c>
    </row>
    <row r="5">
      <c r="A5" s="95">
        <v>45528.0</v>
      </c>
      <c r="B5" s="94" t="s">
        <v>31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40</v>
      </c>
      <c r="C6" s="94" t="s">
        <v>32</v>
      </c>
      <c r="D6" s="96" t="s">
        <v>33</v>
      </c>
      <c r="E6" s="96" t="s">
        <v>34</v>
      </c>
      <c r="F6" s="96" t="s">
        <v>35</v>
      </c>
      <c r="G6" s="96" t="s">
        <v>36</v>
      </c>
      <c r="H6" s="97">
        <v>3728.0</v>
      </c>
    </row>
    <row r="7">
      <c r="A7" s="95">
        <v>45526.0</v>
      </c>
      <c r="B7" s="94" t="s">
        <v>40</v>
      </c>
      <c r="C7" s="94" t="s">
        <v>22</v>
      </c>
      <c r="D7" s="96" t="s">
        <v>37</v>
      </c>
      <c r="E7" s="96" t="s">
        <v>38</v>
      </c>
      <c r="F7" s="96" t="s">
        <v>35</v>
      </c>
      <c r="G7" s="96" t="s">
        <v>36</v>
      </c>
      <c r="H7" s="97">
        <v>3728.0</v>
      </c>
    </row>
    <row r="8">
      <c r="A8" s="95">
        <v>45526.0</v>
      </c>
      <c r="B8" s="94" t="s">
        <v>40</v>
      </c>
      <c r="C8" s="94" t="s">
        <v>23</v>
      </c>
      <c r="D8" s="96" t="s">
        <v>39</v>
      </c>
      <c r="E8" s="96" t="s">
        <v>37</v>
      </c>
      <c r="G8" s="96" t="s">
        <v>39</v>
      </c>
      <c r="H8" s="97">
        <v>3728.0</v>
      </c>
    </row>
    <row r="9">
      <c r="A9" s="95">
        <v>45526.0</v>
      </c>
      <c r="B9" s="94" t="s">
        <v>40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40</v>
      </c>
      <c r="C10" s="94" t="s">
        <v>32</v>
      </c>
      <c r="D10" s="96" t="s">
        <v>33</v>
      </c>
      <c r="E10" s="96" t="s">
        <v>34</v>
      </c>
      <c r="F10" s="96" t="s">
        <v>35</v>
      </c>
      <c r="G10" s="96" t="s">
        <v>36</v>
      </c>
      <c r="H10" s="97">
        <v>3728.0</v>
      </c>
    </row>
    <row r="11">
      <c r="A11" s="95">
        <v>45526.0</v>
      </c>
      <c r="B11" s="94" t="s">
        <v>40</v>
      </c>
      <c r="C11" s="94" t="s">
        <v>22</v>
      </c>
      <c r="D11" s="96" t="s">
        <v>37</v>
      </c>
      <c r="E11" s="96" t="s">
        <v>38</v>
      </c>
      <c r="F11" s="96" t="s">
        <v>35</v>
      </c>
      <c r="G11" s="96" t="s">
        <v>36</v>
      </c>
      <c r="H11" s="97">
        <v>3728.0</v>
      </c>
    </row>
    <row r="12">
      <c r="A12" s="95">
        <v>45526.0</v>
      </c>
      <c r="B12" s="94" t="s">
        <v>40</v>
      </c>
      <c r="C12" s="94" t="s">
        <v>23</v>
      </c>
      <c r="D12" s="96" t="s">
        <v>39</v>
      </c>
      <c r="E12" s="96" t="s">
        <v>37</v>
      </c>
      <c r="G12" s="96" t="s">
        <v>39</v>
      </c>
      <c r="H12" s="97">
        <v>3728.0</v>
      </c>
    </row>
    <row r="13">
      <c r="A13" s="95">
        <v>45526.0</v>
      </c>
      <c r="B13" s="94" t="s">
        <v>40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41</v>
      </c>
    </row>
    <row r="15">
      <c r="A15" s="95">
        <v>45533.0</v>
      </c>
      <c r="B15" s="94" t="s">
        <v>40</v>
      </c>
    </row>
    <row r="16">
      <c r="A16" s="95">
        <v>45534.0</v>
      </c>
      <c r="B16" s="94" t="s">
        <v>42</v>
      </c>
    </row>
    <row r="17">
      <c r="A17" s="95">
        <v>45535.0</v>
      </c>
      <c r="B17" s="94" t="s">
        <v>31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43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44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45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46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47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48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49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50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51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52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53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54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55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56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57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58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59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60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61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62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63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64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65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66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67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68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69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70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71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72</v>
      </c>
      <c r="AB141" s="94">
        <v>-10.0</v>
      </c>
    </row>
  </sheetData>
  <mergeCells count="1">
    <mergeCell ref="A1:H1"/>
  </mergeCells>
  <drawing r:id="rId1"/>
</worksheet>
</file>