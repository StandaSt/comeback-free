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<sst xmlns="http://schemas.openxmlformats.org/spreadsheetml/2006/main" count="131" uniqueCount="70">
  <si>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</si>
  <si>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</si>
  <si>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</si>
  <si>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</si>
  <si>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</si>
  <si>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</si>
  <si>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</si>
  <si>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</si>
  <si>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</si>
  <si>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</si>
  <si>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</si>
  <si>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</si>
  <si>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Suroviny</t>
  </si>
  <si>
    <t>Ostatní</t>
  </si>
  <si>
    <t>Vyber datum    &lt;----------&gt;</t>
  </si>
  <si>
    <t>Celkem hodin</t>
  </si>
  <si>
    <t>Počet dní</t>
  </si>
  <si>
    <t>Paziak Viktoriia</t>
  </si>
  <si>
    <t>Stepanenko Solomiia</t>
  </si>
  <si>
    <t>Kursheva Diana</t>
  </si>
  <si>
    <t>Hřebík Martin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</si>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</sst>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46194.0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J15"),40004.0)</f>
        <v>40004</v>
      </c>
      <c r="H2" s="16"/>
      <c r="K2" s="16"/>
    </row>
    <row r="3">
      <c r="A3" s="17"/>
      <c r="B3" s="18" t="str">
        <f>CHOOSE(WEEKDAY(D1), "Neděle", "Pondělí", "Úterý", "Středa", "Čtvrtek", "Pátek", "Sobota")</f>
        <v>Neděle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/>
      <c r="C14" s="40"/>
      <c r="D14" s="40"/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0:00</v>
      </c>
      <c r="G14" s="43" t="s">
        <v>12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0</v>
      </c>
      <c r="B15" s="47"/>
      <c r="C15" s="40"/>
      <c r="D15" s="40"/>
      <c r="E15" s="40"/>
      <c r="F15" s="42" t="str">
        <f t="shared" si="1"/>
        <v>0:00</v>
      </c>
      <c r="G15" s="48" t="s">
        <v>13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/>
      <c r="C16" s="40"/>
      <c r="D16" s="40"/>
      <c r="E16" s="52"/>
      <c r="F16" s="53" t="str">
        <f t="shared" si="1"/>
        <v>0:00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46143.0</v>
      </c>
      <c r="D1" s="63" t="s">
        <v>14</v>
      </c>
      <c r="E1" s="62">
        <v>46173.0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1224796.0</v>
      </c>
      <c r="H2" s="16"/>
    </row>
    <row r="3">
      <c r="A3" s="66"/>
      <c r="B3" s="67" t="str">
        <f>CHOOSE(WEEKDAY(C1), "Neděle", "Pondělí", "Úterý", "Středa", "Čtvrtek", "Pátek", "Sobota")</f>
        <v>Pátek</v>
      </c>
      <c r="C3" s="10"/>
      <c r="D3" s="67" t="str">
        <f>CHOOSE(WEEKDAY(E1), "Neděle", "Pondělí", "Úterý", "Středa", "Čtvrtek", "Pátek", "Sobota")</f>
        <v>Neděle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15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12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13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16</v>
      </c>
      <c r="D9" s="79" t="s">
        <v>10</v>
      </c>
      <c r="F9" s="64"/>
    </row>
    <row r="10" ht="18.75" customHeight="1">
      <c r="A10" s="71"/>
      <c r="B10" s="80" t="s">
        <v>17</v>
      </c>
      <c r="C10" s="81">
        <v>15.0</v>
      </c>
      <c r="D10" s="82">
        <v>118.0</v>
      </c>
    </row>
    <row r="11" ht="18.75" customHeight="1">
      <c r="A11" s="71"/>
      <c r="B11" s="80" t="s">
        <v>18</v>
      </c>
      <c r="C11" s="81">
        <v>16.0</v>
      </c>
      <c r="D11" s="82">
        <v>126.0</v>
      </c>
    </row>
    <row r="12" ht="18.75" customHeight="1">
      <c r="A12" s="71"/>
      <c r="B12" s="80" t="s">
        <v>19</v>
      </c>
      <c r="C12" s="81">
        <v>18.0</v>
      </c>
      <c r="D12" s="82">
        <v>142.0</v>
      </c>
    </row>
    <row r="13" ht="18.75" customHeight="1">
      <c r="A13" s="71"/>
      <c r="B13" s="80" t="s">
        <v>20</v>
      </c>
      <c r="C13" s="81">
        <v>11.0</v>
      </c>
      <c r="D13" s="83">
        <v>116.0</v>
      </c>
    </row>
    <row r="14" ht="18.75" customHeight="1">
      <c r="A14" s="71"/>
      <c r="B14" s="80" t="s">
        <v>21</v>
      </c>
      <c r="C14" s="81">
        <v>1.0</v>
      </c>
      <c r="D14" s="83">
        <v>13.0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""Mzdy!u1:v200"")"),46174.0)</f>
        <v>46174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22</v>
      </c>
      <c r="B4" s="88" t="s">
        <v>23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IFERROR(__xludf.DUMMYFUNCTION("""COMPUTED_VALUE"""),100.0)</f>
        <v>100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IFERROR(__xludf.DUMMYFUNCTION("""COMPUTED_VALUE"""),112.0)</f>
        <v>112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IFERROR(__xludf.DUMMYFUNCTION("""COMPUTED_VALUE"""),83.5)</f>
        <v>83.5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IFERROR(__xludf.DUMMYFUNCTION("""COMPUTED_VALUE"""),"Zličín")</f>
        <v>Zličín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IFERROR(__xludf.DUMMYFUNCTION("""COMPUTED_VALUE"""),106.0)</f>
        <v>106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IFERROR(__xludf.DUMMYFUNCTION("""COMPUTED_VALUE"""),88.0)</f>
        <v>88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IFERROR(__xludf.DUMMYFUNCTION("""COMPUTED_VALUE"""),92.5)</f>
        <v>92.5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IFERROR(__xludf.DUMMYFUNCTION("""COMPUTED_VALUE"""),39.5)</f>
        <v>39.5</v>
      </c>
      <c r="W11" s="87">
        <f>IFERROR(__xludf.DUMMYFUNCTION("""COMPUTED_VALUE"""),7716.878)</f>
        <v>7716.878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IFERROR(__xludf.DUMMYFUNCTION("""COMPUTED_VALUE"""),110.0)</f>
        <v>110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IFERROR(__xludf.DUMMYFUNCTION("""COMPUTED_VALUE"""),37.5)</f>
        <v>37.5</v>
      </c>
      <c r="W14" s="87">
        <f>IFERROR(__xludf.DUMMYFUNCTION("""COMPUTED_VALUE"""),6199.05)</f>
        <v>6199.05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IFERROR(__xludf.DUMMYFUNCTION("""COMPUTED_VALUE"""),"Bolevec")</f>
        <v>Bolevec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IFERROR(__xludf.DUMMYFUNCTION("""COMPUTED_VALUE"""),95.0)</f>
        <v>95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IFERROR(__xludf.DUMMYFUNCTION("""COMPUTED_VALUE"""),74.0)</f>
        <v>74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IFERROR(__xludf.DUMMYFUNCTION("""COMPUTED_VALUE"""),53.0)</f>
        <v>53</v>
      </c>
      <c r="W17" s="87">
        <f>IFERROR(__xludf.DUMMYFUNCTION("""COMPUTED_VALUE"""),9370.4)</f>
        <v>9370.4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/>
      </c>
      <c r="C18" s="84" t="b">
        <f>IFERROR(__xludf.DUMMYFUNCTION("""COMPUTED_VALUE"""),FALSE)</f>
        <v>0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IFERROR(__xludf.DUMMYFUNCTION("""COMPUTED_VALUE"""),0.0)</f>
        <v>0</v>
      </c>
      <c r="W18" s="87">
        <f>IFERROR(__xludf.DUMMYFUNCTION("""COMPUTED_VALUE"""),0.0)</f>
        <v>0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IFERROR(__xludf.DUMMYFUNCTION("""COMPUTED_VALUE"""),0.0)</f>
        <v>0</v>
      </c>
      <c r="W19" s="87">
        <f>IFERROR(__xludf.DUMMYFUNCTION("""COMPUTED_VALUE"""),0.0)</f>
        <v>0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IFERROR(__xludf.DUMMYFUNCTION("""COMPUTED_VALUE"""),46.5)</f>
        <v>46.5</v>
      </c>
      <c r="W20" s="87">
        <f>IFERROR(__xludf.DUMMYFUNCTION("""COMPUTED_VALUE"""),8221.2)</f>
        <v>8221.2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 t="str">
        <f>IFERROR(__xludf.DUMMYFUNCTION("""COMPUTED_VALUE"""),"Zličín")</f>
        <v>Zličín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IFERROR(__xludf.DUMMYFUNCTION("""COMPUTED_VALUE"""),118.5)</f>
        <v>118.5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IFERROR(__xludf.DUMMYFUNCTION("""COMPUTED_VALUE"""),217.0)</f>
        <v>217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IFERROR(__xludf.DUMMYFUNCTION("""COMPUTED_VALUE"""),0.0)</f>
        <v>0</v>
      </c>
      <c r="W23" s="87">
        <f>IFERROR(__xludf.DUMMYFUNCTION("""COMPUTED_VALUE"""),0.0)</f>
        <v>0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IFERROR(__xludf.DUMMYFUNCTION("""COMPUTED_VALUE"""),91.5)</f>
        <v>91.5</v>
      </c>
      <c r="W24" s="87">
        <f>IFERROR(__xludf.DUMMYFUNCTION("""COMPUTED_VALUE"""),16002.2)</f>
        <v>16002.2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IFERROR(__xludf.DUMMYFUNCTION("""COMPUTED_VALUE"""),0.0)</f>
        <v>0</v>
      </c>
      <c r="W25" s="87">
        <f>IFERROR(__xludf.DUMMYFUNCTION("""COMPUTED_VALUE"""),0.0)</f>
        <v>0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IFERROR(__xludf.DUMMYFUNCTION("""COMPUTED_VALUE"""),13.0)</f>
        <v>13</v>
      </c>
      <c r="W27" s="87">
        <f>IFERROR(__xludf.DUMMYFUNCTION("""COMPUTED_VALUE"""),2459.288)</f>
        <v>2459.288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IFERROR(__xludf.DUMMYFUNCTION("""COMPUTED_VALUE"""),"Malešice")</f>
        <v>Malešice</v>
      </c>
      <c r="F28" s="84" t="str">
        <f>IFERROR(__xludf.DUMMYFUNCTION("""COMPUTED_VALUE"""),"Chodov")</f>
        <v>Chodov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IFERROR(__xludf.DUMMYFUNCTION("""COMPUTED_VALUE"""),102.0)</f>
        <v>102</v>
      </c>
      <c r="W28" s="87">
        <f>IFERROR(__xludf.DUMMYFUNCTION("""COMPUTED_VALUE"""),17543.6)</f>
        <v>17543.6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 t="str">
        <f>IFERROR(__xludf.DUMMYFUNCTION("""COMPUTED_VALUE"""),"Malešice")</f>
        <v>Malešice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IFERROR(__xludf.DUMMYFUNCTION("""COMPUTED_VALUE"""),91.0)</f>
        <v>91</v>
      </c>
      <c r="W30" s="87">
        <f>IFERROR(__xludf.DUMMYFUNCTION("""COMPUTED_VALUE"""),15043.028)</f>
        <v>15043.028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IFERROR(__xludf.DUMMYFUNCTION("""COMPUTED_VALUE"""),0.0)</f>
        <v>0</v>
      </c>
      <c r="W31" s="87">
        <f>IFERROR(__xludf.DUMMYFUNCTION("""COMPUTED_VALUE"""),0.0)</f>
        <v>0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IFERROR(__xludf.DUMMYFUNCTION("""COMPUTED_VALUE"""),83.5)</f>
        <v>83.5</v>
      </c>
      <c r="W35" s="87">
        <f>IFERROR(__xludf.DUMMYFUNCTION("""COMPUTED_VALUE"""),13803.218)</f>
        <v>13803.218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IFERROR(__xludf.DUMMYFUNCTION("""COMPUTED_VALUE"""),0.0)</f>
        <v>0</v>
      </c>
      <c r="W36" s="87">
        <f>IFERROR(__xludf.DUMMYFUNCTION("""COMPUTED_VALUE"""),0.0)</f>
        <v>0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IFERROR(__xludf.DUMMYFUNCTION("""COMPUTED_VALUE"""),0.0)</f>
        <v>0</v>
      </c>
      <c r="W37" s="87">
        <f>IFERROR(__xludf.DUMMYFUNCTION("""COMPUTED_VALUE"""),0.0)</f>
        <v>0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IFERROR(__xludf.DUMMYFUNCTION("""COMPUTED_VALUE"""),110.0)</f>
        <v>110</v>
      </c>
      <c r="W38" s="87">
        <f>IFERROR(__xludf.DUMMYFUNCTION("""COMPUTED_VALUE"""),17668.38)</f>
        <v>17668.38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IFERROR(__xludf.DUMMYFUNCTION("""COMPUTED_VALUE"""),97.5)</f>
        <v>97.5</v>
      </c>
      <c r="W39" s="87">
        <f>IFERROR(__xludf.DUMMYFUNCTION("""COMPUTED_VALUE"""),15952.655)</f>
        <v>15952.655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IFERROR(__xludf.DUMMYFUNCTION("""COMPUTED_VALUE"""),8.0)</f>
        <v>8</v>
      </c>
      <c r="W40" s="87">
        <f>IFERROR(__xludf.DUMMYFUNCTION("""COMPUTED_VALUE"""),1322.464)</f>
        <v>1322.464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IFERROR(__xludf.DUMMYFUNCTION("""COMPUTED_VALUE"""),66.0)</f>
        <v>66</v>
      </c>
      <c r="W41" s="87">
        <f>IFERROR(__xludf.DUMMYFUNCTION("""COMPUTED_VALUE"""),10910.328)</f>
        <v>10910.328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 t="str">
        <f>IFERROR(__xludf.DUMMYFUNCTION("""COMPUTED_VALUE"""),"Prošek Václav")</f>
        <v>Prošek Václav</v>
      </c>
      <c r="E42" s="84" t="str">
        <f>IFERROR(__xludf.DUMMYFUNCTION("""COMPUTED_VALUE"""),"Libuš")</f>
        <v>Libuš</v>
      </c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IFERROR(__xludf.DUMMYFUNCTION("""COMPUTED_VALUE"""),14.0)</f>
        <v>14</v>
      </c>
      <c r="W42" s="87">
        <f>IFERROR(__xludf.DUMMYFUNCTION("""COMPUTED_VALUE"""),2314.312)</f>
        <v>2314.312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IFERROR(__xludf.DUMMYFUNCTION("""COMPUTED_VALUE"""),2049.5)</f>
        <v>2049.5</v>
      </c>
      <c r="W60" s="87">
        <f>IFERROR(__xludf.DUMMYFUNCTION("""COMPUTED_VALUE"""),722553.481)</f>
        <v>722553.481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IFERROR(__xludf.DUMMYFUNCTION("""COMPUTED_VALUE"""),30462.0)</f>
        <v>30462</v>
      </c>
      <c r="W65" s="87">
        <f>IFERROR(__xludf.DUMMYFUNCTION("""COMPUTED_VALUE"""),152.31)</f>
        <v>152.31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IFERROR(__xludf.DUMMYFUNCTION("""COMPUTED_VALUE"""),23.25)</f>
        <v>23.25</v>
      </c>
      <c r="W75" s="87">
        <f>IFERROR(__xludf.DUMMYFUNCTION("""COMPUTED_VALUE"""),3487.5)</f>
        <v>3487.5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IFERROR(__xludf.DUMMYFUNCTION("""COMPUTED_VALUE"""),76.0)</f>
        <v>76</v>
      </c>
      <c r="W76" s="87">
        <f>IFERROR(__xludf.DUMMYFUNCTION("""COMPUTED_VALUE"""),13436.8)</f>
        <v>13436.8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IFERROR(__xludf.DUMMYFUNCTION("""COMPUTED_VALUE"""),0.0)</f>
        <v>0</v>
      </c>
      <c r="W77" s="87">
        <f>IFERROR(__xludf.DUMMYFUNCTION("""COMPUTED_VALUE"""),0.0)</f>
        <v>0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IFERROR(__xludf.DUMMYFUNCTION("""COMPUTED_VALUE"""),22.0)</f>
        <v>22</v>
      </c>
      <c r="W78" s="87">
        <f>IFERROR(__xludf.DUMMYFUNCTION("""COMPUTED_VALUE"""),3889.6)</f>
        <v>3889.6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IFERROR(__xludf.DUMMYFUNCTION("""COMPUTED_VALUE"""),23.0)</f>
        <v>23</v>
      </c>
      <c r="W79" s="87">
        <f>IFERROR(__xludf.DUMMYFUNCTION("""COMPUTED_VALUE"""),3517.436)</f>
        <v>3517.436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IFERROR(__xludf.DUMMYFUNCTION("""COMPUTED_VALUE"""),71.5)</f>
        <v>71.5</v>
      </c>
      <c r="W80" s="87">
        <f>IFERROR(__xludf.DUMMYFUNCTION("""COMPUTED_VALUE"""),11819.522)</f>
        <v>11819.522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IFERROR(__xludf.DUMMYFUNCTION("""COMPUTED_VALUE"""),47.5)</f>
        <v>47.5</v>
      </c>
      <c r="W81" s="87">
        <f>IFERROR(__xludf.DUMMYFUNCTION("""COMPUTED_VALUE"""),7264.27)</f>
        <v>7264.27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 t="str">
        <f>IFERROR(__xludf.DUMMYFUNCTION("""COMPUTED_VALUE"""),"Malešice")</f>
        <v>Malešice</v>
      </c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IFERROR(__xludf.DUMMYFUNCTION("""COMPUTED_VALUE"""),22.0)</f>
        <v>22</v>
      </c>
      <c r="W83" s="87">
        <f>IFERROR(__xludf.DUMMYFUNCTION("""COMPUTED_VALUE"""),3364.504)</f>
        <v>3364.504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IFERROR(__xludf.DUMMYFUNCTION("""COMPUTED_VALUE"""),29.5)</f>
        <v>29.5</v>
      </c>
      <c r="W84" s="87">
        <f>IFERROR(__xludf.DUMMYFUNCTION("""COMPUTED_VALUE"""),4876.586)</f>
        <v>4876.586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IFERROR(__xludf.DUMMYFUNCTION("""COMPUTED_VALUE"""),22.5)</f>
        <v>22.5</v>
      </c>
      <c r="W85" s="87">
        <f>IFERROR(__xludf.DUMMYFUNCTION("""COMPUTED_VALUE"""),3375.0)</f>
        <v>3375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IFERROR(__xludf.DUMMYFUNCTION("""COMPUTED_VALUE"""),8.5)</f>
        <v>8.5</v>
      </c>
      <c r="W87" s="87">
        <f>IFERROR(__xludf.DUMMYFUNCTION("""COMPUTED_VALUE"""),1299.922)</f>
        <v>1299.922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IFERROR(__xludf.DUMMYFUNCTION("""COMPUTED_VALUE"""),42.5)</f>
        <v>42.5</v>
      </c>
      <c r="W89" s="87">
        <f>IFERROR(__xludf.DUMMYFUNCTION("""COMPUTED_VALUE"""),7225.0)</f>
        <v>7225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IFERROR(__xludf.DUMMYFUNCTION("""COMPUTED_VALUE"""),75.0)</f>
        <v>75</v>
      </c>
      <c r="W90" s="87">
        <f>IFERROR(__xludf.DUMMYFUNCTION("""COMPUTED_VALUE"""),12000.0)</f>
        <v>12000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IFERROR(__xludf.DUMMYFUNCTION("""COMPUTED_VALUE"""),78.5)</f>
        <v>78.5</v>
      </c>
      <c r="W93" s="87">
        <f>IFERROR(__xludf.DUMMYFUNCTION("""COMPUTED_VALUE"""),12976.678)</f>
        <v>12976.678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IFERROR(__xludf.DUMMYFUNCTION("""COMPUTED_VALUE"""),112.0)</f>
        <v>112</v>
      </c>
      <c r="W94" s="87">
        <f>IFERROR(__xludf.DUMMYFUNCTION("""COMPUTED_VALUE"""),17942.896)</f>
        <v>17942.896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IFERROR(__xludf.DUMMYFUNCTION("""COMPUTED_VALUE"""),65.0)</f>
        <v>65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IFERROR(__xludf.DUMMYFUNCTION("""COMPUTED_VALUE"""),31.75)</f>
        <v>31.75</v>
      </c>
      <c r="W97" s="87">
        <f>IFERROR(__xludf.DUMMYFUNCTION("""COMPUTED_VALUE"""),5248.529)</f>
        <v>5248.529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IFERROR(__xludf.DUMMYFUNCTION("""COMPUTED_VALUE"""),12.0)</f>
        <v>12</v>
      </c>
      <c r="W98" s="87">
        <f>IFERROR(__xludf.DUMMYFUNCTION("""COMPUTED_VALUE"""),1697.28)</f>
        <v>1697.28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IFERROR(__xludf.DUMMYFUNCTION("""COMPUTED_VALUE"""),0.0)</f>
        <v>0</v>
      </c>
      <c r="W99" s="87">
        <f>IFERROR(__xludf.DUMMYFUNCTION("""COMPUTED_VALUE"""),0.0)</f>
        <v>0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IFERROR(__xludf.DUMMYFUNCTION("""COMPUTED_VALUE"""),33.5)</f>
        <v>33.5</v>
      </c>
      <c r="W105" s="87">
        <f>IFERROR(__xludf.DUMMYFUNCTION("""COMPUTED_VALUE"""),5123.222)</f>
        <v>5123.222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IFERROR(__xludf.DUMMYFUNCTION("""COMPUTED_VALUE"""),74.5)</f>
        <v>74.5</v>
      </c>
      <c r="W107" s="87">
        <f>IFERROR(__xludf.DUMMYFUNCTION("""COMPUTED_VALUE"""),10430.0)</f>
        <v>10430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IFERROR(__xludf.DUMMYFUNCTION("""COMPUTED_VALUE"""),113.5)</f>
        <v>113.5</v>
      </c>
      <c r="W108" s="87">
        <f>IFERROR(__xludf.DUMMYFUNCTION("""COMPUTED_VALUE"""),18148.783)</f>
        <v>18148.783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IFERROR(__xludf.DUMMYFUNCTION("""COMPUTED_VALUE"""),0.0)</f>
        <v>0</v>
      </c>
      <c r="W109" s="87">
        <f>IFERROR(__xludf.DUMMYFUNCTION("""COMPUTED_VALUE"""),0.0)</f>
        <v>0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IFERROR(__xludf.DUMMYFUNCTION("""COMPUTED_VALUE"""),0.0)</f>
        <v>0</v>
      </c>
      <c r="W110" s="87">
        <f>IFERROR(__xludf.DUMMYFUNCTION("""COMPUTED_VALUE"""),0.0)</f>
        <v>0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IFERROR(__xludf.DUMMYFUNCTION("""COMPUTED_VALUE"""),29.0)</f>
        <v>29</v>
      </c>
      <c r="W112" s="87">
        <f>IFERROR(__xludf.DUMMYFUNCTION("""COMPUTED_VALUE"""),4101.76)</f>
        <v>4101.76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IFERROR(__xludf.DUMMYFUNCTION("""COMPUTED_VALUE"""),7.0)</f>
        <v>7</v>
      </c>
      <c r="W113" s="87">
        <f>IFERROR(__xludf.DUMMYFUNCTION("""COMPUTED_VALUE"""),990.08)</f>
        <v>990.08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IFERROR(__xludf.DUMMYFUNCTION("""COMPUTED_VALUE"""),13.0)</f>
        <v>13</v>
      </c>
      <c r="W115" s="87">
        <f>IFERROR(__xludf.DUMMYFUNCTION("""COMPUTED_VALUE"""),2149.004)</f>
        <v>2149.004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IFERROR(__xludf.DUMMYFUNCTION("""COMPUTED_VALUE"""),4.0)</f>
        <v>4</v>
      </c>
      <c r="W116" s="87">
        <f>IFERROR(__xludf.DUMMYFUNCTION("""COMPUTED_VALUE"""),611.728)</f>
        <v>611.728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IFERROR(__xludf.DUMMYFUNCTION("""COMPUTED_VALUE"""),27.0)</f>
        <v>27</v>
      </c>
      <c r="W117" s="87">
        <f>IFERROR(__xludf.DUMMYFUNCTION("""COMPUTED_VALUE"""),4463.316)</f>
        <v>4463.316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IFERROR(__xludf.DUMMYFUNCTION("""COMPUTED_VALUE"""),57.5)</f>
        <v>57.5</v>
      </c>
      <c r="W119" s="87">
        <f>IFERROR(__xludf.DUMMYFUNCTION("""COMPUTED_VALUE"""),8132.8)</f>
        <v>8132.8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IFERROR(__xludf.DUMMYFUNCTION("""COMPUTED_VALUE"""),0.0)</f>
        <v>0</v>
      </c>
      <c r="W120" s="87">
        <f>IFERROR(__xludf.DUMMYFUNCTION("""COMPUTED_VALUE"""),0.0)</f>
        <v>0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IFERROR(__xludf.DUMMYFUNCTION("""COMPUTED_VALUE"""),24.0)</f>
        <v>24</v>
      </c>
      <c r="W125" s="87">
        <f>IFERROR(__xludf.DUMMYFUNCTION("""COMPUTED_VALUE"""),3967.392)</f>
        <v>3967.392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IFERROR(__xludf.DUMMYFUNCTION("""COMPUTED_VALUE"""),"Břicháč Pavel")</f>
        <v>Břicháč Pavel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IFERROR(__xludf.DUMMYFUNCTION("""COMPUTED_VALUE"""),49.5)</f>
        <v>49.5</v>
      </c>
      <c r="W126" s="87">
        <f>IFERROR(__xludf.DUMMYFUNCTION("""COMPUTED_VALUE"""),7570.134)</f>
        <v>7570.134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 t="str">
        <f>IFERROR(__xludf.DUMMYFUNCTION("""COMPUTED_VALUE"""),"Čerešňák Michal")</f>
        <v>Čerešňák Michal</v>
      </c>
      <c r="E127" s="84" t="str">
        <f>IFERROR(__xludf.DUMMYFUNCTION("""COMPUTED_VALUE"""),"Zličín")</f>
        <v>Zličín</v>
      </c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IFERROR(__xludf.DUMMYFUNCTION("""COMPUTED_VALUE"""),63.0)</f>
        <v>63</v>
      </c>
      <c r="W127" s="87">
        <f>IFERROR(__xludf.DUMMYFUNCTION("""COMPUTED_VALUE"""),10710.0)</f>
        <v>10710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 t="str">
        <f>IFERROR(__xludf.DUMMYFUNCTION("""COMPUTED_VALUE"""),"Weindling Josef")</f>
        <v>Weindling Josef</v>
      </c>
      <c r="E128" s="84" t="str">
        <f>IFERROR(__xludf.DUMMYFUNCTION("""COMPUTED_VALUE"""),"Libuš")</f>
        <v>Libuš</v>
      </c>
      <c r="F128" s="84" t="str">
        <f>IFERROR(__xludf.DUMMYFUNCTION("""COMPUTED_VALUE"""),"Malešice")</f>
        <v>Malešice</v>
      </c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90">
        <f>IFERROR(__xludf.DUMMYFUNCTION("""COMPUTED_VALUE"""),43.5)</f>
        <v>43.5</v>
      </c>
      <c r="W128" s="87">
        <f>IFERROR(__xludf.DUMMYFUNCTION("""COMPUTED_VALUE"""),6652.5419999999995)</f>
        <v>6652.542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 t="str">
        <f>IFERROR(__xludf.DUMMYFUNCTION("""COMPUTED_VALUE"""),"Fux Vojtěch")</f>
        <v>Fux Vojtěch</v>
      </c>
      <c r="E129" s="84" t="str">
        <f>IFERROR(__xludf.DUMMYFUNCTION("""COMPUTED_VALUE"""),"Chodov")</f>
        <v>Chodov</v>
      </c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90">
        <f>IFERROR(__xludf.DUMMYFUNCTION("""COMPUTED_VALUE"""),50.5)</f>
        <v>50.5</v>
      </c>
      <c r="W129" s="87">
        <f>IFERROR(__xludf.DUMMYFUNCTION("""COMPUTED_VALUE"""),10100.0)</f>
        <v>10100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 t="str">
        <f>IFERROR(__xludf.DUMMYFUNCTION("""COMPUTED_VALUE"""),"Kumar Jatinder")</f>
        <v>Kumar Jatinder</v>
      </c>
      <c r="E130" s="84" t="str">
        <f>IFERROR(__xludf.DUMMYFUNCTION("""COMPUTED_VALUE"""),"Libuš")</f>
        <v>Libuš</v>
      </c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 t="str">
        <f>IFERROR(__xludf.DUMMYFUNCTION("""COMPUTED_VALUE"""),"Stehlíková Magdaléna")</f>
        <v>Stehlíková Magdaléna</v>
      </c>
      <c r="E131" s="84" t="str">
        <f>IFERROR(__xludf.DUMMYFUNCTION("""COMPUTED_VALUE"""),"Bolevec")</f>
        <v>Bolevec</v>
      </c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90">
        <f>IFERROR(__xludf.DUMMYFUNCTION("""COMPUTED_VALUE"""),12.0)</f>
        <v>12</v>
      </c>
      <c r="W131" s="87">
        <f>IFERROR(__xludf.DUMMYFUNCTION("""COMPUTED_VALUE"""),1697.28)</f>
        <v>1697.28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 t="str">
        <f>IFERROR(__xludf.DUMMYFUNCTION("""COMPUTED_VALUE"""),"Dragoun Alfréd")</f>
        <v>Dragoun Alfréd</v>
      </c>
      <c r="E132" s="84" t="str">
        <f>IFERROR(__xludf.DUMMYFUNCTION("""COMPUTED_VALUE"""),"Zličín")</f>
        <v>Zličín</v>
      </c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90">
        <f>IFERROR(__xludf.DUMMYFUNCTION("""COMPUTED_VALUE"""),5.0)</f>
        <v>5</v>
      </c>
      <c r="W132" s="87">
        <f>IFERROR(__xludf.DUMMYFUNCTION("""COMPUTED_VALUE"""),826.54)</f>
        <v>826.54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IFERROR(__xludf.DUMMYFUNCTION("""COMPUTED_VALUE"""),1369.0)</f>
        <v>1369</v>
      </c>
      <c r="W196" s="87">
        <f>IFERROR(__xludf.DUMMYFUNCTION("""COMPUTED_VALUE"""),283819.30399999995)</f>
        <v>283819.304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24</v>
      </c>
      <c r="C1" s="94" t="s">
        <v>4</v>
      </c>
      <c r="D1" s="94" t="s">
        <v>7</v>
      </c>
      <c r="E1" s="94" t="s">
        <v>8</v>
      </c>
      <c r="F1" s="94" t="s">
        <v>25</v>
      </c>
      <c r="G1" s="94" t="s">
        <v>10</v>
      </c>
      <c r="H1" s="94" t="s">
        <v>26</v>
      </c>
      <c r="I1" s="94" t="s">
        <v>27</v>
      </c>
      <c r="J1" s="94" t="s">
        <v>12</v>
      </c>
      <c r="K1" s="94" t="s">
        <v>13</v>
      </c>
    </row>
    <row r="2">
      <c r="A2" s="95">
        <v>45528.0</v>
      </c>
      <c r="B2" s="94" t="s">
        <v>28</v>
      </c>
      <c r="C2" s="94" t="s">
        <v>29</v>
      </c>
      <c r="D2" s="96" t="s">
        <v>30</v>
      </c>
      <c r="E2" s="96" t="s">
        <v>31</v>
      </c>
      <c r="F2" s="96" t="s">
        <v>32</v>
      </c>
      <c r="G2" s="96" t="s">
        <v>33</v>
      </c>
      <c r="H2" s="97">
        <v>3728.0</v>
      </c>
    </row>
    <row r="3">
      <c r="A3" s="95">
        <v>45528.0</v>
      </c>
      <c r="B3" s="94" t="s">
        <v>28</v>
      </c>
      <c r="C3" s="94" t="s">
        <v>18</v>
      </c>
      <c r="D3" s="96" t="s">
        <v>34</v>
      </c>
      <c r="E3" s="96" t="s">
        <v>35</v>
      </c>
      <c r="F3" s="96" t="s">
        <v>32</v>
      </c>
      <c r="G3" s="96" t="s">
        <v>33</v>
      </c>
      <c r="H3" s="97">
        <v>3728.0</v>
      </c>
    </row>
    <row r="4">
      <c r="A4" s="95">
        <v>45528.0</v>
      </c>
      <c r="B4" s="94" t="s">
        <v>28</v>
      </c>
      <c r="C4" s="94" t="s">
        <v>20</v>
      </c>
      <c r="D4" s="96" t="s">
        <v>36</v>
      </c>
      <c r="E4" s="96" t="s">
        <v>34</v>
      </c>
      <c r="G4" s="96" t="s">
        <v>36</v>
      </c>
      <c r="H4" s="97">
        <v>3728.0</v>
      </c>
    </row>
    <row r="5">
      <c r="A5" s="95">
        <v>45528.0</v>
      </c>
      <c r="B5" s="94" t="s">
        <v>28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37</v>
      </c>
      <c r="C6" s="94" t="s">
        <v>29</v>
      </c>
      <c r="D6" s="96" t="s">
        <v>30</v>
      </c>
      <c r="E6" s="96" t="s">
        <v>31</v>
      </c>
      <c r="F6" s="96" t="s">
        <v>32</v>
      </c>
      <c r="G6" s="96" t="s">
        <v>33</v>
      </c>
      <c r="H6" s="97">
        <v>3728.0</v>
      </c>
    </row>
    <row r="7">
      <c r="A7" s="95">
        <v>45526.0</v>
      </c>
      <c r="B7" s="94" t="s">
        <v>37</v>
      </c>
      <c r="C7" s="94" t="s">
        <v>18</v>
      </c>
      <c r="D7" s="96" t="s">
        <v>34</v>
      </c>
      <c r="E7" s="96" t="s">
        <v>35</v>
      </c>
      <c r="F7" s="96" t="s">
        <v>32</v>
      </c>
      <c r="G7" s="96" t="s">
        <v>33</v>
      </c>
      <c r="H7" s="97">
        <v>3728.0</v>
      </c>
    </row>
    <row r="8">
      <c r="A8" s="95">
        <v>45526.0</v>
      </c>
      <c r="B8" s="94" t="s">
        <v>37</v>
      </c>
      <c r="C8" s="94" t="s">
        <v>20</v>
      </c>
      <c r="D8" s="96" t="s">
        <v>36</v>
      </c>
      <c r="E8" s="96" t="s">
        <v>34</v>
      </c>
      <c r="G8" s="96" t="s">
        <v>36</v>
      </c>
      <c r="H8" s="97">
        <v>3728.0</v>
      </c>
    </row>
    <row r="9">
      <c r="A9" s="95">
        <v>45526.0</v>
      </c>
      <c r="B9" s="94" t="s">
        <v>37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37</v>
      </c>
      <c r="C10" s="94" t="s">
        <v>29</v>
      </c>
      <c r="D10" s="96" t="s">
        <v>30</v>
      </c>
      <c r="E10" s="96" t="s">
        <v>31</v>
      </c>
      <c r="F10" s="96" t="s">
        <v>32</v>
      </c>
      <c r="G10" s="96" t="s">
        <v>33</v>
      </c>
      <c r="H10" s="97">
        <v>3728.0</v>
      </c>
    </row>
    <row r="11">
      <c r="A11" s="95">
        <v>45526.0</v>
      </c>
      <c r="B11" s="94" t="s">
        <v>37</v>
      </c>
      <c r="C11" s="94" t="s">
        <v>18</v>
      </c>
      <c r="D11" s="96" t="s">
        <v>34</v>
      </c>
      <c r="E11" s="96" t="s">
        <v>35</v>
      </c>
      <c r="F11" s="96" t="s">
        <v>32</v>
      </c>
      <c r="G11" s="96" t="s">
        <v>33</v>
      </c>
      <c r="H11" s="97">
        <v>3728.0</v>
      </c>
    </row>
    <row r="12">
      <c r="A12" s="95">
        <v>45526.0</v>
      </c>
      <c r="B12" s="94" t="s">
        <v>37</v>
      </c>
      <c r="C12" s="94" t="s">
        <v>20</v>
      </c>
      <c r="D12" s="96" t="s">
        <v>36</v>
      </c>
      <c r="E12" s="96" t="s">
        <v>34</v>
      </c>
      <c r="G12" s="96" t="s">
        <v>36</v>
      </c>
      <c r="H12" s="97">
        <v>3728.0</v>
      </c>
    </row>
    <row r="13">
      <c r="A13" s="95">
        <v>45526.0</v>
      </c>
      <c r="B13" s="94" t="s">
        <v>37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38</v>
      </c>
    </row>
    <row r="15">
      <c r="A15" s="95">
        <v>45533.0</v>
      </c>
      <c r="B15" s="94" t="s">
        <v>37</v>
      </c>
    </row>
    <row r="16">
      <c r="A16" s="95">
        <v>45534.0</v>
      </c>
      <c r="B16" s="94" t="s">
        <v>39</v>
      </c>
    </row>
    <row r="17">
      <c r="A17" s="95">
        <v>45535.0</v>
      </c>
      <c r="B17" s="94" t="s">
        <v>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40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41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42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43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44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45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46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47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48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49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50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51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52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53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54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55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56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57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58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59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60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61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62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63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64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65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66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67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68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69</v>
      </c>
      <c r="AB141" s="94">
        <v>-10.0</v>
      </c>
    </row>
  </sheetData>
  <mergeCells count="1">
    <mergeCell ref="A1:H1"/>
  </mergeCells>
  <drawing r:id="rId1"/>
</worksheet>
</file>