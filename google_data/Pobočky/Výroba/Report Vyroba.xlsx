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<sst xmlns="http://schemas.openxmlformats.org/spreadsheetml/2006/main" count="139" uniqueCount="72">
  <si>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</si>
  <si>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</si>
  <si>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</si>
  <si>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</si>
  <si>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</si>
  <si>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</si>
  <si>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</si>
  <si>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</si>
  <si>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</si>
  <si>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</si>
  <si>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</si>
  <si>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</si>
  <si>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Koteliuk Maryna</t>
  </si>
  <si>
    <t>06:00</t>
  </si>
  <si>
    <t>14:00</t>
  </si>
  <si>
    <t>Suroviny</t>
  </si>
  <si>
    <t>Kursheva Diana</t>
  </si>
  <si>
    <t>Ostatní</t>
  </si>
  <si>
    <t>Paziak Viktoriia</t>
  </si>
  <si>
    <t>Vyber datum    &lt;----------&gt;</t>
  </si>
  <si>
    <t>Celkem hodin</t>
  </si>
  <si>
    <t>Počet dní</t>
  </si>
  <si>
    <t>Hřebík Martin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</si>
  <si>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</si>
  <si>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</si>
  <si>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</si>
  <si>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</si>
  <si>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</si>
  <si>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</si>
  <si>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</si>
  <si>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</si>
  <si>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</si>
  <si>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</si>
  <si>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</si>
  <si>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</si>
  <si>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Stepanenko Solomiia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</si>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</sst>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46204.0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J15"),40004.0)</f>
        <v>40004</v>
      </c>
      <c r="H2" s="16"/>
      <c r="K2" s="16"/>
    </row>
    <row r="3">
      <c r="A3" s="17"/>
      <c r="B3" s="18" t="str">
        <f>CHOOSE(WEEKDAY(D1), "Neděle", "Pondělí", "Úterý", "Středa", "Čtvrtek", "Pátek", "Sobota")</f>
        <v>Středa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08:00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0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08:00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 t="s">
        <v>18</v>
      </c>
      <c r="C16" s="40" t="s">
        <v>13</v>
      </c>
      <c r="D16" s="40" t="s">
        <v>14</v>
      </c>
      <c r="E16" s="52"/>
      <c r="F16" s="53" t="str">
        <f t="shared" si="1"/>
        <v>08:00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Viktoriia,Kursheva Diana,Koteliuk Maryna,Lažek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46203.0</v>
      </c>
      <c r="D1" s="63" t="s">
        <v>19</v>
      </c>
      <c r="E1" s="62">
        <v>46203.0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43210.0</v>
      </c>
      <c r="H2" s="16"/>
    </row>
    <row r="3">
      <c r="A3" s="66"/>
      <c r="B3" s="67" t="str">
        <f>CHOOSE(WEEKDAY(C1), "Neděle", "Pondělí", "Úterý", "Středa", "Čtvrtek", "Pátek", "Sobota")</f>
        <v>Úterý</v>
      </c>
      <c r="C3" s="10"/>
      <c r="D3" s="67" t="str">
        <f>CHOOSE(WEEKDAY(E1), "Neděle", "Pondělí", "Úterý", "Středa", "Čtvrtek", "Pátek", "Sobota")</f>
        <v>Úterý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20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21</v>
      </c>
      <c r="D9" s="79" t="s">
        <v>10</v>
      </c>
      <c r="F9" s="64"/>
    </row>
    <row r="10" ht="18.75" customHeight="1">
      <c r="A10" s="71"/>
      <c r="B10" s="80" t="s">
        <v>18</v>
      </c>
      <c r="C10" s="81">
        <v>1.0</v>
      </c>
      <c r="D10" s="82">
        <v>8.0</v>
      </c>
    </row>
    <row r="11" ht="18.75" customHeight="1">
      <c r="A11" s="71"/>
      <c r="B11" s="80" t="s">
        <v>16</v>
      </c>
      <c r="C11" s="81">
        <v>1.0</v>
      </c>
      <c r="D11" s="82">
        <v>8.0</v>
      </c>
    </row>
    <row r="12" ht="18.75" customHeight="1">
      <c r="A12" s="71"/>
      <c r="B12" s="80" t="s">
        <v>12</v>
      </c>
      <c r="C12" s="81">
        <v>1.0</v>
      </c>
      <c r="D12" s="82">
        <v>8.0</v>
      </c>
    </row>
    <row r="13" ht="18.75" customHeight="1">
      <c r="A13" s="71"/>
      <c r="B13" s="80" t="s">
        <v>22</v>
      </c>
      <c r="C13" s="81">
        <v>1.0</v>
      </c>
      <c r="D13" s="83">
        <v>12.0</v>
      </c>
    </row>
    <row r="14" ht="18.75" customHeight="1">
      <c r="A14" s="71"/>
      <c r="B14" s="80"/>
      <c r="C14" s="81"/>
      <c r="D14" s="83"/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""Mzdy!u1:v200"")"),46204.0)</f>
        <v>46204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23</v>
      </c>
      <c r="B4" s="88" t="s">
        <v>24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IFERROR(__xludf.DUMMYFUNCTION("""COMPUTED_VALUE"""),0.0)</f>
        <v>0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IFERROR(__xludf.DUMMYFUNCTION("""COMPUTED_VALUE"""),0.0)</f>
        <v>0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IFERROR(__xludf.DUMMYFUNCTION("""COMPUTED_VALUE"""),0.0)</f>
        <v>0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IFERROR(__xludf.DUMMYFUNCTION("""COMPUTED_VALUE"""),0.0)</f>
        <v>0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IFERROR(__xludf.DUMMYFUNCTION("""COMPUTED_VALUE"""),0.0)</f>
        <v>0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IFERROR(__xludf.DUMMYFUNCTION("""COMPUTED_VALUE"""),0.0)</f>
        <v>0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IFERROR(__xludf.DUMMYFUNCTION("""COMPUTED_VALUE"""),0.0)</f>
        <v>0</v>
      </c>
      <c r="W11" s="87">
        <f>IFERROR(__xludf.DUMMYFUNCTION("""COMPUTED_VALUE"""),0.0)</f>
        <v>0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IFERROR(__xludf.DUMMYFUNCTION("""COMPUTED_VALUE"""),0.0)</f>
        <v>0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IFERROR(__xludf.DUMMYFUNCTION("""COMPUTED_VALUE"""),0.0)</f>
        <v>0</v>
      </c>
      <c r="W14" s="87">
        <f>IFERROR(__xludf.DUMMYFUNCTION("""COMPUTED_VALUE"""),0.0)</f>
        <v>0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IFERROR(__xludf.DUMMYFUNCTION("""COMPUTED_VALUE"""),"Bolevec")</f>
        <v>Bolevec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IFERROR(__xludf.DUMMYFUNCTION("""COMPUTED_VALUE"""),0.0)</f>
        <v>0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IFERROR(__xludf.DUMMYFUNCTION("""COMPUTED_VALUE"""),0.0)</f>
        <v>0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IFERROR(__xludf.DUMMYFUNCTION("""COMPUTED_VALUE"""),0.0)</f>
        <v>0</v>
      </c>
      <c r="W17" s="87">
        <f>IFERROR(__xludf.DUMMYFUNCTION("""COMPUTED_VALUE"""),0.0)</f>
        <v>0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/>
      </c>
      <c r="C18" s="84" t="b">
        <f>IFERROR(__xludf.DUMMYFUNCTION("""COMPUTED_VALUE"""),FALSE)</f>
        <v>0</v>
      </c>
      <c r="D18" s="84" t="str">
        <f>IFERROR(__xludf.DUMMYFUNCTION("""COMPUTED_VALUE"""),"Pánková Vendula")</f>
        <v>Pánková Vendula</v>
      </c>
      <c r="E18" s="84" t="str">
        <f>IFERROR(__xludf.DUMMYFUNCTION("""COMPUTED_VALUE"""),"Zličín")</f>
        <v>Zličín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IFERROR(__xludf.DUMMYFUNCTION("""COMPUTED_VALUE"""),0.0)</f>
        <v>0</v>
      </c>
      <c r="W18" s="87">
        <f>IFERROR(__xludf.DUMMYFUNCTION("""COMPUTED_VALUE"""),0.0)</f>
        <v>0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IFERROR(__xludf.DUMMYFUNCTION("""COMPUTED_VALUE"""),TRUE)</f>
        <v>1</v>
      </c>
      <c r="D19" s="84" t="str">
        <f>IFERROR(__xludf.DUMMYFUNCTION("""COMPUTED_VALUE"""),"Hegedüs Erik")</f>
        <v>Hegedüs Erik</v>
      </c>
      <c r="E19" s="84" t="str">
        <f>IFERROR(__xludf.DUMMYFUNCTION("""COMPUTED_VALUE"""),"Libuš")</f>
        <v>Libuš</v>
      </c>
      <c r="F19" s="84" t="str">
        <f>IFERROR(__xludf.DUMMYFUNCTION("""COMPUTED_VALUE"""),"Chodov")</f>
        <v>Chodov</v>
      </c>
      <c r="G19" s="84" t="str">
        <f>IFERROR(__xludf.DUMMYFUNCTION("""COMPUTED_VALUE"""),"Malešice")</f>
        <v>Malešice</v>
      </c>
      <c r="H19" s="84" t="str">
        <f>IFERROR(__xludf.DUMMYFUNCTION("""COMPUTED_VALUE"""),"Zličín")</f>
        <v>Zličín</v>
      </c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IFERROR(__xludf.DUMMYFUNCTION("""COMPUTED_VALUE"""),0.0)</f>
        <v>0</v>
      </c>
      <c r="W19" s="87">
        <f>IFERROR(__xludf.DUMMYFUNCTION("""COMPUTED_VALUE"""),50001.08)</f>
        <v>50001.08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IFERROR(__xludf.DUMMYFUNCTION("""COMPUTED_VALUE"""),TRUE)</f>
        <v>1</v>
      </c>
      <c r="D20" s="84" t="str">
        <f>IFERROR(__xludf.DUMMYFUNCTION("""COMPUTED_VALUE"""),"Roth Stanislav ml.")</f>
        <v>Roth Stanislav ml.</v>
      </c>
      <c r="E20" s="84" t="str">
        <f>IFERROR(__xludf.DUMMYFUNCTION("""COMPUTED_VALUE"""),"Bolevec")</f>
        <v>Bolevec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IFERROR(__xludf.DUMMYFUNCTION("""COMPUTED_VALUE"""),0.0)</f>
        <v>0</v>
      </c>
      <c r="W20" s="87">
        <f>IFERROR(__xludf.DUMMYFUNCTION("""COMPUTED_VALUE"""),50001.08)</f>
        <v>50001.08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IFERROR(__xludf.DUMMYFUNCTION("""COMPUTED_VALUE"""),FALSE)</f>
        <v>0</v>
      </c>
      <c r="D21" s="84" t="str">
        <f>IFERROR(__xludf.DUMMYFUNCTION("""COMPUTED_VALUE"""),"Bubník Martin")</f>
        <v>Bubník Martin</v>
      </c>
      <c r="E21" s="84" t="str">
        <f>IFERROR(__xludf.DUMMYFUNCTION("""COMPUTED_VALUE"""),"Libuš")</f>
        <v>Libuš</v>
      </c>
      <c r="F21" s="84" t="str">
        <f>IFERROR(__xludf.DUMMYFUNCTION("""COMPUTED_VALUE"""),"Malešice")</f>
        <v>Malešice</v>
      </c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IFERROR(__xludf.DUMMYFUNCTION("""COMPUTED_VALUE"""),0.0)</f>
        <v>0</v>
      </c>
      <c r="W21" s="87">
        <f>IFERROR(__xludf.DUMMYFUNCTION("""COMPUTED_VALUE"""),0.0)</f>
        <v>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IFERROR(__xludf.DUMMYFUNCTION("""COMPUTED_VALUE"""),FALSE)</f>
        <v>0</v>
      </c>
      <c r="D22" s="84" t="str">
        <f>IFERROR(__xludf.DUMMYFUNCTION("""COMPUTED_VALUE"""),"Berdar Vasyl")</f>
        <v>Berdar Vasyl</v>
      </c>
      <c r="E22" s="84" t="str">
        <f>IFERROR(__xludf.DUMMYFUNCTION("""COMPUTED_VALUE"""),"Libuš")</f>
        <v>Libuš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IFERROR(__xludf.DUMMYFUNCTION("""COMPUTED_VALUE"""),0.0)</f>
        <v>0</v>
      </c>
      <c r="W22" s="87">
        <f>IFERROR(__xludf.DUMMYFUNCTION("""COMPUTED_VALUE"""),0.0)</f>
        <v>0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IFERROR(__xludf.DUMMYFUNCTION("""COMPUTED_VALUE"""),"Yarushynskyi Vladyslav")</f>
        <v>Yarushynskyi Vladyslav</v>
      </c>
      <c r="E23" s="84" t="str">
        <f>IFERROR(__xludf.DUMMYFUNCTION("""COMPUTED_VALUE"""),"Malešice")</f>
        <v>Malešice</v>
      </c>
      <c r="F23" s="84" t="str">
        <f>IFERROR(__xludf.DUMMYFUNCTION("""COMPUTED_VALUE"""),"Chodov")</f>
        <v>Chodov</v>
      </c>
      <c r="G23" s="84" t="str">
        <f>IFERROR(__xludf.DUMMYFUNCTION("""COMPUTED_VALUE"""),"Zličín")</f>
        <v>Zličín</v>
      </c>
      <c r="H23" s="84" t="str">
        <f>IFERROR(__xludf.DUMMYFUNCTION("""COMPUTED_VALUE"""),"Prosek")</f>
        <v>Prosek</v>
      </c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IFERROR(__xludf.DUMMYFUNCTION("""COMPUTED_VALUE"""),0.0)</f>
        <v>0</v>
      </c>
      <c r="W23" s="87">
        <f>IFERROR(__xludf.DUMMYFUNCTION("""COMPUTED_VALUE"""),0.0)</f>
        <v>0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IFERROR(__xludf.DUMMYFUNCTION("""COMPUTED_VALUE"""),"Židek Petr")</f>
        <v>Židek Petr</v>
      </c>
      <c r="E24" s="84" t="str">
        <f>IFERROR(__xludf.DUMMYFUNCTION("""COMPUTED_VALUE"""),"Chodov")</f>
        <v>Chodov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IFERROR(__xludf.DUMMYFUNCTION("""COMPUTED_VALUE"""),0.0)</f>
        <v>0</v>
      </c>
      <c r="W24" s="87">
        <f>IFERROR(__xludf.DUMMYFUNCTION("""COMPUTED_VALUE"""),0.0)</f>
        <v>0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IFERROR(__xludf.DUMMYFUNCTION("""COMPUTED_VALUE"""),"Gorol Patrik")</f>
        <v>Gorol Patrik</v>
      </c>
      <c r="E25" s="84" t="str">
        <f>IFERROR(__xludf.DUMMYFUNCTION("""COMPUTED_VALUE"""),"Malešice")</f>
        <v>Malešice</v>
      </c>
      <c r="F25" s="84" t="str">
        <f>IFERROR(__xludf.DUMMYFUNCTION("""COMPUTED_VALUE"""),"Libuš")</f>
        <v>Libuš</v>
      </c>
      <c r="G25" s="84" t="str">
        <f>IFERROR(__xludf.DUMMYFUNCTION("""COMPUTED_VALUE"""),"Prosek")</f>
        <v>Prosek</v>
      </c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IFERROR(__xludf.DUMMYFUNCTION("""COMPUTED_VALUE"""),0.0)</f>
        <v>0</v>
      </c>
      <c r="W25" s="87">
        <f>IFERROR(__xludf.DUMMYFUNCTION("""COMPUTED_VALUE"""),0.0)</f>
        <v>0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 t="str">
        <f>IFERROR(__xludf.DUMMYFUNCTION("""COMPUTED_VALUE"""),"Hegedüs Gergö")</f>
        <v>Hegedüs Gergö</v>
      </c>
      <c r="E26" s="84" t="str">
        <f>IFERROR(__xludf.DUMMYFUNCTION("""COMPUTED_VALUE"""),"Libuš")</f>
        <v>Libuš</v>
      </c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IFERROR(__xludf.DUMMYFUNCTION("""COMPUTED_VALUE"""),"Barvínková Eliška")</f>
        <v>Barvínková Eliška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IFERROR(__xludf.DUMMYFUNCTION("""COMPUTED_VALUE"""),0.0)</f>
        <v>0</v>
      </c>
      <c r="W27" s="87">
        <f>IFERROR(__xludf.DUMMYFUNCTION("""COMPUTED_VALUE"""),0.0)</f>
        <v>0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>Kursheva Diana</v>
      </c>
      <c r="C28" s="84" t="b">
        <f>IFERROR(__xludf.DUMMYFUNCTION("""COMPUTED_VALUE"""),FALSE)</f>
        <v>0</v>
      </c>
      <c r="D28" s="84" t="str">
        <f>IFERROR(__xludf.DUMMYFUNCTION("""COMPUTED_VALUE"""),"Kursheva Diana")</f>
        <v>Kursheva Diana</v>
      </c>
      <c r="E28" s="84" t="str">
        <f>IFERROR(__xludf.DUMMYFUNCTION("""COMPUTED_VALUE"""),"Výroba")</f>
        <v>Výroba</v>
      </c>
      <c r="F28" s="84" t="str">
        <f>IFERROR(__xludf.DUMMYFUNCTION("""COMPUTED_VALUE"""),"Chodov")</f>
        <v>Chodov</v>
      </c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IFERROR(__xludf.DUMMYFUNCTION("""COMPUTED_VALUE"""),0.0)</f>
        <v>0</v>
      </c>
      <c r="W28" s="87">
        <f>IFERROR(__xludf.DUMMYFUNCTION("""COMPUTED_VALUE"""),0.0)</f>
        <v>0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IFERROR(__xludf.DUMMYFUNCTION("""COMPUTED_VALUE"""),"Kubík Martin")</f>
        <v>Kubík Martin</v>
      </c>
      <c r="E29" s="84" t="str">
        <f>IFERROR(__xludf.DUMMYFUNCTION("""COMPUTED_VALUE"""),"Libuš")</f>
        <v>Libuš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IFERROR(__xludf.DUMMYFUNCTION("""COMPUTED_VALUE"""),"Putna Jaroslav")</f>
        <v>Putna Jaroslav</v>
      </c>
      <c r="E30" s="84" t="str">
        <f>IFERROR(__xludf.DUMMYFUNCTION("""COMPUTED_VALUE"""),"Zličín")</f>
        <v>Zličín</v>
      </c>
      <c r="F30" s="84" t="str">
        <f>IFERROR(__xludf.DUMMYFUNCTION("""COMPUTED_VALUE"""),"Prosek")</f>
        <v>Prosek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IFERROR(__xludf.DUMMYFUNCTION("""COMPUTED_VALUE"""),0.0)</f>
        <v>0</v>
      </c>
      <c r="W30" s="87">
        <f>IFERROR(__xludf.DUMMYFUNCTION("""COMPUTED_VALUE"""),0.0)</f>
        <v>0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IFERROR(__xludf.DUMMYFUNCTION("""COMPUTED_VALUE"""),"Kopic Jakub")</f>
        <v>Kopic Jakub</v>
      </c>
      <c r="E31" s="84" t="str">
        <f>IFERROR(__xludf.DUMMYFUNCTION("""COMPUTED_VALUE"""),"Malešice")</f>
        <v>Malešice</v>
      </c>
      <c r="F31" s="84" t="str">
        <f>IFERROR(__xludf.DUMMYFUNCTION("""COMPUTED_VALUE"""),"Prosek")</f>
        <v>Prosek</v>
      </c>
      <c r="G31" s="84" t="str">
        <f>IFERROR(__xludf.DUMMYFUNCTION("""COMPUTED_VALUE"""),"Libuš")</f>
        <v>Libuš</v>
      </c>
      <c r="H31" s="84" t="str">
        <f>IFERROR(__xludf.DUMMYFUNCTION("""COMPUTED_VALUE"""),"Prosek")</f>
        <v>Prosek</v>
      </c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IFERROR(__xludf.DUMMYFUNCTION("""COMPUTED_VALUE"""),0.0)</f>
        <v>0</v>
      </c>
      <c r="W31" s="87">
        <f>IFERROR(__xludf.DUMMYFUNCTION("""COMPUTED_VALUE"""),0.0)</f>
        <v>0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IFERROR(__xludf.DUMMYFUNCTION("""COMPUTED_VALUE"""),"Fáberová Kateřina")</f>
        <v>Fáberová Kateřina</v>
      </c>
      <c r="E32" s="84" t="str">
        <f>IFERROR(__xludf.DUMMYFUNCTION("""COMPUTED_VALUE"""),"Prosek")</f>
        <v>Prosek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IFERROR(__xludf.DUMMYFUNCTION("""COMPUTED_VALUE"""),"Chlubnová Adéla")</f>
        <v>Chlubnová Adéla</v>
      </c>
      <c r="E33" s="84" t="str">
        <f>IFERROR(__xludf.DUMMYFUNCTION("""COMPUTED_VALUE"""),"Chodov")</f>
        <v>Chodov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IFERROR(__xludf.DUMMYFUNCTION("""COMPUTED_VALUE"""),"Prošek Václav")</f>
        <v>Prošek Václav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/>
      </c>
      <c r="C35" s="84" t="b">
        <f>IFERROR(__xludf.DUMMYFUNCTION("""COMPUTED_VALUE"""),FALSE)</f>
        <v>0</v>
      </c>
      <c r="D35" s="84" t="str">
        <f>IFERROR(__xludf.DUMMYFUNCTION("""COMPUTED_VALUE"""),"Millington Emmanuel")</f>
        <v>Millington Emmanuel</v>
      </c>
      <c r="E35" s="84" t="str">
        <f>IFERROR(__xludf.DUMMYFUNCTION("""COMPUTED_VALUE"""),"Libuš")</f>
        <v>Libuš</v>
      </c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IFERROR(__xludf.DUMMYFUNCTION("""COMPUTED_VALUE"""),0.0)</f>
        <v>0</v>
      </c>
      <c r="W35" s="87">
        <f>IFERROR(__xludf.DUMMYFUNCTION("""COMPUTED_VALUE"""),0.0)</f>
        <v>0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IFERROR(__xludf.DUMMYFUNCTION("""COMPUTED_VALUE"""),"Kašpárek Jan")</f>
        <v>Kašpárek Jan</v>
      </c>
      <c r="E36" s="84" t="str">
        <f>IFERROR(__xludf.DUMMYFUNCTION("""COMPUTED_VALUE"""),"Libuš")</f>
        <v>Libuš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IFERROR(__xludf.DUMMYFUNCTION("""COMPUTED_VALUE"""),0.0)</f>
        <v>0</v>
      </c>
      <c r="W36" s="87">
        <f>IFERROR(__xludf.DUMMYFUNCTION("""COMPUTED_VALUE"""),0.0)</f>
        <v>0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>Koteliuk Maryna</v>
      </c>
      <c r="C37" s="84" t="b">
        <f>IFERROR(__xludf.DUMMYFUNCTION("""COMPUTED_VALUE"""),FALSE)</f>
        <v>0</v>
      </c>
      <c r="D37" s="84" t="str">
        <f>IFERROR(__xludf.DUMMYFUNCTION("""COMPUTED_VALUE"""),"Koteliuk Maryna")</f>
        <v>Koteliuk Maryna</v>
      </c>
      <c r="E37" s="84" t="str">
        <f>IFERROR(__xludf.DUMMYFUNCTION("""COMPUTED_VALUE"""),"Výroba")</f>
        <v>Výroba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IFERROR(__xludf.DUMMYFUNCTION("""COMPUTED_VALUE"""),0.0)</f>
        <v>0</v>
      </c>
      <c r="W37" s="87">
        <f>IFERROR(__xludf.DUMMYFUNCTION("""COMPUTED_VALUE"""),0.0)</f>
        <v>0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IFERROR(__xludf.DUMMYFUNCTION("""COMPUTED_VALUE"""),"Remač Jiří")</f>
        <v>Remač Jiří</v>
      </c>
      <c r="E38" s="84" t="str">
        <f>IFERROR(__xludf.DUMMYFUNCTION("""COMPUTED_VALUE"""),"Libuš")</f>
        <v>Libuš</v>
      </c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IFERROR(__xludf.DUMMYFUNCTION("""COMPUTED_VALUE"""),0.0)</f>
        <v>0</v>
      </c>
      <c r="W38" s="87">
        <f>IFERROR(__xludf.DUMMYFUNCTION("""COMPUTED_VALUE"""),0.0)</f>
        <v>0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IFERROR(__xludf.DUMMYFUNCTION("""COMPUTED_VALUE"""),0.0)</f>
        <v>0</v>
      </c>
      <c r="W39" s="87">
        <f>IFERROR(__xludf.DUMMYFUNCTION("""COMPUTED_VALUE"""),0.0)</f>
        <v>0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IFERROR(__xludf.DUMMYFUNCTION("""COMPUTED_VALUE"""),0.0)</f>
        <v>0</v>
      </c>
      <c r="W40" s="87">
        <f>IFERROR(__xludf.DUMMYFUNCTION("""COMPUTED_VALUE"""),0.0)</f>
        <v>0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IFERROR(__xludf.DUMMYFUNCTION("""COMPUTED_VALUE"""),0.0)</f>
        <v>0</v>
      </c>
      <c r="W41" s="87">
        <f>IFERROR(__xludf.DUMMYFUNCTION("""COMPUTED_VALUE"""),0.0)</f>
        <v>0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90">
        <f>IFERROR(__xludf.DUMMYFUNCTION("""COMPUTED_VALUE"""),0.0)</f>
        <v>0</v>
      </c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90">
        <f>IFERROR(__xludf.DUMMYFUNCTION("""COMPUTED_VALUE"""),0.0)</f>
        <v>0</v>
      </c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90">
        <f>IFERROR(__xludf.DUMMYFUNCTION("""COMPUTED_VALUE"""),0.0)</f>
        <v>0</v>
      </c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90">
        <f>IFERROR(__xludf.DUMMYFUNCTION("""COMPUTED_VALUE"""),0.0)</f>
        <v>0</v>
      </c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90">
        <f>IFERROR(__xludf.DUMMYFUNCTION("""COMPUTED_VALUE"""),374.0)</f>
        <v>374</v>
      </c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IFERROR(__xludf.DUMMYFUNCTION("""COMPUTED_VALUE"""),374.0)</f>
        <v>374</v>
      </c>
      <c r="W60" s="87">
        <f>IFERROR(__xludf.DUMMYFUNCTION("""COMPUTED_VALUE"""),578026.48)</f>
        <v>578026.48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IFERROR(__xludf.DUMMYFUNCTION("""COMPUTED_VALUE"""),31930.0)</f>
        <v>31930</v>
      </c>
      <c r="W65" s="87">
        <f>IFERROR(__xludf.DUMMYFUNCTION("""COMPUTED_VALUE"""),159.65)</f>
        <v>159.65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IFERROR(__xludf.DUMMYFUNCTION("""COMPUTED_VALUE"""),0.0)</f>
        <v>0</v>
      </c>
      <c r="W75" s="87">
        <f>IFERROR(__xludf.DUMMYFUNCTION("""COMPUTED_VALUE"""),0.0)</f>
        <v>0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IFERROR(__xludf.DUMMYFUNCTION("""COMPUTED_VALUE"""),0.0)</f>
        <v>0</v>
      </c>
      <c r="W76" s="87">
        <f>IFERROR(__xludf.DUMMYFUNCTION("""COMPUTED_VALUE"""),0.0)</f>
        <v>0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IFERROR(__xludf.DUMMYFUNCTION("""COMPUTED_VALUE"""),0.0)</f>
        <v>0</v>
      </c>
      <c r="W77" s="87">
        <f>IFERROR(__xludf.DUMMYFUNCTION("""COMPUTED_VALUE"""),0.0)</f>
        <v>0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IFERROR(__xludf.DUMMYFUNCTION("""COMPUTED_VALUE"""),0.0)</f>
        <v>0</v>
      </c>
      <c r="W78" s="87">
        <f>IFERROR(__xludf.DUMMYFUNCTION("""COMPUTED_VALUE"""),0.0)</f>
        <v>0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IFERROR(__xludf.DUMMYFUNCTION("""COMPUTED_VALUE"""),0.0)</f>
        <v>0</v>
      </c>
      <c r="W79" s="87">
        <f>IFERROR(__xludf.DUMMYFUNCTION("""COMPUTED_VALUE"""),0.0)</f>
        <v>0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IFERROR(__xludf.DUMMYFUNCTION("""COMPUTED_VALUE"""),0.0)</f>
        <v>0</v>
      </c>
      <c r="W80" s="87">
        <f>IFERROR(__xludf.DUMMYFUNCTION("""COMPUTED_VALUE"""),0.0)</f>
        <v>0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IFERROR(__xludf.DUMMYFUNCTION("""COMPUTED_VALUE"""),0.0)</f>
        <v>0</v>
      </c>
      <c r="W81" s="87">
        <f>IFERROR(__xludf.DUMMYFUNCTION("""COMPUTED_VALUE"""),0.0)</f>
        <v>0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 t="str">
        <f>IFERROR(__xludf.DUMMYFUNCTION("""COMPUTED_VALUE"""),"Malešice")</f>
        <v>Malešice</v>
      </c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IFERROR(__xludf.DUMMYFUNCTION("""COMPUTED_VALUE"""),0.0)</f>
        <v>0</v>
      </c>
      <c r="W83" s="87">
        <f>IFERROR(__xludf.DUMMYFUNCTION("""COMPUTED_VALUE"""),0.0)</f>
        <v>0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IFERROR(__xludf.DUMMYFUNCTION("""COMPUTED_VALUE"""),0.0)</f>
        <v>0</v>
      </c>
      <c r="W84" s="87">
        <f>IFERROR(__xludf.DUMMYFUNCTION("""COMPUTED_VALUE"""),0.0)</f>
        <v>0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IFERROR(__xludf.DUMMYFUNCTION("""COMPUTED_VALUE"""),0.0)</f>
        <v>0</v>
      </c>
      <c r="W85" s="87">
        <f>IFERROR(__xludf.DUMMYFUNCTION("""COMPUTED_VALUE"""),0.0)</f>
        <v>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IFERROR(__xludf.DUMMYFUNCTION("""COMPUTED_VALUE"""),"Hyský Aleš")</f>
        <v>Hyský Aleš</v>
      </c>
      <c r="E86" s="84" t="str">
        <f>IFERROR(__xludf.DUMMYFUNCTION("""COMPUTED_VALUE"""),"Chodov")</f>
        <v>Chodov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>Lažek Jaroslav</v>
      </c>
      <c r="C87" s="84" t="b">
        <f>IFERROR(__xludf.DUMMYFUNCTION("""COMPUTED_VALUE"""),FALSE)</f>
        <v>0</v>
      </c>
      <c r="D87" s="84" t="str">
        <f>IFERROR(__xludf.DUMMYFUNCTION("""COMPUTED_VALUE"""),"Lažek Jaroslav")</f>
        <v>Lažek Jaroslav</v>
      </c>
      <c r="E87" s="84" t="str">
        <f>IFERROR(__xludf.DUMMYFUNCTION("""COMPUTED_VALUE"""),"Libuš")</f>
        <v>Libuš</v>
      </c>
      <c r="F87" s="84" t="str">
        <f>IFERROR(__xludf.DUMMYFUNCTION("""COMPUTED_VALUE"""),"Chodov")</f>
        <v>Chodov</v>
      </c>
      <c r="G87" s="84" t="str">
        <f>IFERROR(__xludf.DUMMYFUNCTION("""COMPUTED_VALUE"""),"Malešice")</f>
        <v>Malešice</v>
      </c>
      <c r="H87" s="84" t="str">
        <f>IFERROR(__xludf.DUMMYFUNCTION("""COMPUTED_VALUE"""),"Výroba")</f>
        <v>Výroba</v>
      </c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IFERROR(__xludf.DUMMYFUNCTION("""COMPUTED_VALUE"""),0.0)</f>
        <v>0</v>
      </c>
      <c r="W87" s="87">
        <f>IFERROR(__xludf.DUMMYFUNCTION("""COMPUTED_VALUE"""),0.0)</f>
        <v>0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IFERROR(__xludf.DUMMYFUNCTION("""COMPUTED_VALUE"""),"Kormash Liubov")</f>
        <v>Kormash Liubov</v>
      </c>
      <c r="E88" s="84" t="str">
        <f>IFERROR(__xludf.DUMMYFUNCTION("""COMPUTED_VALUE"""),"Zličín")</f>
        <v>Zličín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Chlubna Tomáš</v>
      </c>
      <c r="C89" s="84" t="b">
        <f>IFERROR(__xludf.DUMMYFUNCTION("""COMPUTED_VALUE"""),FALSE)</f>
        <v>0</v>
      </c>
      <c r="D89" s="84" t="str">
        <f>IFERROR(__xludf.DUMMYFUNCTION("""COMPUTED_VALUE"""),"Chlubna Tomáš")</f>
        <v>Chlubna Tomáš</v>
      </c>
      <c r="E89" s="84" t="str">
        <f>IFERROR(__xludf.DUMMYFUNCTION("""COMPUTED_VALUE"""),"Chodov")</f>
        <v>Chodov</v>
      </c>
      <c r="F89" s="84" t="str">
        <f>IFERROR(__xludf.DUMMYFUNCTION("""COMPUTED_VALUE"""),"Libuš")</f>
        <v>Libuš</v>
      </c>
      <c r="G89" s="84" t="str">
        <f>IFERROR(__xludf.DUMMYFUNCTION("""COMPUTED_VALUE"""),"Výroba")</f>
        <v>Výroba</v>
      </c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IFERROR(__xludf.DUMMYFUNCTION("""COMPUTED_VALUE"""),0.0)</f>
        <v>0</v>
      </c>
      <c r="W89" s="87">
        <f>IFERROR(__xludf.DUMMYFUNCTION("""COMPUTED_VALUE"""),0.0)</f>
        <v>0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IFERROR(__xludf.DUMMYFUNCTION("""COMPUTED_VALUE"""),"Vychivskyi Volodymyr")</f>
        <v>Vychivskyi Volodymyr</v>
      </c>
      <c r="E90" s="84" t="str">
        <f>IFERROR(__xludf.DUMMYFUNCTION("""COMPUTED_VALUE"""),"Malešice")</f>
        <v>Malešice</v>
      </c>
      <c r="F90" s="84" t="str">
        <f>IFERROR(__xludf.DUMMYFUNCTION("""COMPUTED_VALUE"""),"Prosek")</f>
        <v>Prosek</v>
      </c>
      <c r="G90" s="84" t="str">
        <f>IFERROR(__xludf.DUMMYFUNCTION("""COMPUTED_VALUE"""),"Zličín")</f>
        <v>Zličín</v>
      </c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IFERROR(__xludf.DUMMYFUNCTION("""COMPUTED_VALUE"""),0.0)</f>
        <v>0</v>
      </c>
      <c r="W90" s="87">
        <f>IFERROR(__xludf.DUMMYFUNCTION("""COMPUTED_VALUE"""),0.0)</f>
        <v>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>Hřebík Martin</v>
      </c>
      <c r="C91" s="84" t="b">
        <f>IFERROR(__xludf.DUMMYFUNCTION("""COMPUTED_VALUE"""),FALSE)</f>
        <v>0</v>
      </c>
      <c r="D91" s="84" t="str">
        <f>IFERROR(__xludf.DUMMYFUNCTION("""COMPUTED_VALUE"""),"Hřebík Martin")</f>
        <v>Hřebík Martin</v>
      </c>
      <c r="E91" s="84" t="str">
        <f>IFERROR(__xludf.DUMMYFUNCTION("""COMPUTED_VALUE"""),"Výroba")</f>
        <v>Výroba</v>
      </c>
      <c r="F91" s="84" t="str">
        <f>IFERROR(__xludf.DUMMYFUNCTION("""COMPUTED_VALUE"""),"Chodov")</f>
        <v>Chodov</v>
      </c>
      <c r="G91" s="84" t="str">
        <f>IFERROR(__xludf.DUMMYFUNCTION("""COMPUTED_VALUE"""),"Prosek")</f>
        <v>Prosek</v>
      </c>
      <c r="H91" s="84" t="str">
        <f>IFERROR(__xludf.DUMMYFUNCTION("""COMPUTED_VALUE"""),"Libuš")</f>
        <v>Libuš</v>
      </c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IFERROR(__xludf.DUMMYFUNCTION("""COMPUTED_VALUE"""),44995.2)</f>
        <v>44995.2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 t="str">
        <f>IFERROR(__xludf.DUMMYFUNCTION("""COMPUTED_VALUE"""),"Eszenyiová Patrícia")</f>
        <v>Eszenyiová Patrícia</v>
      </c>
      <c r="E92" s="84" t="str">
        <f>IFERROR(__xludf.DUMMYFUNCTION("""COMPUTED_VALUE"""),"Libuš")</f>
        <v>Libuš</v>
      </c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/>
      </c>
      <c r="C93" s="84" t="b">
        <f>IFERROR(__xludf.DUMMYFUNCTION("""COMPUTED_VALUE"""),FALSE)</f>
        <v>0</v>
      </c>
      <c r="D93" s="84" t="str">
        <f>IFERROR(__xludf.DUMMYFUNCTION("""COMPUTED_VALUE"""),"Reischl Jan")</f>
        <v>Reischl Jan</v>
      </c>
      <c r="E93" s="84" t="str">
        <f>IFERROR(__xludf.DUMMYFUNCTION("""COMPUTED_VALUE"""),"Malešice")</f>
        <v>Malešice</v>
      </c>
      <c r="F93" s="84" t="str">
        <f>IFERROR(__xludf.DUMMYFUNCTION("""COMPUTED_VALUE"""),"Chodov")</f>
        <v>Chodov</v>
      </c>
      <c r="G93" s="84" t="str">
        <f>IFERROR(__xludf.DUMMYFUNCTION("""COMPUTED_VALUE"""),"Libuš")</f>
        <v>Libuš</v>
      </c>
      <c r="H93" s="84" t="str">
        <f>IFERROR(__xludf.DUMMYFUNCTION("""COMPUTED_VALUE"""),"Prosek")</f>
        <v>Prosek</v>
      </c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IFERROR(__xludf.DUMMYFUNCTION("""COMPUTED_VALUE"""),0.0)</f>
        <v>0</v>
      </c>
      <c r="W93" s="87">
        <f>IFERROR(__xludf.DUMMYFUNCTION("""COMPUTED_VALUE"""),0.0)</f>
        <v>0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IFERROR(__xludf.DUMMYFUNCTION("""COMPUTED_VALUE"""),"Mikešová Adéla")</f>
        <v>Mikešová Adéla</v>
      </c>
      <c r="E94" s="84" t="str">
        <f>IFERROR(__xludf.DUMMYFUNCTION("""COMPUTED_VALUE"""),"Bolevec")</f>
        <v>Bolevec</v>
      </c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IFERROR(__xludf.DUMMYFUNCTION("""COMPUTED_VALUE"""),0.0)</f>
        <v>0</v>
      </c>
      <c r="W94" s="87">
        <f>IFERROR(__xludf.DUMMYFUNCTION("""COMPUTED_VALUE"""),0.0)</f>
        <v>0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 t="str">
        <f>IFERROR(__xludf.DUMMYFUNCTION("""COMPUTED_VALUE"""),"Chyský David")</f>
        <v>Chyský David</v>
      </c>
      <c r="E95" s="84" t="str">
        <f>IFERROR(__xludf.DUMMYFUNCTION("""COMPUTED_VALUE"""),"Chodov")</f>
        <v>Chodov</v>
      </c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/>
      </c>
      <c r="C96" s="84" t="b">
        <f>IFERROR(__xludf.DUMMYFUNCTION("""COMPUTED_VALUE"""),FALSE)</f>
        <v>0</v>
      </c>
      <c r="D96" s="84" t="str">
        <f>IFERROR(__xludf.DUMMYFUNCTION("""COMPUTED_VALUE"""),"Kalina Filip")</f>
        <v>Kalina Filip</v>
      </c>
      <c r="E96" s="84" t="str">
        <f>IFERROR(__xludf.DUMMYFUNCTION("""COMPUTED_VALUE"""),"Malešice")</f>
        <v>Malešice</v>
      </c>
      <c r="F96" s="84" t="str">
        <f>IFERROR(__xludf.DUMMYFUNCTION("""COMPUTED_VALUE"""),"Libuš")</f>
        <v>Libuš</v>
      </c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IFERROR(__xludf.DUMMYFUNCTION("""COMPUTED_VALUE"""),0.0)</f>
        <v>0</v>
      </c>
      <c r="W96" s="87">
        <f>IFERROR(__xludf.DUMMYFUNCTION("""COMPUTED_VALUE"""),0.0)</f>
        <v>0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IFERROR(__xludf.DUMMYFUNCTION("""COMPUTED_VALUE"""),"Kaločai Rudolf")</f>
        <v>Kaločai Rudolf</v>
      </c>
      <c r="E97" s="84" t="str">
        <f>IFERROR(__xludf.DUMMYFUNCTION("""COMPUTED_VALUE"""),"Bolevec")</f>
        <v>Bolevec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IFERROR(__xludf.DUMMYFUNCTION("""COMPUTED_VALUE"""),0.0)</f>
        <v>0</v>
      </c>
      <c r="W97" s="87">
        <f>IFERROR(__xludf.DUMMYFUNCTION("""COMPUTED_VALUE"""),0.0)</f>
        <v>0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IFERROR(__xludf.DUMMYFUNCTION("""COMPUTED_VALUE"""),"Dušek Sam")</f>
        <v>Dušek Sam</v>
      </c>
      <c r="E98" s="84" t="str">
        <f>IFERROR(__xludf.DUMMYFUNCTION("""COMPUTED_VALUE"""),"Libuš")</f>
        <v>Libuš</v>
      </c>
      <c r="F98" s="84" t="str">
        <f>IFERROR(__xludf.DUMMYFUNCTION("""COMPUTED_VALUE"""),"Malešice")</f>
        <v>Malešice</v>
      </c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IFERROR(__xludf.DUMMYFUNCTION("""COMPUTED_VALUE"""),0.0)</f>
        <v>0</v>
      </c>
      <c r="W98" s="87">
        <f>IFERROR(__xludf.DUMMYFUNCTION("""COMPUTED_VALUE"""),0.0)</f>
        <v>0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IFERROR(__xludf.DUMMYFUNCTION("""COMPUTED_VALUE"""),"Banga Adam")</f>
        <v>Banga Adam</v>
      </c>
      <c r="E99" s="84" t="str">
        <f>IFERROR(__xludf.DUMMYFUNCTION("""COMPUTED_VALUE"""),"Zličín")</f>
        <v>Zličín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IFERROR(__xludf.DUMMYFUNCTION("""COMPUTED_VALUE"""),0.0)</f>
        <v>0</v>
      </c>
      <c r="W99" s="87">
        <f>IFERROR(__xludf.DUMMYFUNCTION("""COMPUTED_VALUE"""),0.0)</f>
        <v>0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IFERROR(__xludf.DUMMYFUNCTION("""COMPUTED_VALUE"""),"Vopatová Anna")</f>
        <v>Vopatová Anna</v>
      </c>
      <c r="E100" s="84" t="str">
        <f>IFERROR(__xludf.DUMMYFUNCTION("""COMPUTED_VALUE"""),"Bolevec")</f>
        <v>Bolevec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IFERROR(__xludf.DUMMYFUNCTION("""COMPUTED_VALUE"""),"Vopatová Šárka")</f>
        <v>Vopatová Šárka</v>
      </c>
      <c r="E101" s="84" t="str">
        <f>IFERROR(__xludf.DUMMYFUNCTION("""COMPUTED_VALUE"""),"Bolevec")</f>
        <v>Bolevec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 t="str">
        <f>IFERROR(__xludf.DUMMYFUNCTION("""COMPUTED_VALUE"""),"Richterová Monika")</f>
        <v>Richterová Monika</v>
      </c>
      <c r="E102" s="84" t="str">
        <f>IFERROR(__xludf.DUMMYFUNCTION("""COMPUTED_VALUE"""),"Malešice")</f>
        <v>Malešice</v>
      </c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 t="str">
        <f>IFERROR(__xludf.DUMMYFUNCTION("""COMPUTED_VALUE"""),"Serin David")</f>
        <v>Serin David</v>
      </c>
      <c r="E103" s="84" t="str">
        <f>IFERROR(__xludf.DUMMYFUNCTION("""COMPUTED_VALUE"""),"Libuš")</f>
        <v>Libuš</v>
      </c>
      <c r="F103" s="84" t="str">
        <f>IFERROR(__xludf.DUMMYFUNCTION("""COMPUTED_VALUE"""),"Malešice")</f>
        <v>Malešice</v>
      </c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IFERROR(__xludf.DUMMYFUNCTION("""COMPUTED_VALUE"""),"Fabera Tomáš")</f>
        <v>Fabera Tomáš</v>
      </c>
      <c r="E104" s="84" t="str">
        <f>IFERROR(__xludf.DUMMYFUNCTION("""COMPUTED_VALUE"""),"Chodov")</f>
        <v>Chodov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IFERROR(__xludf.DUMMYFUNCTION("""COMPUTED_VALUE"""),"Hendrych Rostislav")</f>
        <v>Hendrych Rostislav</v>
      </c>
      <c r="E105" s="84" t="str">
        <f>IFERROR(__xludf.DUMMYFUNCTION("""COMPUTED_VALUE"""),"Malešice")</f>
        <v>Malešice</v>
      </c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IFERROR(__xludf.DUMMYFUNCTION("""COMPUTED_VALUE"""),0.0)</f>
        <v>0</v>
      </c>
      <c r="W105" s="87">
        <f>IFERROR(__xludf.DUMMYFUNCTION("""COMPUTED_VALUE"""),0.0)</f>
        <v>0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 t="str">
        <f>IFERROR(__xludf.DUMMYFUNCTION("""COMPUTED_VALUE"""),"Světlík František")</f>
        <v>Světlík František</v>
      </c>
      <c r="E106" s="84" t="str">
        <f>IFERROR(__xludf.DUMMYFUNCTION("""COMPUTED_VALUE"""),"Bolevec")</f>
        <v>Bolevec</v>
      </c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IFERROR(__xludf.DUMMYFUNCTION("""COMPUTED_VALUE"""),"Ženíšek Lukáš")</f>
        <v>Ženíšek Lukáš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IFERROR(__xludf.DUMMYFUNCTION("""COMPUTED_VALUE"""),0.0)</f>
        <v>0</v>
      </c>
      <c r="W107" s="87">
        <f>IFERROR(__xludf.DUMMYFUNCTION("""COMPUTED_VALUE"""),0.0)</f>
        <v>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IFERROR(__xludf.DUMMYFUNCTION("""COMPUTED_VALUE"""),"Roth Stanislav st.")</f>
        <v>Roth Stanislav st.</v>
      </c>
      <c r="E108" s="84" t="str">
        <f>IFERROR(__xludf.DUMMYFUNCTION("""COMPUTED_VALUE"""),"Bolevec")</f>
        <v>Bolevec</v>
      </c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IFERROR(__xludf.DUMMYFUNCTION("""COMPUTED_VALUE"""),0.0)</f>
        <v>0</v>
      </c>
      <c r="W108" s="87">
        <f>IFERROR(__xludf.DUMMYFUNCTION("""COMPUTED_VALUE"""),29728.0)</f>
        <v>29728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IFERROR(__xludf.DUMMYFUNCTION("""COMPUTED_VALUE"""),"Vaníková Anna")</f>
        <v>Vaníková Anna</v>
      </c>
      <c r="E109" s="84" t="str">
        <f>IFERROR(__xludf.DUMMYFUNCTION("""COMPUTED_VALUE"""),"Zličín")</f>
        <v>Zličín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IFERROR(__xludf.DUMMYFUNCTION("""COMPUTED_VALUE"""),0.0)</f>
        <v>0</v>
      </c>
      <c r="W109" s="87">
        <f>IFERROR(__xludf.DUMMYFUNCTION("""COMPUTED_VALUE"""),0.0)</f>
        <v>0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IFERROR(__xludf.DUMMYFUNCTION("""COMPUTED_VALUE"""),"Břicháč Pavel")</f>
        <v>Břicháč Pavel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IFERROR(__xludf.DUMMYFUNCTION("""COMPUTED_VALUE"""),0.0)</f>
        <v>0</v>
      </c>
      <c r="W110" s="87">
        <f>IFERROR(__xludf.DUMMYFUNCTION("""COMPUTED_VALUE"""),0.0)</f>
        <v>0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IFERROR(__xludf.DUMMYFUNCTION("""COMPUTED_VALUE"""),"Čerešňák Michal")</f>
        <v>Čerešňák Michal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IFERROR(__xludf.DUMMYFUNCTION("""COMPUTED_VALUE"""),"Weindling Josef")</f>
        <v>Weindling Josef</v>
      </c>
      <c r="E112" s="84" t="str">
        <f>IFERROR(__xludf.DUMMYFUNCTION("""COMPUTED_VALUE"""),"Libuš")</f>
        <v>Libuš</v>
      </c>
      <c r="F112" s="84" t="str">
        <f>IFERROR(__xludf.DUMMYFUNCTION("""COMPUTED_VALUE"""),"Malešice")</f>
        <v>Malešice</v>
      </c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IFERROR(__xludf.DUMMYFUNCTION("""COMPUTED_VALUE"""),0.0)</f>
        <v>0</v>
      </c>
      <c r="W112" s="87">
        <f>IFERROR(__xludf.DUMMYFUNCTION("""COMPUTED_VALUE"""),0.0)</f>
        <v>0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IFERROR(__xludf.DUMMYFUNCTION("""COMPUTED_VALUE"""),"Fux Vojtěch")</f>
        <v>Fux Vojtěch</v>
      </c>
      <c r="E113" s="84" t="str">
        <f>IFERROR(__xludf.DUMMYFUNCTION("""COMPUTED_VALUE"""),"Chodov")</f>
        <v>Chodov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IFERROR(__xludf.DUMMYFUNCTION("""COMPUTED_VALUE"""),0.0)</f>
        <v>0</v>
      </c>
      <c r="W113" s="87">
        <f>IFERROR(__xludf.DUMMYFUNCTION("""COMPUTED_VALUE"""),0.0)</f>
        <v>0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IFERROR(__xludf.DUMMYFUNCTION("""COMPUTED_VALUE"""),"Kumar Jatinder")</f>
        <v>Kumar Jatinder</v>
      </c>
      <c r="E114" s="84" t="str">
        <f>IFERROR(__xludf.DUMMYFUNCTION("""COMPUTED_VALUE"""),"Libuš")</f>
        <v>Libuš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IFERROR(__xludf.DUMMYFUNCTION("""COMPUTED_VALUE"""),"Stehlíková Magdaléna")</f>
        <v>Stehlíková Magdaléna</v>
      </c>
      <c r="E115" s="84" t="str">
        <f>IFERROR(__xludf.DUMMYFUNCTION("""COMPUTED_VALUE"""),"Bolevec")</f>
        <v>Bolevec</v>
      </c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IFERROR(__xludf.DUMMYFUNCTION("""COMPUTED_VALUE"""),0.0)</f>
        <v>0</v>
      </c>
      <c r="W115" s="87">
        <f>IFERROR(__xludf.DUMMYFUNCTION("""COMPUTED_VALUE"""),0.0)</f>
        <v>0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IFERROR(__xludf.DUMMYFUNCTION("""COMPUTED_VALUE"""),"Dragoun Alfréd")</f>
        <v>Dragoun Alfréd</v>
      </c>
      <c r="E116" s="84" t="str">
        <f>IFERROR(__xludf.DUMMYFUNCTION("""COMPUTED_VALUE"""),"Zličín")</f>
        <v>Zličín</v>
      </c>
      <c r="F116" s="84" t="str">
        <f>IFERROR(__xludf.DUMMYFUNCTION("""COMPUTED_VALUE"""),"Malešice")</f>
        <v>Malešice</v>
      </c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IFERROR(__xludf.DUMMYFUNCTION("""COMPUTED_VALUE"""),0.0)</f>
        <v>0</v>
      </c>
      <c r="W116" s="87">
        <f>IFERROR(__xludf.DUMMYFUNCTION("""COMPUTED_VALUE"""),0.0)</f>
        <v>0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IFERROR(__xludf.DUMMYFUNCTION("""COMPUTED_VALUE"""),0.0)</f>
        <v>0</v>
      </c>
      <c r="W117" s="87">
        <f>IFERROR(__xludf.DUMMYFUNCTION("""COMPUTED_VALUE"""),0.0)</f>
        <v>0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IFERROR(__xludf.DUMMYFUNCTION("""COMPUTED_VALUE"""),0.0)</f>
        <v>0</v>
      </c>
      <c r="W119" s="87">
        <f>IFERROR(__xludf.DUMMYFUNCTION("""COMPUTED_VALUE"""),0.0)</f>
        <v>0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IFERROR(__xludf.DUMMYFUNCTION("""COMPUTED_VALUE"""),0.0)</f>
        <v>0</v>
      </c>
      <c r="W120" s="87">
        <f>IFERROR(__xludf.DUMMYFUNCTION("""COMPUTED_VALUE"""),0.0)</f>
        <v>0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IFERROR(__xludf.DUMMYFUNCTION("""COMPUTED_VALUE"""),0.0)</f>
        <v>0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IFERROR(__xludf.DUMMYFUNCTION("""COMPUTED_VALUE"""),0.0)</f>
        <v>0</v>
      </c>
      <c r="W125" s="87">
        <f>IFERROR(__xludf.DUMMYFUNCTION("""COMPUTED_VALUE"""),0.0)</f>
        <v>0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IFERROR(__xludf.DUMMYFUNCTION("""COMPUTED_VALUE"""),0.0)</f>
        <v>0</v>
      </c>
      <c r="W126" s="87">
        <f>IFERROR(__xludf.DUMMYFUNCTION("""COMPUTED_VALUE"""),0.0)</f>
        <v>0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IFERROR(__xludf.DUMMYFUNCTION("""COMPUTED_VALUE"""),0.0)</f>
        <v>0</v>
      </c>
      <c r="W127" s="87">
        <f>IFERROR(__xludf.DUMMYFUNCTION("""COMPUTED_VALUE"""),0.0)</f>
        <v>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90">
        <f>IFERROR(__xludf.DUMMYFUNCTION("""COMPUTED_VALUE"""),0.0)</f>
        <v>0</v>
      </c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90">
        <f>IFERROR(__xludf.DUMMYFUNCTION("""COMPUTED_VALUE"""),0.0)</f>
        <v>0</v>
      </c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 t="str">
        <f>IFERROR(__xludf.DUMMYFUNCTION("""COMPUTED_VALUE"""),"Chodov")</f>
        <v>Chodov</v>
      </c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90">
        <f>IFERROR(__xludf.DUMMYFUNCTION("""COMPUTED_VALUE"""),0.0)</f>
        <v>0</v>
      </c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90">
        <f>IFERROR(__xludf.DUMMYFUNCTION("""COMPUTED_VALUE"""),0.0)</f>
        <v>0</v>
      </c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IFERROR(__xludf.DUMMYFUNCTION("""COMPUTED_VALUE"""),0.0)</f>
        <v>0</v>
      </c>
      <c r="W196" s="87">
        <f>IFERROR(__xludf.DUMMYFUNCTION("""COMPUTED_VALUE"""),74723.2)</f>
        <v>74723.2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25</v>
      </c>
      <c r="C1" s="94" t="s">
        <v>4</v>
      </c>
      <c r="D1" s="94" t="s">
        <v>7</v>
      </c>
      <c r="E1" s="94" t="s">
        <v>8</v>
      </c>
      <c r="F1" s="94" t="s">
        <v>26</v>
      </c>
      <c r="G1" s="94" t="s">
        <v>10</v>
      </c>
      <c r="H1" s="94" t="s">
        <v>27</v>
      </c>
      <c r="I1" s="94" t="s">
        <v>28</v>
      </c>
      <c r="J1" s="94" t="s">
        <v>15</v>
      </c>
      <c r="K1" s="94" t="s">
        <v>17</v>
      </c>
    </row>
    <row r="2">
      <c r="A2" s="95">
        <v>45528.0</v>
      </c>
      <c r="B2" s="94" t="s">
        <v>29</v>
      </c>
      <c r="C2" s="94" t="s">
        <v>30</v>
      </c>
      <c r="D2" s="96" t="s">
        <v>31</v>
      </c>
      <c r="E2" s="96" t="s">
        <v>32</v>
      </c>
      <c r="F2" s="96" t="s">
        <v>33</v>
      </c>
      <c r="G2" s="96" t="s">
        <v>34</v>
      </c>
      <c r="H2" s="97">
        <v>3728.0</v>
      </c>
    </row>
    <row r="3">
      <c r="A3" s="95">
        <v>45528.0</v>
      </c>
      <c r="B3" s="94" t="s">
        <v>29</v>
      </c>
      <c r="C3" s="94" t="s">
        <v>35</v>
      </c>
      <c r="D3" s="96" t="s">
        <v>36</v>
      </c>
      <c r="E3" s="96" t="s">
        <v>37</v>
      </c>
      <c r="F3" s="96" t="s">
        <v>33</v>
      </c>
      <c r="G3" s="96" t="s">
        <v>34</v>
      </c>
      <c r="H3" s="97">
        <v>3728.0</v>
      </c>
    </row>
    <row r="4">
      <c r="A4" s="95">
        <v>45528.0</v>
      </c>
      <c r="B4" s="94" t="s">
        <v>29</v>
      </c>
      <c r="C4" s="94" t="s">
        <v>22</v>
      </c>
      <c r="D4" s="96" t="s">
        <v>38</v>
      </c>
      <c r="E4" s="96" t="s">
        <v>36</v>
      </c>
      <c r="G4" s="96" t="s">
        <v>38</v>
      </c>
      <c r="H4" s="97">
        <v>3728.0</v>
      </c>
    </row>
    <row r="5">
      <c r="A5" s="95">
        <v>45528.0</v>
      </c>
      <c r="B5" s="94" t="s">
        <v>29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39</v>
      </c>
      <c r="C6" s="94" t="s">
        <v>30</v>
      </c>
      <c r="D6" s="96" t="s">
        <v>31</v>
      </c>
      <c r="E6" s="96" t="s">
        <v>32</v>
      </c>
      <c r="F6" s="96" t="s">
        <v>33</v>
      </c>
      <c r="G6" s="96" t="s">
        <v>34</v>
      </c>
      <c r="H6" s="97">
        <v>3728.0</v>
      </c>
    </row>
    <row r="7">
      <c r="A7" s="95">
        <v>45526.0</v>
      </c>
      <c r="B7" s="94" t="s">
        <v>39</v>
      </c>
      <c r="C7" s="94" t="s">
        <v>35</v>
      </c>
      <c r="D7" s="96" t="s">
        <v>36</v>
      </c>
      <c r="E7" s="96" t="s">
        <v>37</v>
      </c>
      <c r="F7" s="96" t="s">
        <v>33</v>
      </c>
      <c r="G7" s="96" t="s">
        <v>34</v>
      </c>
      <c r="H7" s="97">
        <v>3728.0</v>
      </c>
    </row>
    <row r="8">
      <c r="A8" s="95">
        <v>45526.0</v>
      </c>
      <c r="B8" s="94" t="s">
        <v>39</v>
      </c>
      <c r="C8" s="94" t="s">
        <v>22</v>
      </c>
      <c r="D8" s="96" t="s">
        <v>38</v>
      </c>
      <c r="E8" s="96" t="s">
        <v>36</v>
      </c>
      <c r="G8" s="96" t="s">
        <v>38</v>
      </c>
      <c r="H8" s="97">
        <v>3728.0</v>
      </c>
    </row>
    <row r="9">
      <c r="A9" s="95">
        <v>45526.0</v>
      </c>
      <c r="B9" s="94" t="s">
        <v>39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39</v>
      </c>
      <c r="C10" s="94" t="s">
        <v>30</v>
      </c>
      <c r="D10" s="96" t="s">
        <v>31</v>
      </c>
      <c r="E10" s="96" t="s">
        <v>32</v>
      </c>
      <c r="F10" s="96" t="s">
        <v>33</v>
      </c>
      <c r="G10" s="96" t="s">
        <v>34</v>
      </c>
      <c r="H10" s="97">
        <v>3728.0</v>
      </c>
    </row>
    <row r="11">
      <c r="A11" s="95">
        <v>45526.0</v>
      </c>
      <c r="B11" s="94" t="s">
        <v>39</v>
      </c>
      <c r="C11" s="94" t="s">
        <v>35</v>
      </c>
      <c r="D11" s="96" t="s">
        <v>36</v>
      </c>
      <c r="E11" s="96" t="s">
        <v>37</v>
      </c>
      <c r="F11" s="96" t="s">
        <v>33</v>
      </c>
      <c r="G11" s="96" t="s">
        <v>34</v>
      </c>
      <c r="H11" s="97">
        <v>3728.0</v>
      </c>
    </row>
    <row r="12">
      <c r="A12" s="95">
        <v>45526.0</v>
      </c>
      <c r="B12" s="94" t="s">
        <v>39</v>
      </c>
      <c r="C12" s="94" t="s">
        <v>22</v>
      </c>
      <c r="D12" s="96" t="s">
        <v>38</v>
      </c>
      <c r="E12" s="96" t="s">
        <v>36</v>
      </c>
      <c r="G12" s="96" t="s">
        <v>38</v>
      </c>
      <c r="H12" s="97">
        <v>3728.0</v>
      </c>
    </row>
    <row r="13">
      <c r="A13" s="95">
        <v>45526.0</v>
      </c>
      <c r="B13" s="94" t="s">
        <v>39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40</v>
      </c>
    </row>
    <row r="15">
      <c r="A15" s="95">
        <v>45533.0</v>
      </c>
      <c r="B15" s="94" t="s">
        <v>39</v>
      </c>
    </row>
    <row r="16">
      <c r="A16" s="95">
        <v>45534.0</v>
      </c>
      <c r="B16" s="94" t="s">
        <v>41</v>
      </c>
    </row>
    <row r="17">
      <c r="A17" s="95">
        <v>45535.0</v>
      </c>
      <c r="B17" s="94" t="s">
        <v>29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42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43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44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45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46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47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48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49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50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51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52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53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54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55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56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57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58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59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60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61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62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63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64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65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66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67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68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69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70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71</v>
      </c>
      <c r="AB141" s="94">
        <v>-10.0</v>
      </c>
    </row>
  </sheetData>
  <mergeCells count="1">
    <mergeCell ref="A1:H1"/>
  </mergeCells>
  <drawing r:id="rId1"/>
</worksheet>
</file>