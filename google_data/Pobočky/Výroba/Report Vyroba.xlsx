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Kontrola" sheetId="2" r:id="rId6"/>
    <sheet state="hidden" name="HR" sheetId="3" r:id="rId7"/>
    <sheet state="hidden" name="August 2024" sheetId="4" r:id="rId8"/>
    <sheet state="hidden" name="Denik" sheetId="5" r:id="rId9"/>
    <sheet state="hidden" name="Směny" sheetId="6" r:id="rId10"/>
  </sheets>
  <definedNames/>
  <calcPr/>
</workbook>
</file>

<file path=xl/sharedStrings.xml><?xml version="1.0" encoding="utf-8"?>
<sst xmlns="http://schemas.openxmlformats.org/spreadsheetml/2006/main" count="132" uniqueCount="72">
  <si>
    <t>Výroba</t>
  </si>
  <si>
    <t>Datum</t>
  </si>
  <si>
    <t>Náklad v kč</t>
  </si>
  <si>
    <t xml:space="preserve">         Napiš vzkaz  ⬇️    📖   Deník   📖     ⬇️ Včerejší vzkaz</t>
  </si>
  <si>
    <t>Směny</t>
  </si>
  <si>
    <t>Výdaje</t>
  </si>
  <si>
    <t>Jméno</t>
  </si>
  <si>
    <t>Začátek směny</t>
  </si>
  <si>
    <t>Konec směny</t>
  </si>
  <si>
    <t>pauza</t>
  </si>
  <si>
    <t>Počet hodin</t>
  </si>
  <si>
    <t>Benzín / nafta</t>
  </si>
  <si>
    <t>Suroviny</t>
  </si>
  <si>
    <t>Ostatní</t>
  </si>
  <si>
    <t>Vyber datum    &lt;----------&gt;</t>
  </si>
  <si>
    <t>Celkem hodin</t>
  </si>
  <si>
    <t>Počet dní</t>
  </si>
  <si>
    <t>Paziak Viktoriia</t>
  </si>
  <si>
    <t>Kursheva Diana</t>
  </si>
  <si>
    <t>Ahurieva Viktoriia</t>
  </si>
  <si>
    <t>Hřebík Martin</t>
  </si>
  <si>
    <t>Lažek Jaroslav</t>
  </si>
  <si>
    <t>Koteliuk Maryna</t>
  </si>
  <si>
    <t>Manažeři</t>
  </si>
  <si>
    <t>Zamestnanci pobocky</t>
  </si>
  <si>
    <t>Den v týdnu</t>
  </si>
  <si>
    <t>Pauza</t>
  </si>
  <si>
    <t>Mzdový náklad</t>
  </si>
  <si>
    <t>Benzín</t>
  </si>
  <si>
    <t>Sobota</t>
  </si>
  <si>
    <t>Viktoriia Paziak</t>
  </si>
  <si>
    <t>20:00</t>
  </si>
  <si>
    <t>21:00</t>
  </si>
  <si>
    <t>00:00</t>
  </si>
  <si>
    <t>01:00</t>
  </si>
  <si>
    <t>Stepanenko Solomiia</t>
  </si>
  <si>
    <t>10:00</t>
  </si>
  <si>
    <t>11:00</t>
  </si>
  <si>
    <t>05:00</t>
  </si>
  <si>
    <t>Čtvrtek</t>
  </si>
  <si>
    <t>Středa</t>
  </si>
  <si>
    <t>Pátek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</si>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</sst>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&quot;-&quot;yyyy"/>
    <numFmt numFmtId="165" formatCode="&quot;/&quot;d&quot;/&quot;myy"/>
    <numFmt numFmtId="166" formatCode="dd,mm,yyyy"/>
    <numFmt numFmtId="167" formatCode="mmmm&quot; &quot;yyyy"/>
    <numFmt numFmtId="168" formatCode="#,##0\ [$Kč-405]"/>
    <numFmt numFmtId="169" formatCode="0.0 &quot;h&quot;"/>
  </numFmts>
  <fonts count="21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color theme="1"/>
      <name val="Arial"/>
      <scheme val="minor"/>
    </font>
    <font>
      <b/>
      <sz val="25.0"/>
      <color rgb="FF000000"/>
      <name val="&quot;Google Sans Mono&quot;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12.0"/>
      <color theme="1"/>
      <name val="Arial"/>
      <scheme val="minor"/>
    </font>
    <font>
      <sz val="9.0"/>
      <color rgb="FF000000"/>
      <name val="&quot;Google Sans Mono&quot;"/>
    </font>
    <font>
      <sz val="12.0"/>
      <color rgb="FF000000"/>
      <name val="Arial"/>
      <scheme val="minor"/>
    </font>
    <font>
      <sz val="10.0"/>
      <color rgb="FF000000"/>
      <name val="Arial"/>
    </font>
    <font>
      <b/>
      <sz val="13.0"/>
      <color theme="1"/>
      <name val="Google Sans Mono"/>
    </font>
    <font>
      <b/>
      <sz val="14.0"/>
      <color theme="1"/>
      <name val="Arial"/>
    </font>
    <font>
      <b/>
      <sz val="15.0"/>
      <color theme="1"/>
      <name val="Arial"/>
      <scheme val="minor"/>
    </font>
    <font>
      <sz val="9.0"/>
      <color theme="1"/>
      <name val="Google Sans Mono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34">
    <border/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 readingOrder="0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vertical="center"/>
    </xf>
    <xf borderId="4" fillId="3" fontId="4" numFmtId="164" xfId="0" applyAlignment="1" applyBorder="1" applyFont="1" applyNumberFormat="1">
      <alignment horizontal="center" readingOrder="0" vertical="center"/>
    </xf>
    <xf borderId="5" fillId="0" fontId="5" numFmtId="0" xfId="0" applyBorder="1" applyFont="1"/>
    <xf borderId="6" fillId="4" fontId="6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7" fillId="0" fontId="5" numFmtId="0" xfId="0" applyBorder="1" applyFont="1"/>
    <xf borderId="8" fillId="5" fontId="7" numFmtId="0" xfId="0" applyBorder="1" applyFill="1" applyFont="1"/>
    <xf borderId="8" fillId="0" fontId="5" numFmtId="0" xfId="0" applyBorder="1" applyFont="1"/>
    <xf borderId="2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6" fontId="8" numFmtId="2" xfId="0" applyAlignment="1" applyFill="1" applyFont="1" applyNumberFormat="1">
      <alignment horizontal="center" vertical="center"/>
    </xf>
    <xf borderId="1" fillId="0" fontId="5" numFmtId="0" xfId="0" applyBorder="1" applyFont="1"/>
    <xf borderId="1" fillId="2" fontId="1" numFmtId="2" xfId="0" applyAlignment="1" applyBorder="1" applyFont="1" applyNumberFormat="1">
      <alignment horizontal="center" vertical="center"/>
    </xf>
    <xf borderId="4" fillId="3" fontId="9" numFmtId="165" xfId="0" applyAlignment="1" applyBorder="1" applyFont="1" applyNumberFormat="1">
      <alignment horizontal="center" readingOrder="0" vertical="center"/>
    </xf>
    <xf borderId="12" fillId="0" fontId="5" numFmtId="0" xfId="0" applyBorder="1" applyFont="1"/>
    <xf borderId="4" fillId="5" fontId="6" numFmtId="0" xfId="0" applyAlignment="1" applyBorder="1" applyFont="1">
      <alignment horizontal="left" readingOrder="0" vertical="center"/>
    </xf>
    <xf borderId="0" fillId="2" fontId="1" numFmtId="2" xfId="0" applyAlignment="1" applyFont="1" applyNumberFormat="1">
      <alignment horizontal="center" vertical="center"/>
    </xf>
    <xf borderId="4" fillId="7" fontId="1" numFmtId="0" xfId="0" applyAlignment="1" applyBorder="1" applyFill="1" applyFont="1">
      <alignment horizontal="center" readingOrder="0" vertical="center"/>
    </xf>
    <xf borderId="8" fillId="7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  <xf borderId="2" fillId="7" fontId="1" numFmtId="0" xfId="0" applyAlignment="1" applyBorder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1" fillId="7" fontId="1" numFmtId="0" xfId="0" applyAlignment="1" applyBorder="1" applyFont="1">
      <alignment horizontal="center" readingOrder="0" vertical="center"/>
    </xf>
    <xf borderId="10" fillId="8" fontId="10" numFmtId="0" xfId="0" applyAlignment="1" applyBorder="1" applyFill="1" applyFont="1">
      <alignment horizontal="center" readingOrder="0" vertical="center"/>
    </xf>
    <xf borderId="13" fillId="6" fontId="11" numFmtId="0" xfId="0" applyAlignment="1" applyBorder="1" applyFont="1">
      <alignment horizontal="center" readingOrder="0" vertical="center"/>
    </xf>
    <xf borderId="14" fillId="0" fontId="11" numFmtId="20" xfId="0" applyAlignment="1" applyBorder="1" applyFont="1" applyNumberFormat="1">
      <alignment horizontal="center" vertical="center"/>
    </xf>
    <xf borderId="15" fillId="0" fontId="11" numFmtId="0" xfId="0" applyAlignment="1" applyBorder="1" applyFont="1">
      <alignment horizontal="center" vertical="center"/>
    </xf>
    <xf borderId="16" fillId="0" fontId="12" numFmtId="0" xfId="0" applyAlignment="1" applyBorder="1" applyFont="1">
      <alignment readingOrder="0"/>
    </xf>
    <xf borderId="15" fillId="0" fontId="5" numFmtId="0" xfId="0" applyBorder="1" applyFont="1"/>
    <xf borderId="17" fillId="0" fontId="5" numFmtId="0" xfId="0" applyBorder="1" applyFont="1"/>
    <xf borderId="16" fillId="7" fontId="7" numFmtId="0" xfId="0" applyAlignment="1" applyBorder="1" applyFont="1">
      <alignment horizontal="center" readingOrder="0" vertical="center"/>
    </xf>
    <xf borderId="0" fillId="6" fontId="13" numFmtId="2" xfId="0" applyAlignment="1" applyFont="1" applyNumberFormat="1">
      <alignment horizontal="center" vertical="center"/>
    </xf>
    <xf borderId="18" fillId="7" fontId="1" numFmtId="0" xfId="0" applyAlignment="1" applyBorder="1" applyFont="1">
      <alignment horizontal="center" readingOrder="0" vertical="center"/>
    </xf>
    <xf borderId="19" fillId="7" fontId="1" numFmtId="49" xfId="0" applyAlignment="1" applyBorder="1" applyFont="1" applyNumberFormat="1">
      <alignment horizontal="center" readingOrder="0" vertical="center"/>
    </xf>
    <xf borderId="20" fillId="7" fontId="1" numFmtId="49" xfId="0" applyAlignment="1" applyBorder="1" applyFont="1" applyNumberFormat="1">
      <alignment horizontal="center" readingOrder="0" vertical="center"/>
    </xf>
    <xf borderId="21" fillId="9" fontId="14" numFmtId="0" xfId="0" applyAlignment="1" applyBorder="1" applyFill="1" applyFont="1">
      <alignment horizontal="center" readingOrder="0" vertical="center"/>
    </xf>
    <xf borderId="22" fillId="0" fontId="12" numFmtId="0" xfId="0" applyAlignment="1" applyBorder="1" applyFont="1">
      <alignment readingOrder="0"/>
    </xf>
    <xf borderId="23" fillId="0" fontId="5" numFmtId="0" xfId="0" applyBorder="1" applyFont="1"/>
    <xf borderId="24" fillId="0" fontId="5" numFmtId="0" xfId="0" applyBorder="1" applyFont="1"/>
    <xf borderId="22" fillId="7" fontId="7" numFmtId="0" xfId="0" applyAlignment="1" applyBorder="1" applyFont="1">
      <alignment horizontal="center" readingOrder="0" vertical="center"/>
    </xf>
    <xf borderId="25" fillId="7" fontId="15" numFmtId="0" xfId="0" applyAlignment="1" applyBorder="1" applyFont="1">
      <alignment horizontal="left" readingOrder="0"/>
    </xf>
    <xf borderId="26" fillId="0" fontId="12" numFmtId="0" xfId="0" applyAlignment="1" applyBorder="1" applyFont="1">
      <alignment readingOrder="0"/>
    </xf>
    <xf borderId="27" fillId="0" fontId="5" numFmtId="0" xfId="0" applyBorder="1" applyFont="1"/>
    <xf borderId="28" fillId="0" fontId="5" numFmtId="0" xfId="0" applyBorder="1" applyFont="1"/>
    <xf borderId="26" fillId="7" fontId="7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readingOrder="0" vertical="center"/>
    </xf>
    <xf borderId="29" fillId="9" fontId="14" numFmtId="0" xfId="0" applyAlignment="1" applyBorder="1" applyFont="1">
      <alignment horizontal="center" readingOrder="0" vertical="center"/>
    </xf>
    <xf borderId="0" fillId="5" fontId="7" numFmtId="0" xfId="0" applyFont="1"/>
    <xf borderId="20" fillId="7" fontId="1" numFmtId="20" xfId="0" applyAlignment="1" applyBorder="1" applyFont="1" applyNumberFormat="1">
      <alignment horizontal="center" vertical="center"/>
    </xf>
    <xf borderId="30" fillId="7" fontId="1" numFmtId="0" xfId="0" applyAlignment="1" applyBorder="1" applyFont="1">
      <alignment horizontal="center" readingOrder="0" vertical="center"/>
    </xf>
    <xf borderId="31" fillId="7" fontId="1" numFmtId="49" xfId="0" applyAlignment="1" applyBorder="1" applyFont="1" applyNumberFormat="1">
      <alignment horizontal="center" readingOrder="0" vertical="center"/>
    </xf>
    <xf borderId="12" fillId="7" fontId="1" numFmtId="20" xfId="0" applyAlignment="1" applyBorder="1" applyFont="1" applyNumberFormat="1">
      <alignment horizontal="center" vertical="center"/>
    </xf>
    <xf borderId="32" fillId="9" fontId="14" numFmtId="0" xfId="0" applyAlignment="1" applyBorder="1" applyFont="1">
      <alignment horizontal="center" readingOrder="0" vertical="center"/>
    </xf>
    <xf borderId="0" fillId="9" fontId="2" numFmtId="2" xfId="0" applyAlignment="1" applyFont="1" applyNumberFormat="1">
      <alignment horizontal="center" vertical="center"/>
    </xf>
    <xf borderId="3" fillId="9" fontId="2" numFmtId="2" xfId="0" applyAlignment="1" applyBorder="1" applyFont="1" applyNumberFormat="1">
      <alignment horizontal="center" shrinkToFit="0" vertical="center" wrapText="1"/>
    </xf>
    <xf borderId="4" fillId="6" fontId="16" numFmtId="166" xfId="0" applyAlignment="1" applyBorder="1" applyFont="1" applyNumberFormat="1">
      <alignment horizontal="center" readingOrder="0" shrinkToFit="0" vertical="center" wrapText="0"/>
    </xf>
    <xf borderId="3" fillId="10" fontId="17" numFmtId="164" xfId="0" applyAlignment="1" applyBorder="1" applyFill="1" applyFont="1" applyNumberFormat="1">
      <alignment horizontal="center" shrinkToFit="0" vertical="center" wrapText="1"/>
    </xf>
    <xf borderId="0" fillId="5" fontId="7" numFmtId="0" xfId="0" applyAlignment="1" applyFont="1">
      <alignment horizontal="center" vertical="center"/>
    </xf>
    <xf borderId="0" fillId="6" fontId="8" numFmtId="1" xfId="0" applyAlignment="1" applyFont="1" applyNumberFormat="1">
      <alignment horizontal="center" readingOrder="0" vertical="center"/>
    </xf>
    <xf borderId="0" fillId="6" fontId="9" numFmtId="165" xfId="0" applyAlignment="1" applyFont="1" applyNumberFormat="1">
      <alignment horizontal="center" readingOrder="0" vertical="center"/>
    </xf>
    <xf borderId="4" fillId="6" fontId="9" numFmtId="165" xfId="0" applyAlignment="1" applyBorder="1" applyFont="1" applyNumberFormat="1">
      <alignment horizontal="center" vertical="center"/>
    </xf>
    <xf borderId="0" fillId="6" fontId="11" numFmtId="0" xfId="0" applyAlignment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33" fillId="8" fontId="18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vertical="center"/>
    </xf>
    <xf borderId="22" fillId="0" fontId="12" numFmtId="0" xfId="0" applyAlignment="1" applyBorder="1" applyFont="1">
      <alignment horizontal="center" readingOrder="0" vertical="center"/>
    </xf>
    <xf borderId="33" fillId="8" fontId="10" numFmtId="0" xfId="0" applyAlignment="1" applyBorder="1" applyFont="1">
      <alignment horizontal="center" readingOrder="0" vertical="center"/>
    </xf>
    <xf borderId="0" fillId="11" fontId="7" numFmtId="0" xfId="0" applyAlignment="1" applyFill="1" applyFont="1">
      <alignment horizontal="center" vertical="center"/>
    </xf>
    <xf borderId="26" fillId="0" fontId="12" numFmtId="0" xfId="0" applyAlignment="1" applyBorder="1" applyFont="1">
      <alignment horizontal="center" readingOrder="0" vertical="center"/>
    </xf>
    <xf borderId="18" fillId="6" fontId="11" numFmtId="0" xfId="0" applyAlignment="1" applyBorder="1" applyFont="1">
      <alignment horizontal="center" vertical="center"/>
    </xf>
    <xf borderId="19" fillId="6" fontId="11" numFmtId="20" xfId="0" applyAlignment="1" applyBorder="1" applyFont="1" applyNumberFormat="1">
      <alignment horizontal="center" vertical="center"/>
    </xf>
    <xf borderId="18" fillId="6" fontId="1" numFmtId="0" xfId="0" applyAlignment="1" applyBorder="1" applyFont="1">
      <alignment horizontal="center" readingOrder="0" vertical="center"/>
    </xf>
    <xf borderId="19" fillId="6" fontId="1" numFmtId="49" xfId="0" applyAlignment="1" applyBorder="1" applyFont="1" applyNumberFormat="1">
      <alignment horizontal="center" readingOrder="0" vertical="center"/>
    </xf>
    <xf borderId="19" fillId="6" fontId="1" numFmtId="0" xfId="0" applyAlignment="1" applyBorder="1" applyFont="1">
      <alignment horizontal="center" readingOrder="0" vertical="center"/>
    </xf>
    <xf borderId="19" fillId="6" fontId="1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bottom"/>
    </xf>
    <xf borderId="0" fillId="12" fontId="1" numFmtId="0" xfId="0" applyAlignment="1" applyFill="1" applyFont="1">
      <alignment vertical="bottom"/>
    </xf>
    <xf borderId="0" fillId="12" fontId="1" numFmtId="167" xfId="0" applyAlignment="1" applyFont="1" applyNumberFormat="1">
      <alignment horizontal="right" vertical="bottom"/>
    </xf>
    <xf borderId="0" fillId="0" fontId="1" numFmtId="168" xfId="0" applyAlignment="1" applyFont="1" applyNumberFormat="1">
      <alignment vertical="bottom"/>
    </xf>
    <xf borderId="0" fillId="13" fontId="1" numFmtId="0" xfId="0" applyAlignment="1" applyFill="1" applyFont="1">
      <alignment vertical="bottom"/>
    </xf>
    <xf borderId="0" fillId="6" fontId="19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6" fontId="1" numFmtId="0" xfId="0" applyAlignment="1" applyFont="1">
      <alignment vertical="bottom"/>
    </xf>
    <xf borderId="0" fillId="0" fontId="1" numFmtId="20" xfId="0" applyAlignment="1" applyFont="1" applyNumberFormat="1">
      <alignment vertical="bottom"/>
    </xf>
    <xf borderId="0" fillId="0" fontId="1" numFmtId="169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7" numFmtId="14" xfId="0" applyAlignment="1" applyFont="1" applyNumberFormat="1">
      <alignment readingOrder="0"/>
    </xf>
    <xf quotePrefix="1"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33" fillId="14" fontId="20" numFmtId="0" xfId="0" applyAlignment="1" applyBorder="1" applyFill="1" applyFont="1">
      <alignment shrinkToFit="0" vertical="bottom" wrapText="1"/>
    </xf>
    <xf borderId="0" fillId="14" fontId="20" numFmtId="0" xfId="0" applyAlignment="1" applyFont="1">
      <alignment shrinkToFit="0" vertical="bottom" wrapText="1"/>
    </xf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</cols>
  <sheetData>
    <row r="1">
      <c r="A1" s="1"/>
      <c r="B1" s="2" t="s">
        <v>0</v>
      </c>
      <c r="C1" s="3" t="s">
        <v>1</v>
      </c>
      <c r="D1" s="4">
        <v>46207.0</v>
      </c>
      <c r="E1" s="5"/>
      <c r="F1" s="6" t="s">
        <v>2</v>
      </c>
      <c r="G1" s="7"/>
      <c r="H1" s="8"/>
      <c r="I1" s="9"/>
      <c r="J1" s="10"/>
      <c r="K1" s="5"/>
    </row>
    <row r="2" ht="19.5" customHeight="1">
      <c r="A2" s="1"/>
      <c r="B2" s="11"/>
      <c r="C2" s="12"/>
      <c r="D2" s="13"/>
      <c r="E2" s="14"/>
      <c r="F2" s="15">
        <f>IFERROR(__xludf.DUMMYFUNCTION("SUM(A14:A20) + SUM(FILTER(HR!W5:W48, HR!A5:A48 &lt;&gt; """")) + J13 + J15"),40004.0)</f>
        <v>40004</v>
      </c>
      <c r="H2" s="16"/>
      <c r="K2" s="16"/>
    </row>
    <row r="3">
      <c r="A3" s="17"/>
      <c r="B3" s="18" t="str">
        <f>CHOOSE(WEEKDAY(D1), "Neděle", "Pondělí", "Úterý", "Středa", "Čtvrtek", "Pátek", "Sobota")</f>
        <v>Sobota</v>
      </c>
      <c r="C3" s="10"/>
      <c r="D3" s="10"/>
      <c r="E3" s="5"/>
      <c r="H3" s="16"/>
      <c r="K3" s="16"/>
    </row>
    <row r="4">
      <c r="A4" s="17"/>
      <c r="B4" s="13"/>
      <c r="C4" s="19"/>
      <c r="D4" s="19"/>
      <c r="E4" s="14"/>
      <c r="F4" s="19"/>
      <c r="G4" s="19"/>
      <c r="H4" s="14"/>
      <c r="K4" s="16"/>
    </row>
    <row r="5">
      <c r="A5" s="17"/>
      <c r="B5" s="20" t="s">
        <v>3</v>
      </c>
      <c r="C5" s="10"/>
      <c r="D5" s="10"/>
      <c r="E5" s="10"/>
      <c r="F5" s="10"/>
      <c r="G5" s="10"/>
      <c r="H5" s="10"/>
      <c r="I5" s="10"/>
      <c r="J5" s="10"/>
      <c r="K5" s="5"/>
    </row>
    <row r="6">
      <c r="A6" s="17"/>
      <c r="B6" s="11"/>
      <c r="K6" s="16"/>
    </row>
    <row r="7">
      <c r="A7" s="21"/>
      <c r="B7" s="22"/>
      <c r="C7" s="10"/>
      <c r="D7" s="10"/>
      <c r="E7" s="10"/>
      <c r="F7" s="5"/>
      <c r="G7" s="22"/>
      <c r="H7" s="23"/>
      <c r="I7" s="23"/>
      <c r="J7" s="23"/>
      <c r="K7" s="24"/>
    </row>
    <row r="8">
      <c r="A8" s="21"/>
      <c r="B8" s="11"/>
      <c r="F8" s="16"/>
      <c r="G8" s="25"/>
      <c r="H8" s="26"/>
      <c r="I8" s="26"/>
      <c r="J8" s="26"/>
      <c r="K8" s="27"/>
    </row>
    <row r="9">
      <c r="A9" s="21"/>
      <c r="B9" s="11"/>
      <c r="F9" s="16"/>
      <c r="G9" s="25"/>
      <c r="H9" s="26"/>
      <c r="I9" s="26"/>
      <c r="J9" s="26"/>
      <c r="K9" s="27"/>
    </row>
    <row r="10">
      <c r="A10" s="21"/>
      <c r="B10" s="11"/>
      <c r="F10" s="16"/>
      <c r="G10" s="25"/>
      <c r="H10" s="26"/>
      <c r="I10" s="26"/>
      <c r="J10" s="26"/>
      <c r="K10" s="27"/>
    </row>
    <row r="11">
      <c r="A11" s="21"/>
      <c r="B11" s="13"/>
      <c r="C11" s="19"/>
      <c r="D11" s="19"/>
      <c r="E11" s="19"/>
      <c r="F11" s="14"/>
      <c r="G11" s="28"/>
      <c r="H11" s="28"/>
      <c r="I11" s="28"/>
      <c r="J11" s="28"/>
      <c r="K11" s="29"/>
    </row>
    <row r="12">
      <c r="B12" s="30" t="s">
        <v>4</v>
      </c>
      <c r="C12" s="19"/>
      <c r="D12" s="19"/>
      <c r="E12" s="19"/>
      <c r="F12" s="14"/>
      <c r="G12" s="30" t="s">
        <v>5</v>
      </c>
      <c r="H12" s="19"/>
      <c r="I12" s="19"/>
      <c r="J12" s="19"/>
      <c r="K12" s="14"/>
    </row>
    <row r="13">
      <c r="B13" s="31" t="s">
        <v>6</v>
      </c>
      <c r="C13" s="32" t="s">
        <v>7</v>
      </c>
      <c r="D13" s="32" t="s">
        <v>8</v>
      </c>
      <c r="E13" s="32" t="s">
        <v>9</v>
      </c>
      <c r="F13" s="33" t="s">
        <v>10</v>
      </c>
      <c r="G13" s="34" t="s">
        <v>11</v>
      </c>
      <c r="H13" s="35"/>
      <c r="I13" s="36"/>
      <c r="J13" s="37"/>
      <c r="K13" s="36"/>
    </row>
    <row r="14">
      <c r="A14" s="38">
        <f t="array" ref="A14">IF(ISBLANK(B14), 0, IF(ISNUMBER(MATCH(B14, HR!A:A, 0)), 0, IF(ISNUMBER(MATCH(B14, HR!B:B, 0)), INDEX(HR!V:V, MATCH(B14, HR!B:B, 0)) * (F14 * 24), 0)))</f>
        <v>0</v>
      </c>
      <c r="B14" s="39"/>
      <c r="C14" s="40"/>
      <c r="D14" s="40"/>
      <c r="E14" s="41"/>
      <c r="F14" s="42" t="str">
        <f t="shared" ref="F14:F20" si="1">IF(OR(ISBLANK(B14), ISBLANK(D14), D14=0), "0:00", TEXT((IF(AND(TIMEVALUE(IF(ISBLANK(D14), "00:00", D14))&gt;=TIMEVALUE("00:00"), TIMEVALUE(IF(ISBLANK(D14), "00:00", D14))&lt;=TIMEVALUE("06:00")), TIMEVALUE(IF(ISBLANK(D14), "00:00", D14))+1, TIMEVALUE(IF(ISBLANK(D14), "00:00", D14))) - TIMEVALUE(IF(ISBLANK(C14), "00:00", C14)) - TIMEVALUE(IF(ISBLANK(E14), "00:00", E14))), "hh:mm"))
</f>
        <v>0:00</v>
      </c>
      <c r="G14" s="43" t="s">
        <v>12</v>
      </c>
      <c r="H14" s="44"/>
      <c r="I14" s="45"/>
      <c r="J14" s="46"/>
      <c r="K14" s="45"/>
    </row>
    <row r="15">
      <c r="A15" s="38">
        <f t="array" ref="A15">IF(ISBLANK(B15), 0, IF(ISNUMBER(MATCH(B15, HR!A:A, 0)), 0, IF(ISNUMBER(MATCH(B15, HR!B:B, 0)), INDEX(HR!V:V, MATCH(B15, HR!B:B, 0)) * (F15 * 24), 0)))</f>
        <v>0</v>
      </c>
      <c r="B15" s="47"/>
      <c r="C15" s="40"/>
      <c r="D15" s="40"/>
      <c r="E15" s="40"/>
      <c r="F15" s="42" t="str">
        <f t="shared" si="1"/>
        <v>0:00</v>
      </c>
      <c r="G15" s="48" t="s">
        <v>13</v>
      </c>
      <c r="H15" s="49"/>
      <c r="I15" s="50"/>
      <c r="J15" s="51"/>
      <c r="K15" s="50"/>
    </row>
    <row r="16">
      <c r="A16" s="38">
        <f t="array" ref="A16">IF(ISBLANK(B16), 0, IF(ISNUMBER(MATCH(B16, HR!A:A, 0)), 0, IF(ISNUMBER(MATCH(B16, HR!B:B, 0)), INDEX(HR!V:V, MATCH(B16, HR!B:B, 0)) * (F16 * 24), 0)))</f>
        <v>0</v>
      </c>
      <c r="B16" s="39"/>
      <c r="C16" s="40"/>
      <c r="D16" s="40"/>
      <c r="E16" s="52"/>
      <c r="F16" s="53" t="str">
        <f t="shared" si="1"/>
        <v>0:00</v>
      </c>
      <c r="G16" s="54"/>
      <c r="K16" s="16"/>
    </row>
    <row r="17">
      <c r="A17" s="38">
        <f t="array" ref="A17">IF(ISBLANK(B17), 0, IF(ISNUMBER(MATCH(B17, HR!A:A, 0)), 0, IF(ISNUMBER(MATCH(B17, HR!B:B, 0)), INDEX(HR!V:V, MATCH(B17, HR!B:B, 0)) * (F17 * 24), 0)))</f>
        <v>0</v>
      </c>
      <c r="B17" s="39"/>
      <c r="C17" s="40"/>
      <c r="D17" s="40"/>
      <c r="E17" s="40"/>
      <c r="F17" s="53" t="str">
        <f t="shared" si="1"/>
        <v>0:00</v>
      </c>
      <c r="K17" s="16"/>
    </row>
    <row r="18" ht="21.75" customHeight="1">
      <c r="A18" s="38">
        <f t="array" ref="A18">IF(ISBLANK(B18), 0, IF(ISNUMBER(MATCH(B18, HR!A:A, 0)), 0, IF(ISNUMBER(MATCH(B18, HR!B:B, 0)), INDEX(HR!V:V, MATCH(B18, HR!B:B, 0)) * (F18 * 24), 0)))</f>
        <v>0</v>
      </c>
      <c r="B18" s="39"/>
      <c r="C18" s="40"/>
      <c r="D18" s="40"/>
      <c r="E18" s="55"/>
      <c r="F18" s="53" t="str">
        <f t="shared" si="1"/>
        <v>0:00</v>
      </c>
      <c r="K18" s="16"/>
    </row>
    <row r="19" ht="21.75" customHeight="1">
      <c r="A19" s="38">
        <f t="array" ref="A19">IF(ISBLANK(B19), 0, IF(ISNUMBER(MATCH(B19, HR!A:A, 0)), 0, IF(ISNUMBER(MATCH(B19, HR!B:B, 0)), INDEX(HR!V:V, MATCH(B19, HR!B:B, 0)) * (F19 * 24), 0)))</f>
        <v>0</v>
      </c>
      <c r="B19" s="39"/>
      <c r="C19" s="40"/>
      <c r="D19" s="40"/>
      <c r="E19" s="41"/>
      <c r="F19" s="53" t="str">
        <f t="shared" si="1"/>
        <v>0:00</v>
      </c>
      <c r="K19" s="16"/>
    </row>
    <row r="20" ht="21.75" customHeight="1">
      <c r="A20" s="38">
        <f t="array" ref="A20">IF(ISBLANK(B20), 0, IF(ISNUMBER(MATCH(B20, HR!A:A, 0)), 0, IF(ISNUMBER(MATCH(B20, HR!B:B, 0)), INDEX(HR!V:V, MATCH(B20, HR!B:B, 0)) * (F20 * 24), 0)))</f>
        <v>0</v>
      </c>
      <c r="B20" s="56"/>
      <c r="C20" s="57"/>
      <c r="D20" s="57"/>
      <c r="E20" s="58"/>
      <c r="F20" s="59" t="str">
        <f t="shared" si="1"/>
        <v>0:00</v>
      </c>
      <c r="G20" s="19"/>
      <c r="H20" s="19"/>
      <c r="I20" s="19"/>
      <c r="J20" s="19"/>
      <c r="K20" s="14"/>
    </row>
  </sheetData>
  <mergeCells count="18">
    <mergeCell ref="B1:B2"/>
    <mergeCell ref="C1:C2"/>
    <mergeCell ref="D1:E2"/>
    <mergeCell ref="F1:H1"/>
    <mergeCell ref="I1:K4"/>
    <mergeCell ref="F2:H4"/>
    <mergeCell ref="B5:K6"/>
    <mergeCell ref="G14:I14"/>
    <mergeCell ref="G15:I15"/>
    <mergeCell ref="J15:K15"/>
    <mergeCell ref="G16:K20"/>
    <mergeCell ref="B3:E4"/>
    <mergeCell ref="B7:F11"/>
    <mergeCell ref="B12:F12"/>
    <mergeCell ref="G12:K12"/>
    <mergeCell ref="G13:I13"/>
    <mergeCell ref="J13:K13"/>
    <mergeCell ref="J14:K14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dataValidations>
    <dataValidation type="list" allowBlank="1" sqref="B14:B20">
      <formula1>"Sova Martin,Paziak Viktoriia,Ahurieva Viktoriia,Kursheva Diana,Koteliuk Maryna,Lažek Jaroslav,Chlubna Tomáš,Hřebík Martin"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</cols>
  <sheetData>
    <row r="1">
      <c r="A1" s="60"/>
      <c r="B1" s="61" t="str">
        <f>Report!B1</f>
        <v>Výroba</v>
      </c>
      <c r="C1" s="62">
        <v>46174.0</v>
      </c>
      <c r="D1" s="63" t="s">
        <v>14</v>
      </c>
      <c r="E1" s="62">
        <v>46203.0</v>
      </c>
      <c r="F1" s="6" t="s">
        <v>2</v>
      </c>
      <c r="G1" s="7"/>
      <c r="H1" s="8"/>
      <c r="I1" s="64"/>
    </row>
    <row r="2" ht="19.5" customHeight="1">
      <c r="A2" s="60"/>
      <c r="B2" s="12"/>
      <c r="C2" s="13"/>
      <c r="D2" s="12"/>
      <c r="E2" s="13"/>
      <c r="F2" s="65">
        <v>1237482.0</v>
      </c>
      <c r="H2" s="16"/>
    </row>
    <row r="3">
      <c r="A3" s="66"/>
      <c r="B3" s="67" t="str">
        <f>CHOOSE(WEEKDAY(C1), "Neděle", "Pondělí", "Úterý", "Středa", "Čtvrtek", "Pátek", "Sobota")</f>
        <v>Pondělí</v>
      </c>
      <c r="C3" s="10"/>
      <c r="D3" s="67" t="str">
        <f>CHOOSE(WEEKDAY(E1), "Neděle", "Pondělí", "Úterý", "Středa", "Čtvrtek", "Pátek", "Sobota")</f>
        <v>Úterý</v>
      </c>
      <c r="E3" s="5"/>
      <c r="H3" s="16"/>
    </row>
    <row r="4">
      <c r="A4" s="66"/>
      <c r="B4" s="13"/>
      <c r="C4" s="19"/>
      <c r="D4" s="13"/>
      <c r="E4" s="14"/>
      <c r="F4" s="19"/>
      <c r="G4" s="19"/>
      <c r="H4" s="14"/>
    </row>
    <row r="5">
      <c r="A5" s="68"/>
      <c r="B5" s="69" t="s">
        <v>15</v>
      </c>
      <c r="C5" s="10"/>
      <c r="D5" s="10"/>
      <c r="E5" s="5"/>
      <c r="F5" s="70" t="s">
        <v>5</v>
      </c>
      <c r="G5" s="7"/>
      <c r="H5" s="7"/>
      <c r="I5" s="7"/>
      <c r="J5" s="8"/>
      <c r="K5" s="54"/>
    </row>
    <row r="6">
      <c r="A6" s="71"/>
      <c r="B6" s="13"/>
      <c r="C6" s="19"/>
      <c r="D6" s="19"/>
      <c r="E6" s="14"/>
      <c r="F6" s="72" t="s">
        <v>11</v>
      </c>
      <c r="G6" s="35"/>
      <c r="H6" s="36"/>
      <c r="I6" s="37">
        <v>0.0</v>
      </c>
      <c r="J6" s="36"/>
    </row>
    <row r="7" ht="18.75" customHeight="1">
      <c r="A7" s="71"/>
      <c r="B7" s="73">
        <f>TEXT(SUMPRODUCT((IFERROR(LEFT(D8:D30, FIND(":", D8:D30) - 1) * 60, 0) + IFERROR(MID(D8:D30, FIND(":", D8:D30) + 1, LEN(D8:D30) - FIND(":", D8:D30)), 0))), "[h]:mm")/60</f>
        <v>0</v>
      </c>
      <c r="C7" s="19"/>
      <c r="D7" s="19"/>
      <c r="E7" s="14"/>
      <c r="F7" s="74" t="s">
        <v>12</v>
      </c>
      <c r="G7" s="44"/>
      <c r="H7" s="45"/>
      <c r="I7" s="46">
        <v>0.0</v>
      </c>
      <c r="J7" s="45"/>
    </row>
    <row r="8">
      <c r="A8" s="71"/>
      <c r="B8" s="75" t="s">
        <v>4</v>
      </c>
      <c r="C8" s="7"/>
      <c r="D8" s="8"/>
      <c r="E8" s="76"/>
      <c r="F8" s="77" t="s">
        <v>13</v>
      </c>
      <c r="G8" s="49"/>
      <c r="H8" s="50"/>
      <c r="I8" s="51">
        <v>0.0</v>
      </c>
      <c r="J8" s="50"/>
    </row>
    <row r="9" ht="18.75" customHeight="1">
      <c r="A9" s="71"/>
      <c r="B9" s="78" t="s">
        <v>6</v>
      </c>
      <c r="C9" s="79" t="s">
        <v>16</v>
      </c>
      <c r="D9" s="79" t="s">
        <v>10</v>
      </c>
      <c r="F9" s="64"/>
    </row>
    <row r="10" ht="18.75" customHeight="1">
      <c r="A10" s="71"/>
      <c r="B10" s="80" t="s">
        <v>17</v>
      </c>
      <c r="C10" s="81">
        <v>22.0</v>
      </c>
      <c r="D10" s="82">
        <v>181.0</v>
      </c>
    </row>
    <row r="11" ht="18.75" customHeight="1">
      <c r="A11" s="71"/>
      <c r="B11" s="80" t="s">
        <v>18</v>
      </c>
      <c r="C11" s="81">
        <v>22.0</v>
      </c>
      <c r="D11" s="82">
        <v>181.0</v>
      </c>
    </row>
    <row r="12" ht="18.75" customHeight="1">
      <c r="A12" s="71"/>
      <c r="B12" s="80" t="s">
        <v>19</v>
      </c>
      <c r="C12" s="81">
        <v>13.0</v>
      </c>
      <c r="D12" s="82">
        <v>110.0</v>
      </c>
    </row>
    <row r="13" ht="18.75" customHeight="1">
      <c r="A13" s="71"/>
      <c r="B13" s="80" t="s">
        <v>20</v>
      </c>
      <c r="C13" s="81">
        <v>12.0</v>
      </c>
      <c r="D13" s="83">
        <v>128.0</v>
      </c>
    </row>
    <row r="14" ht="18.75" customHeight="1">
      <c r="A14" s="71"/>
      <c r="B14" s="80" t="s">
        <v>21</v>
      </c>
      <c r="C14" s="81">
        <v>2.0</v>
      </c>
      <c r="D14" s="83">
        <v>20.0</v>
      </c>
    </row>
    <row r="15" ht="18.75" customHeight="1">
      <c r="A15" s="71"/>
      <c r="B15" s="80" t="s">
        <v>22</v>
      </c>
      <c r="C15" s="81">
        <v>2.0</v>
      </c>
      <c r="D15" s="83">
        <v>18.0</v>
      </c>
    </row>
    <row r="16" ht="18.75" customHeight="1">
      <c r="A16" s="71"/>
      <c r="B16" s="80"/>
      <c r="C16" s="81"/>
      <c r="D16" s="83"/>
    </row>
    <row r="17" ht="18.75" customHeight="1">
      <c r="A17" s="71"/>
      <c r="B17" s="80"/>
      <c r="C17" s="81"/>
      <c r="D17" s="83"/>
    </row>
    <row r="18" ht="18.75" customHeight="1">
      <c r="A18" s="71"/>
      <c r="B18" s="80"/>
      <c r="C18" s="81"/>
      <c r="D18" s="83"/>
    </row>
  </sheetData>
  <mergeCells count="22">
    <mergeCell ref="B3:C4"/>
    <mergeCell ref="D3:E4"/>
    <mergeCell ref="B5:E6"/>
    <mergeCell ref="B7:E7"/>
    <mergeCell ref="B8:D8"/>
    <mergeCell ref="E8:E18"/>
    <mergeCell ref="I1:K4"/>
    <mergeCell ref="K5:K8"/>
    <mergeCell ref="I6:J6"/>
    <mergeCell ref="I7:J7"/>
    <mergeCell ref="I8:J8"/>
    <mergeCell ref="F6:H6"/>
    <mergeCell ref="F7:H7"/>
    <mergeCell ref="F8:H8"/>
    <mergeCell ref="F9:K18"/>
    <mergeCell ref="B1:B2"/>
    <mergeCell ref="C1:C2"/>
    <mergeCell ref="D1:D2"/>
    <mergeCell ref="E1:E2"/>
    <mergeCell ref="F1:H1"/>
    <mergeCell ref="F2:H4"/>
    <mergeCell ref="F5:J5"/>
  </mergeCells>
  <conditionalFormatting sqref="F2:H4">
    <cfRule type="containsText" dxfId="1" priority="1" operator="containsText" text="Zadej">
      <formula>NOT(ISERROR(SEARCH(("Zadej"),(F2))))</formula>
    </cfRule>
  </conditionalFormatting>
  <conditionalFormatting sqref="F2">
    <cfRule type="cellIs" dxfId="0" priority="2" operator="greaterThan">
      <formula>"30%"</formula>
    </cfRule>
  </conditionalFormatting>
  <conditionalFormatting sqref="F2:H4">
    <cfRule type="containsText" dxfId="2" priority="3" operator="containsText" text="Zadej">
      <formula>NOT(ISERROR(SEARCH(("Zadej"),(F2))))</formula>
    </cfRule>
  </conditionalFormatting>
  <conditionalFormatting sqref="I6:J8">
    <cfRule type="cellIs" dxfId="0" priority="4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4"/>
      <c r="B1" s="84"/>
      <c r="C1" s="85" t="str">
        <f>IFERROR(__xludf.DUMMYFUNCTION("IMPORTRANGE(""1TpIiNTfR1pnpn85VWQTTdvQ2Xcr0GStmWJ2UvfKxG_A"", ""Mzdy!A1:F200"")")," ")</f>
        <v> 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6">
        <f>IFERROR(__xludf.DUMMYFUNCTION("IMPORTRANGE(""1TpIiNTfR1pnpn85VWQTTdvQ2Xcr0GStmWJ2UvfKxG_A"", ""Mzdy!u1:v200"")"),46204.0)</f>
        <v>46204</v>
      </c>
      <c r="W1" s="87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7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7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</row>
    <row r="4">
      <c r="A4" s="88" t="s">
        <v>23</v>
      </c>
      <c r="B4" s="88" t="s">
        <v>24</v>
      </c>
      <c r="C4" s="84" t="str">
        <f>IFERROR(__xludf.DUMMYFUNCTION("""COMPUTED_VALUE"""),"Manažer")</f>
        <v>Manažer</v>
      </c>
      <c r="D4" s="84" t="str">
        <f>IFERROR(__xludf.DUMMYFUNCTION("""COMPUTED_VALUE"""),"Instore")</f>
        <v>Instore</v>
      </c>
      <c r="E4" s="84" t="str">
        <f>IFERROR(__xludf.DUMMYFUNCTION("""COMPUTED_VALUE"""),"První domácí,          Pobočky max 4")</f>
        <v>První domácí,          Pobočky max 4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 t="str">
        <f>IFERROR(__xludf.DUMMYFUNCTION("""COMPUTED_VALUE"""),"Suma hod.")</f>
        <v>Suma hod.</v>
      </c>
      <c r="W4" s="87" t="str">
        <f>IFERROR(__xludf.DUMMYFUNCTION("""COMPUTED_VALUE"""),"Čistá mzda")</f>
        <v>Čistá mzda</v>
      </c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</row>
    <row r="5">
      <c r="A5" s="84" t="str">
        <f>IF(AND(B5&lt;&gt;"", C5=TRUE, E5=Report!$B$1), B5, "")</f>
        <v/>
      </c>
      <c r="B5" s="89" t="str">
        <f>IF(OR(E5=Report!$B$1, F5=Report!$B$1, G5=Report!$B$1, H5=Report!$B$1), D5, "")</f>
        <v/>
      </c>
      <c r="C5" s="84" t="b">
        <f>IFERROR(__xludf.DUMMYFUNCTION("""COMPUTED_VALUE"""),TRUE)</f>
        <v>1</v>
      </c>
      <c r="D5" s="84" t="str">
        <f>IFERROR(__xludf.DUMMYFUNCTION("""COMPUTED_VALUE"""),"Nedbal Michal")</f>
        <v>Nedbal Michal</v>
      </c>
      <c r="E5" s="84" t="str">
        <f>IFERROR(__xludf.DUMMYFUNCTION("""COMPUTED_VALUE"""),"Zličín")</f>
        <v>Zličín</v>
      </c>
      <c r="F5" s="84" t="str">
        <f>IFERROR(__xludf.DUMMYFUNCTION("""COMPUTED_VALUE"""),"Malešice")</f>
        <v>Malešice</v>
      </c>
      <c r="G5" s="84" t="str">
        <f>IFERROR(__xludf.DUMMYFUNCTION("""COMPUTED_VALUE"""),"Prosek")</f>
        <v>Prosek</v>
      </c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90">
        <f>IFERROR(__xludf.DUMMYFUNCTION("""COMPUTED_VALUE"""),0.0)</f>
        <v>0</v>
      </c>
      <c r="W5" s="87">
        <f>IFERROR(__xludf.DUMMYFUNCTION("""COMPUTED_VALUE"""),50001.08)</f>
        <v>50001.08</v>
      </c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</row>
    <row r="6">
      <c r="A6" s="84" t="str">
        <f>IF(AND(B6&lt;&gt;"", C6=TRUE, E6=Report!$B$1), B6, "")</f>
        <v/>
      </c>
      <c r="B6" s="89" t="str">
        <f>IF(OR(E6=Report!$B$1, F6=Report!$B$1, G6=Report!$B$1, H6=Report!$B$1), D6, "")</f>
        <v>Sova Martin</v>
      </c>
      <c r="C6" s="84" t="b">
        <f>IFERROR(__xludf.DUMMYFUNCTION("""COMPUTED_VALUE"""),TRUE)</f>
        <v>1</v>
      </c>
      <c r="D6" s="84" t="str">
        <f>IFERROR(__xludf.DUMMYFUNCTION("""COMPUTED_VALUE"""),"Sova Martin")</f>
        <v>Sova Martin</v>
      </c>
      <c r="E6" s="84" t="str">
        <f>IFERROR(__xludf.DUMMYFUNCTION("""COMPUTED_VALUE"""),"Chodov")</f>
        <v>Chodov</v>
      </c>
      <c r="F6" s="84" t="str">
        <f>IFERROR(__xludf.DUMMYFUNCTION("""COMPUTED_VALUE"""),"Libuš")</f>
        <v>Libuš</v>
      </c>
      <c r="G6" s="84" t="str">
        <f>IFERROR(__xludf.DUMMYFUNCTION("""COMPUTED_VALUE"""),"Výroba")</f>
        <v>Výroba</v>
      </c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90">
        <f>IFERROR(__xludf.DUMMYFUNCTION("""COMPUTED_VALUE"""),0.0)</f>
        <v>0</v>
      </c>
      <c r="W6" s="87">
        <f>IFERROR(__xludf.DUMMYFUNCTION("""COMPUTED_VALUE"""),50001.08)</f>
        <v>50001.08</v>
      </c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</row>
    <row r="7">
      <c r="A7" s="84" t="str">
        <f>IF(AND(B7&lt;&gt;"", C7=TRUE, E7=Report!$B$1), B7, "")</f>
        <v>Paziak Viktoriia</v>
      </c>
      <c r="B7" s="89" t="str">
        <f>IF(OR(E7=Report!$B$1, F7=Report!$B$1, G7=Report!$B$1, H7=Report!$B$1), D7, "")</f>
        <v>Paziak Viktoriia</v>
      </c>
      <c r="C7" s="84" t="b">
        <f>IFERROR(__xludf.DUMMYFUNCTION("""COMPUTED_VALUE"""),TRUE)</f>
        <v>1</v>
      </c>
      <c r="D7" s="84" t="str">
        <f>IFERROR(__xludf.DUMMYFUNCTION("""COMPUTED_VALUE"""),"Paziak Viktoriia")</f>
        <v>Paziak Viktoriia</v>
      </c>
      <c r="E7" s="84" t="str">
        <f>IFERROR(__xludf.DUMMYFUNCTION("""COMPUTED_VALUE"""),"Výroba")</f>
        <v>Výroba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90">
        <f>IFERROR(__xludf.DUMMYFUNCTION("""COMPUTED_VALUE"""),0.0)</f>
        <v>0</v>
      </c>
      <c r="W7" s="87">
        <f>IFERROR(__xludf.DUMMYFUNCTION("""COMPUTED_VALUE"""),40004.0)</f>
        <v>40004</v>
      </c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</row>
    <row r="8">
      <c r="A8" s="84" t="str">
        <f>IF(AND(B8&lt;&gt;"", C8=TRUE, E8=Report!$B$1), B8, "")</f>
        <v/>
      </c>
      <c r="B8" s="89" t="str">
        <f>IF(OR(E8=Report!$B$1, F8=Report!$B$1, G8=Report!$B$1, H8=Report!$B$1), D8, "")</f>
        <v>Ahurieva Viktoriia</v>
      </c>
      <c r="C8" s="84" t="b">
        <f>IFERROR(__xludf.DUMMYFUNCTION("""COMPUTED_VALUE"""),FALSE)</f>
        <v>0</v>
      </c>
      <c r="D8" s="84" t="str">
        <f>IFERROR(__xludf.DUMMYFUNCTION("""COMPUTED_VALUE"""),"Ahurieva Viktoriia")</f>
        <v>Ahurieva Viktoriia</v>
      </c>
      <c r="E8" s="84" t="str">
        <f>IFERROR(__xludf.DUMMYFUNCTION("""COMPUTED_VALUE"""),"Libuš")</f>
        <v>Libuš</v>
      </c>
      <c r="F8" s="84" t="str">
        <f>IFERROR(__xludf.DUMMYFUNCTION("""COMPUTED_VALUE"""),"Malešice")</f>
        <v>Malešice</v>
      </c>
      <c r="G8" s="84" t="str">
        <f>IFERROR(__xludf.DUMMYFUNCTION("""COMPUTED_VALUE"""),"Výroba")</f>
        <v>Výroba</v>
      </c>
      <c r="H8" s="84" t="str">
        <f>IFERROR(__xludf.DUMMYFUNCTION("""COMPUTED_VALUE"""),"Prosek")</f>
        <v>Prosek</v>
      </c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90">
        <f>IFERROR(__xludf.DUMMYFUNCTION("""COMPUTED_VALUE"""),0.0)</f>
        <v>0</v>
      </c>
      <c r="W8" s="87">
        <f>IFERROR(__xludf.DUMMYFUNCTION("""COMPUTED_VALUE"""),50001.08)</f>
        <v>50001.08</v>
      </c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</row>
    <row r="9">
      <c r="A9" s="84" t="str">
        <f>IF(AND(B9&lt;&gt;"", C9=TRUE, E9=Report!$B$1), B9, "")</f>
        <v/>
      </c>
      <c r="B9" s="89" t="str">
        <f>IF(OR(E9=Report!$B$1, F9=Report!$B$1, G9=Report!$B$1, H9=Report!$B$1), D9, "")</f>
        <v/>
      </c>
      <c r="C9" s="84" t="b">
        <f>IFERROR(__xludf.DUMMYFUNCTION("""COMPUTED_VALUE"""),TRUE)</f>
        <v>1</v>
      </c>
      <c r="D9" s="84" t="str">
        <f>IFERROR(__xludf.DUMMYFUNCTION("""COMPUTED_VALUE"""),"Pešová Hana")</f>
        <v>Pešová Hana</v>
      </c>
      <c r="E9" s="84" t="str">
        <f>IFERROR(__xludf.DUMMYFUNCTION("""COMPUTED_VALUE"""),"Chodov")</f>
        <v>Chodov</v>
      </c>
      <c r="F9" s="84" t="str">
        <f>IFERROR(__xludf.DUMMYFUNCTION("""COMPUTED_VALUE"""),"Prosek")</f>
        <v>Prosek</v>
      </c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90">
        <f>IFERROR(__xludf.DUMMYFUNCTION("""COMPUTED_VALUE"""),0.0)</f>
        <v>0</v>
      </c>
      <c r="W9" s="87">
        <f>IFERROR(__xludf.DUMMYFUNCTION("""COMPUTED_VALUE"""),40004.0)</f>
        <v>40004</v>
      </c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</row>
    <row r="10">
      <c r="A10" s="84" t="str">
        <f>IF(AND(B10&lt;&gt;"", C10=TRUE, E10=Report!$B$1), B10, "")</f>
        <v/>
      </c>
      <c r="B10" s="89" t="str">
        <f>IF(OR(E10=Report!$B$1, F10=Report!$B$1, G10=Report!$B$1, H10=Report!$B$1), D10, "")</f>
        <v/>
      </c>
      <c r="C10" s="84" t="b">
        <f>IFERROR(__xludf.DUMMYFUNCTION("""COMPUTED_VALUE"""),TRUE)</f>
        <v>1</v>
      </c>
      <c r="D10" s="84" t="str">
        <f>IFERROR(__xludf.DUMMYFUNCTION("""COMPUTED_VALUE"""),"Šebesta Tomáš")</f>
        <v>Šebesta Tomáš</v>
      </c>
      <c r="E10" s="84" t="str">
        <f>IFERROR(__xludf.DUMMYFUNCTION("""COMPUTED_VALUE"""),"Prosek")</f>
        <v>Prosek</v>
      </c>
      <c r="F10" s="84" t="str">
        <f>IFERROR(__xludf.DUMMYFUNCTION("""COMPUTED_VALUE"""),"Libuš")</f>
        <v>Libuš</v>
      </c>
      <c r="G10" s="84" t="str">
        <f>IFERROR(__xludf.DUMMYFUNCTION("""COMPUTED_VALUE"""),"Malešice")</f>
        <v>Malešice</v>
      </c>
      <c r="H10" s="84" t="str">
        <f>IFERROR(__xludf.DUMMYFUNCTION("""COMPUTED_VALUE"""),"Chodov")</f>
        <v>Chodov</v>
      </c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90">
        <f>IFERROR(__xludf.DUMMYFUNCTION("""COMPUTED_VALUE"""),0.0)</f>
        <v>0</v>
      </c>
      <c r="W10" s="87">
        <f>IFERROR(__xludf.DUMMYFUNCTION("""COMPUTED_VALUE"""),50001.08)</f>
        <v>50001.08</v>
      </c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</row>
    <row r="11">
      <c r="A11" s="84" t="str">
        <f>IF(AND(B11&lt;&gt;"", C11=TRUE, E11=Report!$B$1), B11, "")</f>
        <v/>
      </c>
      <c r="B11" s="89" t="str">
        <f>IF(OR(E11=Report!$B$1, F11=Report!$B$1, G11=Report!$B$1, H11=Report!$B$1), D11, "")</f>
        <v/>
      </c>
      <c r="C11" s="84" t="b">
        <f>IFERROR(__xludf.DUMMYFUNCTION("""COMPUTED_VALUE"""),FALSE)</f>
        <v>0</v>
      </c>
      <c r="D11" s="84" t="str">
        <f>IFERROR(__xludf.DUMMYFUNCTION("""COMPUTED_VALUE"""),"Hanakova Ayuna")</f>
        <v>Hanakova Ayuna</v>
      </c>
      <c r="E11" s="84" t="str">
        <f>IFERROR(__xludf.DUMMYFUNCTION("""COMPUTED_VALUE"""),"Zličín")</f>
        <v>Zličín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90">
        <f>IFERROR(__xludf.DUMMYFUNCTION("""COMPUTED_VALUE"""),0.0)</f>
        <v>0</v>
      </c>
      <c r="W11" s="87">
        <f>IFERROR(__xludf.DUMMYFUNCTION("""COMPUTED_VALUE"""),0.0)</f>
        <v>0</v>
      </c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</row>
    <row r="12">
      <c r="A12" s="84" t="str">
        <f>IF(AND(B12&lt;&gt;"", C12=TRUE, E12=Report!$B$1), B12, "")</f>
        <v/>
      </c>
      <c r="B12" s="89" t="str">
        <f>IF(OR(E12=Report!$B$1, F12=Report!$B$1, G12=Report!$B$1, H12=Report!$B$1), D12, "")</f>
        <v/>
      </c>
      <c r="C12" s="84" t="b">
        <f>IFERROR(__xludf.DUMMYFUNCTION("""COMPUTED_VALUE"""),FALSE)</f>
        <v>0</v>
      </c>
      <c r="D12" s="84" t="str">
        <f>IFERROR(__xludf.DUMMYFUNCTION("""COMPUTED_VALUE"""),"Vondráček Lukáš")</f>
        <v>Vondráček Lukáš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90">
        <f>IFERROR(__xludf.DUMMYFUNCTION("""COMPUTED_VALUE"""),0.0)</f>
        <v>0</v>
      </c>
      <c r="W12" s="87">
        <f>IFERROR(__xludf.DUMMYFUNCTION("""COMPUTED_VALUE"""),78000.0)</f>
        <v>78000</v>
      </c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</row>
    <row r="13">
      <c r="A13" s="84" t="str">
        <f>IF(AND(B13&lt;&gt;"", C13=TRUE, E13=Report!$B$1), B13, "")</f>
        <v/>
      </c>
      <c r="B13" s="89" t="str">
        <f>IF(OR(E13=Report!$B$1, F13=Report!$B$1, G13=Report!$B$1, H13=Report!$B$1), D13, "")</f>
        <v/>
      </c>
      <c r="C13" s="84" t="b">
        <f>IFERROR(__xludf.DUMMYFUNCTION("""COMPUTED_VALUE"""),TRUE)</f>
        <v>1</v>
      </c>
      <c r="D13" s="84" t="str">
        <f>IFERROR(__xludf.DUMMYFUNCTION("""COMPUTED_VALUE"""),"Veselý Ondřej")</f>
        <v>Veselý Ondřej</v>
      </c>
      <c r="E13" s="84" t="str">
        <f>IFERROR(__xludf.DUMMYFUNCTION("""COMPUTED_VALUE"""),"Zličín")</f>
        <v>Zličín</v>
      </c>
      <c r="F13" s="84" t="str">
        <f>IFERROR(__xludf.DUMMYFUNCTION("""COMPUTED_VALUE"""),"Malešice")</f>
        <v>Malešice</v>
      </c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90">
        <f>IFERROR(__xludf.DUMMYFUNCTION("""COMPUTED_VALUE"""),0.0)</f>
        <v>0</v>
      </c>
      <c r="W13" s="87">
        <f>IFERROR(__xludf.DUMMYFUNCTION("""COMPUTED_VALUE"""),40004.0)</f>
        <v>40004</v>
      </c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</row>
    <row r="14">
      <c r="A14" s="84" t="str">
        <f>IF(AND(B14&lt;&gt;"", C14=TRUE, E14=Report!$B$1), B14, "")</f>
        <v/>
      </c>
      <c r="B14" s="89" t="str">
        <f>IF(OR(E14=Report!$B$1, F14=Report!$B$1, G14=Report!$B$1, H14=Report!$B$1), D14, "")</f>
        <v/>
      </c>
      <c r="C14" s="84" t="b">
        <f>IFERROR(__xludf.DUMMYFUNCTION("""COMPUTED_VALUE"""),FALSE)</f>
        <v>0</v>
      </c>
      <c r="D14" s="84" t="str">
        <f>IFERROR(__xludf.DUMMYFUNCTION("""COMPUTED_VALUE"""),"Coufal Jakub")</f>
        <v>Coufal Jakub</v>
      </c>
      <c r="E14" s="84" t="str">
        <f>IFERROR(__xludf.DUMMYFUNCTION("""COMPUTED_VALUE"""),"Libuš")</f>
        <v>Libuš</v>
      </c>
      <c r="F14" s="84" t="str">
        <f>IFERROR(__xludf.DUMMYFUNCTION("""COMPUTED_VALUE"""),"Malešice")</f>
        <v>Malešice</v>
      </c>
      <c r="G14" s="84" t="str">
        <f>IFERROR(__xludf.DUMMYFUNCTION("""COMPUTED_VALUE"""),"Prosek")</f>
        <v>Prosek</v>
      </c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90">
        <f>IFERROR(__xludf.DUMMYFUNCTION("""COMPUTED_VALUE"""),0.0)</f>
        <v>0</v>
      </c>
      <c r="W14" s="87">
        <f>IFERROR(__xludf.DUMMYFUNCTION("""COMPUTED_VALUE"""),0.0)</f>
        <v>0</v>
      </c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</row>
    <row r="15">
      <c r="A15" s="84" t="str">
        <f>IF(AND(B15&lt;&gt;"", C15=TRUE, E15=Report!$B$1), B15, "")</f>
        <v/>
      </c>
      <c r="B15" s="89" t="str">
        <f>IF(OR(E15=Report!$B$1, F15=Report!$B$1, G15=Report!$B$1, H15=Report!$B$1), D15, "")</f>
        <v/>
      </c>
      <c r="C15" s="84" t="b">
        <f>IFERROR(__xludf.DUMMYFUNCTION("""COMPUTED_VALUE"""),TRUE)</f>
        <v>1</v>
      </c>
      <c r="D15" s="84" t="str">
        <f>IFERROR(__xludf.DUMMYFUNCTION("""COMPUTED_VALUE"""),"Kinkorová Petra")</f>
        <v>Kinkorová Petra</v>
      </c>
      <c r="E15" s="84" t="str">
        <f>IFERROR(__xludf.DUMMYFUNCTION("""COMPUTED_VALUE"""),"Malešice")</f>
        <v>Malešice</v>
      </c>
      <c r="F15" s="84" t="str">
        <f>IFERROR(__xludf.DUMMYFUNCTION("""COMPUTED_VALUE"""),"Bolevec")</f>
        <v>Bolevec</v>
      </c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90">
        <f>IFERROR(__xludf.DUMMYFUNCTION("""COMPUTED_VALUE"""),0.0)</f>
        <v>0</v>
      </c>
      <c r="W15" s="87">
        <f>IFERROR(__xludf.DUMMYFUNCTION("""COMPUTED_VALUE"""),40004.0)</f>
        <v>40004</v>
      </c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>
      <c r="A16" s="84" t="str">
        <f>IF(AND(B16&lt;&gt;"", C16=TRUE, E16=Report!$B$1), B16, "")</f>
        <v/>
      </c>
      <c r="B16" s="89" t="str">
        <f>IF(OR(E16=Report!$B$1, F16=Report!$B$1, G16=Report!$B$1, H16=Report!$B$1), D16, "")</f>
        <v/>
      </c>
      <c r="C16" s="84" t="b">
        <f>IFERROR(__xludf.DUMMYFUNCTION("""COMPUTED_VALUE"""),TRUE)</f>
        <v>1</v>
      </c>
      <c r="D16" s="84" t="str">
        <f>IFERROR(__xludf.DUMMYFUNCTION("""COMPUTED_VALUE"""),"Nováková Adéla")</f>
        <v>Nováková Adéla</v>
      </c>
      <c r="E16" s="84" t="str">
        <f>IFERROR(__xludf.DUMMYFUNCTION("""COMPUTED_VALUE"""),"Prosek")</f>
        <v>Prosek</v>
      </c>
      <c r="F16" s="84" t="str">
        <f>IFERROR(__xludf.DUMMYFUNCTION("""COMPUTED_VALUE"""),"Malešice")</f>
        <v>Malešice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90">
        <f>IFERROR(__xludf.DUMMYFUNCTION("""COMPUTED_VALUE"""),0.0)</f>
        <v>0</v>
      </c>
      <c r="W16" s="87">
        <f>IFERROR(__xludf.DUMMYFUNCTION("""COMPUTED_VALUE"""),40004.0)</f>
        <v>40004</v>
      </c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</row>
    <row r="17">
      <c r="A17" s="84" t="str">
        <f>IF(AND(B17&lt;&gt;"", C17=TRUE, E17=Report!$B$1), B17, "")</f>
        <v/>
      </c>
      <c r="B17" s="89" t="str">
        <f>IF(OR(E17=Report!$B$1, F17=Report!$B$1, G17=Report!$B$1, H17=Report!$B$1), D17, "")</f>
        <v/>
      </c>
      <c r="C17" s="84" t="b">
        <f>IFERROR(__xludf.DUMMYFUNCTION("""COMPUTED_VALUE"""),FALSE)</f>
        <v>0</v>
      </c>
      <c r="D17" s="84" t="str">
        <f>IFERROR(__xludf.DUMMYFUNCTION("""COMPUTED_VALUE"""),"Pechová Barbora")</f>
        <v>Pechová Barbora</v>
      </c>
      <c r="E17" s="84" t="str">
        <f>IFERROR(__xludf.DUMMYFUNCTION("""COMPUTED_VALUE"""),"Zličín")</f>
        <v>Zličín</v>
      </c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90">
        <f>IFERROR(__xludf.DUMMYFUNCTION("""COMPUTED_VALUE"""),0.0)</f>
        <v>0</v>
      </c>
      <c r="W17" s="87">
        <f>IFERROR(__xludf.DUMMYFUNCTION("""COMPUTED_VALUE"""),0.0)</f>
        <v>0</v>
      </c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</row>
    <row r="18">
      <c r="A18" s="84" t="str">
        <f>IF(AND(B18&lt;&gt;"", C18=TRUE, E18=Report!$B$1), B18, "")</f>
        <v/>
      </c>
      <c r="B18" s="89" t="str">
        <f>IF(OR(E18=Report!$B$1, F18=Report!$B$1, G18=Report!$B$1, H18=Report!$B$1), D18, "")</f>
        <v/>
      </c>
      <c r="C18" s="84" t="b">
        <f>IFERROR(__xludf.DUMMYFUNCTION("""COMPUTED_VALUE"""),FALSE)</f>
        <v>0</v>
      </c>
      <c r="D18" s="84" t="str">
        <f>IFERROR(__xludf.DUMMYFUNCTION("""COMPUTED_VALUE"""),"Pánková Vendula")</f>
        <v>Pánková Vendula</v>
      </c>
      <c r="E18" s="84" t="str">
        <f>IFERROR(__xludf.DUMMYFUNCTION("""COMPUTED_VALUE"""),"Zličín")</f>
        <v>Zličín</v>
      </c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90">
        <f>IFERROR(__xludf.DUMMYFUNCTION("""COMPUTED_VALUE"""),0.0)</f>
        <v>0</v>
      </c>
      <c r="W18" s="87">
        <f>IFERROR(__xludf.DUMMYFUNCTION("""COMPUTED_VALUE"""),0.0)</f>
        <v>0</v>
      </c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</row>
    <row r="19">
      <c r="A19" s="84" t="str">
        <f>IF(AND(B19&lt;&gt;"", C19=TRUE, E19=Report!$B$1), B19, "")</f>
        <v/>
      </c>
      <c r="B19" s="89" t="str">
        <f>IF(OR(E19=Report!$B$1, F19=Report!$B$1, G19=Report!$B$1, H19=Report!$B$1), D19, "")</f>
        <v/>
      </c>
      <c r="C19" s="84" t="b">
        <f>IFERROR(__xludf.DUMMYFUNCTION("""COMPUTED_VALUE"""),TRUE)</f>
        <v>1</v>
      </c>
      <c r="D19" s="84" t="str">
        <f>IFERROR(__xludf.DUMMYFUNCTION("""COMPUTED_VALUE"""),"Hegedüs Erik")</f>
        <v>Hegedüs Erik</v>
      </c>
      <c r="E19" s="84" t="str">
        <f>IFERROR(__xludf.DUMMYFUNCTION("""COMPUTED_VALUE"""),"Libuš")</f>
        <v>Libuš</v>
      </c>
      <c r="F19" s="84" t="str">
        <f>IFERROR(__xludf.DUMMYFUNCTION("""COMPUTED_VALUE"""),"Chodov")</f>
        <v>Chodov</v>
      </c>
      <c r="G19" s="84" t="str">
        <f>IFERROR(__xludf.DUMMYFUNCTION("""COMPUTED_VALUE"""),"Malešice")</f>
        <v>Malešice</v>
      </c>
      <c r="H19" s="84" t="str">
        <f>IFERROR(__xludf.DUMMYFUNCTION("""COMPUTED_VALUE"""),"Zličín")</f>
        <v>Zličín</v>
      </c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90">
        <f>IFERROR(__xludf.DUMMYFUNCTION("""COMPUTED_VALUE"""),0.0)</f>
        <v>0</v>
      </c>
      <c r="W19" s="87">
        <f>IFERROR(__xludf.DUMMYFUNCTION("""COMPUTED_VALUE"""),50001.08)</f>
        <v>50001.08</v>
      </c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</row>
    <row r="20">
      <c r="A20" s="84" t="str">
        <f>IF(AND(B20&lt;&gt;"", C20=TRUE, E20=Report!$B$1), B20, "")</f>
        <v/>
      </c>
      <c r="B20" s="89" t="str">
        <f>IF(OR(E20=Report!$B$1, F20=Report!$B$1, G20=Report!$B$1, H20=Report!$B$1), D20, "")</f>
        <v/>
      </c>
      <c r="C20" s="84" t="b">
        <f>IFERROR(__xludf.DUMMYFUNCTION("""COMPUTED_VALUE"""),TRUE)</f>
        <v>1</v>
      </c>
      <c r="D20" s="84" t="str">
        <f>IFERROR(__xludf.DUMMYFUNCTION("""COMPUTED_VALUE"""),"Roth Stanislav ml.")</f>
        <v>Roth Stanislav ml.</v>
      </c>
      <c r="E20" s="84" t="str">
        <f>IFERROR(__xludf.DUMMYFUNCTION("""COMPUTED_VALUE"""),"Bolevec")</f>
        <v>Bolevec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90">
        <f>IFERROR(__xludf.DUMMYFUNCTION("""COMPUTED_VALUE"""),0.0)</f>
        <v>0</v>
      </c>
      <c r="W20" s="87">
        <f>IFERROR(__xludf.DUMMYFUNCTION("""COMPUTED_VALUE"""),50001.08)</f>
        <v>50001.08</v>
      </c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</row>
    <row r="21">
      <c r="A21" s="84" t="str">
        <f>IF(AND(B21&lt;&gt;"", C21=TRUE, E21=Report!$B$1), B21, "")</f>
        <v/>
      </c>
      <c r="B21" s="89" t="str">
        <f>IF(OR(E21=Report!$B$1, F21=Report!$B$1, G21=Report!$B$1, H21=Report!$B$1), D21, "")</f>
        <v/>
      </c>
      <c r="C21" s="84" t="b">
        <f>IFERROR(__xludf.DUMMYFUNCTION("""COMPUTED_VALUE"""),FALSE)</f>
        <v>0</v>
      </c>
      <c r="D21" s="84" t="str">
        <f>IFERROR(__xludf.DUMMYFUNCTION("""COMPUTED_VALUE"""),"Bubník Martin")</f>
        <v>Bubník Martin</v>
      </c>
      <c r="E21" s="84" t="str">
        <f>IFERROR(__xludf.DUMMYFUNCTION("""COMPUTED_VALUE"""),"Libuš")</f>
        <v>Libuš</v>
      </c>
      <c r="F21" s="84" t="str">
        <f>IFERROR(__xludf.DUMMYFUNCTION("""COMPUTED_VALUE"""),"Malešice")</f>
        <v>Malešice</v>
      </c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90">
        <f>IFERROR(__xludf.DUMMYFUNCTION("""COMPUTED_VALUE"""),0.0)</f>
        <v>0</v>
      </c>
      <c r="W21" s="87">
        <f>IFERROR(__xludf.DUMMYFUNCTION("""COMPUTED_VALUE"""),0.0)</f>
        <v>0</v>
      </c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</row>
    <row r="22">
      <c r="A22" s="84" t="str">
        <f>IF(AND(B22&lt;&gt;"", C22=TRUE, E22=Report!$B$1), B22, "")</f>
        <v/>
      </c>
      <c r="B22" s="89" t="str">
        <f>IF(OR(E22=Report!$B$1, F22=Report!$B$1, G22=Report!$B$1, H22=Report!$B$1), D22, "")</f>
        <v/>
      </c>
      <c r="C22" s="84" t="b">
        <f>IFERROR(__xludf.DUMMYFUNCTION("""COMPUTED_VALUE"""),FALSE)</f>
        <v>0</v>
      </c>
      <c r="D22" s="84" t="str">
        <f>IFERROR(__xludf.DUMMYFUNCTION("""COMPUTED_VALUE"""),"Berdar Vasyl")</f>
        <v>Berdar Vasyl</v>
      </c>
      <c r="E22" s="84" t="str">
        <f>IFERROR(__xludf.DUMMYFUNCTION("""COMPUTED_VALUE"""),"Libuš")</f>
        <v>Libuš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90">
        <f>IFERROR(__xludf.DUMMYFUNCTION("""COMPUTED_VALUE"""),0.0)</f>
        <v>0</v>
      </c>
      <c r="W22" s="87">
        <f>IFERROR(__xludf.DUMMYFUNCTION("""COMPUTED_VALUE"""),0.0)</f>
        <v>0</v>
      </c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</row>
    <row r="23">
      <c r="A23" s="84" t="str">
        <f>IF(AND(B23&lt;&gt;"", C23=TRUE, E23=Report!$B$1), B23, "")</f>
        <v/>
      </c>
      <c r="B23" s="89" t="str">
        <f>IF(OR(E23=Report!$B$1, F23=Report!$B$1, G23=Report!$B$1, H23=Report!$B$1), D23, "")</f>
        <v/>
      </c>
      <c r="C23" s="84" t="b">
        <f>IFERROR(__xludf.DUMMYFUNCTION("""COMPUTED_VALUE"""),FALSE)</f>
        <v>0</v>
      </c>
      <c r="D23" s="84" t="str">
        <f>IFERROR(__xludf.DUMMYFUNCTION("""COMPUTED_VALUE"""),"Yarushynskyi Vladyslav")</f>
        <v>Yarushynskyi Vladyslav</v>
      </c>
      <c r="E23" s="84" t="str">
        <f>IFERROR(__xludf.DUMMYFUNCTION("""COMPUTED_VALUE"""),"Malešice")</f>
        <v>Malešice</v>
      </c>
      <c r="F23" s="84" t="str">
        <f>IFERROR(__xludf.DUMMYFUNCTION("""COMPUTED_VALUE"""),"Chodov")</f>
        <v>Chodov</v>
      </c>
      <c r="G23" s="84" t="str">
        <f>IFERROR(__xludf.DUMMYFUNCTION("""COMPUTED_VALUE"""),"Zličín")</f>
        <v>Zličín</v>
      </c>
      <c r="H23" s="84" t="str">
        <f>IFERROR(__xludf.DUMMYFUNCTION("""COMPUTED_VALUE"""),"Prosek")</f>
        <v>Prosek</v>
      </c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90">
        <f>IFERROR(__xludf.DUMMYFUNCTION("""COMPUTED_VALUE"""),0.0)</f>
        <v>0</v>
      </c>
      <c r="W23" s="87">
        <f>IFERROR(__xludf.DUMMYFUNCTION("""COMPUTED_VALUE"""),0.0)</f>
        <v>0</v>
      </c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</row>
    <row r="24">
      <c r="A24" s="84" t="str">
        <f>IF(AND(B24&lt;&gt;"", C24=TRUE, E24=Report!$B$1), B24, "")</f>
        <v/>
      </c>
      <c r="B24" s="89" t="str">
        <f>IF(OR(E24=Report!$B$1, F24=Report!$B$1, G24=Report!$B$1, H24=Report!$B$1), D24, "")</f>
        <v/>
      </c>
      <c r="C24" s="84" t="b">
        <f>IFERROR(__xludf.DUMMYFUNCTION("""COMPUTED_VALUE"""),FALSE)</f>
        <v>0</v>
      </c>
      <c r="D24" s="84" t="str">
        <f>IFERROR(__xludf.DUMMYFUNCTION("""COMPUTED_VALUE"""),"Židek Petr")</f>
        <v>Židek Petr</v>
      </c>
      <c r="E24" s="84" t="str">
        <f>IFERROR(__xludf.DUMMYFUNCTION("""COMPUTED_VALUE"""),"Chodov")</f>
        <v>Chodov</v>
      </c>
      <c r="F24" s="84" t="str">
        <f>IFERROR(__xludf.DUMMYFUNCTION("""COMPUTED_VALUE"""),"Malešice")</f>
        <v>Malešice</v>
      </c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90">
        <f>IFERROR(__xludf.DUMMYFUNCTION("""COMPUTED_VALUE"""),0.0)</f>
        <v>0</v>
      </c>
      <c r="W24" s="87">
        <f>IFERROR(__xludf.DUMMYFUNCTION("""COMPUTED_VALUE"""),0.0)</f>
        <v>0</v>
      </c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</row>
    <row r="25">
      <c r="A25" s="84" t="str">
        <f>IF(AND(B25&lt;&gt;"", C25=TRUE, E25=Report!$B$1), B25, "")</f>
        <v/>
      </c>
      <c r="B25" s="89" t="str">
        <f>IF(OR(E25=Report!$B$1, F25=Report!$B$1, G25=Report!$B$1, H25=Report!$B$1), D25, "")</f>
        <v/>
      </c>
      <c r="C25" s="84" t="b">
        <f>IFERROR(__xludf.DUMMYFUNCTION("""COMPUTED_VALUE"""),FALSE)</f>
        <v>0</v>
      </c>
      <c r="D25" s="84" t="str">
        <f>IFERROR(__xludf.DUMMYFUNCTION("""COMPUTED_VALUE"""),"Gorol Patrik")</f>
        <v>Gorol Patrik</v>
      </c>
      <c r="E25" s="84" t="str">
        <f>IFERROR(__xludf.DUMMYFUNCTION("""COMPUTED_VALUE"""),"Malešice")</f>
        <v>Malešice</v>
      </c>
      <c r="F25" s="84" t="str">
        <f>IFERROR(__xludf.DUMMYFUNCTION("""COMPUTED_VALUE"""),"Libuš")</f>
        <v>Libuš</v>
      </c>
      <c r="G25" s="84" t="str">
        <f>IFERROR(__xludf.DUMMYFUNCTION("""COMPUTED_VALUE"""),"Prosek")</f>
        <v>Prosek</v>
      </c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90">
        <f>IFERROR(__xludf.DUMMYFUNCTION("""COMPUTED_VALUE"""),0.0)</f>
        <v>0</v>
      </c>
      <c r="W25" s="87">
        <f>IFERROR(__xludf.DUMMYFUNCTION("""COMPUTED_VALUE"""),0.0)</f>
        <v>0</v>
      </c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</row>
    <row r="26">
      <c r="A26" s="84" t="str">
        <f>IF(AND(B26&lt;&gt;"", C26=TRUE, E26=Report!$B$1), B26, "")</f>
        <v/>
      </c>
      <c r="B26" s="89" t="str">
        <f>IF(OR(E26=Report!$B$1, F26=Report!$B$1, G26=Report!$B$1, H26=Report!$B$1), D26, "")</f>
        <v/>
      </c>
      <c r="C26" s="84" t="b">
        <f>IFERROR(__xludf.DUMMYFUNCTION("""COMPUTED_VALUE"""),FALSE)</f>
        <v>0</v>
      </c>
      <c r="D26" s="84" t="str">
        <f>IFERROR(__xludf.DUMMYFUNCTION("""COMPUTED_VALUE"""),"Hegedüs Gergö")</f>
        <v>Hegedüs Gergö</v>
      </c>
      <c r="E26" s="84" t="str">
        <f>IFERROR(__xludf.DUMMYFUNCTION("""COMPUTED_VALUE"""),"Libuš")</f>
        <v>Libuš</v>
      </c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90">
        <f>IFERROR(__xludf.DUMMYFUNCTION("""COMPUTED_VALUE"""),0.0)</f>
        <v>0</v>
      </c>
      <c r="W26" s="87">
        <f>IFERROR(__xludf.DUMMYFUNCTION("""COMPUTED_VALUE"""),0.0)</f>
        <v>0</v>
      </c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</row>
    <row r="27">
      <c r="A27" s="84" t="str">
        <f>IF(AND(B27&lt;&gt;"", C27=TRUE, E27=Report!$B$1), B27, "")</f>
        <v/>
      </c>
      <c r="B27" s="89" t="str">
        <f>IF(OR(E27=Report!$B$1, F27=Report!$B$1, G27=Report!$B$1, H27=Report!$B$1), D27, "")</f>
        <v/>
      </c>
      <c r="C27" s="84" t="b">
        <f>IFERROR(__xludf.DUMMYFUNCTION("""COMPUTED_VALUE"""),FALSE)</f>
        <v>0</v>
      </c>
      <c r="D27" s="84" t="str">
        <f>IFERROR(__xludf.DUMMYFUNCTION("""COMPUTED_VALUE"""),"Barvínková Eliška")</f>
        <v>Barvínková Eliška</v>
      </c>
      <c r="E27" s="84" t="str">
        <f>IFERROR(__xludf.DUMMYFUNCTION("""COMPUTED_VALUE"""),"Libuš")</f>
        <v>Libuš</v>
      </c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90">
        <f>IFERROR(__xludf.DUMMYFUNCTION("""COMPUTED_VALUE"""),0.0)</f>
        <v>0</v>
      </c>
      <c r="W27" s="87">
        <f>IFERROR(__xludf.DUMMYFUNCTION("""COMPUTED_VALUE"""),0.0)</f>
        <v>0</v>
      </c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</row>
    <row r="28">
      <c r="A28" s="84" t="str">
        <f>IF(AND(B28&lt;&gt;"", C28=TRUE, E28=Report!$B$1), B28, "")</f>
        <v/>
      </c>
      <c r="B28" s="89" t="str">
        <f>IF(OR(E28=Report!$B$1, F28=Report!$B$1, G28=Report!$B$1, H28=Report!$B$1), D28, "")</f>
        <v>Kursheva Diana</v>
      </c>
      <c r="C28" s="84" t="b">
        <f>IFERROR(__xludf.DUMMYFUNCTION("""COMPUTED_VALUE"""),FALSE)</f>
        <v>0</v>
      </c>
      <c r="D28" s="84" t="str">
        <f>IFERROR(__xludf.DUMMYFUNCTION("""COMPUTED_VALUE"""),"Kursheva Diana")</f>
        <v>Kursheva Diana</v>
      </c>
      <c r="E28" s="84" t="str">
        <f>IFERROR(__xludf.DUMMYFUNCTION("""COMPUTED_VALUE"""),"Výroba")</f>
        <v>Výroba</v>
      </c>
      <c r="F28" s="84" t="str">
        <f>IFERROR(__xludf.DUMMYFUNCTION("""COMPUTED_VALUE"""),"Chodov")</f>
        <v>Chodov</v>
      </c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90">
        <f>IFERROR(__xludf.DUMMYFUNCTION("""COMPUTED_VALUE"""),0.0)</f>
        <v>0</v>
      </c>
      <c r="W28" s="87">
        <f>IFERROR(__xludf.DUMMYFUNCTION("""COMPUTED_VALUE"""),0.0)</f>
        <v>0</v>
      </c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>
      <c r="A29" s="84" t="str">
        <f>IF(AND(B29&lt;&gt;"", C29=TRUE, E29=Report!$B$1), B29, "")</f>
        <v/>
      </c>
      <c r="B29" s="89" t="str">
        <f>IF(OR(E29=Report!$B$1, F29=Report!$B$1, G29=Report!$B$1, H29=Report!$B$1), D29, "")</f>
        <v/>
      </c>
      <c r="C29" s="84" t="b">
        <f>IFERROR(__xludf.DUMMYFUNCTION("""COMPUTED_VALUE"""),FALSE)</f>
        <v>0</v>
      </c>
      <c r="D29" s="84" t="str">
        <f>IFERROR(__xludf.DUMMYFUNCTION("""COMPUTED_VALUE"""),"Kubík Martin")</f>
        <v>Kubík Martin</v>
      </c>
      <c r="E29" s="84" t="str">
        <f>IFERROR(__xludf.DUMMYFUNCTION("""COMPUTED_VALUE"""),"Libuš")</f>
        <v>Libuš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90">
        <f>IFERROR(__xludf.DUMMYFUNCTION("""COMPUTED_VALUE"""),0.0)</f>
        <v>0</v>
      </c>
      <c r="W29" s="87">
        <f>IFERROR(__xludf.DUMMYFUNCTION("""COMPUTED_VALUE"""),0.0)</f>
        <v>0</v>
      </c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</row>
    <row r="30">
      <c r="A30" s="84" t="str">
        <f>IF(AND(B30&lt;&gt;"", C30=TRUE, E30=Report!$B$1), B30, "")</f>
        <v/>
      </c>
      <c r="B30" s="89" t="str">
        <f>IF(OR(E30=Report!$B$1, F30=Report!$B$1, G30=Report!$B$1, H30=Report!$B$1), D30, "")</f>
        <v/>
      </c>
      <c r="C30" s="84" t="b">
        <f>IFERROR(__xludf.DUMMYFUNCTION("""COMPUTED_VALUE"""),FALSE)</f>
        <v>0</v>
      </c>
      <c r="D30" s="84" t="str">
        <f>IFERROR(__xludf.DUMMYFUNCTION("""COMPUTED_VALUE"""),"Putna Jaroslav")</f>
        <v>Putna Jaroslav</v>
      </c>
      <c r="E30" s="84" t="str">
        <f>IFERROR(__xludf.DUMMYFUNCTION("""COMPUTED_VALUE"""),"Zličín")</f>
        <v>Zličín</v>
      </c>
      <c r="F30" s="84" t="str">
        <f>IFERROR(__xludf.DUMMYFUNCTION("""COMPUTED_VALUE"""),"Prosek")</f>
        <v>Prosek</v>
      </c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90">
        <f>IFERROR(__xludf.DUMMYFUNCTION("""COMPUTED_VALUE"""),0.0)</f>
        <v>0</v>
      </c>
      <c r="W30" s="87">
        <f>IFERROR(__xludf.DUMMYFUNCTION("""COMPUTED_VALUE"""),0.0)</f>
        <v>0</v>
      </c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>
      <c r="A31" s="84" t="str">
        <f>IF(AND(B31&lt;&gt;"", C31=TRUE, E31=Report!$B$1), B31, "")</f>
        <v/>
      </c>
      <c r="B31" s="89" t="str">
        <f>IF(OR(E31=Report!$B$1, F31=Report!$B$1, G31=Report!$B$1, H31=Report!$B$1), D31, "")</f>
        <v/>
      </c>
      <c r="C31" s="84" t="b">
        <f>IFERROR(__xludf.DUMMYFUNCTION("""COMPUTED_VALUE"""),FALSE)</f>
        <v>0</v>
      </c>
      <c r="D31" s="84" t="str">
        <f>IFERROR(__xludf.DUMMYFUNCTION("""COMPUTED_VALUE"""),"Kopic Jakub")</f>
        <v>Kopic Jakub</v>
      </c>
      <c r="E31" s="84" t="str">
        <f>IFERROR(__xludf.DUMMYFUNCTION("""COMPUTED_VALUE"""),"Malešice")</f>
        <v>Malešice</v>
      </c>
      <c r="F31" s="84" t="str">
        <f>IFERROR(__xludf.DUMMYFUNCTION("""COMPUTED_VALUE"""),"Prosek")</f>
        <v>Prosek</v>
      </c>
      <c r="G31" s="84" t="str">
        <f>IFERROR(__xludf.DUMMYFUNCTION("""COMPUTED_VALUE"""),"Libuš")</f>
        <v>Libuš</v>
      </c>
      <c r="H31" s="84" t="str">
        <f>IFERROR(__xludf.DUMMYFUNCTION("""COMPUTED_VALUE"""),"Prosek")</f>
        <v>Prosek</v>
      </c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90">
        <f>IFERROR(__xludf.DUMMYFUNCTION("""COMPUTED_VALUE"""),0.0)</f>
        <v>0</v>
      </c>
      <c r="W31" s="87">
        <f>IFERROR(__xludf.DUMMYFUNCTION("""COMPUTED_VALUE"""),0.0)</f>
        <v>0</v>
      </c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</row>
    <row r="32">
      <c r="A32" s="84" t="str">
        <f>IF(AND(B32&lt;&gt;"", C32=TRUE, E32=Report!$B$1), B32, "")</f>
        <v/>
      </c>
      <c r="B32" s="89" t="str">
        <f>IF(OR(E32=Report!$B$1, F32=Report!$B$1, G32=Report!$B$1, H32=Report!$B$1), D32, "")</f>
        <v/>
      </c>
      <c r="C32" s="84" t="b">
        <f>IFERROR(__xludf.DUMMYFUNCTION("""COMPUTED_VALUE"""),FALSE)</f>
        <v>0</v>
      </c>
      <c r="D32" s="84" t="str">
        <f>IFERROR(__xludf.DUMMYFUNCTION("""COMPUTED_VALUE"""),"Fáberová Kateřina")</f>
        <v>Fáberová Kateřina</v>
      </c>
      <c r="E32" s="84" t="str">
        <f>IFERROR(__xludf.DUMMYFUNCTION("""COMPUTED_VALUE"""),"Prosek")</f>
        <v>Prosek</v>
      </c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90">
        <f>IFERROR(__xludf.DUMMYFUNCTION("""COMPUTED_VALUE"""),0.0)</f>
        <v>0</v>
      </c>
      <c r="W32" s="87">
        <f>IFERROR(__xludf.DUMMYFUNCTION("""COMPUTED_VALUE"""),0.0)</f>
        <v>0</v>
      </c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</row>
    <row r="33">
      <c r="A33" s="84" t="str">
        <f>IF(AND(B33&lt;&gt;"", C33=TRUE, E33=Report!$B$1), B33, "")</f>
        <v/>
      </c>
      <c r="B33" s="89" t="str">
        <f>IF(OR(E33=Report!$B$1, F33=Report!$B$1, G33=Report!$B$1, H33=Report!$B$1), D33, "")</f>
        <v/>
      </c>
      <c r="C33" s="84" t="b">
        <f>IFERROR(__xludf.DUMMYFUNCTION("""COMPUTED_VALUE"""),FALSE)</f>
        <v>0</v>
      </c>
      <c r="D33" s="84" t="str">
        <f>IFERROR(__xludf.DUMMYFUNCTION("""COMPUTED_VALUE"""),"Chlubnová Adéla")</f>
        <v>Chlubnová Adéla</v>
      </c>
      <c r="E33" s="84" t="str">
        <f>IFERROR(__xludf.DUMMYFUNCTION("""COMPUTED_VALUE"""),"Chodov")</f>
        <v>Chodov</v>
      </c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90">
        <f>IFERROR(__xludf.DUMMYFUNCTION("""COMPUTED_VALUE"""),0.0)</f>
        <v>0</v>
      </c>
      <c r="W33" s="87">
        <f>IFERROR(__xludf.DUMMYFUNCTION("""COMPUTED_VALUE"""),0.0)</f>
        <v>0</v>
      </c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</row>
    <row r="34">
      <c r="A34" s="84" t="str">
        <f>IF(AND(B34&lt;&gt;"", C34=TRUE, E34=Report!$B$1), B34, "")</f>
        <v/>
      </c>
      <c r="B34" s="89" t="str">
        <f>IF(OR(E34=Report!$B$1, F34=Report!$B$1, G34=Report!$B$1, H34=Report!$B$1), D34, "")</f>
        <v/>
      </c>
      <c r="C34" s="84" t="b">
        <f>IFERROR(__xludf.DUMMYFUNCTION("""COMPUTED_VALUE"""),FALSE)</f>
        <v>0</v>
      </c>
      <c r="D34" s="84" t="str">
        <f>IFERROR(__xludf.DUMMYFUNCTION("""COMPUTED_VALUE"""),"Prošek Václav")</f>
        <v>Prošek Václav</v>
      </c>
      <c r="E34" s="84" t="str">
        <f>IFERROR(__xludf.DUMMYFUNCTION("""COMPUTED_VALUE"""),"Libuš")</f>
        <v>Libuš</v>
      </c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90">
        <f>IFERROR(__xludf.DUMMYFUNCTION("""COMPUTED_VALUE"""),0.0)</f>
        <v>0</v>
      </c>
      <c r="W34" s="87">
        <f>IFERROR(__xludf.DUMMYFUNCTION("""COMPUTED_VALUE"""),0.0)</f>
        <v>0</v>
      </c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</row>
    <row r="35">
      <c r="A35" s="84" t="str">
        <f>IF(AND(B35&lt;&gt;"", C35=TRUE, E35=Report!$B$1), B35, "")</f>
        <v/>
      </c>
      <c r="B35" s="89" t="str">
        <f>IF(OR(E35=Report!$B$1, F35=Report!$B$1, G35=Report!$B$1, H35=Report!$B$1), D35, "")</f>
        <v/>
      </c>
      <c r="C35" s="84" t="b">
        <f>IFERROR(__xludf.DUMMYFUNCTION("""COMPUTED_VALUE"""),FALSE)</f>
        <v>0</v>
      </c>
      <c r="D35" s="84" t="str">
        <f>IFERROR(__xludf.DUMMYFUNCTION("""COMPUTED_VALUE"""),"Millington Emmanuel")</f>
        <v>Millington Emmanuel</v>
      </c>
      <c r="E35" s="84" t="str">
        <f>IFERROR(__xludf.DUMMYFUNCTION("""COMPUTED_VALUE"""),"Libuš")</f>
        <v>Libuš</v>
      </c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90">
        <f>IFERROR(__xludf.DUMMYFUNCTION("""COMPUTED_VALUE"""),0.0)</f>
        <v>0</v>
      </c>
      <c r="W35" s="87">
        <f>IFERROR(__xludf.DUMMYFUNCTION("""COMPUTED_VALUE"""),0.0)</f>
        <v>0</v>
      </c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</row>
    <row r="36">
      <c r="A36" s="84" t="str">
        <f>IF(AND(B36&lt;&gt;"", C36=TRUE, E36=Report!$B$1), B36, "")</f>
        <v/>
      </c>
      <c r="B36" s="89" t="str">
        <f>IF(OR(E36=Report!$B$1, F36=Report!$B$1, G36=Report!$B$1, H36=Report!$B$1), D36, "")</f>
        <v/>
      </c>
      <c r="C36" s="84" t="b">
        <f>IFERROR(__xludf.DUMMYFUNCTION("""COMPUTED_VALUE"""),FALSE)</f>
        <v>0</v>
      </c>
      <c r="D36" s="84" t="str">
        <f>IFERROR(__xludf.DUMMYFUNCTION("""COMPUTED_VALUE"""),"Kašpárek Jan")</f>
        <v>Kašpárek Jan</v>
      </c>
      <c r="E36" s="84" t="str">
        <f>IFERROR(__xludf.DUMMYFUNCTION("""COMPUTED_VALUE"""),"Libuš")</f>
        <v>Libuš</v>
      </c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90">
        <f>IFERROR(__xludf.DUMMYFUNCTION("""COMPUTED_VALUE"""),0.0)</f>
        <v>0</v>
      </c>
      <c r="W36" s="87">
        <f>IFERROR(__xludf.DUMMYFUNCTION("""COMPUTED_VALUE"""),0.0)</f>
        <v>0</v>
      </c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</row>
    <row r="37">
      <c r="A37" s="84" t="str">
        <f>IF(AND(B37&lt;&gt;"", C37=TRUE, E37=Report!$B$1), B37, "")</f>
        <v/>
      </c>
      <c r="B37" s="89" t="str">
        <f>IF(OR(E37=Report!$B$1, F37=Report!$B$1, G37=Report!$B$1, H37=Report!$B$1), D37, "")</f>
        <v>Koteliuk Maryna</v>
      </c>
      <c r="C37" s="84" t="b">
        <f>IFERROR(__xludf.DUMMYFUNCTION("""COMPUTED_VALUE"""),FALSE)</f>
        <v>0</v>
      </c>
      <c r="D37" s="84" t="str">
        <f>IFERROR(__xludf.DUMMYFUNCTION("""COMPUTED_VALUE"""),"Koteliuk Maryna")</f>
        <v>Koteliuk Maryna</v>
      </c>
      <c r="E37" s="84" t="str">
        <f>IFERROR(__xludf.DUMMYFUNCTION("""COMPUTED_VALUE"""),"Výroba")</f>
        <v>Výroba</v>
      </c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90">
        <f>IFERROR(__xludf.DUMMYFUNCTION("""COMPUTED_VALUE"""),0.0)</f>
        <v>0</v>
      </c>
      <c r="W37" s="87">
        <f>IFERROR(__xludf.DUMMYFUNCTION("""COMPUTED_VALUE"""),0.0)</f>
        <v>0</v>
      </c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</row>
    <row r="38">
      <c r="A38" s="84" t="str">
        <f>IF(AND(B38&lt;&gt;"", C38=TRUE, E38=Report!$B$1), B38, "")</f>
        <v/>
      </c>
      <c r="B38" s="89" t="str">
        <f>IF(OR(E38=Report!$B$1, F38=Report!$B$1, G38=Report!$B$1, H38=Report!$B$1), D38, "")</f>
        <v/>
      </c>
      <c r="C38" s="84" t="b">
        <f>IFERROR(__xludf.DUMMYFUNCTION("""COMPUTED_VALUE"""),FALSE)</f>
        <v>0</v>
      </c>
      <c r="D38" s="84" t="str">
        <f>IFERROR(__xludf.DUMMYFUNCTION("""COMPUTED_VALUE"""),"Remač Jiří")</f>
        <v>Remač Jiří</v>
      </c>
      <c r="E38" s="84" t="str">
        <f>IFERROR(__xludf.DUMMYFUNCTION("""COMPUTED_VALUE"""),"Libuš")</f>
        <v>Libuš</v>
      </c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90">
        <f>IFERROR(__xludf.DUMMYFUNCTION("""COMPUTED_VALUE"""),0.0)</f>
        <v>0</v>
      </c>
      <c r="W38" s="87">
        <f>IFERROR(__xludf.DUMMYFUNCTION("""COMPUTED_VALUE"""),0.0)</f>
        <v>0</v>
      </c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</row>
    <row r="39">
      <c r="A39" s="84" t="str">
        <f>IF(AND(B39&lt;&gt;"", C39=TRUE, E39=Report!$B$1), B39, "")</f>
        <v/>
      </c>
      <c r="B39" s="89" t="str">
        <f>IF(OR(E39=Report!$B$1, F39=Report!$B$1, G39=Report!$B$1, H39=Report!$B$1), D39, "")</f>
        <v/>
      </c>
      <c r="C39" s="84" t="b">
        <f>IFERROR(__xludf.DUMMYFUNCTION("""COMPUTED_VALUE"""),FALSE)</f>
        <v>0</v>
      </c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90">
        <f>IFERROR(__xludf.DUMMYFUNCTION("""COMPUTED_VALUE"""),0.0)</f>
        <v>0</v>
      </c>
      <c r="W39" s="87">
        <f>IFERROR(__xludf.DUMMYFUNCTION("""COMPUTED_VALUE"""),0.0)</f>
        <v>0</v>
      </c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</row>
    <row r="40">
      <c r="A40" s="84" t="str">
        <f>IF(AND(B40&lt;&gt;"", C40=TRUE, E40=Report!$B$1), B40, "")</f>
        <v/>
      </c>
      <c r="B40" s="89" t="str">
        <f>IF(OR(E40=Report!$B$1, F40=Report!$B$1, G40=Report!$B$1, H40=Report!$B$1), D40, "")</f>
        <v/>
      </c>
      <c r="C40" s="84" t="b">
        <f>IFERROR(__xludf.DUMMYFUNCTION("""COMPUTED_VALUE"""),FALSE)</f>
        <v>0</v>
      </c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90">
        <f>IFERROR(__xludf.DUMMYFUNCTION("""COMPUTED_VALUE"""),0.0)</f>
        <v>0</v>
      </c>
      <c r="W40" s="87">
        <f>IFERROR(__xludf.DUMMYFUNCTION("""COMPUTED_VALUE"""),0.0)</f>
        <v>0</v>
      </c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</row>
    <row r="41">
      <c r="A41" s="84" t="str">
        <f>IF(AND(B41&lt;&gt;"", C41=TRUE, E41=Report!$B$1), B41, "")</f>
        <v/>
      </c>
      <c r="B41" s="89" t="str">
        <f>IF(OR(E41=Report!$B$1, F41=Report!$B$1, G41=Report!$B$1, H41=Report!$B$1), D41, "")</f>
        <v/>
      </c>
      <c r="C41" s="84" t="b">
        <f>IFERROR(__xludf.DUMMYFUNCTION("""COMPUTED_VALUE"""),FALSE)</f>
        <v>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90">
        <f>IFERROR(__xludf.DUMMYFUNCTION("""COMPUTED_VALUE"""),0.0)</f>
        <v>0</v>
      </c>
      <c r="W41" s="87">
        <f>IFERROR(__xludf.DUMMYFUNCTION("""COMPUTED_VALUE"""),0.0)</f>
        <v>0</v>
      </c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</row>
    <row r="42">
      <c r="A42" s="84" t="str">
        <f>IF(AND(B42&lt;&gt;"", C42=TRUE, E42=Report!$B$1), B42, "")</f>
        <v/>
      </c>
      <c r="B42" s="89" t="str">
        <f>IF(OR(E42=Report!$B$1, F42=Report!$B$1, G42=Report!$B$1, H42=Report!$B$1), D42, "")</f>
        <v/>
      </c>
      <c r="C42" s="84" t="b">
        <f>IFERROR(__xludf.DUMMYFUNCTION("""COMPUTED_VALUE"""),FALSE)</f>
        <v>0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90">
        <f>IFERROR(__xludf.DUMMYFUNCTION("""COMPUTED_VALUE"""),0.0)</f>
        <v>0</v>
      </c>
      <c r="W42" s="87">
        <f>IFERROR(__xludf.DUMMYFUNCTION("""COMPUTED_VALUE"""),0.0)</f>
        <v>0</v>
      </c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</row>
    <row r="43">
      <c r="A43" s="84" t="str">
        <f>IF(AND(B43&lt;&gt;"", C43=TRUE, E43=Report!$B$1), B43, "")</f>
        <v/>
      </c>
      <c r="B43" s="89" t="str">
        <f>IF(OR(E43=Report!$B$1, F43=Report!$B$1, G43=Report!$B$1, H43=Report!$B$1), D43, "")</f>
        <v/>
      </c>
      <c r="C43" s="84" t="b">
        <f>IFERROR(__xludf.DUMMYFUNCTION("""COMPUTED_VALUE"""),FALSE)</f>
        <v>0</v>
      </c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90">
        <f>IFERROR(__xludf.DUMMYFUNCTION("""COMPUTED_VALUE"""),0.0)</f>
        <v>0</v>
      </c>
      <c r="W43" s="87">
        <f>IFERROR(__xludf.DUMMYFUNCTION("""COMPUTED_VALUE"""),0.0)</f>
        <v>0</v>
      </c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</row>
    <row r="44">
      <c r="A44" s="84"/>
      <c r="B44" s="91" t="str">
        <f>IF(OR(E44=Report!$B$1, F44=Report!$B$1, G44=Report!$B$1, H44=Report!$B$1), D44, "")</f>
        <v/>
      </c>
      <c r="C44" s="84" t="b">
        <f>IFERROR(__xludf.DUMMYFUNCTION("""COMPUTED_VALUE"""),FALSE)</f>
        <v>0</v>
      </c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90">
        <f>IFERROR(__xludf.DUMMYFUNCTION("""COMPUTED_VALUE"""),0.0)</f>
        <v>0</v>
      </c>
      <c r="W44" s="87">
        <f>IFERROR(__xludf.DUMMYFUNCTION("""COMPUTED_VALUE"""),0.0)</f>
        <v>0</v>
      </c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</row>
    <row r="45">
      <c r="A45" s="84"/>
      <c r="B45" s="91" t="str">
        <f>IF(OR(E45=Report!$B$1, F45=Report!$B$1, G45=Report!$B$1, H45=Report!$B$1), D45, "")</f>
        <v/>
      </c>
      <c r="C45" s="84" t="b">
        <f>IFERROR(__xludf.DUMMYFUNCTION("""COMPUTED_VALUE"""),FALSE)</f>
        <v>0</v>
      </c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90">
        <f>IFERROR(__xludf.DUMMYFUNCTION("""COMPUTED_VALUE"""),0.0)</f>
        <v>0</v>
      </c>
      <c r="W45" s="87">
        <f>IFERROR(__xludf.DUMMYFUNCTION("""COMPUTED_VALUE"""),0.0)</f>
        <v>0</v>
      </c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</row>
    <row r="46">
      <c r="A46" s="84"/>
      <c r="B46" s="91" t="str">
        <f>IF(OR(E46=Report!$B$1, F46=Report!$B$1, G46=Report!$B$1, H46=Report!$B$1), D46, "")</f>
        <v/>
      </c>
      <c r="C46" s="84" t="b">
        <f>IFERROR(__xludf.DUMMYFUNCTION("""COMPUTED_VALUE"""),FALSE)</f>
        <v>0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90">
        <f>IFERROR(__xludf.DUMMYFUNCTION("""COMPUTED_VALUE"""),0.0)</f>
        <v>0</v>
      </c>
      <c r="W46" s="87">
        <f>IFERROR(__xludf.DUMMYFUNCTION("""COMPUTED_VALUE"""),0.0)</f>
        <v>0</v>
      </c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</row>
    <row r="47">
      <c r="A47" s="84"/>
      <c r="B47" s="91" t="str">
        <f>IF(OR(E47=Report!$B$1, F47=Report!$B$1, G47=Report!$B$1, H47=Report!$B$1), D47, "")</f>
        <v/>
      </c>
      <c r="C47" s="84" t="b">
        <f>IFERROR(__xludf.DUMMYFUNCTION("""COMPUTED_VALUE"""),FALSE)</f>
        <v>0</v>
      </c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90">
        <f>IFERROR(__xludf.DUMMYFUNCTION("""COMPUTED_VALUE"""),374.0)</f>
        <v>374</v>
      </c>
      <c r="W47" s="87">
        <f>IFERROR(__xludf.DUMMYFUNCTION("""COMPUTED_VALUE"""),0.0)</f>
        <v>0</v>
      </c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</row>
    <row r="48">
      <c r="A48" s="84"/>
      <c r="B48" s="91" t="str">
        <f>IF(OR(E48=Report!$B$1, F48=Report!$B$1, G48=Report!$B$1, H48=Report!$B$1), D48, "")</f>
        <v/>
      </c>
      <c r="C48" s="84" t="b">
        <f>IFERROR(__xludf.DUMMYFUNCTION("""COMPUTED_VALUE"""),FALSE)</f>
        <v>0</v>
      </c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7">
        <f>IFERROR(__xludf.DUMMYFUNCTION("""COMPUTED_VALUE"""),0.0)</f>
        <v>0</v>
      </c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</row>
    <row r="49">
      <c r="A49" s="84"/>
      <c r="B49" s="91" t="str">
        <f>IF(OR(E49=Report!$B$1, F49=Report!$B$1, G49=Report!$B$1, H49=Report!$B$1), D49, "")</f>
        <v/>
      </c>
      <c r="C49" s="84" t="b">
        <f>IFERROR(__xludf.DUMMYFUNCTION("""COMPUTED_VALUE"""),FALSE)</f>
        <v>0</v>
      </c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7">
        <f>IFERROR(__xludf.DUMMYFUNCTION("""COMPUTED_VALUE"""),0.0)</f>
        <v>0</v>
      </c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</row>
    <row r="50">
      <c r="A50" s="84"/>
      <c r="B50" s="91" t="str">
        <f>IF(OR(E50=Report!$B$1, F50=Report!$B$1, G50=Report!$B$1, H50=Report!$B$1), D50, "")</f>
        <v/>
      </c>
      <c r="C50" s="84" t="b">
        <f>IFERROR(__xludf.DUMMYFUNCTION("""COMPUTED_VALUE"""),FALSE)</f>
        <v>0</v>
      </c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7">
        <f>IFERROR(__xludf.DUMMYFUNCTION("""COMPUTED_VALUE"""),0.0)</f>
        <v>0</v>
      </c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</row>
    <row r="51">
      <c r="A51" s="84"/>
      <c r="B51" s="91" t="str">
        <f>IF(OR(E51=Report!$B$1, F51=Report!$B$1, G51=Report!$B$1, H51=Report!$B$1), D51, "")</f>
        <v/>
      </c>
      <c r="C51" s="84" t="b">
        <f>IFERROR(__xludf.DUMMYFUNCTION("""COMPUTED_VALUE"""),FALSE)</f>
        <v>0</v>
      </c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7">
        <f>IFERROR(__xludf.DUMMYFUNCTION("""COMPUTED_VALUE"""),0.0)</f>
        <v>0</v>
      </c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</row>
    <row r="52">
      <c r="A52" s="84"/>
      <c r="B52" s="91" t="str">
        <f>IF(OR(E52=Report!$B$1, F52=Report!$B$1, G52=Report!$B$1, H52=Report!$B$1), D52, "")</f>
        <v/>
      </c>
      <c r="C52" s="84" t="b">
        <f>IFERROR(__xludf.DUMMYFUNCTION("""COMPUTED_VALUE"""),FALSE)</f>
        <v>0</v>
      </c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7">
        <f>IFERROR(__xludf.DUMMYFUNCTION("""COMPUTED_VALUE"""),0.0)</f>
        <v>0</v>
      </c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</row>
    <row r="53">
      <c r="A53" s="84"/>
      <c r="B53" s="91" t="str">
        <f>IF(OR(E53=Report!$B$1, F53=Report!$B$1, G53=Report!$B$1, H53=Report!$B$1), D53, "")</f>
        <v/>
      </c>
      <c r="C53" s="84" t="b">
        <f>IFERROR(__xludf.DUMMYFUNCTION("""COMPUTED_VALUE"""),FALSE)</f>
        <v>0</v>
      </c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7">
        <f>IFERROR(__xludf.DUMMYFUNCTION("""COMPUTED_VALUE"""),0.0)</f>
        <v>0</v>
      </c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</row>
    <row r="54">
      <c r="A54" s="84"/>
      <c r="B54" s="91" t="str">
        <f>IF(OR(E54=Report!$B$1, F54=Report!$B$1, G54=Report!$B$1, H54=Report!$B$1), D54, "")</f>
        <v/>
      </c>
      <c r="C54" s="84" t="b">
        <f>IFERROR(__xludf.DUMMYFUNCTION("""COMPUTED_VALUE"""),FALSE)</f>
        <v>0</v>
      </c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7">
        <f>IFERROR(__xludf.DUMMYFUNCTION("""COMPUTED_VALUE"""),0.0)</f>
        <v>0</v>
      </c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</row>
    <row r="55">
      <c r="A55" s="84"/>
      <c r="B55" s="91" t="str">
        <f>IF(OR(E55=Report!$B$1, F55=Report!$B$1, G55=Report!$B$1, H55=Report!$B$1), D55, "")</f>
        <v/>
      </c>
      <c r="C55" s="84" t="b">
        <f>IFERROR(__xludf.DUMMYFUNCTION("""COMPUTED_VALUE"""),FALSE)</f>
        <v>0</v>
      </c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7">
        <f>IFERROR(__xludf.DUMMYFUNCTION("""COMPUTED_VALUE"""),0.0)</f>
        <v>0</v>
      </c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</row>
    <row r="56">
      <c r="A56" s="84"/>
      <c r="B56" s="91" t="str">
        <f>IF(OR(E56=Report!$B$1, F56=Report!$B$1, G56=Report!$B$1, H56=Report!$B$1), D56, "")</f>
        <v/>
      </c>
      <c r="C56" s="84" t="b">
        <f>IFERROR(__xludf.DUMMYFUNCTION("""COMPUTED_VALUE"""),FALSE)</f>
        <v>0</v>
      </c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7">
        <f>IFERROR(__xludf.DUMMYFUNCTION("""COMPUTED_VALUE"""),0.0)</f>
        <v>0</v>
      </c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</row>
    <row r="57">
      <c r="A57" s="84"/>
      <c r="B57" s="91" t="str">
        <f>IF(OR(E57=Report!$B$1, F57=Report!$B$1, G57=Report!$B$1, H57=Report!$B$1), D57, "")</f>
        <v/>
      </c>
      <c r="C57" s="84" t="b">
        <f>IFERROR(__xludf.DUMMYFUNCTION("""COMPUTED_VALUE"""),FALSE)</f>
        <v>0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7">
        <f>IFERROR(__xludf.DUMMYFUNCTION("""COMPUTED_VALUE"""),0.0)</f>
        <v>0</v>
      </c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</row>
    <row r="58">
      <c r="A58" s="84"/>
      <c r="B58" s="91" t="str">
        <f>IF(OR(E58=Report!$B$1, F58=Report!$B$1, G58=Report!$B$1, H58=Report!$B$1), D58, "")</f>
        <v/>
      </c>
      <c r="C58" s="84"/>
      <c r="D58" s="84" t="str">
        <f>IFERROR(__xludf.DUMMYFUNCTION("""COMPUTED_VALUE"""),"End")</f>
        <v>End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7">
        <f>IFERROR(__xludf.DUMMYFUNCTION("""COMPUTED_VALUE"""),0.0)</f>
        <v>0</v>
      </c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</row>
    <row r="59">
      <c r="A59" s="84"/>
      <c r="B59" s="91" t="str">
        <f>IF(OR(E59=Report!$B$1, F59=Report!$B$1, G59=Report!$B$1, H59=Report!$B$1), D59, "")</f>
        <v/>
      </c>
      <c r="C59" s="84"/>
      <c r="D59" s="84" t="str">
        <f>IFERROR(__xludf.DUMMYFUNCTION("""COMPUTED_VALUE"""),"Suma instor")</f>
        <v>Suma instor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92">
        <f>IFERROR(__xludf.DUMMYFUNCTION("""COMPUTED_VALUE"""),0.0)</f>
        <v>0</v>
      </c>
      <c r="W59" s="87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</row>
    <row r="60">
      <c r="A60" s="84"/>
      <c r="B60" s="91" t="str">
        <f>IF(OR(E60=Report!$B$1, F60=Report!$B$1, G60=Report!$B$1, H60=Report!$B$1), D60, "")</f>
        <v/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7">
        <f>IFERROR(__xludf.DUMMYFUNCTION("""COMPUTED_VALUE"""),374.0)</f>
        <v>374</v>
      </c>
      <c r="W60" s="87">
        <f>IFERROR(__xludf.DUMMYFUNCTION("""COMPUTED_VALUE"""),578026.48)</f>
        <v>578026.48</v>
      </c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</row>
    <row r="61">
      <c r="A61" s="84"/>
      <c r="B61" s="89" t="str">
        <f>IF(OR(E61=Report!$B$1, F61=Report!$B$1, G61=Report!$B$1, H61=Report!$B$1), D61, "")</f>
        <v/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7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</row>
    <row r="62">
      <c r="A62" s="84"/>
      <c r="B62" s="89" t="str">
        <f>IF(OR(E62=Report!$B$1, F62=Report!$B$1, G62=Report!$B$1, H62=Report!$B$1), D62, "")</f>
        <v/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7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</row>
    <row r="63">
      <c r="A63" s="84"/>
      <c r="B63" s="89" t="str">
        <f>IF(OR(E63=Report!$B$1, F63=Report!$B$1, G63=Report!$B$1, H63=Report!$B$1), D63, "")</f>
        <v/>
      </c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 t="str">
        <f>IFERROR(__xludf.DUMMYFUNCTION("""COMPUTED_VALUE"""),"Sleva na popl.")</f>
        <v>Sleva na popl.</v>
      </c>
      <c r="W63" s="87" t="str">
        <f>IFERROR(__xludf.DUMMYFUNCTION("""COMPUTED_VALUE"""),"čistá")</f>
        <v>čistá</v>
      </c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</row>
    <row r="64">
      <c r="A64" s="84"/>
      <c r="B64" s="89" t="str">
        <f>IF(OR(E64=Report!$B$1, F64=Report!$B$1, G64=Report!$B$1, H64=Report!$B$1), D64, "")</f>
        <v/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>
        <f>IFERROR(__xludf.DUMMYFUNCTION("""COMPUTED_VALUE"""),2570.0)</f>
        <v>2570</v>
      </c>
      <c r="W64" s="87" t="str">
        <f>IFERROR(__xludf.DUMMYFUNCTION("""COMPUTED_VALUE"""),"mzda/h")</f>
        <v>mzda/h</v>
      </c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</row>
    <row r="65">
      <c r="A65" s="84"/>
      <c r="B65" s="89" t="str">
        <f>IF(OR(E65=Report!$B$1, F65=Report!$B$1, G65=Report!$B$1, H65=Report!$B$1), D65, "")</f>
        <v/>
      </c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>
        <f>IFERROR(__xludf.DUMMYFUNCTION("""COMPUTED_VALUE"""),31930.0)</f>
        <v>31930</v>
      </c>
      <c r="W65" s="87">
        <f>IFERROR(__xludf.DUMMYFUNCTION("""COMPUTED_VALUE"""),159.65)</f>
        <v>159.65</v>
      </c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</row>
    <row r="66">
      <c r="A66" s="84"/>
      <c r="B66" s="89" t="str">
        <f>IF(OR(E66=Report!$B$1, F66=Report!$B$1, G66=Report!$B$1, H66=Report!$B$1), D66, "")</f>
        <v/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7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</row>
    <row r="67">
      <c r="A67" s="84"/>
      <c r="B67" s="89" t="str">
        <f>IF(OR(E67=Report!$B$1, F67=Report!$B$1, G67=Report!$B$1, H67=Report!$B$1), D67, "")</f>
        <v/>
      </c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7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</row>
    <row r="68">
      <c r="A68" s="84"/>
      <c r="B68" s="89" t="str">
        <f>IF(OR(E68=Report!$B$1, F68=Report!$B$1, G68=Report!$B$1, H68=Report!$B$1), D68, "")</f>
        <v/>
      </c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7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</row>
    <row r="69">
      <c r="A69" s="84"/>
      <c r="B69" s="89" t="str">
        <f>IF(OR(E69=Report!$B$1, F69=Report!$B$1, G69=Report!$B$1, H69=Report!$B$1), D69, "")</f>
        <v/>
      </c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7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</row>
    <row r="70">
      <c r="A70" s="84"/>
      <c r="B70" s="89" t="str">
        <f>IF(OR(E70=Report!$B$1, F70=Report!$B$1, G70=Report!$B$1, H70=Report!$B$1), D70, "")</f>
        <v/>
      </c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7" t="str">
        <f>IFERROR(__xludf.DUMMYFUNCTION("""COMPUTED_VALUE""")," ")</f>
        <v> </v>
      </c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</row>
    <row r="71">
      <c r="A71" s="84"/>
      <c r="B71" s="89" t="str">
        <f>IF(OR(E71=Report!$B$1, F71=Report!$B$1, G71=Report!$B$1, H71=Report!$B$1), D71, "")</f>
        <v/>
      </c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7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</row>
    <row r="72">
      <c r="A72" s="84"/>
      <c r="B72" s="89" t="str">
        <f>IF(OR(E72=Report!$B$1, F72=Report!$B$1, G72=Report!$B$1, H72=Report!$B$1), D72, "")</f>
        <v/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7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</row>
    <row r="73">
      <c r="A73" s="84"/>
      <c r="B73" s="89" t="str">
        <f>IF(OR(E73=Report!$B$1, F73=Report!$B$1, G73=Report!$B$1, H73=Report!$B$1), D73, "")</f>
        <v/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7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</row>
    <row r="74">
      <c r="A74" s="84"/>
      <c r="B74" s="89" t="str">
        <f>IF(OR(E74=Report!$B$1, F74=Report!$B$1, G74=Report!$B$1, H74=Report!$B$1), D74, "")</f>
        <v/>
      </c>
      <c r="C74" s="84" t="str">
        <f>IFERROR(__xludf.DUMMYFUNCTION("""COMPUTED_VALUE"""),"Manažer")</f>
        <v>Manažer</v>
      </c>
      <c r="D74" s="84" t="str">
        <f>IFERROR(__xludf.DUMMYFUNCTION("""COMPUTED_VALUE"""),"Kurýr")</f>
        <v>Kurýr</v>
      </c>
      <c r="E74" s="84" t="str">
        <f>IFERROR(__xludf.DUMMYFUNCTION("""COMPUTED_VALUE"""),"První domácí,          Pobočky max 4    ")</f>
        <v>První domácí,          Pobočky max 4    </v>
      </c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90">
        <f>IFERROR(__xludf.DUMMYFUNCTION("""COMPUTED_VALUE"""),0.0)</f>
        <v>0</v>
      </c>
      <c r="W74" s="87" t="str">
        <f>IFERROR(__xludf.DUMMYFUNCTION("""COMPUTED_VALUE"""),"Čistá mzda")</f>
        <v>Čistá mzda</v>
      </c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</row>
    <row r="75">
      <c r="A75" s="84"/>
      <c r="B75" s="89" t="str">
        <f>IF(OR(E75=Report!$B$1, F75=Report!$B$1, G75=Report!$B$1, H75=Report!$B$1), D75, "")</f>
        <v/>
      </c>
      <c r="C75" s="84" t="b">
        <f>IFERROR(__xludf.DUMMYFUNCTION("""COMPUTED_VALUE"""),FALSE)</f>
        <v>0</v>
      </c>
      <c r="D75" s="84" t="str">
        <f>IFERROR(__xludf.DUMMYFUNCTION("""COMPUTED_VALUE"""),"Jurkovič Martin")</f>
        <v>Jurkovič Martin</v>
      </c>
      <c r="E75" s="84" t="str">
        <f>IFERROR(__xludf.DUMMYFUNCTION("""COMPUTED_VALUE"""),"Libuš")</f>
        <v>Libuš</v>
      </c>
      <c r="F75" s="84" t="str">
        <f>IFERROR(__xludf.DUMMYFUNCTION("""COMPUTED_VALUE"""),"Chodov")</f>
        <v>Chodov</v>
      </c>
      <c r="G75" s="84" t="str">
        <f>IFERROR(__xludf.DUMMYFUNCTION("""COMPUTED_VALUE"""),"Malešice")</f>
        <v>Malešice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90">
        <f>IFERROR(__xludf.DUMMYFUNCTION("""COMPUTED_VALUE"""),0.0)</f>
        <v>0</v>
      </c>
      <c r="W75" s="87">
        <f>IFERROR(__xludf.DUMMYFUNCTION("""COMPUTED_VALUE"""),0.0)</f>
        <v>0</v>
      </c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</row>
    <row r="76">
      <c r="A76" s="84"/>
      <c r="B76" s="89" t="str">
        <f>IF(OR(E76=Report!$B$1, F76=Report!$B$1, G76=Report!$B$1, H76=Report!$B$1), D76, "")</f>
        <v/>
      </c>
      <c r="C76" s="84" t="b">
        <f>IFERROR(__xludf.DUMMYFUNCTION("""COMPUTED_VALUE"""),FALSE)</f>
        <v>0</v>
      </c>
      <c r="D76" s="84" t="str">
        <f>IFERROR(__xludf.DUMMYFUNCTION("""COMPUTED_VALUE"""),"Navrátil Ondřej")</f>
        <v>Navrátil Ondřej</v>
      </c>
      <c r="E76" s="84" t="str">
        <f>IFERROR(__xludf.DUMMYFUNCTION("""COMPUTED_VALUE"""),"Chodov")</f>
        <v>Chodov</v>
      </c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90">
        <f>IFERROR(__xludf.DUMMYFUNCTION("""COMPUTED_VALUE"""),0.0)</f>
        <v>0</v>
      </c>
      <c r="W76" s="87">
        <f>IFERROR(__xludf.DUMMYFUNCTION("""COMPUTED_VALUE"""),0.0)</f>
        <v>0</v>
      </c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</row>
    <row r="77">
      <c r="A77" s="84"/>
      <c r="B77" s="89" t="str">
        <f>IF(OR(E77=Report!$B$1, F77=Report!$B$1, G77=Report!$B$1, H77=Report!$B$1), D77, "")</f>
        <v/>
      </c>
      <c r="C77" s="84" t="b">
        <f>IFERROR(__xludf.DUMMYFUNCTION("""COMPUTED_VALUE"""),FALSE)</f>
        <v>0</v>
      </c>
      <c r="D77" s="84" t="str">
        <f>IFERROR(__xludf.DUMMYFUNCTION("""COMPUTED_VALUE"""),"Němec Filip")</f>
        <v>Němec Filip</v>
      </c>
      <c r="E77" s="84" t="str">
        <f>IFERROR(__xludf.DUMMYFUNCTION("""COMPUTED_VALUE"""),"Zličín")</f>
        <v>Zličín</v>
      </c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90">
        <f>IFERROR(__xludf.DUMMYFUNCTION("""COMPUTED_VALUE"""),0.0)</f>
        <v>0</v>
      </c>
      <c r="W77" s="87">
        <f>IFERROR(__xludf.DUMMYFUNCTION("""COMPUTED_VALUE"""),0.0)</f>
        <v>0</v>
      </c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</row>
    <row r="78">
      <c r="A78" s="84"/>
      <c r="B78" s="89" t="str">
        <f>IF(OR(E78=Report!$B$1, F78=Report!$B$1, G78=Report!$B$1, H78=Report!$B$1), D78, "")</f>
        <v/>
      </c>
      <c r="C78" s="84" t="b">
        <f>IFERROR(__xludf.DUMMYFUNCTION("""COMPUTED_VALUE"""),FALSE)</f>
        <v>0</v>
      </c>
      <c r="D78" s="84" t="str">
        <f>IFERROR(__xludf.DUMMYFUNCTION("""COMPUTED_VALUE"""),"Zimmer Jakub")</f>
        <v>Zimmer Jakub</v>
      </c>
      <c r="E78" s="84" t="str">
        <f>IFERROR(__xludf.DUMMYFUNCTION("""COMPUTED_VALUE"""),"Zličín")</f>
        <v>Zličín</v>
      </c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90">
        <f>IFERROR(__xludf.DUMMYFUNCTION("""COMPUTED_VALUE"""),0.0)</f>
        <v>0</v>
      </c>
      <c r="W78" s="87">
        <f>IFERROR(__xludf.DUMMYFUNCTION("""COMPUTED_VALUE"""),0.0)</f>
        <v>0</v>
      </c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</row>
    <row r="79">
      <c r="A79" s="84"/>
      <c r="B79" s="89" t="str">
        <f>IF(OR(E79=Report!$B$1, F79=Report!$B$1, G79=Report!$B$1, H79=Report!$B$1), D79, "")</f>
        <v/>
      </c>
      <c r="C79" s="84" t="b">
        <f>IFERROR(__xludf.DUMMYFUNCTION("""COMPUTED_VALUE"""),FALSE)</f>
        <v>0</v>
      </c>
      <c r="D79" s="84" t="str">
        <f>IFERROR(__xludf.DUMMYFUNCTION("""COMPUTED_VALUE"""),"Nekolný Vladimír")</f>
        <v>Nekolný Vladimír</v>
      </c>
      <c r="E79" s="84" t="str">
        <f>IFERROR(__xludf.DUMMYFUNCTION("""COMPUTED_VALUE"""),"Chodov")</f>
        <v>Chodov</v>
      </c>
      <c r="F79" s="84" t="str">
        <f>IFERROR(__xludf.DUMMYFUNCTION("""COMPUTED_VALUE"""),"Libuš")</f>
        <v>Libuš</v>
      </c>
      <c r="G79" s="84" t="str">
        <f>IFERROR(__xludf.DUMMYFUNCTION("""COMPUTED_VALUE"""),"Zličín")</f>
        <v>Zličín</v>
      </c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90">
        <f>IFERROR(__xludf.DUMMYFUNCTION("""COMPUTED_VALUE"""),0.0)</f>
        <v>0</v>
      </c>
      <c r="W79" s="87">
        <f>IFERROR(__xludf.DUMMYFUNCTION("""COMPUTED_VALUE"""),0.0)</f>
        <v>0</v>
      </c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</row>
    <row r="80">
      <c r="A80" s="84"/>
      <c r="B80" s="89" t="str">
        <f>IF(OR(E80=Report!$B$1, F80=Report!$B$1, G80=Report!$B$1, H80=Report!$B$1), D80, "")</f>
        <v/>
      </c>
      <c r="C80" s="84" t="b">
        <f>IFERROR(__xludf.DUMMYFUNCTION("""COMPUTED_VALUE"""),FALSE)</f>
        <v>0</v>
      </c>
      <c r="D80" s="84" t="str">
        <f>IFERROR(__xludf.DUMMYFUNCTION("""COMPUTED_VALUE"""),"Hanibal Filip")</f>
        <v>Hanibal Filip</v>
      </c>
      <c r="E80" s="84" t="str">
        <f>IFERROR(__xludf.DUMMYFUNCTION("""COMPUTED_VALUE"""),"Malešice")</f>
        <v>Malešice</v>
      </c>
      <c r="F80" s="84" t="str">
        <f>IFERROR(__xludf.DUMMYFUNCTION("""COMPUTED_VALUE"""),"Libuš")</f>
        <v>Libuš</v>
      </c>
      <c r="G80" s="84" t="str">
        <f>IFERROR(__xludf.DUMMYFUNCTION("""COMPUTED_VALUE"""),"Prosek")</f>
        <v>Prosek</v>
      </c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90">
        <f>IFERROR(__xludf.DUMMYFUNCTION("""COMPUTED_VALUE"""),0.0)</f>
        <v>0</v>
      </c>
      <c r="W80" s="87">
        <f>IFERROR(__xludf.DUMMYFUNCTION("""COMPUTED_VALUE"""),0.0)</f>
        <v>0</v>
      </c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</row>
    <row r="81">
      <c r="A81" s="84"/>
      <c r="B81" s="89" t="str">
        <f>IF(OR(E81=Report!$B$1, F81=Report!$B$1, G81=Report!$B$1, H81=Report!$B$1), D81, "")</f>
        <v/>
      </c>
      <c r="C81" s="84" t="b">
        <f>IFERROR(__xludf.DUMMYFUNCTION("""COMPUTED_VALUE"""),FALSE)</f>
        <v>0</v>
      </c>
      <c r="D81" s="84" t="str">
        <f>IFERROR(__xludf.DUMMYFUNCTION("""COMPUTED_VALUE"""),"Novák Jakub")</f>
        <v>Novák Jakub</v>
      </c>
      <c r="E81" s="84" t="str">
        <f>IFERROR(__xludf.DUMMYFUNCTION("""COMPUTED_VALUE"""),"Zličín")</f>
        <v>Zličín</v>
      </c>
      <c r="F81" s="84" t="str">
        <f>IFERROR(__xludf.DUMMYFUNCTION("""COMPUTED_VALUE"""),"Malešice")</f>
        <v>Malešice</v>
      </c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90">
        <f>IFERROR(__xludf.DUMMYFUNCTION("""COMPUTED_VALUE"""),0.0)</f>
        <v>0</v>
      </c>
      <c r="W81" s="87">
        <f>IFERROR(__xludf.DUMMYFUNCTION("""COMPUTED_VALUE"""),0.0)</f>
        <v>0</v>
      </c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</row>
    <row r="82">
      <c r="A82" s="84"/>
      <c r="B82" s="89" t="str">
        <f>IF(OR(E82=Report!$B$1, F82=Report!$B$1, G82=Report!$B$1, H82=Report!$B$1), D82, "")</f>
        <v/>
      </c>
      <c r="C82" s="84" t="b">
        <f>IFERROR(__xludf.DUMMYFUNCTION("""COMPUTED_VALUE"""),FALSE)</f>
        <v>0</v>
      </c>
      <c r="D82" s="84" t="str">
        <f>IFERROR(__xludf.DUMMYFUNCTION("""COMPUTED_VALUE"""),"Černohorský Otakar")</f>
        <v>Černohorský Otakar</v>
      </c>
      <c r="E82" s="84" t="str">
        <f>IFERROR(__xludf.DUMMYFUNCTION("""COMPUTED_VALUE"""),"Zličín")</f>
        <v>Zličín</v>
      </c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90">
        <f>IFERROR(__xludf.DUMMYFUNCTION("""COMPUTED_VALUE"""),0.0)</f>
        <v>0</v>
      </c>
      <c r="W82" s="87">
        <f>IFERROR(__xludf.DUMMYFUNCTION("""COMPUTED_VALUE"""),0.0)</f>
        <v>0</v>
      </c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</row>
    <row r="83">
      <c r="A83" s="84"/>
      <c r="B83" s="89" t="str">
        <f>IF(OR(E83=Report!$B$1, F83=Report!$B$1, G83=Report!$B$1, H83=Report!$B$1), D83, "")</f>
        <v/>
      </c>
      <c r="C83" s="84" t="b">
        <f>IFERROR(__xludf.DUMMYFUNCTION("""COMPUTED_VALUE"""),FALSE)</f>
        <v>0</v>
      </c>
      <c r="D83" s="84" t="str">
        <f>IFERROR(__xludf.DUMMYFUNCTION("""COMPUTED_VALUE"""),"Nedvěd Dominik")</f>
        <v>Nedvěd Dominik</v>
      </c>
      <c r="E83" s="84" t="str">
        <f>IFERROR(__xludf.DUMMYFUNCTION("""COMPUTED_VALUE"""),"Libuš")</f>
        <v>Libuš</v>
      </c>
      <c r="F83" s="84" t="str">
        <f>IFERROR(__xludf.DUMMYFUNCTION("""COMPUTED_VALUE"""),"Malešice")</f>
        <v>Malešice</v>
      </c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90">
        <f>IFERROR(__xludf.DUMMYFUNCTION("""COMPUTED_VALUE"""),0.0)</f>
        <v>0</v>
      </c>
      <c r="W83" s="87">
        <f>IFERROR(__xludf.DUMMYFUNCTION("""COMPUTED_VALUE"""),0.0)</f>
        <v>0</v>
      </c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</row>
    <row r="84">
      <c r="A84" s="84"/>
      <c r="B84" s="89" t="str">
        <f>IF(OR(E84=Report!$B$1, F84=Report!$B$1, G84=Report!$B$1, H84=Report!$B$1), D84, "")</f>
        <v/>
      </c>
      <c r="C84" s="84" t="b">
        <f>IFERROR(__xludf.DUMMYFUNCTION("""COMPUTED_VALUE"""),FALSE)</f>
        <v>0</v>
      </c>
      <c r="D84" s="84" t="str">
        <f>IFERROR(__xludf.DUMMYFUNCTION("""COMPUTED_VALUE"""),"Lanský Zoltan")</f>
        <v>Lanský Zoltan</v>
      </c>
      <c r="E84" s="84" t="str">
        <f>IFERROR(__xludf.DUMMYFUNCTION("""COMPUTED_VALUE"""),"Chodov")</f>
        <v>Chodov</v>
      </c>
      <c r="F84" s="84" t="str">
        <f>IFERROR(__xludf.DUMMYFUNCTION("""COMPUTED_VALUE"""),"Libuš")</f>
        <v>Libuš</v>
      </c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90">
        <f>IFERROR(__xludf.DUMMYFUNCTION("""COMPUTED_VALUE"""),0.0)</f>
        <v>0</v>
      </c>
      <c r="W84" s="87">
        <f>IFERROR(__xludf.DUMMYFUNCTION("""COMPUTED_VALUE"""),0.0)</f>
        <v>0</v>
      </c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</row>
    <row r="85">
      <c r="A85" s="84"/>
      <c r="B85" s="89" t="str">
        <f>IF(OR(E85=Report!$B$1, F85=Report!$B$1, G85=Report!$B$1, H85=Report!$B$1), D85, "")</f>
        <v/>
      </c>
      <c r="C85" s="84" t="b">
        <f>IFERROR(__xludf.DUMMYFUNCTION("""COMPUTED_VALUE"""),FALSE)</f>
        <v>0</v>
      </c>
      <c r="D85" s="84" t="str">
        <f>IFERROR(__xludf.DUMMYFUNCTION("""COMPUTED_VALUE"""),"Lowe Jana")</f>
        <v>Lowe Jana</v>
      </c>
      <c r="E85" s="84" t="str">
        <f>IFERROR(__xludf.DUMMYFUNCTION("""COMPUTED_VALUE"""),"Zličín")</f>
        <v>Zličín</v>
      </c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90">
        <f>IFERROR(__xludf.DUMMYFUNCTION("""COMPUTED_VALUE"""),0.0)</f>
        <v>0</v>
      </c>
      <c r="W85" s="87">
        <f>IFERROR(__xludf.DUMMYFUNCTION("""COMPUTED_VALUE"""),0.0)</f>
        <v>0</v>
      </c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</row>
    <row r="86">
      <c r="A86" s="84"/>
      <c r="B86" s="89" t="str">
        <f>IF(OR(E86=Report!$B$1, F86=Report!$B$1, G86=Report!$B$1, H86=Report!$B$1), D86, "")</f>
        <v/>
      </c>
      <c r="C86" s="84" t="b">
        <f>IFERROR(__xludf.DUMMYFUNCTION("""COMPUTED_VALUE"""),FALSE)</f>
        <v>0</v>
      </c>
      <c r="D86" s="84" t="str">
        <f>IFERROR(__xludf.DUMMYFUNCTION("""COMPUTED_VALUE"""),"Hyský Aleš")</f>
        <v>Hyský Aleš</v>
      </c>
      <c r="E86" s="84" t="str">
        <f>IFERROR(__xludf.DUMMYFUNCTION("""COMPUTED_VALUE"""),"Chodov")</f>
        <v>Chodov</v>
      </c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90">
        <f>IFERROR(__xludf.DUMMYFUNCTION("""COMPUTED_VALUE"""),0.0)</f>
        <v>0</v>
      </c>
      <c r="W86" s="87">
        <f>IFERROR(__xludf.DUMMYFUNCTION("""COMPUTED_VALUE"""),0.0)</f>
        <v>0</v>
      </c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</row>
    <row r="87">
      <c r="A87" s="84"/>
      <c r="B87" s="89" t="str">
        <f>IF(OR(E87=Report!$B$1, F87=Report!$B$1, G87=Report!$B$1, H87=Report!$B$1), D87, "")</f>
        <v>Lažek Jaroslav</v>
      </c>
      <c r="C87" s="84" t="b">
        <f>IFERROR(__xludf.DUMMYFUNCTION("""COMPUTED_VALUE"""),FALSE)</f>
        <v>0</v>
      </c>
      <c r="D87" s="84" t="str">
        <f>IFERROR(__xludf.DUMMYFUNCTION("""COMPUTED_VALUE"""),"Lažek Jaroslav")</f>
        <v>Lažek Jaroslav</v>
      </c>
      <c r="E87" s="84" t="str">
        <f>IFERROR(__xludf.DUMMYFUNCTION("""COMPUTED_VALUE"""),"Libuš")</f>
        <v>Libuš</v>
      </c>
      <c r="F87" s="84" t="str">
        <f>IFERROR(__xludf.DUMMYFUNCTION("""COMPUTED_VALUE"""),"Chodov")</f>
        <v>Chodov</v>
      </c>
      <c r="G87" s="84" t="str">
        <f>IFERROR(__xludf.DUMMYFUNCTION("""COMPUTED_VALUE"""),"Malešice")</f>
        <v>Malešice</v>
      </c>
      <c r="H87" s="84" t="str">
        <f>IFERROR(__xludf.DUMMYFUNCTION("""COMPUTED_VALUE"""),"Výroba")</f>
        <v>Výroba</v>
      </c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90">
        <f>IFERROR(__xludf.DUMMYFUNCTION("""COMPUTED_VALUE"""),0.0)</f>
        <v>0</v>
      </c>
      <c r="W87" s="87">
        <f>IFERROR(__xludf.DUMMYFUNCTION("""COMPUTED_VALUE"""),0.0)</f>
        <v>0</v>
      </c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</row>
    <row r="88">
      <c r="A88" s="84"/>
      <c r="B88" s="89" t="str">
        <f>IF(OR(E88=Report!$B$1, F88=Report!$B$1, G88=Report!$B$1, H88=Report!$B$1), D88, "")</f>
        <v/>
      </c>
      <c r="C88" s="84" t="b">
        <f>IFERROR(__xludf.DUMMYFUNCTION("""COMPUTED_VALUE"""),FALSE)</f>
        <v>0</v>
      </c>
      <c r="D88" s="84" t="str">
        <f>IFERROR(__xludf.DUMMYFUNCTION("""COMPUTED_VALUE"""),"Kormash Liubov")</f>
        <v>Kormash Liubov</v>
      </c>
      <c r="E88" s="84" t="str">
        <f>IFERROR(__xludf.DUMMYFUNCTION("""COMPUTED_VALUE"""),"Zličín")</f>
        <v>Zličín</v>
      </c>
      <c r="F88" s="84" t="str">
        <f>IFERROR(__xludf.DUMMYFUNCTION("""COMPUTED_VALUE"""),"Prosek")</f>
        <v>Prosek</v>
      </c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90">
        <f>IFERROR(__xludf.DUMMYFUNCTION("""COMPUTED_VALUE"""),0.0)</f>
        <v>0</v>
      </c>
      <c r="W88" s="87">
        <f>IFERROR(__xludf.DUMMYFUNCTION("""COMPUTED_VALUE"""),0.0)</f>
        <v>0</v>
      </c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</row>
    <row r="89">
      <c r="A89" s="84"/>
      <c r="B89" s="89" t="str">
        <f>IF(OR(E89=Report!$B$1, F89=Report!$B$1, G89=Report!$B$1, H89=Report!$B$1), D89, "")</f>
        <v>Chlubna Tomáš</v>
      </c>
      <c r="C89" s="84" t="b">
        <f>IFERROR(__xludf.DUMMYFUNCTION("""COMPUTED_VALUE"""),FALSE)</f>
        <v>0</v>
      </c>
      <c r="D89" s="84" t="str">
        <f>IFERROR(__xludf.DUMMYFUNCTION("""COMPUTED_VALUE"""),"Chlubna Tomáš")</f>
        <v>Chlubna Tomáš</v>
      </c>
      <c r="E89" s="84" t="str">
        <f>IFERROR(__xludf.DUMMYFUNCTION("""COMPUTED_VALUE"""),"Chodov")</f>
        <v>Chodov</v>
      </c>
      <c r="F89" s="84" t="str">
        <f>IFERROR(__xludf.DUMMYFUNCTION("""COMPUTED_VALUE"""),"Libuš")</f>
        <v>Libuš</v>
      </c>
      <c r="G89" s="84" t="str">
        <f>IFERROR(__xludf.DUMMYFUNCTION("""COMPUTED_VALUE"""),"Výroba")</f>
        <v>Výroba</v>
      </c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90">
        <f>IFERROR(__xludf.DUMMYFUNCTION("""COMPUTED_VALUE"""),0.0)</f>
        <v>0</v>
      </c>
      <c r="W89" s="87">
        <f>IFERROR(__xludf.DUMMYFUNCTION("""COMPUTED_VALUE"""),0.0)</f>
        <v>0</v>
      </c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</row>
    <row r="90">
      <c r="A90" s="84"/>
      <c r="B90" s="89" t="str">
        <f>IF(OR(E90=Report!$B$1, F90=Report!$B$1, G90=Report!$B$1, H90=Report!$B$1), D90, "")</f>
        <v/>
      </c>
      <c r="C90" s="84" t="b">
        <f>IFERROR(__xludf.DUMMYFUNCTION("""COMPUTED_VALUE"""),FALSE)</f>
        <v>0</v>
      </c>
      <c r="D90" s="84" t="str">
        <f>IFERROR(__xludf.DUMMYFUNCTION("""COMPUTED_VALUE"""),"Vychivskyi Volodymyr")</f>
        <v>Vychivskyi Volodymyr</v>
      </c>
      <c r="E90" s="84" t="str">
        <f>IFERROR(__xludf.DUMMYFUNCTION("""COMPUTED_VALUE"""),"Malešice")</f>
        <v>Malešice</v>
      </c>
      <c r="F90" s="84" t="str">
        <f>IFERROR(__xludf.DUMMYFUNCTION("""COMPUTED_VALUE"""),"Prosek")</f>
        <v>Prosek</v>
      </c>
      <c r="G90" s="84" t="str">
        <f>IFERROR(__xludf.DUMMYFUNCTION("""COMPUTED_VALUE"""),"Zličín")</f>
        <v>Zličín</v>
      </c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90">
        <f>IFERROR(__xludf.DUMMYFUNCTION("""COMPUTED_VALUE"""),0.0)</f>
        <v>0</v>
      </c>
      <c r="W90" s="87">
        <f>IFERROR(__xludf.DUMMYFUNCTION("""COMPUTED_VALUE"""),0.0)</f>
        <v>0</v>
      </c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</row>
    <row r="91">
      <c r="A91" s="84"/>
      <c r="B91" s="89" t="str">
        <f>IF(OR(E91=Report!$B$1, F91=Report!$B$1, G91=Report!$B$1, H91=Report!$B$1), D91, "")</f>
        <v>Hřebík Martin</v>
      </c>
      <c r="C91" s="84" t="b">
        <f>IFERROR(__xludf.DUMMYFUNCTION("""COMPUTED_VALUE"""),FALSE)</f>
        <v>0</v>
      </c>
      <c r="D91" s="84" t="str">
        <f>IFERROR(__xludf.DUMMYFUNCTION("""COMPUTED_VALUE"""),"Hřebík Martin")</f>
        <v>Hřebík Martin</v>
      </c>
      <c r="E91" s="84" t="str">
        <f>IFERROR(__xludf.DUMMYFUNCTION("""COMPUTED_VALUE"""),"Výroba")</f>
        <v>Výroba</v>
      </c>
      <c r="F91" s="84" t="str">
        <f>IFERROR(__xludf.DUMMYFUNCTION("""COMPUTED_VALUE"""),"Chodov")</f>
        <v>Chodov</v>
      </c>
      <c r="G91" s="84" t="str">
        <f>IFERROR(__xludf.DUMMYFUNCTION("""COMPUTED_VALUE"""),"Prosek")</f>
        <v>Prosek</v>
      </c>
      <c r="H91" s="84" t="str">
        <f>IFERROR(__xludf.DUMMYFUNCTION("""COMPUTED_VALUE"""),"Libuš")</f>
        <v>Libuš</v>
      </c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90">
        <f>IFERROR(__xludf.DUMMYFUNCTION("""COMPUTED_VALUE"""),0.0)</f>
        <v>0</v>
      </c>
      <c r="W91" s="87">
        <f>IFERROR(__xludf.DUMMYFUNCTION("""COMPUTED_VALUE"""),44995.2)</f>
        <v>44995.2</v>
      </c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</row>
    <row r="92">
      <c r="A92" s="84"/>
      <c r="B92" s="89" t="str">
        <f>IF(OR(E92=Report!$B$1, F92=Report!$B$1, G92=Report!$B$1, H92=Report!$B$1), D92, "")</f>
        <v/>
      </c>
      <c r="C92" s="84" t="b">
        <f>IFERROR(__xludf.DUMMYFUNCTION("""COMPUTED_VALUE"""),FALSE)</f>
        <v>0</v>
      </c>
      <c r="D92" s="84" t="str">
        <f>IFERROR(__xludf.DUMMYFUNCTION("""COMPUTED_VALUE"""),"Eszenyiová Patrícia")</f>
        <v>Eszenyiová Patrícia</v>
      </c>
      <c r="E92" s="84" t="str">
        <f>IFERROR(__xludf.DUMMYFUNCTION("""COMPUTED_VALUE"""),"Libuš")</f>
        <v>Libuš</v>
      </c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90">
        <f>IFERROR(__xludf.DUMMYFUNCTION("""COMPUTED_VALUE"""),0.0)</f>
        <v>0</v>
      </c>
      <c r="W92" s="87">
        <f>IFERROR(__xludf.DUMMYFUNCTION("""COMPUTED_VALUE"""),0.0)</f>
        <v>0</v>
      </c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</row>
    <row r="93">
      <c r="A93" s="84"/>
      <c r="B93" s="89" t="str">
        <f>IF(OR(E93=Report!$B$1, F93=Report!$B$1, G93=Report!$B$1, H93=Report!$B$1), D93, "")</f>
        <v/>
      </c>
      <c r="C93" s="84" t="b">
        <f>IFERROR(__xludf.DUMMYFUNCTION("""COMPUTED_VALUE"""),FALSE)</f>
        <v>0</v>
      </c>
      <c r="D93" s="84" t="str">
        <f>IFERROR(__xludf.DUMMYFUNCTION("""COMPUTED_VALUE"""),"Reischl Jan")</f>
        <v>Reischl Jan</v>
      </c>
      <c r="E93" s="84" t="str">
        <f>IFERROR(__xludf.DUMMYFUNCTION("""COMPUTED_VALUE"""),"Malešice")</f>
        <v>Malešice</v>
      </c>
      <c r="F93" s="84" t="str">
        <f>IFERROR(__xludf.DUMMYFUNCTION("""COMPUTED_VALUE"""),"Chodov")</f>
        <v>Chodov</v>
      </c>
      <c r="G93" s="84" t="str">
        <f>IFERROR(__xludf.DUMMYFUNCTION("""COMPUTED_VALUE"""),"Libuš")</f>
        <v>Libuš</v>
      </c>
      <c r="H93" s="84" t="str">
        <f>IFERROR(__xludf.DUMMYFUNCTION("""COMPUTED_VALUE"""),"Prosek")</f>
        <v>Prosek</v>
      </c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90">
        <f>IFERROR(__xludf.DUMMYFUNCTION("""COMPUTED_VALUE"""),0.0)</f>
        <v>0</v>
      </c>
      <c r="W93" s="87">
        <f>IFERROR(__xludf.DUMMYFUNCTION("""COMPUTED_VALUE"""),0.0)</f>
        <v>0</v>
      </c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</row>
    <row r="94">
      <c r="A94" s="84"/>
      <c r="B94" s="89" t="str">
        <f>IF(OR(E94=Report!$B$1, F94=Report!$B$1, G94=Report!$B$1, H94=Report!$B$1), D94, "")</f>
        <v/>
      </c>
      <c r="C94" s="84" t="b">
        <f>IFERROR(__xludf.DUMMYFUNCTION("""COMPUTED_VALUE"""),FALSE)</f>
        <v>0</v>
      </c>
      <c r="D94" s="84" t="str">
        <f>IFERROR(__xludf.DUMMYFUNCTION("""COMPUTED_VALUE"""),"Mikešová Adéla")</f>
        <v>Mikešová Adéla</v>
      </c>
      <c r="E94" s="84" t="str">
        <f>IFERROR(__xludf.DUMMYFUNCTION("""COMPUTED_VALUE"""),"Bolevec")</f>
        <v>Bolevec</v>
      </c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90">
        <f>IFERROR(__xludf.DUMMYFUNCTION("""COMPUTED_VALUE"""),0.0)</f>
        <v>0</v>
      </c>
      <c r="W94" s="87">
        <f>IFERROR(__xludf.DUMMYFUNCTION("""COMPUTED_VALUE"""),0.0)</f>
        <v>0</v>
      </c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</row>
    <row r="95">
      <c r="A95" s="84"/>
      <c r="B95" s="89" t="str">
        <f>IF(OR(E95=Report!$B$1, F95=Report!$B$1, G95=Report!$B$1, H95=Report!$B$1), D95, "")</f>
        <v/>
      </c>
      <c r="C95" s="84" t="b">
        <f>IFERROR(__xludf.DUMMYFUNCTION("""COMPUTED_VALUE"""),FALSE)</f>
        <v>0</v>
      </c>
      <c r="D95" s="84" t="str">
        <f>IFERROR(__xludf.DUMMYFUNCTION("""COMPUTED_VALUE"""),"Chyský David")</f>
        <v>Chyský David</v>
      </c>
      <c r="E95" s="84" t="str">
        <f>IFERROR(__xludf.DUMMYFUNCTION("""COMPUTED_VALUE"""),"Chodov")</f>
        <v>Chodov</v>
      </c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90">
        <f>IFERROR(__xludf.DUMMYFUNCTION("""COMPUTED_VALUE"""),0.0)</f>
        <v>0</v>
      </c>
      <c r="W95" s="87">
        <f>IFERROR(__xludf.DUMMYFUNCTION("""COMPUTED_VALUE"""),0.0)</f>
        <v>0</v>
      </c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</row>
    <row r="96">
      <c r="A96" s="84"/>
      <c r="B96" s="89" t="str">
        <f>IF(OR(E96=Report!$B$1, F96=Report!$B$1, G96=Report!$B$1, H96=Report!$B$1), D96, "")</f>
        <v/>
      </c>
      <c r="C96" s="84" t="b">
        <f>IFERROR(__xludf.DUMMYFUNCTION("""COMPUTED_VALUE"""),FALSE)</f>
        <v>0</v>
      </c>
      <c r="D96" s="84" t="str">
        <f>IFERROR(__xludf.DUMMYFUNCTION("""COMPUTED_VALUE"""),"Kalina Filip")</f>
        <v>Kalina Filip</v>
      </c>
      <c r="E96" s="84" t="str">
        <f>IFERROR(__xludf.DUMMYFUNCTION("""COMPUTED_VALUE"""),"Malešice")</f>
        <v>Malešice</v>
      </c>
      <c r="F96" s="84" t="str">
        <f>IFERROR(__xludf.DUMMYFUNCTION("""COMPUTED_VALUE"""),"Libuš")</f>
        <v>Libuš</v>
      </c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90">
        <f>IFERROR(__xludf.DUMMYFUNCTION("""COMPUTED_VALUE"""),0.0)</f>
        <v>0</v>
      </c>
      <c r="W96" s="87">
        <f>IFERROR(__xludf.DUMMYFUNCTION("""COMPUTED_VALUE"""),0.0)</f>
        <v>0</v>
      </c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</row>
    <row r="97">
      <c r="A97" s="84"/>
      <c r="B97" s="89" t="str">
        <f>IF(OR(E97=Report!$B$1, F97=Report!$B$1, G97=Report!$B$1, H97=Report!$B$1), D97, "")</f>
        <v/>
      </c>
      <c r="C97" s="84" t="b">
        <f>IFERROR(__xludf.DUMMYFUNCTION("""COMPUTED_VALUE"""),FALSE)</f>
        <v>0</v>
      </c>
      <c r="D97" s="84" t="str">
        <f>IFERROR(__xludf.DUMMYFUNCTION("""COMPUTED_VALUE"""),"Kaločai Rudolf")</f>
        <v>Kaločai Rudolf</v>
      </c>
      <c r="E97" s="84" t="str">
        <f>IFERROR(__xludf.DUMMYFUNCTION("""COMPUTED_VALUE"""),"Bolevec")</f>
        <v>Bolevec</v>
      </c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90">
        <f>IFERROR(__xludf.DUMMYFUNCTION("""COMPUTED_VALUE"""),0.0)</f>
        <v>0</v>
      </c>
      <c r="W97" s="87">
        <f>IFERROR(__xludf.DUMMYFUNCTION("""COMPUTED_VALUE"""),0.0)</f>
        <v>0</v>
      </c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</row>
    <row r="98">
      <c r="A98" s="84"/>
      <c r="B98" s="89" t="str">
        <f>IF(OR(E98=Report!$B$1, F98=Report!$B$1, G98=Report!$B$1, H98=Report!$B$1), D98, "")</f>
        <v/>
      </c>
      <c r="C98" s="84" t="b">
        <f>IFERROR(__xludf.DUMMYFUNCTION("""COMPUTED_VALUE"""),FALSE)</f>
        <v>0</v>
      </c>
      <c r="D98" s="84" t="str">
        <f>IFERROR(__xludf.DUMMYFUNCTION("""COMPUTED_VALUE"""),"Dušek Sam")</f>
        <v>Dušek Sam</v>
      </c>
      <c r="E98" s="84" t="str">
        <f>IFERROR(__xludf.DUMMYFUNCTION("""COMPUTED_VALUE"""),"Libuš")</f>
        <v>Libuš</v>
      </c>
      <c r="F98" s="84" t="str">
        <f>IFERROR(__xludf.DUMMYFUNCTION("""COMPUTED_VALUE"""),"Malešice")</f>
        <v>Malešice</v>
      </c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90">
        <f>IFERROR(__xludf.DUMMYFUNCTION("""COMPUTED_VALUE"""),0.0)</f>
        <v>0</v>
      </c>
      <c r="W98" s="87">
        <f>IFERROR(__xludf.DUMMYFUNCTION("""COMPUTED_VALUE"""),0.0)</f>
        <v>0</v>
      </c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</row>
    <row r="99">
      <c r="A99" s="84"/>
      <c r="B99" s="89" t="str">
        <f>IF(OR(E99=Report!$B$1, F99=Report!$B$1, G99=Report!$B$1, H99=Report!$B$1), D99, "")</f>
        <v/>
      </c>
      <c r="C99" s="84" t="b">
        <f>IFERROR(__xludf.DUMMYFUNCTION("""COMPUTED_VALUE"""),FALSE)</f>
        <v>0</v>
      </c>
      <c r="D99" s="84" t="str">
        <f>IFERROR(__xludf.DUMMYFUNCTION("""COMPUTED_VALUE"""),"Banga Adam")</f>
        <v>Banga Adam</v>
      </c>
      <c r="E99" s="84" t="str">
        <f>IFERROR(__xludf.DUMMYFUNCTION("""COMPUTED_VALUE"""),"Zličín")</f>
        <v>Zličín</v>
      </c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90">
        <f>IFERROR(__xludf.DUMMYFUNCTION("""COMPUTED_VALUE"""),0.0)</f>
        <v>0</v>
      </c>
      <c r="W99" s="87">
        <f>IFERROR(__xludf.DUMMYFUNCTION("""COMPUTED_VALUE"""),0.0)</f>
        <v>0</v>
      </c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</row>
    <row r="100">
      <c r="A100" s="84"/>
      <c r="B100" s="89" t="str">
        <f>IF(OR(E100=Report!$B$1, F100=Report!$B$1, G100=Report!$B$1, H100=Report!$B$1), D100, "")</f>
        <v/>
      </c>
      <c r="C100" s="84" t="b">
        <f>IFERROR(__xludf.DUMMYFUNCTION("""COMPUTED_VALUE"""),FALSE)</f>
        <v>0</v>
      </c>
      <c r="D100" s="84" t="str">
        <f>IFERROR(__xludf.DUMMYFUNCTION("""COMPUTED_VALUE"""),"Vopatová Anna")</f>
        <v>Vopatová Anna</v>
      </c>
      <c r="E100" s="84" t="str">
        <f>IFERROR(__xludf.DUMMYFUNCTION("""COMPUTED_VALUE"""),"Bolevec")</f>
        <v>Bolevec</v>
      </c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90">
        <f>IFERROR(__xludf.DUMMYFUNCTION("""COMPUTED_VALUE"""),0.0)</f>
        <v>0</v>
      </c>
      <c r="W100" s="87">
        <f>IFERROR(__xludf.DUMMYFUNCTION("""COMPUTED_VALUE"""),0.0)</f>
        <v>0</v>
      </c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</row>
    <row r="101">
      <c r="A101" s="84"/>
      <c r="B101" s="89" t="str">
        <f>IF(OR(E101=Report!$B$1, F101=Report!$B$1, G101=Report!$B$1, H101=Report!$B$1), D101, "")</f>
        <v/>
      </c>
      <c r="C101" s="84" t="b">
        <f>IFERROR(__xludf.DUMMYFUNCTION("""COMPUTED_VALUE"""),FALSE)</f>
        <v>0</v>
      </c>
      <c r="D101" s="84" t="str">
        <f>IFERROR(__xludf.DUMMYFUNCTION("""COMPUTED_VALUE"""),"Vopatová Šárka")</f>
        <v>Vopatová Šárka</v>
      </c>
      <c r="E101" s="84" t="str">
        <f>IFERROR(__xludf.DUMMYFUNCTION("""COMPUTED_VALUE"""),"Bolevec")</f>
        <v>Bolevec</v>
      </c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90">
        <f>IFERROR(__xludf.DUMMYFUNCTION("""COMPUTED_VALUE"""),0.0)</f>
        <v>0</v>
      </c>
      <c r="W101" s="87">
        <f>IFERROR(__xludf.DUMMYFUNCTION("""COMPUTED_VALUE"""),0.0)</f>
        <v>0</v>
      </c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</row>
    <row r="102">
      <c r="A102" s="84"/>
      <c r="B102" s="89" t="str">
        <f>IF(OR(E102=Report!$B$1, F102=Report!$B$1, G102=Report!$B$1, H102=Report!$B$1), D102, "")</f>
        <v/>
      </c>
      <c r="C102" s="84" t="b">
        <f>IFERROR(__xludf.DUMMYFUNCTION("""COMPUTED_VALUE"""),FALSE)</f>
        <v>0</v>
      </c>
      <c r="D102" s="84" t="str">
        <f>IFERROR(__xludf.DUMMYFUNCTION("""COMPUTED_VALUE"""),"Richterová Monika")</f>
        <v>Richterová Monika</v>
      </c>
      <c r="E102" s="84" t="str">
        <f>IFERROR(__xludf.DUMMYFUNCTION("""COMPUTED_VALUE"""),"Malešice")</f>
        <v>Malešice</v>
      </c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90">
        <f>IFERROR(__xludf.DUMMYFUNCTION("""COMPUTED_VALUE"""),0.0)</f>
        <v>0</v>
      </c>
      <c r="W102" s="87">
        <f>IFERROR(__xludf.DUMMYFUNCTION("""COMPUTED_VALUE"""),0.0)</f>
        <v>0</v>
      </c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</row>
    <row r="103">
      <c r="A103" s="84"/>
      <c r="B103" s="89" t="str">
        <f>IF(OR(E103=Report!$B$1, F103=Report!$B$1, G103=Report!$B$1, H103=Report!$B$1), D103, "")</f>
        <v/>
      </c>
      <c r="C103" s="84" t="b">
        <f>IFERROR(__xludf.DUMMYFUNCTION("""COMPUTED_VALUE"""),FALSE)</f>
        <v>0</v>
      </c>
      <c r="D103" s="84" t="str">
        <f>IFERROR(__xludf.DUMMYFUNCTION("""COMPUTED_VALUE"""),"Serin David")</f>
        <v>Serin David</v>
      </c>
      <c r="E103" s="84" t="str">
        <f>IFERROR(__xludf.DUMMYFUNCTION("""COMPUTED_VALUE"""),"Libuš")</f>
        <v>Libuš</v>
      </c>
      <c r="F103" s="84" t="str">
        <f>IFERROR(__xludf.DUMMYFUNCTION("""COMPUTED_VALUE"""),"Malešice")</f>
        <v>Malešice</v>
      </c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90">
        <f>IFERROR(__xludf.DUMMYFUNCTION("""COMPUTED_VALUE"""),0.0)</f>
        <v>0</v>
      </c>
      <c r="W103" s="87">
        <f>IFERROR(__xludf.DUMMYFUNCTION("""COMPUTED_VALUE"""),0.0)</f>
        <v>0</v>
      </c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</row>
    <row r="104">
      <c r="A104" s="84"/>
      <c r="B104" s="89" t="str">
        <f>IF(OR(E104=Report!$B$1, F104=Report!$B$1, G104=Report!$B$1, H104=Report!$B$1), D104, "")</f>
        <v/>
      </c>
      <c r="C104" s="84" t="b">
        <f>IFERROR(__xludf.DUMMYFUNCTION("""COMPUTED_VALUE"""),FALSE)</f>
        <v>0</v>
      </c>
      <c r="D104" s="84" t="str">
        <f>IFERROR(__xludf.DUMMYFUNCTION("""COMPUTED_VALUE"""),"Fabera Tomáš")</f>
        <v>Fabera Tomáš</v>
      </c>
      <c r="E104" s="84" t="str">
        <f>IFERROR(__xludf.DUMMYFUNCTION("""COMPUTED_VALUE"""),"Chodov")</f>
        <v>Chodov</v>
      </c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90">
        <f>IFERROR(__xludf.DUMMYFUNCTION("""COMPUTED_VALUE"""),0.0)</f>
        <v>0</v>
      </c>
      <c r="W104" s="87">
        <f>IFERROR(__xludf.DUMMYFUNCTION("""COMPUTED_VALUE"""),0.0)</f>
        <v>0</v>
      </c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</row>
    <row r="105">
      <c r="A105" s="84"/>
      <c r="B105" s="89" t="str">
        <f>IF(OR(E105=Report!$B$1, F105=Report!$B$1, G105=Report!$B$1, H105=Report!$B$1), D105, "")</f>
        <v/>
      </c>
      <c r="C105" s="84" t="b">
        <f>IFERROR(__xludf.DUMMYFUNCTION("""COMPUTED_VALUE"""),FALSE)</f>
        <v>0</v>
      </c>
      <c r="D105" s="84" t="str">
        <f>IFERROR(__xludf.DUMMYFUNCTION("""COMPUTED_VALUE"""),"Hendrych Rostislav")</f>
        <v>Hendrych Rostislav</v>
      </c>
      <c r="E105" s="84" t="str">
        <f>IFERROR(__xludf.DUMMYFUNCTION("""COMPUTED_VALUE"""),"Malešice")</f>
        <v>Malešice</v>
      </c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90">
        <f>IFERROR(__xludf.DUMMYFUNCTION("""COMPUTED_VALUE"""),0.0)</f>
        <v>0</v>
      </c>
      <c r="W105" s="87">
        <f>IFERROR(__xludf.DUMMYFUNCTION("""COMPUTED_VALUE"""),0.0)</f>
        <v>0</v>
      </c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</row>
    <row r="106">
      <c r="A106" s="84"/>
      <c r="B106" s="89" t="str">
        <f>IF(OR(E106=Report!$B$1, F106=Report!$B$1, G106=Report!$B$1, H106=Report!$B$1), D106, "")</f>
        <v/>
      </c>
      <c r="C106" s="84" t="b">
        <f>IFERROR(__xludf.DUMMYFUNCTION("""COMPUTED_VALUE"""),FALSE)</f>
        <v>0</v>
      </c>
      <c r="D106" s="84" t="str">
        <f>IFERROR(__xludf.DUMMYFUNCTION("""COMPUTED_VALUE"""),"Světlík František")</f>
        <v>Světlík František</v>
      </c>
      <c r="E106" s="84" t="str">
        <f>IFERROR(__xludf.DUMMYFUNCTION("""COMPUTED_VALUE"""),"Bolevec")</f>
        <v>Bolevec</v>
      </c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90">
        <f>IFERROR(__xludf.DUMMYFUNCTION("""COMPUTED_VALUE"""),0.0)</f>
        <v>0</v>
      </c>
      <c r="W106" s="87">
        <f>IFERROR(__xludf.DUMMYFUNCTION("""COMPUTED_VALUE"""),0.0)</f>
        <v>0</v>
      </c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</row>
    <row r="107">
      <c r="A107" s="84"/>
      <c r="B107" s="89" t="str">
        <f>IF(OR(E107=Report!$B$1, F107=Report!$B$1, G107=Report!$B$1, H107=Report!$B$1), D107, "")</f>
        <v/>
      </c>
      <c r="C107" s="84" t="b">
        <f>IFERROR(__xludf.DUMMYFUNCTION("""COMPUTED_VALUE"""),FALSE)</f>
        <v>0</v>
      </c>
      <c r="D107" s="84" t="str">
        <f>IFERROR(__xludf.DUMMYFUNCTION("""COMPUTED_VALUE"""),"Ženíšek Lukáš")</f>
        <v>Ženíšek Lukáš</v>
      </c>
      <c r="E107" s="84" t="str">
        <f>IFERROR(__xludf.DUMMYFUNCTION("""COMPUTED_VALUE"""),"Bolevec")</f>
        <v>Bolevec</v>
      </c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90">
        <f>IFERROR(__xludf.DUMMYFUNCTION("""COMPUTED_VALUE"""),0.0)</f>
        <v>0</v>
      </c>
      <c r="W107" s="87">
        <f>IFERROR(__xludf.DUMMYFUNCTION("""COMPUTED_VALUE"""),0.0)</f>
        <v>0</v>
      </c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</row>
    <row r="108">
      <c r="A108" s="84"/>
      <c r="B108" s="89" t="str">
        <f>IF(OR(E108=Report!$B$1, F108=Report!$B$1, G108=Report!$B$1, H108=Report!$B$1), D108, "")</f>
        <v/>
      </c>
      <c r="C108" s="84" t="b">
        <f>IFERROR(__xludf.DUMMYFUNCTION("""COMPUTED_VALUE"""),FALSE)</f>
        <v>0</v>
      </c>
      <c r="D108" s="84" t="str">
        <f>IFERROR(__xludf.DUMMYFUNCTION("""COMPUTED_VALUE"""),"Roth Stanislav st.")</f>
        <v>Roth Stanislav st.</v>
      </c>
      <c r="E108" s="84" t="str">
        <f>IFERROR(__xludf.DUMMYFUNCTION("""COMPUTED_VALUE"""),"Bolevec")</f>
        <v>Bolevec</v>
      </c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90">
        <f>IFERROR(__xludf.DUMMYFUNCTION("""COMPUTED_VALUE"""),0.0)</f>
        <v>0</v>
      </c>
      <c r="W108" s="87">
        <f>IFERROR(__xludf.DUMMYFUNCTION("""COMPUTED_VALUE"""),29728.0)</f>
        <v>29728</v>
      </c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</row>
    <row r="109">
      <c r="A109" s="84"/>
      <c r="B109" s="89" t="str">
        <f>IF(OR(E109=Report!$B$1, F109=Report!$B$1, G109=Report!$B$1, H109=Report!$B$1), D109, "")</f>
        <v/>
      </c>
      <c r="C109" s="84" t="b">
        <f>IFERROR(__xludf.DUMMYFUNCTION("""COMPUTED_VALUE"""),FALSE)</f>
        <v>0</v>
      </c>
      <c r="D109" s="84" t="str">
        <f>IFERROR(__xludf.DUMMYFUNCTION("""COMPUTED_VALUE"""),"Vaníková Anna")</f>
        <v>Vaníková Anna</v>
      </c>
      <c r="E109" s="84" t="str">
        <f>IFERROR(__xludf.DUMMYFUNCTION("""COMPUTED_VALUE"""),"Zličín")</f>
        <v>Zličín</v>
      </c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90">
        <f>IFERROR(__xludf.DUMMYFUNCTION("""COMPUTED_VALUE"""),0.0)</f>
        <v>0</v>
      </c>
      <c r="W109" s="87">
        <f>IFERROR(__xludf.DUMMYFUNCTION("""COMPUTED_VALUE"""),0.0)</f>
        <v>0</v>
      </c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</row>
    <row r="110">
      <c r="A110" s="84"/>
      <c r="B110" s="89" t="str">
        <f>IF(OR(E110=Report!$B$1, F110=Report!$B$1, G110=Report!$B$1, H110=Report!$B$1), D110, "")</f>
        <v/>
      </c>
      <c r="C110" s="84" t="b">
        <f>IFERROR(__xludf.DUMMYFUNCTION("""COMPUTED_VALUE"""),FALSE)</f>
        <v>0</v>
      </c>
      <c r="D110" s="84" t="str">
        <f>IFERROR(__xludf.DUMMYFUNCTION("""COMPUTED_VALUE"""),"Břicháč Pavel")</f>
        <v>Břicháč Pavel</v>
      </c>
      <c r="E110" s="84" t="str">
        <f>IFERROR(__xludf.DUMMYFUNCTION("""COMPUTED_VALUE"""),"Libuš")</f>
        <v>Libuš</v>
      </c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90">
        <f>IFERROR(__xludf.DUMMYFUNCTION("""COMPUTED_VALUE"""),0.0)</f>
        <v>0</v>
      </c>
      <c r="W110" s="87">
        <f>IFERROR(__xludf.DUMMYFUNCTION("""COMPUTED_VALUE"""),0.0)</f>
        <v>0</v>
      </c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</row>
    <row r="111">
      <c r="A111" s="84"/>
      <c r="B111" s="89" t="str">
        <f>IF(OR(E111=Report!$B$1, F111=Report!$B$1, G111=Report!$B$1, H111=Report!$B$1), D111, "")</f>
        <v/>
      </c>
      <c r="C111" s="84" t="b">
        <f>IFERROR(__xludf.DUMMYFUNCTION("""COMPUTED_VALUE"""),FALSE)</f>
        <v>0</v>
      </c>
      <c r="D111" s="84" t="str">
        <f>IFERROR(__xludf.DUMMYFUNCTION("""COMPUTED_VALUE"""),"Čerešňák Michal")</f>
        <v>Čerešňák Michal</v>
      </c>
      <c r="E111" s="84" t="str">
        <f>IFERROR(__xludf.DUMMYFUNCTION("""COMPUTED_VALUE"""),"Zličín")</f>
        <v>Zličín</v>
      </c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90">
        <f>IFERROR(__xludf.DUMMYFUNCTION("""COMPUTED_VALUE"""),0.0)</f>
        <v>0</v>
      </c>
      <c r="W111" s="87">
        <f>IFERROR(__xludf.DUMMYFUNCTION("""COMPUTED_VALUE"""),0.0)</f>
        <v>0</v>
      </c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</row>
    <row r="112">
      <c r="A112" s="84"/>
      <c r="B112" s="89" t="str">
        <f>IF(OR(E112=Report!$B$1, F112=Report!$B$1, G112=Report!$B$1, H112=Report!$B$1), D112, "")</f>
        <v/>
      </c>
      <c r="C112" s="84" t="b">
        <f>IFERROR(__xludf.DUMMYFUNCTION("""COMPUTED_VALUE"""),FALSE)</f>
        <v>0</v>
      </c>
      <c r="D112" s="84" t="str">
        <f>IFERROR(__xludf.DUMMYFUNCTION("""COMPUTED_VALUE"""),"Weindling Josef")</f>
        <v>Weindling Josef</v>
      </c>
      <c r="E112" s="84" t="str">
        <f>IFERROR(__xludf.DUMMYFUNCTION("""COMPUTED_VALUE"""),"Libuš")</f>
        <v>Libuš</v>
      </c>
      <c r="F112" s="84" t="str">
        <f>IFERROR(__xludf.DUMMYFUNCTION("""COMPUTED_VALUE"""),"Malešice")</f>
        <v>Malešice</v>
      </c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90">
        <f>IFERROR(__xludf.DUMMYFUNCTION("""COMPUTED_VALUE"""),0.0)</f>
        <v>0</v>
      </c>
      <c r="W112" s="87">
        <f>IFERROR(__xludf.DUMMYFUNCTION("""COMPUTED_VALUE"""),0.0)</f>
        <v>0</v>
      </c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</row>
    <row r="113">
      <c r="A113" s="84"/>
      <c r="B113" s="89" t="str">
        <f>IF(OR(E113=Report!$B$1, F113=Report!$B$1, G113=Report!$B$1, H113=Report!$B$1), D113, "")</f>
        <v/>
      </c>
      <c r="C113" s="84" t="b">
        <f>IFERROR(__xludf.DUMMYFUNCTION("""COMPUTED_VALUE"""),FALSE)</f>
        <v>0</v>
      </c>
      <c r="D113" s="84" t="str">
        <f>IFERROR(__xludf.DUMMYFUNCTION("""COMPUTED_VALUE"""),"Fux Vojtěch")</f>
        <v>Fux Vojtěch</v>
      </c>
      <c r="E113" s="84" t="str">
        <f>IFERROR(__xludf.DUMMYFUNCTION("""COMPUTED_VALUE"""),"Chodov")</f>
        <v>Chodov</v>
      </c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90">
        <f>IFERROR(__xludf.DUMMYFUNCTION("""COMPUTED_VALUE"""),0.0)</f>
        <v>0</v>
      </c>
      <c r="W113" s="87">
        <f>IFERROR(__xludf.DUMMYFUNCTION("""COMPUTED_VALUE"""),0.0)</f>
        <v>0</v>
      </c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</row>
    <row r="114">
      <c r="A114" s="84"/>
      <c r="B114" s="89" t="str">
        <f>IF(OR(E114=Report!$B$1, F114=Report!$B$1, G114=Report!$B$1, H114=Report!$B$1), D114, "")</f>
        <v/>
      </c>
      <c r="C114" s="84" t="b">
        <f>IFERROR(__xludf.DUMMYFUNCTION("""COMPUTED_VALUE"""),FALSE)</f>
        <v>0</v>
      </c>
      <c r="D114" s="84" t="str">
        <f>IFERROR(__xludf.DUMMYFUNCTION("""COMPUTED_VALUE"""),"Kumar Jatinder")</f>
        <v>Kumar Jatinder</v>
      </c>
      <c r="E114" s="84" t="str">
        <f>IFERROR(__xludf.DUMMYFUNCTION("""COMPUTED_VALUE"""),"Libuš")</f>
        <v>Libuš</v>
      </c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90">
        <f>IFERROR(__xludf.DUMMYFUNCTION("""COMPUTED_VALUE"""),0.0)</f>
        <v>0</v>
      </c>
      <c r="W114" s="87">
        <f>IFERROR(__xludf.DUMMYFUNCTION("""COMPUTED_VALUE"""),0.0)</f>
        <v>0</v>
      </c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</row>
    <row r="115">
      <c r="A115" s="84"/>
      <c r="B115" s="89" t="str">
        <f>IF(OR(E115=Report!$B$1, F115=Report!$B$1, G115=Report!$B$1, H115=Report!$B$1), D115, "")</f>
        <v/>
      </c>
      <c r="C115" s="84" t="b">
        <f>IFERROR(__xludf.DUMMYFUNCTION("""COMPUTED_VALUE"""),FALSE)</f>
        <v>0</v>
      </c>
      <c r="D115" s="84" t="str">
        <f>IFERROR(__xludf.DUMMYFUNCTION("""COMPUTED_VALUE"""),"Stehlíková Magdaléna")</f>
        <v>Stehlíková Magdaléna</v>
      </c>
      <c r="E115" s="84" t="str">
        <f>IFERROR(__xludf.DUMMYFUNCTION("""COMPUTED_VALUE"""),"Bolevec")</f>
        <v>Bolevec</v>
      </c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90">
        <f>IFERROR(__xludf.DUMMYFUNCTION("""COMPUTED_VALUE"""),0.0)</f>
        <v>0</v>
      </c>
      <c r="W115" s="87">
        <f>IFERROR(__xludf.DUMMYFUNCTION("""COMPUTED_VALUE"""),0.0)</f>
        <v>0</v>
      </c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</row>
    <row r="116">
      <c r="A116" s="84"/>
      <c r="B116" s="89" t="str">
        <f>IF(OR(E116=Report!$B$1, F116=Report!$B$1, G116=Report!$B$1, H116=Report!$B$1), D116, "")</f>
        <v/>
      </c>
      <c r="C116" s="84" t="b">
        <f>IFERROR(__xludf.DUMMYFUNCTION("""COMPUTED_VALUE"""),FALSE)</f>
        <v>0</v>
      </c>
      <c r="D116" s="84" t="str">
        <f>IFERROR(__xludf.DUMMYFUNCTION("""COMPUTED_VALUE"""),"Dragoun Alfréd")</f>
        <v>Dragoun Alfréd</v>
      </c>
      <c r="E116" s="84" t="str">
        <f>IFERROR(__xludf.DUMMYFUNCTION("""COMPUTED_VALUE"""),"Zličín")</f>
        <v>Zličín</v>
      </c>
      <c r="F116" s="84" t="str">
        <f>IFERROR(__xludf.DUMMYFUNCTION("""COMPUTED_VALUE"""),"Malešice")</f>
        <v>Malešice</v>
      </c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90">
        <f>IFERROR(__xludf.DUMMYFUNCTION("""COMPUTED_VALUE"""),0.0)</f>
        <v>0</v>
      </c>
      <c r="W116" s="87">
        <f>IFERROR(__xludf.DUMMYFUNCTION("""COMPUTED_VALUE"""),0.0)</f>
        <v>0</v>
      </c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</row>
    <row r="117">
      <c r="A117" s="84"/>
      <c r="B117" s="89" t="str">
        <f>IF(OR(E117=Report!$B$1, F117=Report!$B$1, G117=Report!$B$1, H117=Report!$B$1), D117, "")</f>
        <v/>
      </c>
      <c r="C117" s="84" t="b">
        <f>IFERROR(__xludf.DUMMYFUNCTION("""COMPUTED_VALUE"""),FALSE)</f>
        <v>0</v>
      </c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90">
        <f>IFERROR(__xludf.DUMMYFUNCTION("""COMPUTED_VALUE"""),0.0)</f>
        <v>0</v>
      </c>
      <c r="W117" s="87">
        <f>IFERROR(__xludf.DUMMYFUNCTION("""COMPUTED_VALUE"""),0.0)</f>
        <v>0</v>
      </c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</row>
    <row r="118">
      <c r="A118" s="84"/>
      <c r="B118" s="89" t="str">
        <f>IF(OR(E118=Report!$B$1, F118=Report!$B$1, G118=Report!$B$1, H118=Report!$B$1), D118, "")</f>
        <v/>
      </c>
      <c r="C118" s="84" t="b">
        <f>IFERROR(__xludf.DUMMYFUNCTION("""COMPUTED_VALUE"""),FALSE)</f>
        <v>0</v>
      </c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90">
        <f>IFERROR(__xludf.DUMMYFUNCTION("""COMPUTED_VALUE"""),0.0)</f>
        <v>0</v>
      </c>
      <c r="W118" s="87">
        <f>IFERROR(__xludf.DUMMYFUNCTION("""COMPUTED_VALUE"""),0.0)</f>
        <v>0</v>
      </c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</row>
    <row r="119">
      <c r="A119" s="84"/>
      <c r="B119" s="89" t="str">
        <f>IF(OR(E119=Report!$B$1, F119=Report!$B$1, G119=Report!$B$1, H119=Report!$B$1), D119, "")</f>
        <v/>
      </c>
      <c r="C119" s="84" t="b">
        <f>IFERROR(__xludf.DUMMYFUNCTION("""COMPUTED_VALUE"""),FALSE)</f>
        <v>0</v>
      </c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90">
        <f>IFERROR(__xludf.DUMMYFUNCTION("""COMPUTED_VALUE"""),0.0)</f>
        <v>0</v>
      </c>
      <c r="W119" s="87">
        <f>IFERROR(__xludf.DUMMYFUNCTION("""COMPUTED_VALUE"""),0.0)</f>
        <v>0</v>
      </c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</row>
    <row r="120">
      <c r="A120" s="84"/>
      <c r="B120" s="89" t="str">
        <f>IF(OR(E120=Report!$B$1, F120=Report!$B$1, G120=Report!$B$1, H120=Report!$B$1), D120, "")</f>
        <v/>
      </c>
      <c r="C120" s="84" t="b">
        <f>IFERROR(__xludf.DUMMYFUNCTION("""COMPUTED_VALUE"""),FALSE)</f>
        <v>0</v>
      </c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90">
        <f>IFERROR(__xludf.DUMMYFUNCTION("""COMPUTED_VALUE"""),0.0)</f>
        <v>0</v>
      </c>
      <c r="W120" s="87">
        <f>IFERROR(__xludf.DUMMYFUNCTION("""COMPUTED_VALUE"""),0.0)</f>
        <v>0</v>
      </c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</row>
    <row r="121">
      <c r="A121" s="84"/>
      <c r="B121" s="89" t="str">
        <f>IF(OR(E121=Report!$B$1, F121=Report!$B$1, G121=Report!$B$1, H121=Report!$B$1), D121, "")</f>
        <v/>
      </c>
      <c r="C121" s="84" t="b">
        <f>IFERROR(__xludf.DUMMYFUNCTION("""COMPUTED_VALUE"""),FALSE)</f>
        <v>0</v>
      </c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90">
        <f>IFERROR(__xludf.DUMMYFUNCTION("""COMPUTED_VALUE"""),0.0)</f>
        <v>0</v>
      </c>
      <c r="W121" s="87">
        <f>IFERROR(__xludf.DUMMYFUNCTION("""COMPUTED_VALUE"""),0.0)</f>
        <v>0</v>
      </c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</row>
    <row r="122">
      <c r="A122" s="84"/>
      <c r="B122" s="89" t="str">
        <f>IF(OR(E122=Report!$B$1, F122=Report!$B$1, G122=Report!$B$1, H122=Report!$B$1), D122, "")</f>
        <v/>
      </c>
      <c r="C122" s="84" t="b">
        <f>IFERROR(__xludf.DUMMYFUNCTION("""COMPUTED_VALUE"""),FALSE)</f>
        <v>0</v>
      </c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90">
        <f>IFERROR(__xludf.DUMMYFUNCTION("""COMPUTED_VALUE"""),0.0)</f>
        <v>0</v>
      </c>
      <c r="W122" s="87">
        <f>IFERROR(__xludf.DUMMYFUNCTION("""COMPUTED_VALUE"""),0.0)</f>
        <v>0</v>
      </c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</row>
    <row r="123">
      <c r="A123" s="84"/>
      <c r="B123" s="89" t="str">
        <f>IF(OR(E123=Report!$B$1, F123=Report!$B$1, G123=Report!$B$1, H123=Report!$B$1), D123, "")</f>
        <v/>
      </c>
      <c r="C123" s="84" t="b">
        <f>IFERROR(__xludf.DUMMYFUNCTION("""COMPUTED_VALUE"""),FALSE)</f>
        <v>0</v>
      </c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90">
        <f>IFERROR(__xludf.DUMMYFUNCTION("""COMPUTED_VALUE"""),0.0)</f>
        <v>0</v>
      </c>
      <c r="W123" s="87">
        <f>IFERROR(__xludf.DUMMYFUNCTION("""COMPUTED_VALUE"""),0.0)</f>
        <v>0</v>
      </c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</row>
    <row r="124">
      <c r="A124" s="84"/>
      <c r="B124" s="89" t="str">
        <f>IF(OR(E124=Report!$B$1, F124=Report!$B$1, G124=Report!$B$1, H124=Report!$B$1), D124, "")</f>
        <v/>
      </c>
      <c r="C124" s="84" t="b">
        <f>IFERROR(__xludf.DUMMYFUNCTION("""COMPUTED_VALUE"""),FALSE)</f>
        <v>0</v>
      </c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90">
        <f>IFERROR(__xludf.DUMMYFUNCTION("""COMPUTED_VALUE"""),0.0)</f>
        <v>0</v>
      </c>
      <c r="W124" s="87">
        <f>IFERROR(__xludf.DUMMYFUNCTION("""COMPUTED_VALUE"""),0.0)</f>
        <v>0</v>
      </c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</row>
    <row r="125">
      <c r="A125" s="84"/>
      <c r="B125" s="89" t="str">
        <f>IF(OR(E125=Report!$B$1, F125=Report!$B$1, G125=Report!$B$1, H125=Report!$B$1), D125, "")</f>
        <v/>
      </c>
      <c r="C125" s="84" t="b">
        <f>IFERROR(__xludf.DUMMYFUNCTION("""COMPUTED_VALUE"""),FALSE)</f>
        <v>0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90">
        <f>IFERROR(__xludf.DUMMYFUNCTION("""COMPUTED_VALUE"""),0.0)</f>
        <v>0</v>
      </c>
      <c r="W125" s="87">
        <f>IFERROR(__xludf.DUMMYFUNCTION("""COMPUTED_VALUE"""),0.0)</f>
        <v>0</v>
      </c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</row>
    <row r="126">
      <c r="A126" s="84"/>
      <c r="B126" s="89" t="str">
        <f>IF(OR(E126=Report!$B$1, F126=Report!$B$1, G126=Report!$B$1, H126=Report!$B$1), D126, "")</f>
        <v/>
      </c>
      <c r="C126" s="84" t="b">
        <f>IFERROR(__xludf.DUMMYFUNCTION("""COMPUTED_VALUE"""),FALSE)</f>
        <v>0</v>
      </c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90">
        <f>IFERROR(__xludf.DUMMYFUNCTION("""COMPUTED_VALUE"""),0.0)</f>
        <v>0</v>
      </c>
      <c r="W126" s="87">
        <f>IFERROR(__xludf.DUMMYFUNCTION("""COMPUTED_VALUE"""),0.0)</f>
        <v>0</v>
      </c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</row>
    <row r="127">
      <c r="A127" s="84"/>
      <c r="B127" s="89" t="str">
        <f>IF(OR(E127=Report!$B$1, F127=Report!$B$1, G127=Report!$B$1, H127=Report!$B$1), D127, "")</f>
        <v/>
      </c>
      <c r="C127" s="84" t="b">
        <f>IFERROR(__xludf.DUMMYFUNCTION("""COMPUTED_VALUE"""),FALSE)</f>
        <v>0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90">
        <f>IFERROR(__xludf.DUMMYFUNCTION("""COMPUTED_VALUE"""),0.0)</f>
        <v>0</v>
      </c>
      <c r="W127" s="87">
        <f>IFERROR(__xludf.DUMMYFUNCTION("""COMPUTED_VALUE"""),0.0)</f>
        <v>0</v>
      </c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</row>
    <row r="128">
      <c r="A128" s="84"/>
      <c r="B128" s="89" t="str">
        <f>IF(OR(E128=Report!$B$1, F128=Report!$B$1, G128=Report!$B$1, H128=Report!$B$1), D128, "")</f>
        <v/>
      </c>
      <c r="C128" s="84" t="b">
        <f>IFERROR(__xludf.DUMMYFUNCTION("""COMPUTED_VALUE"""),FALSE)</f>
        <v>0</v>
      </c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90">
        <f>IFERROR(__xludf.DUMMYFUNCTION("""COMPUTED_VALUE"""),0.0)</f>
        <v>0</v>
      </c>
      <c r="W128" s="87">
        <f>IFERROR(__xludf.DUMMYFUNCTION("""COMPUTED_VALUE"""),0.0)</f>
        <v>0</v>
      </c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</row>
    <row r="129">
      <c r="A129" s="84"/>
      <c r="B129" s="89" t="str">
        <f>IF(OR(E129=Report!$B$1, F129=Report!$B$1, G129=Report!$B$1, H129=Report!$B$1), D129, "")</f>
        <v/>
      </c>
      <c r="C129" s="84" t="b">
        <f>IFERROR(__xludf.DUMMYFUNCTION("""COMPUTED_VALUE"""),FALSE)</f>
        <v>0</v>
      </c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90">
        <f>IFERROR(__xludf.DUMMYFUNCTION("""COMPUTED_VALUE"""),0.0)</f>
        <v>0</v>
      </c>
      <c r="W129" s="87">
        <f>IFERROR(__xludf.DUMMYFUNCTION("""COMPUTED_VALUE"""),0.0)</f>
        <v>0</v>
      </c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</row>
    <row r="130">
      <c r="A130" s="84"/>
      <c r="B130" s="89" t="str">
        <f>IF(OR(E130=Report!$B$1, F130=Report!$B$1, G130=Report!$B$1, H130=Report!$B$1), D130, "")</f>
        <v/>
      </c>
      <c r="C130" s="84" t="b">
        <f>IFERROR(__xludf.DUMMYFUNCTION("""COMPUTED_VALUE"""),FALSE)</f>
        <v>0</v>
      </c>
      <c r="D130" s="84"/>
      <c r="E130" s="84" t="str">
        <f>IFERROR(__xludf.DUMMYFUNCTION("""COMPUTED_VALUE"""),"Chodov")</f>
        <v>Chodov</v>
      </c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90">
        <f>IFERROR(__xludf.DUMMYFUNCTION("""COMPUTED_VALUE"""),0.0)</f>
        <v>0</v>
      </c>
      <c r="W130" s="87">
        <f>IFERROR(__xludf.DUMMYFUNCTION("""COMPUTED_VALUE"""),0.0)</f>
        <v>0</v>
      </c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</row>
    <row r="131">
      <c r="A131" s="84"/>
      <c r="B131" s="89" t="str">
        <f>IF(OR(E131=Report!$B$1, F131=Report!$B$1, G131=Report!$B$1, H131=Report!$B$1), D131, "")</f>
        <v/>
      </c>
      <c r="C131" s="84" t="b">
        <f>IFERROR(__xludf.DUMMYFUNCTION("""COMPUTED_VALUE"""),FALSE)</f>
        <v>0</v>
      </c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90">
        <f>IFERROR(__xludf.DUMMYFUNCTION("""COMPUTED_VALUE"""),0.0)</f>
        <v>0</v>
      </c>
      <c r="W131" s="87">
        <f>IFERROR(__xludf.DUMMYFUNCTION("""COMPUTED_VALUE"""),0.0)</f>
        <v>0</v>
      </c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</row>
    <row r="132">
      <c r="A132" s="84"/>
      <c r="B132" s="89" t="str">
        <f>IF(OR(E132=Report!$B$1, F132=Report!$B$1, G132=Report!$B$1, H132=Report!$B$1), D132, "")</f>
        <v/>
      </c>
      <c r="C132" s="84" t="b">
        <f>IFERROR(__xludf.DUMMYFUNCTION("""COMPUTED_VALUE"""),FALSE)</f>
        <v>0</v>
      </c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90">
        <f>IFERROR(__xludf.DUMMYFUNCTION("""COMPUTED_VALUE"""),0.0)</f>
        <v>0</v>
      </c>
      <c r="W132" s="87">
        <f>IFERROR(__xludf.DUMMYFUNCTION("""COMPUTED_VALUE"""),0.0)</f>
        <v>0</v>
      </c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</row>
    <row r="133">
      <c r="A133" s="84"/>
      <c r="B133" s="89" t="str">
        <f>IF(OR(E133=Report!$B$1, F133=Report!$B$1, G133=Report!$B$1, H133=Report!$B$1), D133, "")</f>
        <v/>
      </c>
      <c r="C133" s="84" t="b">
        <f>IFERROR(__xludf.DUMMYFUNCTION("""COMPUTED_VALUE"""),FALSE)</f>
        <v>0</v>
      </c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90">
        <f>IFERROR(__xludf.DUMMYFUNCTION("""COMPUTED_VALUE"""),0.0)</f>
        <v>0</v>
      </c>
      <c r="W133" s="87">
        <f>IFERROR(__xludf.DUMMYFUNCTION("""COMPUTED_VALUE"""),0.0)</f>
        <v>0</v>
      </c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</row>
    <row r="134">
      <c r="A134" s="84"/>
      <c r="B134" s="89" t="str">
        <f>IF(OR(E134=Report!$B$1, F134=Report!$B$1, G134=Report!$B$1, H134=Report!$B$1), D134, "")</f>
        <v/>
      </c>
      <c r="C134" s="84" t="b">
        <f>IFERROR(__xludf.DUMMYFUNCTION("""COMPUTED_VALUE"""),FALSE)</f>
        <v>0</v>
      </c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90">
        <f>IFERROR(__xludf.DUMMYFUNCTION("""COMPUTED_VALUE"""),0.0)</f>
        <v>0</v>
      </c>
      <c r="W134" s="87">
        <f>IFERROR(__xludf.DUMMYFUNCTION("""COMPUTED_VALUE"""),0.0)</f>
        <v>0</v>
      </c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</row>
    <row r="135">
      <c r="A135" s="84"/>
      <c r="B135" s="89" t="str">
        <f>IF(OR(E135=Report!$B$1, F135=Report!$B$1, G135=Report!$B$1, H135=Report!$B$1), D135, "")</f>
        <v/>
      </c>
      <c r="C135" s="84" t="b">
        <f>IFERROR(__xludf.DUMMYFUNCTION("""COMPUTED_VALUE"""),FALSE)</f>
        <v>0</v>
      </c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90">
        <f>IFERROR(__xludf.DUMMYFUNCTION("""COMPUTED_VALUE"""),0.0)</f>
        <v>0</v>
      </c>
      <c r="W135" s="87">
        <f>IFERROR(__xludf.DUMMYFUNCTION("""COMPUTED_VALUE"""),0.0)</f>
        <v>0</v>
      </c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</row>
    <row r="136">
      <c r="A136" s="84"/>
      <c r="B136" s="89" t="str">
        <f>IF(OR(E136=Report!$B$1, F136=Report!$B$1, G136=Report!$B$1, H136=Report!$B$1), D136, "")</f>
        <v/>
      </c>
      <c r="C136" s="84" t="b">
        <f>IFERROR(__xludf.DUMMYFUNCTION("""COMPUTED_VALUE"""),FALSE)</f>
        <v>0</v>
      </c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90">
        <f>IFERROR(__xludf.DUMMYFUNCTION("""COMPUTED_VALUE"""),0.0)</f>
        <v>0</v>
      </c>
      <c r="W136" s="87">
        <f>IFERROR(__xludf.DUMMYFUNCTION("""COMPUTED_VALUE"""),0.0)</f>
        <v>0</v>
      </c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</row>
    <row r="137">
      <c r="A137" s="84"/>
      <c r="B137" s="89" t="str">
        <f>IF(OR(E137=Report!$B$1, F137=Report!$B$1, G137=Report!$B$1, H137=Report!$B$1), D137, "")</f>
        <v/>
      </c>
      <c r="C137" s="84" t="b">
        <f>IFERROR(__xludf.DUMMYFUNCTION("""COMPUTED_VALUE"""),FALSE)</f>
        <v>0</v>
      </c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90">
        <f>IFERROR(__xludf.DUMMYFUNCTION("""COMPUTED_VALUE"""),0.0)</f>
        <v>0</v>
      </c>
      <c r="W137" s="87">
        <f>IFERROR(__xludf.DUMMYFUNCTION("""COMPUTED_VALUE"""),0.0)</f>
        <v>0</v>
      </c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</row>
    <row r="138">
      <c r="A138" s="84"/>
      <c r="B138" s="89" t="str">
        <f>IF(OR(E138=Report!$B$1, F138=Report!$B$1, G138=Report!$B$1, H138=Report!$B$1), D138, "")</f>
        <v/>
      </c>
      <c r="C138" s="84" t="b">
        <f>IFERROR(__xludf.DUMMYFUNCTION("""COMPUTED_VALUE"""),FALSE)</f>
        <v>0</v>
      </c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90">
        <f>IFERROR(__xludf.DUMMYFUNCTION("""COMPUTED_VALUE"""),0.0)</f>
        <v>0</v>
      </c>
      <c r="W138" s="87">
        <f>IFERROR(__xludf.DUMMYFUNCTION("""COMPUTED_VALUE"""),0.0)</f>
        <v>0</v>
      </c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</row>
    <row r="139">
      <c r="A139" s="84"/>
      <c r="B139" s="89" t="str">
        <f>IF(OR(E139=Report!$B$1, F139=Report!$B$1, G139=Report!$B$1, H139=Report!$B$1), D139, "")</f>
        <v/>
      </c>
      <c r="C139" s="84" t="b">
        <f>IFERROR(__xludf.DUMMYFUNCTION("""COMPUTED_VALUE"""),FALSE)</f>
        <v>0</v>
      </c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90">
        <f>IFERROR(__xludf.DUMMYFUNCTION("""COMPUTED_VALUE"""),0.0)</f>
        <v>0</v>
      </c>
      <c r="W139" s="87">
        <f>IFERROR(__xludf.DUMMYFUNCTION("""COMPUTED_VALUE"""),0.0)</f>
        <v>0</v>
      </c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</row>
    <row r="140">
      <c r="A140" s="84"/>
      <c r="B140" s="89" t="str">
        <f>IF(OR(E140=Report!$B$1, F140=Report!$B$1, G140=Report!$B$1, H140=Report!$B$1), D140, "")</f>
        <v/>
      </c>
      <c r="C140" s="84" t="b">
        <f>IFERROR(__xludf.DUMMYFUNCTION("""COMPUTED_VALUE"""),FALSE)</f>
        <v>0</v>
      </c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7">
        <f>IFERROR(__xludf.DUMMYFUNCTION("""COMPUTED_VALUE"""),0.0)</f>
        <v>0</v>
      </c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</row>
    <row r="141">
      <c r="A141" s="84"/>
      <c r="B141" s="89" t="str">
        <f>IF(OR(E141=Report!$B$1, F141=Report!$B$1, G141=Report!$B$1, H141=Report!$B$1), D141, "")</f>
        <v/>
      </c>
      <c r="C141" s="84" t="b">
        <f>IFERROR(__xludf.DUMMYFUNCTION("""COMPUTED_VALUE"""),FALSE)</f>
        <v>0</v>
      </c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90">
        <f>IFERROR(__xludf.DUMMYFUNCTION("""COMPUTED_VALUE"""),0.0)</f>
        <v>0</v>
      </c>
      <c r="W141" s="87">
        <f>IFERROR(__xludf.DUMMYFUNCTION("""COMPUTED_VALUE"""),0.0)</f>
        <v>0</v>
      </c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</row>
    <row r="142">
      <c r="A142" s="84"/>
      <c r="B142" s="89" t="str">
        <f>IF(OR(E142=Report!$B$1, F142=Report!$B$1, G142=Report!$B$1, H142=Report!$B$1), D142, "")</f>
        <v/>
      </c>
      <c r="C142" s="84" t="b">
        <f>IFERROR(__xludf.DUMMYFUNCTION("""COMPUTED_VALUE"""),FALSE)</f>
        <v>0</v>
      </c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90">
        <f>IFERROR(__xludf.DUMMYFUNCTION("""COMPUTED_VALUE"""),0.0)</f>
        <v>0</v>
      </c>
      <c r="W142" s="87">
        <f>IFERROR(__xludf.DUMMYFUNCTION("""COMPUTED_VALUE"""),0.0)</f>
        <v>0</v>
      </c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</row>
    <row r="143">
      <c r="A143" s="84"/>
      <c r="B143" s="89" t="str">
        <f>IF(OR(E143=Report!$B$1, F143=Report!$B$1, G143=Report!$B$1, H143=Report!$B$1), D143, "")</f>
        <v/>
      </c>
      <c r="C143" s="84" t="b">
        <f>IFERROR(__xludf.DUMMYFUNCTION("""COMPUTED_VALUE"""),FALSE)</f>
        <v>0</v>
      </c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90">
        <f>IFERROR(__xludf.DUMMYFUNCTION("""COMPUTED_VALUE"""),0.0)</f>
        <v>0</v>
      </c>
      <c r="W143" s="87">
        <f>IFERROR(__xludf.DUMMYFUNCTION("""COMPUTED_VALUE"""),0.0)</f>
        <v>0</v>
      </c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</row>
    <row r="144">
      <c r="A144" s="84"/>
      <c r="B144" s="89" t="str">
        <f>IF(OR(E144=Report!$B$1, F144=Report!$B$1, G144=Report!$B$1, H144=Report!$B$1), D144, "")</f>
        <v/>
      </c>
      <c r="C144" s="84" t="b">
        <f>IFERROR(__xludf.DUMMYFUNCTION("""COMPUTED_VALUE"""),FALSE)</f>
        <v>0</v>
      </c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90">
        <f>IFERROR(__xludf.DUMMYFUNCTION("""COMPUTED_VALUE"""),0.0)</f>
        <v>0</v>
      </c>
      <c r="W144" s="87">
        <f>IFERROR(__xludf.DUMMYFUNCTION("""COMPUTED_VALUE"""),0.0)</f>
        <v>0</v>
      </c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</row>
    <row r="145">
      <c r="A145" s="84"/>
      <c r="B145" s="89" t="str">
        <f>IF(OR(E145=Report!$B$1, F145=Report!$B$1, G145=Report!$B$1, H145=Report!$B$1), D145, "")</f>
        <v/>
      </c>
      <c r="C145" s="84" t="b">
        <f>IFERROR(__xludf.DUMMYFUNCTION("""COMPUTED_VALUE"""),FALSE)</f>
        <v>0</v>
      </c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90">
        <f>IFERROR(__xludf.DUMMYFUNCTION("""COMPUTED_VALUE"""),0.0)</f>
        <v>0</v>
      </c>
      <c r="W145" s="87">
        <f>IFERROR(__xludf.DUMMYFUNCTION("""COMPUTED_VALUE"""),0.0)</f>
        <v>0</v>
      </c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</row>
    <row r="146">
      <c r="A146" s="84"/>
      <c r="B146" s="89" t="str">
        <f>IF(OR(E146=Report!$B$1, F146=Report!$B$1, G146=Report!$B$1, H146=Report!$B$1), D146, "")</f>
        <v/>
      </c>
      <c r="C146" s="84" t="b">
        <f>IFERROR(__xludf.DUMMYFUNCTION("""COMPUTED_VALUE"""),FALSE)</f>
        <v>0</v>
      </c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90">
        <f>IFERROR(__xludf.DUMMYFUNCTION("""COMPUTED_VALUE"""),0.0)</f>
        <v>0</v>
      </c>
      <c r="W146" s="87">
        <f>IFERROR(__xludf.DUMMYFUNCTION("""COMPUTED_VALUE"""),0.0)</f>
        <v>0</v>
      </c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</row>
    <row r="147">
      <c r="A147" s="84"/>
      <c r="B147" s="89" t="str">
        <f>IF(OR(E147=Report!$B$1, F147=Report!$B$1, G147=Report!$B$1, H147=Report!$B$1), D147, "")</f>
        <v/>
      </c>
      <c r="C147" s="84" t="b">
        <f>IFERROR(__xludf.DUMMYFUNCTION("""COMPUTED_VALUE"""),FALSE)</f>
        <v>0</v>
      </c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7">
        <f>IFERROR(__xludf.DUMMYFUNCTION("""COMPUTED_VALUE"""),0.0)</f>
        <v>0</v>
      </c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</row>
    <row r="148">
      <c r="A148" s="84"/>
      <c r="B148" s="89" t="str">
        <f>IF(OR(E148=Report!$B$1, F148=Report!$B$1, G148=Report!$B$1, H148=Report!$B$1), D148, "")</f>
        <v/>
      </c>
      <c r="C148" s="84" t="b">
        <f>IFERROR(__xludf.DUMMYFUNCTION("""COMPUTED_VALUE"""),FALSE)</f>
        <v>0</v>
      </c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7">
        <f>IFERROR(__xludf.DUMMYFUNCTION("""COMPUTED_VALUE"""),0.0)</f>
        <v>0</v>
      </c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</row>
    <row r="149">
      <c r="A149" s="84"/>
      <c r="B149" s="89" t="str">
        <f>IF(OR(E149=Report!$B$1, F149=Report!$B$1, G149=Report!$B$1, H149=Report!$B$1), D149, "")</f>
        <v/>
      </c>
      <c r="C149" s="84" t="b">
        <f>IFERROR(__xludf.DUMMYFUNCTION("""COMPUTED_VALUE"""),FALSE)</f>
        <v>0</v>
      </c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7">
        <f>IFERROR(__xludf.DUMMYFUNCTION("""COMPUTED_VALUE"""),0.0)</f>
        <v>0</v>
      </c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</row>
    <row r="150">
      <c r="A150" s="84"/>
      <c r="B150" s="89" t="str">
        <f>IF(OR(E150=Report!$B$1, F150=Report!$B$1, G150=Report!$B$1, H150=Report!$B$1), D150, "")</f>
        <v/>
      </c>
      <c r="C150" s="84" t="b">
        <f>IFERROR(__xludf.DUMMYFUNCTION("""COMPUTED_VALUE"""),FALSE)</f>
        <v>0</v>
      </c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93">
        <f>IFERROR(__xludf.DUMMYFUNCTION("""COMPUTED_VALUE"""),0.0)</f>
        <v>0</v>
      </c>
      <c r="W150" s="87">
        <f>IFERROR(__xludf.DUMMYFUNCTION("""COMPUTED_VALUE"""),0.0)</f>
        <v>0</v>
      </c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</row>
    <row r="151">
      <c r="A151" s="84"/>
      <c r="B151" s="89" t="str">
        <f>IF(OR(E151=Report!$B$1, F151=Report!$B$1, G151=Report!$B$1, H151=Report!$B$1), D151, "")</f>
        <v/>
      </c>
      <c r="C151" s="84" t="b">
        <f>IFERROR(__xludf.DUMMYFUNCTION("""COMPUTED_VALUE"""),FALSE)</f>
        <v>0</v>
      </c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93">
        <f>IFERROR(__xludf.DUMMYFUNCTION("""COMPUTED_VALUE"""),0.0)</f>
        <v>0</v>
      </c>
      <c r="W151" s="87">
        <f>IFERROR(__xludf.DUMMYFUNCTION("""COMPUTED_VALUE"""),0.0)</f>
        <v>0</v>
      </c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</row>
    <row r="152">
      <c r="A152" s="84"/>
      <c r="B152" s="89" t="str">
        <f>IF(OR(E152=Report!$B$1, F152=Report!$B$1, G152=Report!$B$1, H152=Report!$B$1), D152, "")</f>
        <v/>
      </c>
      <c r="C152" s="84" t="b">
        <f>IFERROR(__xludf.DUMMYFUNCTION("""COMPUTED_VALUE"""),FALSE)</f>
        <v>0</v>
      </c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93">
        <f>IFERROR(__xludf.DUMMYFUNCTION("""COMPUTED_VALUE"""),0.0)</f>
        <v>0</v>
      </c>
      <c r="W152" s="87">
        <f>IFERROR(__xludf.DUMMYFUNCTION("""COMPUTED_VALUE"""),0.0)</f>
        <v>0</v>
      </c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</row>
    <row r="153">
      <c r="A153" s="84"/>
      <c r="B153" s="89" t="str">
        <f>IF(OR(E153=Report!$B$1, F153=Report!$B$1, G153=Report!$B$1, H153=Report!$B$1), D153, "")</f>
        <v/>
      </c>
      <c r="C153" s="84" t="b">
        <f>IFERROR(__xludf.DUMMYFUNCTION("""COMPUTED_VALUE"""),FALSE)</f>
        <v>0</v>
      </c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93">
        <f>IFERROR(__xludf.DUMMYFUNCTION("""COMPUTED_VALUE"""),0.0)</f>
        <v>0</v>
      </c>
      <c r="W153" s="87">
        <f>IFERROR(__xludf.DUMMYFUNCTION("""COMPUTED_VALUE"""),0.0)</f>
        <v>0</v>
      </c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</row>
    <row r="154">
      <c r="A154" s="84"/>
      <c r="B154" s="89" t="str">
        <f>IF(OR(E154=Report!$B$1, F154=Report!$B$1, G154=Report!$B$1, H154=Report!$B$1), D154, "")</f>
        <v/>
      </c>
      <c r="C154" s="84" t="b">
        <f>IFERROR(__xludf.DUMMYFUNCTION("""COMPUTED_VALUE"""),FALSE)</f>
        <v>0</v>
      </c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93">
        <f>IFERROR(__xludf.DUMMYFUNCTION("""COMPUTED_VALUE"""),0.0)</f>
        <v>0</v>
      </c>
      <c r="W154" s="87">
        <f>IFERROR(__xludf.DUMMYFUNCTION("""COMPUTED_VALUE"""),0.0)</f>
        <v>0</v>
      </c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</row>
    <row r="155">
      <c r="A155" s="84"/>
      <c r="B155" s="89" t="str">
        <f>IF(OR(E155=Report!$B$1, F155=Report!$B$1, G155=Report!$B$1, H155=Report!$B$1), D155, "")</f>
        <v/>
      </c>
      <c r="C155" s="84" t="b">
        <f>IFERROR(__xludf.DUMMYFUNCTION("""COMPUTED_VALUE"""),FALSE)</f>
        <v>0</v>
      </c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93">
        <f>IFERROR(__xludf.DUMMYFUNCTION("""COMPUTED_VALUE"""),0.0)</f>
        <v>0</v>
      </c>
      <c r="W155" s="87">
        <f>IFERROR(__xludf.DUMMYFUNCTION("""COMPUTED_VALUE"""),0.0)</f>
        <v>0</v>
      </c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</row>
    <row r="156">
      <c r="A156" s="84"/>
      <c r="B156" s="89" t="str">
        <f>IF(OR(E156=Report!$B$1, F156=Report!$B$1, G156=Report!$B$1, H156=Report!$B$1), D156, "")</f>
        <v/>
      </c>
      <c r="C156" s="84" t="b">
        <f>IFERROR(__xludf.DUMMYFUNCTION("""COMPUTED_VALUE"""),FALSE)</f>
        <v>0</v>
      </c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93">
        <f>IFERROR(__xludf.DUMMYFUNCTION("""COMPUTED_VALUE"""),0.0)</f>
        <v>0</v>
      </c>
      <c r="W156" s="87">
        <f>IFERROR(__xludf.DUMMYFUNCTION("""COMPUTED_VALUE"""),0.0)</f>
        <v>0</v>
      </c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</row>
    <row r="157">
      <c r="A157" s="84"/>
      <c r="B157" s="89" t="str">
        <f>IF(OR(E157=Report!$B$1, F157=Report!$B$1, G157=Report!$B$1, H157=Report!$B$1), D157, "")</f>
        <v/>
      </c>
      <c r="C157" s="84" t="b">
        <f>IFERROR(__xludf.DUMMYFUNCTION("""COMPUTED_VALUE"""),FALSE)</f>
        <v>0</v>
      </c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93">
        <f>IFERROR(__xludf.DUMMYFUNCTION("""COMPUTED_VALUE"""),0.0)</f>
        <v>0</v>
      </c>
      <c r="W157" s="87">
        <f>IFERROR(__xludf.DUMMYFUNCTION("""COMPUTED_VALUE"""),0.0)</f>
        <v>0</v>
      </c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</row>
    <row r="158">
      <c r="A158" s="84"/>
      <c r="B158" s="89" t="str">
        <f>IF(OR(E158=Report!$B$1, F158=Report!$B$1, G158=Report!$B$1, H158=Report!$B$1), D158, "")</f>
        <v/>
      </c>
      <c r="C158" s="84" t="b">
        <f>IFERROR(__xludf.DUMMYFUNCTION("""COMPUTED_VALUE"""),FALSE)</f>
        <v>0</v>
      </c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93">
        <f>IFERROR(__xludf.DUMMYFUNCTION("""COMPUTED_VALUE"""),0.0)</f>
        <v>0</v>
      </c>
      <c r="W158" s="87">
        <f>IFERROR(__xludf.DUMMYFUNCTION("""COMPUTED_VALUE"""),0.0)</f>
        <v>0</v>
      </c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</row>
    <row r="159">
      <c r="A159" s="84"/>
      <c r="B159" s="89" t="str">
        <f>IF(OR(E159=Report!$B$1, F159=Report!$B$1, G159=Report!$B$1, H159=Report!$B$1), D159, "")</f>
        <v/>
      </c>
      <c r="C159" s="84" t="b">
        <f>IFERROR(__xludf.DUMMYFUNCTION("""COMPUTED_VALUE"""),FALSE)</f>
        <v>0</v>
      </c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93">
        <f>IFERROR(__xludf.DUMMYFUNCTION("""COMPUTED_VALUE"""),0.0)</f>
        <v>0</v>
      </c>
      <c r="W159" s="87">
        <f>IFERROR(__xludf.DUMMYFUNCTION("""COMPUTED_VALUE"""),0.0)</f>
        <v>0</v>
      </c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</row>
    <row r="160">
      <c r="A160" s="84"/>
      <c r="B160" s="89" t="str">
        <f>IF(OR(E160=Report!$B$1, F160=Report!$B$1, G160=Report!$B$1, H160=Report!$B$1), D160, "")</f>
        <v/>
      </c>
      <c r="C160" s="84" t="b">
        <f>IFERROR(__xludf.DUMMYFUNCTION("""COMPUTED_VALUE"""),FALSE)</f>
        <v>0</v>
      </c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93">
        <f>IFERROR(__xludf.DUMMYFUNCTION("""COMPUTED_VALUE"""),0.0)</f>
        <v>0</v>
      </c>
      <c r="W160" s="87">
        <f>IFERROR(__xludf.DUMMYFUNCTION("""COMPUTED_VALUE"""),0.0)</f>
        <v>0</v>
      </c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</row>
    <row r="161">
      <c r="A161" s="84"/>
      <c r="B161" s="89" t="str">
        <f>IF(OR(E161=Report!$B$1, F161=Report!$B$1, G161=Report!$B$1, H161=Report!$B$1), D161, "")</f>
        <v/>
      </c>
      <c r="C161" s="84" t="b">
        <f>IFERROR(__xludf.DUMMYFUNCTION("""COMPUTED_VALUE"""),FALSE)</f>
        <v>0</v>
      </c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93">
        <f>IFERROR(__xludf.DUMMYFUNCTION("""COMPUTED_VALUE"""),0.0)</f>
        <v>0</v>
      </c>
      <c r="W161" s="87">
        <f>IFERROR(__xludf.DUMMYFUNCTION("""COMPUTED_VALUE"""),0.0)</f>
        <v>0</v>
      </c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</row>
    <row r="162">
      <c r="A162" s="84"/>
      <c r="B162" s="89" t="str">
        <f>IF(OR(E162=Report!$B$1, F162=Report!$B$1, G162=Report!$B$1, H162=Report!$B$1), D162, "")</f>
        <v/>
      </c>
      <c r="C162" s="84" t="b">
        <f>IFERROR(__xludf.DUMMYFUNCTION("""COMPUTED_VALUE"""),FALSE)</f>
        <v>0</v>
      </c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93">
        <f>IFERROR(__xludf.DUMMYFUNCTION("""COMPUTED_VALUE"""),0.0)</f>
        <v>0</v>
      </c>
      <c r="W162" s="87">
        <f>IFERROR(__xludf.DUMMYFUNCTION("""COMPUTED_VALUE"""),0.0)</f>
        <v>0</v>
      </c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</row>
    <row r="163">
      <c r="A163" s="84"/>
      <c r="B163" s="89" t="str">
        <f>IF(OR(E163=Report!$B$1, F163=Report!$B$1, G163=Report!$B$1, H163=Report!$B$1), D163, "")</f>
        <v/>
      </c>
      <c r="C163" s="84" t="b">
        <f>IFERROR(__xludf.DUMMYFUNCTION("""COMPUTED_VALUE"""),FALSE)</f>
        <v>0</v>
      </c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93">
        <f>IFERROR(__xludf.DUMMYFUNCTION("""COMPUTED_VALUE"""),0.0)</f>
        <v>0</v>
      </c>
      <c r="W163" s="87">
        <f>IFERROR(__xludf.DUMMYFUNCTION("""COMPUTED_VALUE"""),0.0)</f>
        <v>0</v>
      </c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</row>
    <row r="164">
      <c r="A164" s="84"/>
      <c r="B164" s="89" t="str">
        <f>IF(OR(E164=Report!$B$1, F164=Report!$B$1, G164=Report!$B$1, H164=Report!$B$1), D164, "")</f>
        <v/>
      </c>
      <c r="C164" s="84" t="b">
        <f>IFERROR(__xludf.DUMMYFUNCTION("""COMPUTED_VALUE"""),FALSE)</f>
        <v>0</v>
      </c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93">
        <f>IFERROR(__xludf.DUMMYFUNCTION("""COMPUTED_VALUE"""),0.0)</f>
        <v>0</v>
      </c>
      <c r="W164" s="87">
        <f>IFERROR(__xludf.DUMMYFUNCTION("""COMPUTED_VALUE"""),0.0)</f>
        <v>0</v>
      </c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</row>
    <row r="165">
      <c r="A165" s="84"/>
      <c r="B165" s="89" t="str">
        <f>IF(OR(E165=Report!$B$1, F165=Report!$B$1, G165=Report!$B$1, H165=Report!$B$1), D165, "")</f>
        <v/>
      </c>
      <c r="C165" s="84" t="b">
        <f>IFERROR(__xludf.DUMMYFUNCTION("""COMPUTED_VALUE"""),FALSE)</f>
        <v>0</v>
      </c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93">
        <f>IFERROR(__xludf.DUMMYFUNCTION("""COMPUTED_VALUE"""),0.0)</f>
        <v>0</v>
      </c>
      <c r="W165" s="87">
        <f>IFERROR(__xludf.DUMMYFUNCTION("""COMPUTED_VALUE"""),0.0)</f>
        <v>0</v>
      </c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</row>
    <row r="166">
      <c r="A166" s="84"/>
      <c r="B166" s="89" t="str">
        <f>IF(OR(E166=Report!$B$1, F166=Report!$B$1, G166=Report!$B$1, H166=Report!$B$1), D166, "")</f>
        <v/>
      </c>
      <c r="C166" s="84" t="b">
        <f>IFERROR(__xludf.DUMMYFUNCTION("""COMPUTED_VALUE"""),FALSE)</f>
        <v>0</v>
      </c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93">
        <f>IFERROR(__xludf.DUMMYFUNCTION("""COMPUTED_VALUE"""),0.0)</f>
        <v>0</v>
      </c>
      <c r="W166" s="87">
        <f>IFERROR(__xludf.DUMMYFUNCTION("""COMPUTED_VALUE"""),0.0)</f>
        <v>0</v>
      </c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</row>
    <row r="167">
      <c r="A167" s="84"/>
      <c r="B167" s="89" t="str">
        <f>IF(OR(E167=Report!$B$1, F167=Report!$B$1, G167=Report!$B$1, H167=Report!$B$1), D167, "")</f>
        <v/>
      </c>
      <c r="C167" s="84" t="b">
        <f>IFERROR(__xludf.DUMMYFUNCTION("""COMPUTED_VALUE"""),FALSE)</f>
        <v>0</v>
      </c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93">
        <f>IFERROR(__xludf.DUMMYFUNCTION("""COMPUTED_VALUE"""),0.0)</f>
        <v>0</v>
      </c>
      <c r="W167" s="87">
        <f>IFERROR(__xludf.DUMMYFUNCTION("""COMPUTED_VALUE"""),0.0)</f>
        <v>0</v>
      </c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</row>
    <row r="168">
      <c r="A168" s="84"/>
      <c r="B168" s="89" t="str">
        <f>IF(OR(E168=Report!$B$1, F168=Report!$B$1, G168=Report!$B$1, H168=Report!$B$1), D168, "")</f>
        <v/>
      </c>
      <c r="C168" s="84" t="b">
        <f>IFERROR(__xludf.DUMMYFUNCTION("""COMPUTED_VALUE"""),FALSE)</f>
        <v>0</v>
      </c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93">
        <f>IFERROR(__xludf.DUMMYFUNCTION("""COMPUTED_VALUE"""),0.0)</f>
        <v>0</v>
      </c>
      <c r="W168" s="87">
        <f>IFERROR(__xludf.DUMMYFUNCTION("""COMPUTED_VALUE"""),0.0)</f>
        <v>0</v>
      </c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</row>
    <row r="169">
      <c r="A169" s="84"/>
      <c r="B169" s="89" t="str">
        <f>IF(OR(E169=Report!$B$1, F169=Report!$B$1, G169=Report!$B$1, H169=Report!$B$1), D169, "")</f>
        <v/>
      </c>
      <c r="C169" s="84" t="b">
        <f>IFERROR(__xludf.DUMMYFUNCTION("""COMPUTED_VALUE"""),FALSE)</f>
        <v>0</v>
      </c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93">
        <f>IFERROR(__xludf.DUMMYFUNCTION("""COMPUTED_VALUE"""),0.0)</f>
        <v>0</v>
      </c>
      <c r="W169" s="87">
        <f>IFERROR(__xludf.DUMMYFUNCTION("""COMPUTED_VALUE"""),0.0)</f>
        <v>0</v>
      </c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</row>
    <row r="170">
      <c r="A170" s="84"/>
      <c r="B170" s="89" t="str">
        <f>IF(OR(E170=Report!$B$1, F170=Report!$B$1, G170=Report!$B$1, H170=Report!$B$1), D170, "")</f>
        <v/>
      </c>
      <c r="C170" s="84" t="b">
        <f>IFERROR(__xludf.DUMMYFUNCTION("""COMPUTED_VALUE"""),FALSE)</f>
        <v>0</v>
      </c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93">
        <f>IFERROR(__xludf.DUMMYFUNCTION("""COMPUTED_VALUE"""),0.0)</f>
        <v>0</v>
      </c>
      <c r="W170" s="87">
        <f>IFERROR(__xludf.DUMMYFUNCTION("""COMPUTED_VALUE"""),0.0)</f>
        <v>0</v>
      </c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</row>
    <row r="171">
      <c r="A171" s="84"/>
      <c r="B171" s="89" t="str">
        <f>IF(OR(E171=Report!$B$1, F171=Report!$B$1, G171=Report!$B$1, H171=Report!$B$1), D171, "")</f>
        <v/>
      </c>
      <c r="C171" s="84" t="b">
        <f>IFERROR(__xludf.DUMMYFUNCTION("""COMPUTED_VALUE"""),FALSE)</f>
        <v>0</v>
      </c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93">
        <f>IFERROR(__xludf.DUMMYFUNCTION("""COMPUTED_VALUE"""),0.0)</f>
        <v>0</v>
      </c>
      <c r="W171" s="87">
        <f>IFERROR(__xludf.DUMMYFUNCTION("""COMPUTED_VALUE"""),0.0)</f>
        <v>0</v>
      </c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</row>
    <row r="172">
      <c r="A172" s="84"/>
      <c r="B172" s="89" t="str">
        <f>IF(OR(E172=Report!$B$1, F172=Report!$B$1, G172=Report!$B$1, H172=Report!$B$1), D172, "")</f>
        <v/>
      </c>
      <c r="C172" s="84" t="b">
        <f>IFERROR(__xludf.DUMMYFUNCTION("""COMPUTED_VALUE"""),FALSE)</f>
        <v>0</v>
      </c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93">
        <f>IFERROR(__xludf.DUMMYFUNCTION("""COMPUTED_VALUE"""),0.0)</f>
        <v>0</v>
      </c>
      <c r="W172" s="87">
        <f>IFERROR(__xludf.DUMMYFUNCTION("""COMPUTED_VALUE"""),0.0)</f>
        <v>0</v>
      </c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</row>
    <row r="173">
      <c r="A173" s="84"/>
      <c r="B173" s="89" t="str">
        <f>IF(OR(E173=Report!$B$1, F173=Report!$B$1, G173=Report!$B$1, H173=Report!$B$1), D173, "")</f>
        <v/>
      </c>
      <c r="C173" s="84" t="b">
        <f>IFERROR(__xludf.DUMMYFUNCTION("""COMPUTED_VALUE"""),FALSE)</f>
        <v>0</v>
      </c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93">
        <f>IFERROR(__xludf.DUMMYFUNCTION("""COMPUTED_VALUE"""),0.0)</f>
        <v>0</v>
      </c>
      <c r="W173" s="87">
        <f>IFERROR(__xludf.DUMMYFUNCTION("""COMPUTED_VALUE"""),0.0)</f>
        <v>0</v>
      </c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</row>
    <row r="174">
      <c r="A174" s="84"/>
      <c r="B174" s="89" t="str">
        <f>IF(OR(E174=Report!$B$1, F174=Report!$B$1, G174=Report!$B$1, H174=Report!$B$1), D174, "")</f>
        <v/>
      </c>
      <c r="C174" s="84" t="b">
        <f>IFERROR(__xludf.DUMMYFUNCTION("""COMPUTED_VALUE"""),FALSE)</f>
        <v>0</v>
      </c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93">
        <f>IFERROR(__xludf.DUMMYFUNCTION("""COMPUTED_VALUE"""),0.0)</f>
        <v>0</v>
      </c>
      <c r="W174" s="87">
        <f>IFERROR(__xludf.DUMMYFUNCTION("""COMPUTED_VALUE"""),0.0)</f>
        <v>0</v>
      </c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</row>
    <row r="175">
      <c r="A175" s="84"/>
      <c r="B175" s="89" t="str">
        <f>IF(OR(E175=Report!$B$1, F175=Report!$B$1, G175=Report!$B$1, H175=Report!$B$1), D175, "")</f>
        <v/>
      </c>
      <c r="C175" s="84" t="b">
        <f>IFERROR(__xludf.DUMMYFUNCTION("""COMPUTED_VALUE"""),FALSE)</f>
        <v>0</v>
      </c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93">
        <f>IFERROR(__xludf.DUMMYFUNCTION("""COMPUTED_VALUE"""),0.0)</f>
        <v>0</v>
      </c>
      <c r="W175" s="87">
        <f>IFERROR(__xludf.DUMMYFUNCTION("""COMPUTED_VALUE"""),0.0)</f>
        <v>0</v>
      </c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</row>
    <row r="176">
      <c r="A176" s="84"/>
      <c r="B176" s="89" t="str">
        <f>IF(OR(E176=Report!$B$1, F176=Report!$B$1, G176=Report!$B$1, H176=Report!$B$1), D176, "")</f>
        <v/>
      </c>
      <c r="C176" s="84" t="b">
        <f>IFERROR(__xludf.DUMMYFUNCTION("""COMPUTED_VALUE"""),FALSE)</f>
        <v>0</v>
      </c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93">
        <f>IFERROR(__xludf.DUMMYFUNCTION("""COMPUTED_VALUE"""),0.0)</f>
        <v>0</v>
      </c>
      <c r="W176" s="87">
        <f>IFERROR(__xludf.DUMMYFUNCTION("""COMPUTED_VALUE"""),0.0)</f>
        <v>0</v>
      </c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</row>
    <row r="177">
      <c r="A177" s="84"/>
      <c r="B177" s="89" t="str">
        <f>IF(OR(E177=Report!$B$1, F177=Report!$B$1, G177=Report!$B$1, H177=Report!$B$1), D177, "")</f>
        <v/>
      </c>
      <c r="C177" s="84" t="b">
        <f>IFERROR(__xludf.DUMMYFUNCTION("""COMPUTED_VALUE"""),FALSE)</f>
        <v>0</v>
      </c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93">
        <f>IFERROR(__xludf.DUMMYFUNCTION("""COMPUTED_VALUE"""),0.0)</f>
        <v>0</v>
      </c>
      <c r="W177" s="87">
        <f>IFERROR(__xludf.DUMMYFUNCTION("""COMPUTED_VALUE"""),0.0)</f>
        <v>0</v>
      </c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</row>
    <row r="178">
      <c r="A178" s="84"/>
      <c r="B178" s="89" t="str">
        <f>IF(OR(E178=Report!$B$1, F178=Report!$B$1, G178=Report!$B$1, H178=Report!$B$1), D178, "")</f>
        <v/>
      </c>
      <c r="C178" s="84" t="b">
        <f>IFERROR(__xludf.DUMMYFUNCTION("""COMPUTED_VALUE"""),FALSE)</f>
        <v>0</v>
      </c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93">
        <f>IFERROR(__xludf.DUMMYFUNCTION("""COMPUTED_VALUE"""),0.0)</f>
        <v>0</v>
      </c>
      <c r="W178" s="87">
        <f>IFERROR(__xludf.DUMMYFUNCTION("""COMPUTED_VALUE"""),0.0)</f>
        <v>0</v>
      </c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</row>
    <row r="179">
      <c r="A179" s="84"/>
      <c r="B179" s="89" t="str">
        <f>IF(OR(E179=Report!$B$1, F179=Report!$B$1, G179=Report!$B$1, H179=Report!$B$1), D179, "")</f>
        <v/>
      </c>
      <c r="C179" s="84" t="b">
        <f>IFERROR(__xludf.DUMMYFUNCTION("""COMPUTED_VALUE"""),FALSE)</f>
        <v>0</v>
      </c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93">
        <f>IFERROR(__xludf.DUMMYFUNCTION("""COMPUTED_VALUE"""),0.0)</f>
        <v>0</v>
      </c>
      <c r="W179" s="87">
        <f>IFERROR(__xludf.DUMMYFUNCTION("""COMPUTED_VALUE"""),0.0)</f>
        <v>0</v>
      </c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</row>
    <row r="180">
      <c r="A180" s="84"/>
      <c r="B180" s="84"/>
      <c r="C180" s="84" t="b">
        <f>IFERROR(__xludf.DUMMYFUNCTION("""COMPUTED_VALUE"""),FALSE)</f>
        <v>0</v>
      </c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93">
        <f>IFERROR(__xludf.DUMMYFUNCTION("""COMPUTED_VALUE"""),0.0)</f>
        <v>0</v>
      </c>
      <c r="W180" s="87">
        <f>IFERROR(__xludf.DUMMYFUNCTION("""COMPUTED_VALUE"""),0.0)</f>
        <v>0</v>
      </c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</row>
    <row r="181">
      <c r="A181" s="84"/>
      <c r="B181" s="84"/>
      <c r="C181" s="84" t="b">
        <f>IFERROR(__xludf.DUMMYFUNCTION("""COMPUTED_VALUE"""),FALSE)</f>
        <v>0</v>
      </c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93">
        <f>IFERROR(__xludf.DUMMYFUNCTION("""COMPUTED_VALUE"""),0.0)</f>
        <v>0</v>
      </c>
      <c r="W181" s="87">
        <f>IFERROR(__xludf.DUMMYFUNCTION("""COMPUTED_VALUE"""),0.0)</f>
        <v>0</v>
      </c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</row>
    <row r="182">
      <c r="A182" s="84"/>
      <c r="B182" s="84"/>
      <c r="C182" s="84" t="b">
        <f>IFERROR(__xludf.DUMMYFUNCTION("""COMPUTED_VALUE"""),FALSE)</f>
        <v>0</v>
      </c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93">
        <f>IFERROR(__xludf.DUMMYFUNCTION("""COMPUTED_VALUE"""),0.0)</f>
        <v>0</v>
      </c>
      <c r="W182" s="87">
        <f>IFERROR(__xludf.DUMMYFUNCTION("""COMPUTED_VALUE"""),0.0)</f>
        <v>0</v>
      </c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</row>
    <row r="183">
      <c r="A183" s="84"/>
      <c r="B183" s="84"/>
      <c r="C183" s="84" t="b">
        <f>IFERROR(__xludf.DUMMYFUNCTION("""COMPUTED_VALUE"""),FALSE)</f>
        <v>0</v>
      </c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93">
        <f>IFERROR(__xludf.DUMMYFUNCTION("""COMPUTED_VALUE"""),0.0)</f>
        <v>0</v>
      </c>
      <c r="W183" s="87">
        <f>IFERROR(__xludf.DUMMYFUNCTION("""COMPUTED_VALUE"""),0.0)</f>
        <v>0</v>
      </c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</row>
    <row r="184">
      <c r="A184" s="84"/>
      <c r="B184" s="84"/>
      <c r="C184" s="84" t="b">
        <f>IFERROR(__xludf.DUMMYFUNCTION("""COMPUTED_VALUE"""),FALSE)</f>
        <v>0</v>
      </c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93">
        <f>IFERROR(__xludf.DUMMYFUNCTION("""COMPUTED_VALUE"""),0.0)</f>
        <v>0</v>
      </c>
      <c r="W184" s="87">
        <f>IFERROR(__xludf.DUMMYFUNCTION("""COMPUTED_VALUE"""),0.0)</f>
        <v>0</v>
      </c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</row>
    <row r="185">
      <c r="A185" s="84"/>
      <c r="B185" s="84"/>
      <c r="C185" s="84" t="b">
        <f>IFERROR(__xludf.DUMMYFUNCTION("""COMPUTED_VALUE"""),FALSE)</f>
        <v>0</v>
      </c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93">
        <f>IFERROR(__xludf.DUMMYFUNCTION("""COMPUTED_VALUE"""),0.0)</f>
        <v>0</v>
      </c>
      <c r="W185" s="87">
        <f>IFERROR(__xludf.DUMMYFUNCTION("""COMPUTED_VALUE"""),0.0)</f>
        <v>0</v>
      </c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</row>
    <row r="186">
      <c r="A186" s="84"/>
      <c r="B186" s="84"/>
      <c r="C186" s="84" t="b">
        <f>IFERROR(__xludf.DUMMYFUNCTION("""COMPUTED_VALUE"""),FALSE)</f>
        <v>0</v>
      </c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93">
        <f>IFERROR(__xludf.DUMMYFUNCTION("""COMPUTED_VALUE"""),0.0)</f>
        <v>0</v>
      </c>
      <c r="W186" s="87">
        <f>IFERROR(__xludf.DUMMYFUNCTION("""COMPUTED_VALUE"""),0.0)</f>
        <v>0</v>
      </c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</row>
    <row r="187">
      <c r="A187" s="84"/>
      <c r="B187" s="84"/>
      <c r="C187" s="84" t="b">
        <f>IFERROR(__xludf.DUMMYFUNCTION("""COMPUTED_VALUE"""),FALSE)</f>
        <v>0</v>
      </c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93">
        <f>IFERROR(__xludf.DUMMYFUNCTION("""COMPUTED_VALUE"""),0.0)</f>
        <v>0</v>
      </c>
      <c r="W187" s="87">
        <f>IFERROR(__xludf.DUMMYFUNCTION("""COMPUTED_VALUE"""),0.0)</f>
        <v>0</v>
      </c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</row>
    <row r="188">
      <c r="A188" s="84"/>
      <c r="B188" s="84"/>
      <c r="C188" s="84" t="b">
        <f>IFERROR(__xludf.DUMMYFUNCTION("""COMPUTED_VALUE"""),FALSE)</f>
        <v>0</v>
      </c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93">
        <f>IFERROR(__xludf.DUMMYFUNCTION("""COMPUTED_VALUE"""),0.0)</f>
        <v>0</v>
      </c>
      <c r="W188" s="87">
        <f>IFERROR(__xludf.DUMMYFUNCTION("""COMPUTED_VALUE"""),0.0)</f>
        <v>0</v>
      </c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</row>
    <row r="189">
      <c r="A189" s="84"/>
      <c r="B189" s="84"/>
      <c r="C189" s="84" t="b">
        <f>IFERROR(__xludf.DUMMYFUNCTION("""COMPUTED_VALUE"""),FALSE)</f>
        <v>0</v>
      </c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93">
        <f>IFERROR(__xludf.DUMMYFUNCTION("""COMPUTED_VALUE"""),0.0)</f>
        <v>0</v>
      </c>
      <c r="W189" s="87">
        <f>IFERROR(__xludf.DUMMYFUNCTION("""COMPUTED_VALUE"""),0.0)</f>
        <v>0</v>
      </c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</row>
    <row r="190">
      <c r="A190" s="84"/>
      <c r="B190" s="84"/>
      <c r="C190" s="84" t="b">
        <f>IFERROR(__xludf.DUMMYFUNCTION("""COMPUTED_VALUE"""),FALSE)</f>
        <v>0</v>
      </c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93">
        <f>IFERROR(__xludf.DUMMYFUNCTION("""COMPUTED_VALUE"""),0.0)</f>
        <v>0</v>
      </c>
      <c r="W190" s="87">
        <f>IFERROR(__xludf.DUMMYFUNCTION("""COMPUTED_VALUE"""),0.0)</f>
        <v>0</v>
      </c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</row>
    <row r="191">
      <c r="A191" s="84"/>
      <c r="B191" s="84"/>
      <c r="C191" s="84" t="b">
        <f>IFERROR(__xludf.DUMMYFUNCTION("""COMPUTED_VALUE"""),FALSE)</f>
        <v>0</v>
      </c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93">
        <f>IFERROR(__xludf.DUMMYFUNCTION("""COMPUTED_VALUE"""),0.0)</f>
        <v>0</v>
      </c>
      <c r="W191" s="87">
        <f>IFERROR(__xludf.DUMMYFUNCTION("""COMPUTED_VALUE"""),0.0)</f>
        <v>0</v>
      </c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</row>
    <row r="192">
      <c r="A192" s="84"/>
      <c r="B192" s="84"/>
      <c r="C192" s="84" t="b">
        <f>IFERROR(__xludf.DUMMYFUNCTION("""COMPUTED_VALUE"""),FALSE)</f>
        <v>0</v>
      </c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93">
        <f>IFERROR(__xludf.DUMMYFUNCTION("""COMPUTED_VALUE"""),0.0)</f>
        <v>0</v>
      </c>
      <c r="W192" s="87">
        <f>IFERROR(__xludf.DUMMYFUNCTION("""COMPUTED_VALUE"""),0.0)</f>
        <v>0</v>
      </c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</row>
    <row r="193">
      <c r="A193" s="84"/>
      <c r="B193" s="84"/>
      <c r="C193" s="84" t="b">
        <f>IFERROR(__xludf.DUMMYFUNCTION("""COMPUTED_VALUE"""),FALSE)</f>
        <v>0</v>
      </c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93">
        <f>IFERROR(__xludf.DUMMYFUNCTION("""COMPUTED_VALUE"""),0.0)</f>
        <v>0</v>
      </c>
      <c r="W193" s="87" t="str">
        <f>IFERROR(__xludf.DUMMYFUNCTION("""COMPUTED_VALUE"""),"")</f>
        <v/>
      </c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</row>
    <row r="194">
      <c r="A194" s="84"/>
      <c r="B194" s="84"/>
      <c r="C194" s="84"/>
      <c r="D194" s="84" t="str">
        <f>IFERROR(__xludf.DUMMYFUNCTION("""COMPUTED_VALUE"""),"End")</f>
        <v>End</v>
      </c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93">
        <f>IFERROR(__xludf.DUMMYFUNCTION("""COMPUTED_VALUE"""),0.0)</f>
        <v>0</v>
      </c>
      <c r="W194" s="87" t="str">
        <f>IFERROR(__xludf.DUMMYFUNCTION("""COMPUTED_VALUE"""),"")</f>
        <v/>
      </c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</row>
    <row r="195">
      <c r="A195" s="84"/>
      <c r="B195" s="84"/>
      <c r="C195" s="84"/>
      <c r="D195" s="84" t="str">
        <f>IFERROR(__xludf.DUMMYFUNCTION("""COMPUTED_VALUE"""),"Celkem kurýr")</f>
        <v>Celkem kurýr</v>
      </c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7" t="str">
        <f>IFERROR(__xludf.DUMMYFUNCTION("""COMPUTED_VALUE"""),"")</f>
        <v/>
      </c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</row>
    <row r="196">
      <c r="A196" s="84"/>
      <c r="B196" s="84"/>
      <c r="C196" s="84"/>
      <c r="D196" s="84" t="str">
        <f>IFERROR(__xludf.DUMMYFUNCTION("""COMPUTED_VALUE"""),"Celkem inst + kurýr")</f>
        <v>Celkem inst + kurýr</v>
      </c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7">
        <f>IFERROR(__xludf.DUMMYFUNCTION("""COMPUTED_VALUE"""),0.0)</f>
        <v>0</v>
      </c>
      <c r="W196" s="87">
        <f>IFERROR(__xludf.DUMMYFUNCTION("""COMPUTED_VALUE"""),74723.2)</f>
        <v>74723.2</v>
      </c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7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7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7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7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7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7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7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7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7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7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7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7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7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7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7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7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7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7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7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7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7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7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7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7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7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7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7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7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7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7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7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7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7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7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7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7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7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7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7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7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7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7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7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7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7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7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7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7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7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7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7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7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7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7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7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7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7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7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7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7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7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7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7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7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7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7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7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7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7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7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7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7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7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7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7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7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7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7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7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7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7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7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7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7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7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7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7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7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7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7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7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7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7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7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7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7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7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7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7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7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7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7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7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7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7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7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7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7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7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7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7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7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7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7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7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7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7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7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7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7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7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7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7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7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7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7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7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7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7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7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7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7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7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7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7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7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7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7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7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7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7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7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7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7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7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7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7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7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7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7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7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7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7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7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7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7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7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7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7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7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7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7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7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7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7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7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7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7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7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7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7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7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7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7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7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7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7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7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7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7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7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7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7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7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7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7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7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7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7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7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7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7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7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7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7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7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7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7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7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7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7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7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7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7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7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7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7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7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7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7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7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7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7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7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7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7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7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7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7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7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7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7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7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7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7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7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7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7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7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7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7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7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7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7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7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7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7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7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7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7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7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7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7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7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7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7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7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7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7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7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7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7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7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7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7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7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7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7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7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7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7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7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7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7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7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7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7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7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7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7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7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7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7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7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7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7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7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7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7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7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7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7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7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7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7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7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7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7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7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7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7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7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7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7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7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7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7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7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7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7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7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7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7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7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7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7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7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7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7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7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7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7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7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7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7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7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7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7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7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7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7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7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7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7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7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7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7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7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7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7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7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7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7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7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7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7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7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7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7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7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7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7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7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7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7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7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7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7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7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7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7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7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7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7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7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7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7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7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7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7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7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7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7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7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7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7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7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7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7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7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7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7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7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7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7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7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7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7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7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7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7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7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7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7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7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7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7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7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7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7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7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7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7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7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7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7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7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7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7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7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7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7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7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7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7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7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7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7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7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7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7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7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7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7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7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7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7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7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7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7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7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7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7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7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7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7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7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7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7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7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7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7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7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7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7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7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7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7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7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7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7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7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7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7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7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7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7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7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7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7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7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7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7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7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7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7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7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7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7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7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7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7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7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7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7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7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7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7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7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7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7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7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7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7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7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7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7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7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7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7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7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7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7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7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7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7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7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7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7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7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7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7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7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7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7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7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7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7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7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7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7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7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7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7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7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7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7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7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7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7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7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7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7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7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7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7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7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7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7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7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7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7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7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7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7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7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7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7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7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7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7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7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7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7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7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7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7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7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7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7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7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7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7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7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7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7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7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7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7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7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7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7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7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7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7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7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7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7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7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7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7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7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7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7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7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7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7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7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7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7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7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7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7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7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7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7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7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7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7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7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7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7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7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7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7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7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7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7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7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7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7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7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7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7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7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7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7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7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7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7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7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7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7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7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7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7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7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7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7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7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7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7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7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7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7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7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7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7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7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7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7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7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7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7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7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7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7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7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7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7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7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7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7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7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7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7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7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7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7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7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7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7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7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7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7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7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7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7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7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7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7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7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7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7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7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7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7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7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7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7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7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7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7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7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7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7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7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7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7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7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7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7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7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7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7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7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7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7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7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7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7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7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7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7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7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7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7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7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7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7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7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7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7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7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7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7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7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7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7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7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7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7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7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7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7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7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7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7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7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7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7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7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7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7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7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7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7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7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7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7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7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7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7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7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7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7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7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7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7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7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7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7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7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7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7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7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7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7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7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7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7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7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7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7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7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7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7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7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7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7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7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7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7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7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7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7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7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7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7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7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7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7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7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7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7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7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7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7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7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7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7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7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7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7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7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7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7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7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7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7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7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7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7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7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7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7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7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7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7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7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7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7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7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7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7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7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7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7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7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7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7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7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7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7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4" t="s">
        <v>1</v>
      </c>
      <c r="B1" s="94" t="s">
        <v>25</v>
      </c>
      <c r="C1" s="94" t="s">
        <v>4</v>
      </c>
      <c r="D1" s="94" t="s">
        <v>7</v>
      </c>
      <c r="E1" s="94" t="s">
        <v>8</v>
      </c>
      <c r="F1" s="94" t="s">
        <v>26</v>
      </c>
      <c r="G1" s="94" t="s">
        <v>10</v>
      </c>
      <c r="H1" s="94" t="s">
        <v>27</v>
      </c>
      <c r="I1" s="94" t="s">
        <v>28</v>
      </c>
      <c r="J1" s="94" t="s">
        <v>12</v>
      </c>
      <c r="K1" s="94" t="s">
        <v>13</v>
      </c>
    </row>
    <row r="2">
      <c r="A2" s="95">
        <v>45528.0</v>
      </c>
      <c r="B2" s="94" t="s">
        <v>29</v>
      </c>
      <c r="C2" s="94" t="s">
        <v>30</v>
      </c>
      <c r="D2" s="96" t="s">
        <v>31</v>
      </c>
      <c r="E2" s="96" t="s">
        <v>32</v>
      </c>
      <c r="F2" s="96" t="s">
        <v>33</v>
      </c>
      <c r="G2" s="96" t="s">
        <v>34</v>
      </c>
      <c r="H2" s="97">
        <v>3728.0</v>
      </c>
    </row>
    <row r="3">
      <c r="A3" s="95">
        <v>45528.0</v>
      </c>
      <c r="B3" s="94" t="s">
        <v>29</v>
      </c>
      <c r="C3" s="94" t="s">
        <v>35</v>
      </c>
      <c r="D3" s="96" t="s">
        <v>36</v>
      </c>
      <c r="E3" s="96" t="s">
        <v>37</v>
      </c>
      <c r="F3" s="96" t="s">
        <v>33</v>
      </c>
      <c r="G3" s="96" t="s">
        <v>34</v>
      </c>
      <c r="H3" s="97">
        <v>3728.0</v>
      </c>
    </row>
    <row r="4">
      <c r="A4" s="95">
        <v>45528.0</v>
      </c>
      <c r="B4" s="94" t="s">
        <v>29</v>
      </c>
      <c r="C4" s="94" t="s">
        <v>20</v>
      </c>
      <c r="D4" s="96" t="s">
        <v>38</v>
      </c>
      <c r="E4" s="96" t="s">
        <v>36</v>
      </c>
      <c r="G4" s="96" t="s">
        <v>38</v>
      </c>
      <c r="H4" s="97">
        <v>3728.0</v>
      </c>
    </row>
    <row r="5">
      <c r="A5" s="95">
        <v>45528.0</v>
      </c>
      <c r="B5" s="94" t="s">
        <v>29</v>
      </c>
      <c r="I5" s="97">
        <v>12.0</v>
      </c>
      <c r="J5" s="97">
        <v>15.0</v>
      </c>
      <c r="K5" s="97">
        <v>14.0</v>
      </c>
    </row>
    <row r="6">
      <c r="A6" s="95">
        <v>45526.0</v>
      </c>
      <c r="B6" s="94" t="s">
        <v>39</v>
      </c>
      <c r="C6" s="94" t="s">
        <v>30</v>
      </c>
      <c r="D6" s="96" t="s">
        <v>31</v>
      </c>
      <c r="E6" s="96" t="s">
        <v>32</v>
      </c>
      <c r="F6" s="96" t="s">
        <v>33</v>
      </c>
      <c r="G6" s="96" t="s">
        <v>34</v>
      </c>
      <c r="H6" s="97">
        <v>3728.0</v>
      </c>
    </row>
    <row r="7">
      <c r="A7" s="95">
        <v>45526.0</v>
      </c>
      <c r="B7" s="94" t="s">
        <v>39</v>
      </c>
      <c r="C7" s="94" t="s">
        <v>35</v>
      </c>
      <c r="D7" s="96" t="s">
        <v>36</v>
      </c>
      <c r="E7" s="96" t="s">
        <v>37</v>
      </c>
      <c r="F7" s="96" t="s">
        <v>33</v>
      </c>
      <c r="G7" s="96" t="s">
        <v>34</v>
      </c>
      <c r="H7" s="97">
        <v>3728.0</v>
      </c>
    </row>
    <row r="8">
      <c r="A8" s="95">
        <v>45526.0</v>
      </c>
      <c r="B8" s="94" t="s">
        <v>39</v>
      </c>
      <c r="C8" s="94" t="s">
        <v>20</v>
      </c>
      <c r="D8" s="96" t="s">
        <v>38</v>
      </c>
      <c r="E8" s="96" t="s">
        <v>36</v>
      </c>
      <c r="G8" s="96" t="s">
        <v>38</v>
      </c>
      <c r="H8" s="97">
        <v>3728.0</v>
      </c>
    </row>
    <row r="9">
      <c r="A9" s="95">
        <v>45526.0</v>
      </c>
      <c r="B9" s="94" t="s">
        <v>39</v>
      </c>
      <c r="I9" s="97">
        <v>12.0</v>
      </c>
      <c r="J9" s="97">
        <v>15.0</v>
      </c>
      <c r="K9" s="97">
        <v>14.0</v>
      </c>
    </row>
    <row r="10">
      <c r="A10" s="95">
        <v>45526.0</v>
      </c>
      <c r="B10" s="94" t="s">
        <v>39</v>
      </c>
      <c r="C10" s="94" t="s">
        <v>30</v>
      </c>
      <c r="D10" s="96" t="s">
        <v>31</v>
      </c>
      <c r="E10" s="96" t="s">
        <v>32</v>
      </c>
      <c r="F10" s="96" t="s">
        <v>33</v>
      </c>
      <c r="G10" s="96" t="s">
        <v>34</v>
      </c>
      <c r="H10" s="97">
        <v>3728.0</v>
      </c>
    </row>
    <row r="11">
      <c r="A11" s="95">
        <v>45526.0</v>
      </c>
      <c r="B11" s="94" t="s">
        <v>39</v>
      </c>
      <c r="C11" s="94" t="s">
        <v>35</v>
      </c>
      <c r="D11" s="96" t="s">
        <v>36</v>
      </c>
      <c r="E11" s="96" t="s">
        <v>37</v>
      </c>
      <c r="F11" s="96" t="s">
        <v>33</v>
      </c>
      <c r="G11" s="96" t="s">
        <v>34</v>
      </c>
      <c r="H11" s="97">
        <v>3728.0</v>
      </c>
    </row>
    <row r="12">
      <c r="A12" s="95">
        <v>45526.0</v>
      </c>
      <c r="B12" s="94" t="s">
        <v>39</v>
      </c>
      <c r="C12" s="94" t="s">
        <v>20</v>
      </c>
      <c r="D12" s="96" t="s">
        <v>38</v>
      </c>
      <c r="E12" s="96" t="s">
        <v>36</v>
      </c>
      <c r="G12" s="96" t="s">
        <v>38</v>
      </c>
      <c r="H12" s="97">
        <v>3728.0</v>
      </c>
    </row>
    <row r="13">
      <c r="A13" s="95">
        <v>45526.0</v>
      </c>
      <c r="B13" s="94" t="s">
        <v>39</v>
      </c>
      <c r="I13" s="97">
        <v>12.0</v>
      </c>
      <c r="J13" s="97">
        <v>15.0</v>
      </c>
      <c r="K13" s="97">
        <v>14.0</v>
      </c>
    </row>
    <row r="14">
      <c r="A14" s="95">
        <v>45532.0</v>
      </c>
      <c r="B14" s="94" t="s">
        <v>40</v>
      </c>
    </row>
    <row r="15">
      <c r="A15" s="95">
        <v>45533.0</v>
      </c>
      <c r="B15" s="94" t="s">
        <v>39</v>
      </c>
    </row>
    <row r="16">
      <c r="A16" s="95">
        <v>45534.0</v>
      </c>
      <c r="B16" s="94" t="s">
        <v>41</v>
      </c>
    </row>
    <row r="17">
      <c r="A17" s="95">
        <v>45535.0</v>
      </c>
      <c r="B17" s="94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98" t="s">
        <v>42</v>
      </c>
      <c r="B1" s="7"/>
      <c r="C1" s="7"/>
      <c r="D1" s="7"/>
      <c r="E1" s="7"/>
      <c r="F1" s="7"/>
      <c r="G1" s="7"/>
      <c r="H1" s="8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O14" s="100"/>
      <c r="P14" s="100"/>
      <c r="Q14" s="100"/>
      <c r="S14" s="100"/>
      <c r="T14" s="100"/>
      <c r="U14" s="100"/>
      <c r="V14" s="100"/>
      <c r="W14" s="100"/>
      <c r="X14" s="100"/>
      <c r="Y14" s="100"/>
      <c r="Z14" s="100"/>
      <c r="AB14" s="94">
        <v>3.0</v>
      </c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T15" s="100"/>
      <c r="U15" s="100"/>
      <c r="V15" s="100"/>
      <c r="W15" s="100"/>
      <c r="X15" s="100"/>
      <c r="Y15" s="100"/>
      <c r="Z15" s="100"/>
      <c r="AB15" s="94">
        <v>-8.0</v>
      </c>
    </row>
    <row r="1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T16" s="100"/>
      <c r="U16" s="100"/>
      <c r="V16" s="100"/>
      <c r="W16" s="100"/>
      <c r="X16" s="100"/>
      <c r="Y16" s="100"/>
      <c r="Z16" s="100"/>
      <c r="AB16" s="94">
        <v>-5.0</v>
      </c>
    </row>
    <row r="17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S17" s="100"/>
      <c r="T17" s="100"/>
      <c r="U17" s="100"/>
      <c r="V17" s="100"/>
      <c r="W17" s="100"/>
      <c r="X17" s="100"/>
      <c r="Y17" s="100"/>
      <c r="Z17" s="100"/>
      <c r="AB17" s="94">
        <v>-6.0</v>
      </c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O18" s="100"/>
      <c r="P18" s="100"/>
      <c r="Q18" s="100"/>
      <c r="S18" s="100"/>
      <c r="T18" s="100"/>
      <c r="U18" s="100"/>
      <c r="V18" s="100"/>
      <c r="W18" s="100"/>
      <c r="X18" s="100"/>
      <c r="Y18" s="100"/>
      <c r="Z18" s="100"/>
      <c r="AB18" s="94">
        <v>2.0</v>
      </c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94" t="s">
        <v>43</v>
      </c>
      <c r="AB19" s="94">
        <v>-11.0</v>
      </c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O20" s="100"/>
      <c r="P20" s="100"/>
      <c r="Q20" s="100"/>
      <c r="S20" s="100"/>
      <c r="T20" s="100"/>
      <c r="U20" s="100"/>
      <c r="V20" s="100"/>
      <c r="W20" s="100"/>
      <c r="X20" s="100"/>
      <c r="Y20" s="100"/>
      <c r="Z20" s="100"/>
      <c r="AB20" s="94">
        <v>0.0</v>
      </c>
    </row>
    <row r="2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O21" s="100"/>
      <c r="P21" s="100"/>
      <c r="Q21" s="100"/>
      <c r="S21" s="100"/>
      <c r="T21" s="100"/>
      <c r="U21" s="100"/>
      <c r="V21" s="100"/>
      <c r="W21" s="100"/>
      <c r="X21" s="100"/>
      <c r="Y21" s="100"/>
      <c r="Z21" s="100"/>
      <c r="AB21" s="94">
        <v>5.0</v>
      </c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T22" s="100"/>
      <c r="U22" s="100"/>
      <c r="V22" s="100"/>
      <c r="W22" s="100"/>
      <c r="X22" s="100"/>
      <c r="Y22" s="100"/>
      <c r="Z22" s="100"/>
      <c r="AB22" s="94">
        <v>-7.0</v>
      </c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O23" s="100"/>
      <c r="P23" s="100"/>
      <c r="Q23" s="100"/>
      <c r="S23" s="100"/>
      <c r="T23" s="100"/>
      <c r="U23" s="100"/>
      <c r="V23" s="100"/>
      <c r="W23" s="100"/>
      <c r="X23" s="100"/>
      <c r="Y23" s="100"/>
      <c r="Z23" s="100"/>
      <c r="AB23" s="94">
        <v>1.0</v>
      </c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O24" s="100"/>
      <c r="P24" s="100"/>
      <c r="Q24" s="100"/>
      <c r="S24" s="100"/>
      <c r="T24" s="100"/>
      <c r="U24" s="100"/>
      <c r="V24" s="100"/>
      <c r="W24" s="100"/>
      <c r="X24" s="100"/>
      <c r="Y24" s="100"/>
      <c r="Z24" s="100"/>
      <c r="AB24" s="94">
        <v>-2.0</v>
      </c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O25" s="100"/>
      <c r="P25" s="100"/>
      <c r="Q25" s="100"/>
      <c r="S25" s="100"/>
      <c r="T25" s="100"/>
      <c r="U25" s="100"/>
      <c r="V25" s="100"/>
      <c r="W25" s="100"/>
      <c r="X25" s="100"/>
      <c r="Y25" s="100"/>
      <c r="Z25" s="100"/>
      <c r="AB25" s="94">
        <v>-1.0</v>
      </c>
    </row>
    <row r="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O26" s="100"/>
      <c r="P26" s="100"/>
      <c r="Q26" s="100"/>
      <c r="S26" s="100"/>
      <c r="T26" s="100"/>
      <c r="U26" s="100"/>
      <c r="V26" s="100"/>
      <c r="W26" s="100"/>
      <c r="X26" s="100"/>
      <c r="Y26" s="100"/>
      <c r="Z26" s="100"/>
      <c r="AB26" s="94">
        <v>0.0</v>
      </c>
    </row>
    <row r="27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S27" s="100"/>
      <c r="T27" s="100"/>
      <c r="U27" s="100"/>
      <c r="V27" s="100"/>
      <c r="W27" s="100"/>
      <c r="X27" s="100"/>
      <c r="Y27" s="100"/>
      <c r="Z27" s="100"/>
      <c r="AB27" s="94">
        <v>-7.0</v>
      </c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O28" s="100"/>
      <c r="P28" s="100"/>
      <c r="Q28" s="100"/>
      <c r="S28" s="100"/>
      <c r="T28" s="100"/>
      <c r="U28" s="100"/>
      <c r="V28" s="100"/>
      <c r="W28" s="100"/>
      <c r="X28" s="100"/>
      <c r="Y28" s="100"/>
      <c r="Z28" s="100"/>
      <c r="AB28" s="94">
        <v>-9.0</v>
      </c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O29" s="100"/>
      <c r="P29" s="100"/>
      <c r="Q29" s="100"/>
      <c r="S29" s="100"/>
      <c r="T29" s="100"/>
      <c r="U29" s="100"/>
      <c r="V29" s="100"/>
      <c r="W29" s="100"/>
      <c r="X29" s="100"/>
      <c r="Y29" s="100"/>
      <c r="Z29" s="100"/>
      <c r="AB29" s="94">
        <v>0.0</v>
      </c>
    </row>
    <row r="30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94" t="s">
        <v>44</v>
      </c>
      <c r="AB30" s="94">
        <v>-8.0</v>
      </c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T31" s="100"/>
      <c r="U31" s="100"/>
      <c r="V31" s="100"/>
      <c r="W31" s="100"/>
      <c r="X31" s="100"/>
      <c r="Y31" s="100"/>
      <c r="Z31" s="100"/>
      <c r="AB31" s="94">
        <v>-7.0</v>
      </c>
    </row>
    <row r="3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O32" s="100"/>
      <c r="P32" s="100"/>
      <c r="Q32" s="100"/>
      <c r="S32" s="100"/>
      <c r="T32" s="100"/>
      <c r="U32" s="100"/>
      <c r="V32" s="100"/>
      <c r="W32" s="100"/>
      <c r="X32" s="100"/>
      <c r="Y32" s="100"/>
      <c r="Z32" s="100"/>
      <c r="AB32" s="94">
        <v>-2.0</v>
      </c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T33" s="100"/>
      <c r="U33" s="100"/>
      <c r="V33" s="100"/>
      <c r="W33" s="100"/>
      <c r="X33" s="100"/>
      <c r="Y33" s="100"/>
      <c r="Z33" s="100"/>
      <c r="AB33" s="94">
        <v>-8.0</v>
      </c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94" t="s">
        <v>45</v>
      </c>
      <c r="AB34" s="94">
        <v>0.0</v>
      </c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O35" s="100"/>
      <c r="P35" s="100"/>
      <c r="Q35" s="100"/>
      <c r="S35" s="100"/>
      <c r="T35" s="100"/>
      <c r="U35" s="100"/>
      <c r="V35" s="100"/>
      <c r="W35" s="100"/>
      <c r="X35" s="100"/>
      <c r="Y35" s="100"/>
      <c r="Z35" s="100"/>
      <c r="AB35" s="94">
        <v>1.0</v>
      </c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O36" s="100"/>
      <c r="P36" s="100"/>
      <c r="Q36" s="100"/>
      <c r="S36" s="100"/>
      <c r="T36" s="100"/>
      <c r="U36" s="100"/>
      <c r="V36" s="100"/>
      <c r="Y36" s="100"/>
      <c r="Z36" s="100"/>
      <c r="AB36" s="94">
        <v>0.0</v>
      </c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O37" s="100"/>
      <c r="P37" s="100"/>
      <c r="Q37" s="100"/>
      <c r="S37" s="100"/>
      <c r="T37" s="100"/>
      <c r="U37" s="100"/>
      <c r="V37" s="100"/>
      <c r="W37" s="100"/>
      <c r="X37" s="100"/>
      <c r="Y37" s="100"/>
      <c r="Z37" s="100"/>
      <c r="AB37" s="94">
        <v>4.0</v>
      </c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94" t="s">
        <v>46</v>
      </c>
      <c r="AB38" s="94">
        <v>-12.0</v>
      </c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94" t="s">
        <v>47</v>
      </c>
      <c r="AB39" s="94">
        <v>0.0</v>
      </c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O40" s="100"/>
      <c r="P40" s="100"/>
      <c r="Q40" s="100"/>
      <c r="S40" s="100"/>
      <c r="T40" s="100"/>
      <c r="U40" s="100"/>
      <c r="V40" s="100"/>
      <c r="W40" s="100"/>
      <c r="X40" s="100"/>
      <c r="Y40" s="100"/>
      <c r="Z40" s="100"/>
      <c r="AB40" s="94">
        <v>-2.0</v>
      </c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O41" s="100"/>
      <c r="P41" s="100"/>
      <c r="Q41" s="100"/>
      <c r="S41" s="100"/>
      <c r="T41" s="100"/>
      <c r="U41" s="100"/>
      <c r="V41" s="100"/>
      <c r="W41" s="100"/>
      <c r="X41" s="100"/>
      <c r="Y41" s="100"/>
      <c r="Z41" s="100"/>
      <c r="AB41" s="94">
        <v>-10.0</v>
      </c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94" t="s">
        <v>48</v>
      </c>
      <c r="AB42" s="94">
        <v>6.0</v>
      </c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T43" s="100"/>
      <c r="U43" s="100"/>
      <c r="V43" s="100"/>
      <c r="W43" s="100"/>
      <c r="X43" s="100"/>
      <c r="Y43" s="100"/>
      <c r="Z43" s="100"/>
      <c r="AB43" s="94">
        <v>-7.0</v>
      </c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O44" s="100"/>
      <c r="P44" s="100"/>
      <c r="Q44" s="100"/>
      <c r="S44" s="100"/>
      <c r="T44" s="100"/>
      <c r="U44" s="100"/>
      <c r="V44" s="100"/>
      <c r="W44" s="100"/>
      <c r="X44" s="100"/>
      <c r="Y44" s="100"/>
      <c r="Z44" s="100"/>
      <c r="AB44" s="94">
        <v>-2.0</v>
      </c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O45" s="100"/>
      <c r="P45" s="100"/>
      <c r="Q45" s="100"/>
      <c r="S45" s="100"/>
      <c r="T45" s="100"/>
      <c r="U45" s="100"/>
      <c r="V45" s="100"/>
      <c r="W45" s="100"/>
      <c r="X45" s="100"/>
      <c r="Y45" s="100"/>
      <c r="Z45" s="100"/>
      <c r="AB45" s="94">
        <v>0.0</v>
      </c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T46" s="100"/>
      <c r="U46" s="100"/>
      <c r="V46" s="100"/>
      <c r="W46" s="100"/>
      <c r="X46" s="100"/>
      <c r="Y46" s="100"/>
      <c r="Z46" s="100"/>
      <c r="AB46" s="94">
        <v>-2.0</v>
      </c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O47" s="100"/>
      <c r="P47" s="100"/>
      <c r="Q47" s="100"/>
      <c r="S47" s="100"/>
      <c r="T47" s="100"/>
      <c r="U47" s="100"/>
      <c r="V47" s="100"/>
      <c r="W47" s="100"/>
      <c r="X47" s="100"/>
      <c r="Y47" s="100"/>
      <c r="Z47" s="100"/>
      <c r="AB47" s="94">
        <v>0.0</v>
      </c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94" t="s">
        <v>49</v>
      </c>
      <c r="AB48" s="94">
        <v>-13.0</v>
      </c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T49" s="100"/>
      <c r="U49" s="100"/>
      <c r="V49" s="100"/>
      <c r="W49" s="100"/>
      <c r="X49" s="100"/>
      <c r="Y49" s="100"/>
      <c r="Z49" s="100"/>
      <c r="AB49" s="94">
        <v>-6.0</v>
      </c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O50" s="100"/>
      <c r="P50" s="100"/>
      <c r="Q50" s="100"/>
      <c r="S50" s="100"/>
      <c r="T50" s="100"/>
      <c r="U50" s="100"/>
      <c r="V50" s="100"/>
      <c r="W50" s="100"/>
      <c r="X50" s="100"/>
      <c r="Y50" s="100"/>
      <c r="Z50" s="100"/>
      <c r="AB50" s="94">
        <v>0.0</v>
      </c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O51" s="100"/>
      <c r="P51" s="100"/>
      <c r="Q51" s="100"/>
      <c r="S51" s="100"/>
      <c r="T51" s="100"/>
      <c r="U51" s="100"/>
      <c r="V51" s="100"/>
      <c r="W51" s="100"/>
      <c r="X51" s="100"/>
      <c r="Y51" s="100"/>
      <c r="Z51" s="100"/>
      <c r="AB51" s="94">
        <v>-6.0</v>
      </c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94" t="s">
        <v>50</v>
      </c>
      <c r="AB52" s="94">
        <v>5.0</v>
      </c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O53" s="100"/>
      <c r="P53" s="100"/>
      <c r="Q53" s="100"/>
      <c r="S53" s="100"/>
      <c r="T53" s="100"/>
      <c r="U53" s="100"/>
      <c r="V53" s="100"/>
      <c r="W53" s="100"/>
      <c r="X53" s="100"/>
      <c r="Y53" s="100"/>
      <c r="Z53" s="100"/>
      <c r="AB53" s="94">
        <v>0.0</v>
      </c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O54" s="100"/>
      <c r="P54" s="100"/>
      <c r="Q54" s="100"/>
      <c r="S54" s="100"/>
      <c r="T54" s="100"/>
      <c r="U54" s="100"/>
      <c r="V54" s="100"/>
      <c r="W54" s="100"/>
      <c r="X54" s="100"/>
      <c r="Y54" s="100"/>
      <c r="Z54" s="100"/>
      <c r="AB54" s="94">
        <v>0.0</v>
      </c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T55" s="100"/>
      <c r="U55" s="100"/>
      <c r="V55" s="100"/>
      <c r="W55" s="100"/>
      <c r="X55" s="100"/>
      <c r="Y55" s="100"/>
      <c r="Z55" s="100"/>
      <c r="AB55" s="94">
        <v>-8.0</v>
      </c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T56" s="100"/>
      <c r="U56" s="100"/>
      <c r="V56" s="100"/>
      <c r="W56" s="100"/>
      <c r="X56" s="100"/>
      <c r="Y56" s="100"/>
      <c r="Z56" s="100"/>
      <c r="AB56" s="94">
        <v>-11.0</v>
      </c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T57" s="100"/>
      <c r="U57" s="100"/>
      <c r="V57" s="100"/>
      <c r="W57" s="100"/>
      <c r="X57" s="100"/>
      <c r="Y57" s="100"/>
      <c r="Z57" s="100"/>
      <c r="AB57" s="94">
        <v>-6.0</v>
      </c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O58" s="100"/>
      <c r="P58" s="100"/>
      <c r="Q58" s="100"/>
      <c r="S58" s="100"/>
      <c r="T58" s="100"/>
      <c r="U58" s="100"/>
      <c r="V58" s="100"/>
      <c r="W58" s="100"/>
      <c r="X58" s="100"/>
      <c r="Y58" s="100"/>
      <c r="Z58" s="100"/>
      <c r="AB58" s="94">
        <v>-2.0</v>
      </c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94" t="s">
        <v>51</v>
      </c>
      <c r="AB59" s="94">
        <v>-9.0</v>
      </c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T60" s="100"/>
      <c r="U60" s="100"/>
      <c r="V60" s="100"/>
      <c r="W60" s="100"/>
      <c r="X60" s="100"/>
      <c r="Y60" s="100"/>
      <c r="Z60" s="100"/>
      <c r="AB60" s="94">
        <v>-9.0</v>
      </c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O61" s="100"/>
      <c r="P61" s="100"/>
      <c r="Q61" s="100"/>
      <c r="S61" s="100"/>
      <c r="T61" s="100"/>
      <c r="U61" s="100"/>
      <c r="V61" s="100"/>
      <c r="W61" s="100"/>
      <c r="X61" s="100"/>
      <c r="Y61" s="100"/>
      <c r="Z61" s="100"/>
      <c r="AB61" s="94">
        <v>-2.0</v>
      </c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T62" s="100"/>
      <c r="U62" s="100"/>
      <c r="V62" s="100"/>
      <c r="W62" s="100"/>
      <c r="X62" s="100"/>
      <c r="Y62" s="100"/>
      <c r="Z62" s="100"/>
      <c r="AB62" s="94">
        <v>-8.0</v>
      </c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94" t="s">
        <v>52</v>
      </c>
      <c r="AB63" s="94">
        <v>-19.0</v>
      </c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O64" s="100"/>
      <c r="P64" s="100"/>
      <c r="Q64" s="100"/>
      <c r="S64" s="100"/>
      <c r="T64" s="100"/>
      <c r="U64" s="100"/>
      <c r="V64" s="100"/>
      <c r="W64" s="100"/>
      <c r="X64" s="100"/>
      <c r="Y64" s="100"/>
      <c r="Z64" s="100"/>
      <c r="AB64" s="94">
        <v>-12.0</v>
      </c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T65" s="100"/>
      <c r="U65" s="100"/>
      <c r="V65" s="100"/>
      <c r="W65" s="100"/>
      <c r="X65" s="100"/>
      <c r="Y65" s="100"/>
      <c r="Z65" s="100"/>
      <c r="AB65" s="94">
        <v>-7.0</v>
      </c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T66" s="100"/>
      <c r="U66" s="100"/>
      <c r="V66" s="100"/>
      <c r="W66" s="100"/>
      <c r="X66" s="100"/>
      <c r="Y66" s="100"/>
      <c r="Z66" s="100"/>
      <c r="AB66" s="94">
        <v>-9.0</v>
      </c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O67" s="100"/>
      <c r="P67" s="100"/>
      <c r="Q67" s="100"/>
      <c r="S67" s="100"/>
      <c r="T67" s="100"/>
      <c r="U67" s="100"/>
      <c r="V67" s="100"/>
      <c r="W67" s="100"/>
      <c r="X67" s="100"/>
      <c r="Y67" s="100"/>
      <c r="Z67" s="100"/>
      <c r="AB67" s="94">
        <v>-9.0</v>
      </c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O68" s="100"/>
      <c r="P68" s="100"/>
      <c r="Q68" s="100"/>
      <c r="S68" s="100"/>
      <c r="T68" s="100"/>
      <c r="U68" s="100"/>
      <c r="V68" s="100"/>
      <c r="W68" s="100"/>
      <c r="X68" s="100"/>
      <c r="Y68" s="100"/>
      <c r="Z68" s="100"/>
      <c r="AB68" s="94">
        <v>-11.0</v>
      </c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O69" s="100"/>
      <c r="P69" s="100"/>
      <c r="Q69" s="100"/>
      <c r="S69" s="100"/>
      <c r="T69" s="100"/>
      <c r="U69" s="100"/>
      <c r="V69" s="100"/>
      <c r="W69" s="100"/>
      <c r="X69" s="100"/>
      <c r="Y69" s="100"/>
      <c r="Z69" s="100"/>
      <c r="AB69" s="94">
        <v>3.0</v>
      </c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94" t="s">
        <v>53</v>
      </c>
      <c r="AB70" s="94">
        <v>-14.0</v>
      </c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O71" s="100"/>
      <c r="P71" s="100"/>
      <c r="Q71" s="100"/>
      <c r="S71" s="100"/>
      <c r="T71" s="100"/>
      <c r="U71" s="100"/>
      <c r="V71" s="100"/>
      <c r="W71" s="100"/>
      <c r="X71" s="100"/>
      <c r="Y71" s="100"/>
      <c r="Z71" s="100"/>
      <c r="AB71" s="94">
        <v>1.0</v>
      </c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O72" s="100"/>
      <c r="P72" s="100"/>
      <c r="Q72" s="100"/>
      <c r="S72" s="100"/>
      <c r="T72" s="100"/>
      <c r="U72" s="100"/>
      <c r="V72" s="100"/>
      <c r="W72" s="100"/>
      <c r="X72" s="100"/>
      <c r="Y72" s="100"/>
      <c r="Z72" s="100"/>
      <c r="AB72" s="94">
        <v>-2.0</v>
      </c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O73" s="100"/>
      <c r="P73" s="100"/>
      <c r="Q73" s="100"/>
      <c r="S73" s="100"/>
      <c r="T73" s="100"/>
      <c r="U73" s="100"/>
      <c r="V73" s="100"/>
      <c r="W73" s="100"/>
      <c r="X73" s="100"/>
      <c r="Y73" s="100"/>
      <c r="Z73" s="100"/>
      <c r="AB73" s="94">
        <v>1.0</v>
      </c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O74" s="100"/>
      <c r="P74" s="100"/>
      <c r="Q74" s="100"/>
      <c r="S74" s="100"/>
      <c r="T74" s="100"/>
      <c r="U74" s="100"/>
      <c r="V74" s="100"/>
      <c r="W74" s="100"/>
      <c r="X74" s="100"/>
      <c r="Y74" s="100"/>
      <c r="Z74" s="100"/>
      <c r="AB74" s="94">
        <v>-1.0</v>
      </c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T75" s="100"/>
      <c r="U75" s="100"/>
      <c r="V75" s="100"/>
      <c r="W75" s="100"/>
      <c r="X75" s="100"/>
      <c r="Y75" s="100"/>
      <c r="Z75" s="100"/>
      <c r="AB75" s="94">
        <v>-9.0</v>
      </c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O76" s="100"/>
      <c r="P76" s="100"/>
      <c r="Q76" s="100"/>
      <c r="S76" s="100"/>
      <c r="T76" s="100"/>
      <c r="U76" s="100"/>
      <c r="V76" s="100"/>
      <c r="W76" s="100"/>
      <c r="X76" s="100"/>
      <c r="Y76" s="100"/>
      <c r="Z76" s="100"/>
      <c r="AB76" s="94">
        <v>0.0</v>
      </c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T77" s="100"/>
      <c r="U77" s="100"/>
      <c r="V77" s="100"/>
      <c r="W77" s="100"/>
      <c r="X77" s="100"/>
      <c r="Y77" s="100"/>
      <c r="Z77" s="100"/>
      <c r="AB77" s="94">
        <v>-7.0</v>
      </c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O78" s="100"/>
      <c r="P78" s="100"/>
      <c r="Q78" s="100"/>
      <c r="S78" s="100"/>
      <c r="T78" s="100"/>
      <c r="U78" s="100"/>
      <c r="V78" s="100"/>
      <c r="W78" s="100"/>
      <c r="X78" s="100"/>
      <c r="Y78" s="100"/>
      <c r="Z78" s="100"/>
      <c r="AB78" s="94">
        <v>0.0</v>
      </c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T79" s="100"/>
      <c r="U79" s="100"/>
      <c r="V79" s="100"/>
      <c r="W79" s="100"/>
      <c r="X79" s="100"/>
      <c r="Y79" s="100"/>
      <c r="Z79" s="100"/>
      <c r="AB79" s="94">
        <v>-8.0</v>
      </c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O80" s="100"/>
      <c r="P80" s="100"/>
      <c r="Q80" s="100"/>
      <c r="S80" s="100"/>
      <c r="T80" s="100"/>
      <c r="U80" s="100"/>
      <c r="V80" s="100"/>
      <c r="W80" s="100"/>
      <c r="X80" s="100"/>
      <c r="Y80" s="100"/>
      <c r="Z80" s="100"/>
      <c r="AB80" s="94">
        <v>0.0</v>
      </c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O81" s="100"/>
      <c r="P81" s="100"/>
      <c r="Q81" s="100"/>
      <c r="S81" s="100"/>
      <c r="T81" s="100"/>
      <c r="U81" s="100"/>
      <c r="V81" s="100"/>
      <c r="W81" s="100"/>
      <c r="X81" s="100"/>
      <c r="Y81" s="100"/>
      <c r="Z81" s="100"/>
      <c r="AB81" s="94">
        <v>1.0</v>
      </c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T82" s="100"/>
      <c r="U82" s="100"/>
      <c r="V82" s="100"/>
      <c r="W82" s="100"/>
      <c r="X82" s="100"/>
      <c r="Y82" s="100"/>
      <c r="Z82" s="100"/>
      <c r="AB82" s="94">
        <v>-7.0</v>
      </c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O83" s="100"/>
      <c r="P83" s="100"/>
      <c r="Q83" s="100"/>
      <c r="S83" s="100"/>
      <c r="T83" s="100"/>
      <c r="U83" s="100"/>
      <c r="V83" s="100"/>
      <c r="W83" s="100"/>
      <c r="X83" s="100"/>
      <c r="Y83" s="100"/>
      <c r="Z83" s="100"/>
      <c r="AB83" s="94">
        <v>0.0</v>
      </c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O84" s="100"/>
      <c r="P84" s="100"/>
      <c r="Q84" s="100"/>
      <c r="S84" s="100"/>
      <c r="T84" s="100"/>
      <c r="U84" s="100"/>
      <c r="V84" s="100"/>
      <c r="W84" s="100"/>
      <c r="X84" s="100"/>
      <c r="Y84" s="100"/>
      <c r="Z84" s="100"/>
      <c r="AB84" s="94">
        <v>-11.0</v>
      </c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O85" s="100"/>
      <c r="P85" s="100"/>
      <c r="Q85" s="100"/>
      <c r="S85" s="100"/>
      <c r="T85" s="100"/>
      <c r="U85" s="100"/>
      <c r="V85" s="100"/>
      <c r="W85" s="100"/>
      <c r="X85" s="100"/>
      <c r="Y85" s="100"/>
      <c r="Z85" s="100"/>
      <c r="AB85" s="94">
        <v>-13.0</v>
      </c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94" t="s">
        <v>54</v>
      </c>
      <c r="AB86" s="94">
        <v>-21.0</v>
      </c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94" t="s">
        <v>55</v>
      </c>
      <c r="AB87" s="94">
        <v>-7.0</v>
      </c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94" t="s">
        <v>56</v>
      </c>
      <c r="AB88" s="94">
        <v>-10.0</v>
      </c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94" t="s">
        <v>57</v>
      </c>
      <c r="AB89" s="94">
        <v>-6.0</v>
      </c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S90" s="100"/>
      <c r="T90" s="100"/>
      <c r="U90" s="100"/>
      <c r="V90" s="100"/>
      <c r="W90" s="100"/>
      <c r="X90" s="100"/>
      <c r="Y90" s="100"/>
      <c r="Z90" s="100"/>
      <c r="AB90" s="94">
        <v>-7.0</v>
      </c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O91" s="100"/>
      <c r="P91" s="100"/>
      <c r="Q91" s="100"/>
      <c r="S91" s="100"/>
      <c r="T91" s="100"/>
      <c r="U91" s="100"/>
      <c r="V91" s="100"/>
      <c r="W91" s="100"/>
      <c r="X91" s="100"/>
      <c r="Y91" s="100"/>
      <c r="Z91" s="100"/>
      <c r="AB91" s="94">
        <v>-2.0</v>
      </c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94" t="s">
        <v>58</v>
      </c>
      <c r="AB92" s="94">
        <v>-17.0</v>
      </c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O93" s="100"/>
      <c r="P93" s="100"/>
      <c r="Q93" s="100"/>
      <c r="S93" s="100"/>
      <c r="T93" s="100"/>
      <c r="U93" s="100"/>
      <c r="V93" s="100"/>
      <c r="W93" s="100"/>
      <c r="X93" s="100"/>
      <c r="Y93" s="100"/>
      <c r="Z93" s="100"/>
      <c r="AB93" s="94">
        <v>-12.0</v>
      </c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T94" s="100"/>
      <c r="U94" s="100"/>
      <c r="V94" s="100"/>
      <c r="W94" s="100"/>
      <c r="X94" s="100"/>
      <c r="Y94" s="100"/>
      <c r="Z94" s="100"/>
      <c r="AB94" s="94">
        <v>-4.0</v>
      </c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T95" s="100"/>
      <c r="U95" s="100"/>
      <c r="V95" s="100"/>
      <c r="W95" s="100"/>
      <c r="X95" s="100"/>
      <c r="Y95" s="100"/>
      <c r="Z95" s="100"/>
      <c r="AB95" s="94">
        <v>-11.0</v>
      </c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O96" s="100"/>
      <c r="P96" s="100"/>
      <c r="Q96" s="100"/>
      <c r="S96" s="100"/>
      <c r="T96" s="100"/>
      <c r="U96" s="100"/>
      <c r="V96" s="100"/>
      <c r="W96" s="100"/>
      <c r="X96" s="100"/>
      <c r="Y96" s="100"/>
      <c r="Z96" s="100"/>
      <c r="AB96" s="94">
        <v>1.0</v>
      </c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O97" s="100"/>
      <c r="P97" s="100"/>
      <c r="Q97" s="100"/>
      <c r="S97" s="100"/>
      <c r="T97" s="100"/>
      <c r="U97" s="100"/>
      <c r="V97" s="100"/>
      <c r="W97" s="100"/>
      <c r="X97" s="100"/>
      <c r="Y97" s="100"/>
      <c r="Z97" s="100"/>
      <c r="AB97" s="94">
        <v>0.0</v>
      </c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T98" s="100"/>
      <c r="U98" s="100"/>
      <c r="V98" s="100"/>
      <c r="W98" s="100"/>
      <c r="X98" s="100"/>
      <c r="Y98" s="100"/>
      <c r="Z98" s="100"/>
      <c r="AB98" s="94">
        <v>-9.0</v>
      </c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O99" s="100"/>
      <c r="P99" s="100"/>
      <c r="Q99" s="100"/>
      <c r="S99" s="100"/>
      <c r="T99" s="100"/>
      <c r="U99" s="100"/>
      <c r="V99" s="100"/>
      <c r="W99" s="100"/>
      <c r="X99" s="100"/>
      <c r="Y99" s="100"/>
      <c r="Z99" s="100"/>
      <c r="AB99" s="94">
        <v>1.0</v>
      </c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T100" s="100"/>
      <c r="U100" s="100"/>
      <c r="V100" s="100"/>
      <c r="W100" s="100"/>
      <c r="X100" s="100"/>
      <c r="Y100" s="100"/>
      <c r="Z100" s="100"/>
      <c r="AB100" s="94">
        <v>-8.0</v>
      </c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94" t="s">
        <v>59</v>
      </c>
      <c r="AB101" s="94">
        <v>-6.0</v>
      </c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94" t="s">
        <v>60</v>
      </c>
      <c r="AB102" s="94">
        <v>1.0</v>
      </c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O103" s="100"/>
      <c r="P103" s="100"/>
      <c r="Q103" s="100"/>
      <c r="S103" s="100"/>
      <c r="T103" s="100"/>
      <c r="U103" s="100"/>
      <c r="V103" s="100"/>
      <c r="W103" s="100"/>
      <c r="X103" s="100"/>
      <c r="Y103" s="100"/>
      <c r="Z103" s="100"/>
      <c r="AB103" s="94">
        <v>-1.0</v>
      </c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T104" s="100"/>
      <c r="U104" s="100"/>
      <c r="V104" s="100"/>
      <c r="W104" s="100"/>
      <c r="X104" s="100"/>
      <c r="Y104" s="100"/>
      <c r="Z104" s="100"/>
      <c r="AB104" s="94">
        <v>-5.0</v>
      </c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94" t="s">
        <v>61</v>
      </c>
      <c r="AB105" s="94">
        <v>-2.0</v>
      </c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O106" s="100"/>
      <c r="P106" s="100"/>
      <c r="Q106" s="100"/>
      <c r="S106" s="100"/>
      <c r="T106" s="100"/>
      <c r="U106" s="100"/>
      <c r="V106" s="100"/>
      <c r="W106" s="100"/>
      <c r="X106" s="100"/>
      <c r="Y106" s="100"/>
      <c r="Z106" s="100"/>
      <c r="AB106" s="94">
        <v>1.0</v>
      </c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94" t="s">
        <v>62</v>
      </c>
      <c r="AB107" s="94">
        <v>-12.0</v>
      </c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O108" s="100"/>
      <c r="P108" s="100"/>
      <c r="Q108" s="100"/>
      <c r="S108" s="100"/>
      <c r="T108" s="100"/>
      <c r="U108" s="100"/>
      <c r="V108" s="100"/>
      <c r="W108" s="100"/>
      <c r="X108" s="100"/>
      <c r="Y108" s="100"/>
      <c r="Z108" s="100"/>
      <c r="AB108" s="94">
        <v>0.0</v>
      </c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O109" s="100"/>
      <c r="P109" s="100"/>
      <c r="Q109" s="100"/>
      <c r="S109" s="100"/>
      <c r="T109" s="100"/>
      <c r="U109" s="100"/>
      <c r="V109" s="100"/>
      <c r="W109" s="100"/>
      <c r="X109" s="100"/>
      <c r="Y109" s="100"/>
      <c r="Z109" s="100"/>
      <c r="AB109" s="94">
        <v>-1.0</v>
      </c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94" t="s">
        <v>63</v>
      </c>
      <c r="AB110" s="94">
        <v>-14.0</v>
      </c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94" t="s">
        <v>64</v>
      </c>
      <c r="AB111" s="94">
        <v>-6.0</v>
      </c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94" t="s">
        <v>65</v>
      </c>
      <c r="AB112" s="94">
        <v>-11.0</v>
      </c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T113" s="100"/>
      <c r="U113" s="100"/>
      <c r="V113" s="100"/>
      <c r="W113" s="100"/>
      <c r="X113" s="100"/>
      <c r="Y113" s="100"/>
      <c r="Z113" s="100"/>
      <c r="AB113" s="94">
        <v>-8.0</v>
      </c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94" t="s">
        <v>66</v>
      </c>
      <c r="AB114" s="94">
        <v>-1.0</v>
      </c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O115" s="100"/>
      <c r="P115" s="100"/>
      <c r="Q115" s="100"/>
      <c r="S115" s="100"/>
      <c r="T115" s="100"/>
      <c r="U115" s="100"/>
      <c r="V115" s="100"/>
      <c r="W115" s="100"/>
      <c r="X115" s="100"/>
      <c r="Y115" s="100"/>
      <c r="Z115" s="100"/>
      <c r="AB115" s="94">
        <v>4.0</v>
      </c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O116" s="100"/>
      <c r="P116" s="100"/>
      <c r="Q116" s="100"/>
      <c r="S116" s="100"/>
      <c r="T116" s="100"/>
      <c r="U116" s="100"/>
      <c r="V116" s="100"/>
      <c r="W116" s="100"/>
      <c r="X116" s="100"/>
      <c r="Y116" s="100"/>
      <c r="Z116" s="100"/>
      <c r="AB116" s="94">
        <v>-7.0</v>
      </c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94" t="s">
        <v>67</v>
      </c>
      <c r="AB117" s="94">
        <v>12.0</v>
      </c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O118" s="100"/>
      <c r="P118" s="100"/>
      <c r="Q118" s="100"/>
      <c r="S118" s="100"/>
      <c r="T118" s="100"/>
      <c r="U118" s="100"/>
      <c r="V118" s="100"/>
      <c r="W118" s="100"/>
      <c r="X118" s="100"/>
      <c r="Y118" s="100"/>
      <c r="Z118" s="100"/>
      <c r="AB118" s="94">
        <v>-1.0</v>
      </c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94" t="s">
        <v>68</v>
      </c>
      <c r="AB119" s="94">
        <v>-17.0</v>
      </c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T120" s="100"/>
      <c r="U120" s="100"/>
      <c r="V120" s="100"/>
      <c r="W120" s="100"/>
      <c r="X120" s="100"/>
      <c r="Y120" s="100"/>
      <c r="Z120" s="100"/>
      <c r="AB120" s="94">
        <v>-5.0</v>
      </c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T121" s="100"/>
      <c r="U121" s="100"/>
      <c r="V121" s="100"/>
      <c r="W121" s="100"/>
      <c r="X121" s="100"/>
      <c r="Y121" s="100"/>
      <c r="Z121" s="100"/>
      <c r="AB121" s="94">
        <v>-6.0</v>
      </c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T122" s="100"/>
      <c r="U122" s="100"/>
      <c r="V122" s="100"/>
      <c r="W122" s="100"/>
      <c r="X122" s="100"/>
      <c r="Y122" s="100"/>
      <c r="Z122" s="100"/>
      <c r="AB122" s="94">
        <v>-6.0</v>
      </c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94" t="s">
        <v>69</v>
      </c>
      <c r="AB123" s="94">
        <v>-15.0</v>
      </c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S124" s="100"/>
      <c r="T124" s="100"/>
      <c r="U124" s="100"/>
      <c r="V124" s="100"/>
      <c r="W124" s="100"/>
      <c r="X124" s="100"/>
      <c r="Y124" s="100"/>
      <c r="Z124" s="100"/>
      <c r="AB124" s="94">
        <v>-6.0</v>
      </c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O125" s="100"/>
      <c r="P125" s="100"/>
      <c r="Q125" s="100"/>
      <c r="S125" s="100"/>
      <c r="T125" s="100"/>
      <c r="U125" s="100"/>
      <c r="V125" s="100"/>
      <c r="W125" s="100"/>
      <c r="X125" s="100"/>
      <c r="Y125" s="100"/>
      <c r="Z125" s="100"/>
      <c r="AB125" s="94">
        <v>0.0</v>
      </c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O126" s="100"/>
      <c r="P126" s="100"/>
      <c r="Q126" s="100"/>
      <c r="S126" s="100"/>
      <c r="T126" s="100"/>
      <c r="U126" s="100"/>
      <c r="V126" s="100"/>
      <c r="W126" s="100"/>
      <c r="X126" s="100"/>
      <c r="Y126" s="100"/>
      <c r="Z126" s="100"/>
      <c r="AB126" s="94">
        <v>-12.0</v>
      </c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O127" s="100"/>
      <c r="P127" s="100"/>
      <c r="Q127" s="100"/>
      <c r="S127" s="100"/>
      <c r="T127" s="100"/>
      <c r="U127" s="100"/>
      <c r="V127" s="100"/>
      <c r="W127" s="100"/>
      <c r="X127" s="100"/>
      <c r="Y127" s="100"/>
      <c r="Z127" s="100"/>
      <c r="AB127" s="94">
        <v>-11.0</v>
      </c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94" t="s">
        <v>70</v>
      </c>
      <c r="AB128" s="94">
        <v>-11.0</v>
      </c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T129" s="100"/>
      <c r="U129" s="100"/>
      <c r="V129" s="100"/>
      <c r="W129" s="100"/>
      <c r="X129" s="100"/>
      <c r="Y129" s="100"/>
      <c r="Z129" s="100"/>
      <c r="AB129" s="94">
        <v>-6.0</v>
      </c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T130" s="100"/>
      <c r="U130" s="100"/>
      <c r="V130" s="100"/>
      <c r="W130" s="100"/>
      <c r="X130" s="100"/>
      <c r="Y130" s="100"/>
      <c r="Z130" s="100"/>
      <c r="AB130" s="94">
        <v>-8.0</v>
      </c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O131" s="100"/>
      <c r="P131" s="100"/>
      <c r="Q131" s="100"/>
      <c r="S131" s="100"/>
      <c r="T131" s="100"/>
      <c r="U131" s="100"/>
      <c r="V131" s="100"/>
      <c r="W131" s="100"/>
      <c r="X131" s="100"/>
      <c r="Y131" s="100"/>
      <c r="Z131" s="100"/>
      <c r="AB131" s="94">
        <v>0.0</v>
      </c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O132" s="100"/>
      <c r="P132" s="100"/>
      <c r="Q132" s="100"/>
      <c r="S132" s="100"/>
      <c r="T132" s="100"/>
      <c r="U132" s="100"/>
      <c r="V132" s="100"/>
      <c r="W132" s="100"/>
      <c r="X132" s="100"/>
      <c r="Y132" s="100"/>
      <c r="Z132" s="100"/>
      <c r="AB132" s="94">
        <v>0.0</v>
      </c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O133" s="100"/>
      <c r="P133" s="100"/>
      <c r="Q133" s="100"/>
      <c r="S133" s="100"/>
      <c r="T133" s="100"/>
      <c r="U133" s="100"/>
      <c r="V133" s="100"/>
      <c r="W133" s="100"/>
      <c r="X133" s="100"/>
      <c r="Y133" s="100"/>
      <c r="Z133" s="100"/>
      <c r="AB133" s="94">
        <v>-8.0</v>
      </c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S134" s="100"/>
      <c r="T134" s="100"/>
      <c r="U134" s="100"/>
      <c r="V134" s="100"/>
      <c r="W134" s="100"/>
      <c r="X134" s="100"/>
      <c r="Y134" s="100"/>
      <c r="Z134" s="100"/>
      <c r="AB134" s="94">
        <v>-8.0</v>
      </c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S135" s="100"/>
      <c r="T135" s="100"/>
      <c r="U135" s="100"/>
      <c r="V135" s="100"/>
      <c r="W135" s="100"/>
      <c r="X135" s="100"/>
      <c r="Y135" s="100"/>
      <c r="Z135" s="100"/>
      <c r="AB135" s="94">
        <v>-8.0</v>
      </c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O136" s="100"/>
      <c r="P136" s="100"/>
      <c r="Q136" s="100"/>
      <c r="S136" s="100"/>
      <c r="T136" s="100"/>
      <c r="U136" s="100"/>
      <c r="V136" s="100"/>
      <c r="W136" s="100"/>
      <c r="X136" s="100"/>
      <c r="Y136" s="100"/>
      <c r="Z136" s="100"/>
      <c r="AB136" s="94">
        <v>0.0</v>
      </c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T137" s="100"/>
      <c r="U137" s="100"/>
      <c r="V137" s="100"/>
      <c r="W137" s="100"/>
      <c r="X137" s="100"/>
      <c r="Y137" s="100"/>
      <c r="Z137" s="100"/>
      <c r="AB137" s="94">
        <v>-5.0</v>
      </c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O138" s="100"/>
      <c r="P138" s="100"/>
      <c r="Q138" s="100"/>
      <c r="S138" s="100"/>
      <c r="T138" s="100"/>
      <c r="U138" s="100"/>
      <c r="V138" s="100"/>
      <c r="W138" s="100"/>
      <c r="X138" s="100"/>
      <c r="Y138" s="100"/>
      <c r="Z138" s="100"/>
      <c r="AB138" s="94">
        <v>0.0</v>
      </c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S139" s="100"/>
      <c r="T139" s="100"/>
      <c r="U139" s="100"/>
      <c r="V139" s="100"/>
      <c r="W139" s="100"/>
      <c r="X139" s="100"/>
      <c r="Y139" s="100"/>
      <c r="Z139" s="100"/>
      <c r="AB139" s="94">
        <v>-10.0</v>
      </c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O140" s="100"/>
      <c r="P140" s="100"/>
      <c r="Q140" s="100"/>
      <c r="S140" s="100"/>
      <c r="T140" s="100"/>
      <c r="U140" s="100"/>
      <c r="V140" s="100"/>
      <c r="W140" s="100"/>
      <c r="X140" s="100"/>
      <c r="Y140" s="100"/>
      <c r="Z140" s="100"/>
      <c r="AB140" s="94">
        <v>-12.0</v>
      </c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94" t="s">
        <v>71</v>
      </c>
      <c r="AB141" s="94">
        <v>-10.0</v>
      </c>
    </row>
  </sheetData>
  <mergeCells count="1">
    <mergeCell ref="A1:H1"/>
  </mergeCells>
  <drawing r:id="rId1"/>
</worksheet>
</file>