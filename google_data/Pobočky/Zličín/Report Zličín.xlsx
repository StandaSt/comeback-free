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<sst xmlns="http://schemas.openxmlformats.org/spreadsheetml/2006/main" count="8997" uniqueCount="2662">
  <si>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</si>
  <si>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</si>
  <si>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</si>
  <si>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</si>
  <si>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</si>
  <si>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</si>
  <si>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</si>
  <si>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</si>
  <si>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</si>
  <si>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</si>
  <si>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</si>
  <si>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</si>
  <si>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</si>
  <si>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</si>
  <si>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</si>
  <si>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</si>
  <si>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</si>
  <si>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</si>
  <si>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</si>
  <si>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</si>
  <si>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</si>
  <si>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</si>
  <si>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</si>
  <si>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</si>
  <si>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</si>
  <si>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</si>
  <si>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</si>
  <si>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</si>
  <si>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</si>
  <si>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</si>
  <si>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</si>
  <si>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</si>
  <si>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</si>
  <si>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</si>
  <si>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</si>
  <si>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</si>
  <si>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</si>
  <si>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</si>
  <si>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</si>
  <si>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</si>
  <si>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</si>
  <si>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</si>
  <si>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</si>
  <si>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</si>
  <si>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</si>
  <si>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</si>
  <si>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</si>
  <si>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</si>
  <si>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</si>
  <si>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</si>
  <si>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</si>
  <si>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</si>
  <si>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</si>
  <si>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</si>
  <si>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</si>
  <si>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</si>
  <si>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</si>
  <si>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</si>
  <si>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</si>
  <si>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</si>
  <si>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</si>
  <si>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</si>
  <si>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</si>
  <si>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</si>
  <si>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</si>
  <si>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</si>
  <si>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</si>
  <si>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</si>
  <si>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</si>
  <si>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</si>
  <si>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</si>
  <si>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</si>
  <si>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</si>
  <si>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</si>
  <si>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</si>
  <si>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</si>
  <si>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</si>
  <si>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</si>
  <si>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</si>
  <si>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</si>
  <si>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</si>
  <si>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</si>
  <si>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</si>
  <si>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</si>
  <si>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</si>
  <si>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</si>
  <si>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</si>
  <si>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</si>
  <si>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</si>
  <si>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</si>
  <si>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</si>
  <si>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</si>
  <si>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</si>
  <si>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</si>
  <si>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</si>
  <si>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</si>
  <si>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</si>
  <si>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</si>
  <si>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</si>
  <si>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</si>
  <si>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</si>
  <si>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</si>
  <si>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</si>
  <si>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</si>
  <si>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</si>
  <si>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</si>
  <si>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</si>
  <si>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</si>
  <si>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</si>
  <si>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</si>
  <si>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</si>
  <si>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</si>
  <si>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</si>
  <si>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</si>
  <si>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</si>
  <si>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</si>
  <si>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</si>
  <si>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</si>
  <si>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</si>
  <si>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</si>
  <si>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</si>
  <si>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</si>
  <si>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</si>
  <si>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</si>
  <si>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</si>
  <si>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</si>
  <si>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</si>
  <si>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</si>
  <si>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</si>
  <si>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</si>
  <si>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</si>
  <si>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</si>
  <si>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</si>
  <si>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</si>
  <si>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</si>
  <si>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</si>
  <si>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</si>
  <si>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</si>
  <si>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</si>
  <si>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</si>
  <si>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</si>
  <si>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</si>
  <si>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</si>
  <si>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</si>
  <si>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</si>
  <si>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</si>
  <si>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</si>
  <si>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</si>
  <si>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</si>
  <si>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</si>
  <si>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</si>
  <si>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</si>
  <si>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</si>
  <si>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</si>
  <si>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</si>
  <si>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</si>
  <si>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</si>
  <si>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</si>
  <si>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</si>
  <si>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</si>
  <si>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</si>
  <si>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</si>
  <si>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</si>
  <si>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</si>
  <si>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</si>
  <si>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</si>
  <si>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</si>
  <si>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</si>
  <si>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</si>
  <si>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</si>
  <si>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</si>
  <si>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</si>
  <si>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</si>
  <si>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</si>
  <si>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</si>
  <si>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</si>
  <si>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</si>
  <si>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</si>
  <si>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</si>
  <si>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</si>
  <si>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</si>
  <si>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</si>
  <si>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</si>
  <si>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</si>
  <si>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</si>
  <si>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</si>
  <si>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</si>
  <si>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</si>
  <si>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</si>
  <si>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</si>
  <si>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</si>
  <si>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</si>
  <si>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</si>
  <si>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</si>
  <si>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</si>
  <si>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</si>
  <si>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</si>
  <si>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</si>
  <si>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</si>
  <si>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</si>
  <si>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</si>
  <si>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</si>
  <si>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</si>
  <si>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</si>
  <si>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</si>
  <si>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</si>
  <si>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</si>
  <si>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</si>
  <si>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</si>
  <si>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</si>
  <si>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</si>
  <si>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</si>
  <si>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</si>
  <si>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</si>
  <si>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</si>
  <si>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</si>
  <si>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</si>
  <si>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</si>
  <si>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</si>
  <si>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</si>
  <si>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</si>
  <si>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</si>
  <si>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</si>
  <si>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</si>
  <si>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</si>
  <si>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</si>
  <si>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</si>
  <si>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</si>
  <si>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</si>
  <si>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</si>
  <si>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</si>
  <si>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</si>
  <si>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</si>
  <si>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</si>
  <si>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</si>
  <si>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</si>
  <si>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</si>
  <si>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</si>
  <si>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</si>
  <si>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</si>
  <si>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</si>
  <si>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</si>
  <si>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</si>
  <si>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</si>
  <si>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</si>
  <si>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</si>
  <si>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</si>
  <si>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</si>
  <si>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</si>
  <si>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</si>
  <si>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</si>
  <si>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</si>
  <si>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</si>
  <si>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</si>
  <si>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</si>
  <si>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</si>
  <si>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</si>
  <si>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</si>
  <si>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</si>
  <si>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</si>
  <si>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</si>
  <si>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</si>
  <si>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</si>
  <si>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</si>
  <si>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</si>
  <si>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</si>
  <si>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</si>
  <si>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</si>
  <si>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</si>
  <si>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</si>
  <si>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</si>
  <si>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</si>
  <si>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</si>
  <si>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</si>
  <si>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</si>
  <si>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</si>
  <si>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</si>
  <si>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</si>
  <si>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</si>
  <si>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</si>
  <si>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</si>
  <si>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</si>
  <si>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</si>
  <si>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</si>
  <si>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</si>
  <si>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</si>
  <si>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</si>
  <si>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</si>
  <si>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</si>
  <si>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</si>
  <si>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</si>
  <si>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</si>
  <si>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</si>
  <si>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</si>
  <si>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</si>
  <si>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</si>
  <si>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</si>
  <si>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</si>
  <si>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</si>
  <si>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</si>
  <si>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</si>
  <si>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</si>
  <si>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</si>
  <si>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</si>
  <si>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</si>
  <si>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</si>
  <si>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</si>
  <si>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</si>
  <si>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</si>
  <si>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</si>
  <si>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</si>
  <si>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</si>
  <si>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</si>
  <si>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</si>
  <si>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</si>
  <si>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</si>
  <si>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</si>
  <si>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</si>
  <si>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</si>
  <si>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</si>
  <si>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</si>
  <si>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</si>
  <si>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</si>
  <si>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</si>
  <si>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</si>
  <si>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</si>
  <si>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</si>
  <si>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</si>
  <si>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</si>
  <si>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</si>
  <si>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</si>
  <si>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</si>
  <si>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</si>
  <si>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</si>
  <si>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</si>
  <si>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</si>
  <si>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</si>
  <si>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</si>
  <si>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</si>
  <si>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</si>
  <si>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</si>
  <si>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</si>
  <si>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</si>
  <si>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</si>
  <si>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</si>
  <si>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</si>
  <si>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</si>
  <si>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</si>
  <si>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</si>
  <si>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</si>
  <si>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</si>
  <si>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</si>
  <si>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</si>
  <si>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</si>
  <si>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</si>
  <si>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</si>
  <si>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</si>
  <si>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</si>
  <si>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</si>
  <si>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</si>
  <si>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</si>
  <si>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</si>
  <si>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</si>
  <si>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</si>
  <si>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</si>
  <si>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</si>
  <si>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</si>
  <si>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</si>
  <si>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</si>
  <si>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</si>
  <si>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</si>
  <si>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</si>
  <si>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</si>
  <si>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</si>
  <si>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</si>
  <si>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</si>
  <si>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</si>
  <si>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</si>
  <si>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</si>
  <si>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</si>
  <si>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</si>
  <si>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</si>
  <si>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</si>
  <si>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</si>
  <si>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</si>
  <si>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</si>
  <si>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</si>
  <si>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</si>
  <si>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</si>
  <si>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</si>
  <si>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</si>
  <si>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</si>
  <si>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</si>
  <si>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</si>
  <si>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</si>
  <si>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</si>
  <si>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</si>
  <si>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</si>
  <si>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</si>
  <si>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</si>
  <si>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</si>
  <si>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</si>
  <si>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</si>
  <si>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</si>
  <si>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</si>
  <si>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</si>
  <si>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</si>
  <si>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</si>
  <si>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</si>
  <si>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</si>
  <si>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</si>
  <si>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</si>
  <si>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</si>
  <si>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</si>
  <si>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</si>
  <si>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</si>
  <si>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</si>
  <si>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</si>
  <si>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</si>
  <si>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</si>
  <si>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</si>
  <si>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</si>
  <si>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</si>
  <si>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</si>
  <si>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</si>
  <si>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</si>
  <si>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</si>
  <si>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</si>
  <si>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</si>
  <si>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</si>
  <si>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</si>
  <si>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</si>
  <si>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</si>
  <si>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</si>
  <si>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</si>
  <si>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</si>
  <si>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</si>
  <si>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</si>
  <si>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</si>
  <si>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</si>
  <si>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</si>
  <si>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</si>
  <si>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</si>
  <si>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</si>
  <si>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</si>
  <si>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</si>
  <si>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</si>
  <si>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</si>
  <si>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</si>
  <si>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</si>
  <si>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</si>
  <si>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</si>
  <si>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</si>
  <si>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</si>
  <si>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</si>
  <si>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</si>
  <si>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</si>
  <si>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</si>
  <si>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</si>
  <si>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</si>
  <si>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</si>
  <si>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</si>
  <si>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</si>
  <si>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</si>
  <si>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</si>
  <si>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</si>
  <si>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</si>
  <si>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</si>
  <si>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</si>
  <si>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</si>
  <si>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</si>
  <si>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</si>
  <si>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</si>
  <si>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</si>
  <si>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</si>
  <si>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</si>
  <si>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</si>
  <si>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</si>
  <si>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</si>
  <si>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</si>
  <si>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</si>
  <si>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</si>
  <si>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</si>
  <si>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</si>
  <si>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</si>
  <si>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</si>
  <si>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</si>
  <si>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</si>
  <si>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</si>
  <si>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</si>
  <si>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</si>
  <si>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</si>
  <si>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</si>
  <si>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</si>
  <si>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</si>
  <si>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</si>
  <si>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</si>
  <si>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</si>
  <si>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</si>
  <si>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</si>
  <si>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</si>
  <si>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</si>
  <si>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</si>
  <si>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</si>
  <si>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</si>
  <si>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</si>
  <si>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</si>
  <si>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</si>
  <si>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</si>
  <si>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</si>
  <si>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</si>
  <si>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</si>
  <si>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</si>
  <si>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</si>
  <si>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</si>
  <si>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</si>
  <si>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</si>
  <si>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</si>
  <si>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</si>
  <si>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</si>
  <si>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</si>
  <si>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</si>
  <si>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</si>
  <si>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</si>
  <si>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</si>
  <si>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</si>
  <si>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</si>
  <si>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</si>
  <si>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</si>
  <si>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</si>
  <si>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</si>
  <si>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</si>
  <si>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</si>
  <si>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</si>
  <si>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</si>
  <si>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</si>
  <si>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</si>
  <si>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</si>
  <si>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</si>
  <si>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</si>
  <si>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</si>
  <si>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</si>
  <si>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</si>
  <si>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</si>
  <si>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</si>
  <si>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</si>
  <si>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</si>
  <si>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</si>
  <si>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</si>
  <si>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</si>
  <si>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</si>
  <si>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</si>
  <si>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</si>
  <si>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</si>
  <si>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</si>
  <si>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</si>
  <si>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</si>
  <si>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</si>
  <si>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</si>
  <si>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</si>
  <si>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</si>
  <si>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</si>
  <si>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</si>
  <si>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</si>
  <si>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</si>
  <si>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</si>
  <si>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</si>
  <si>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</si>
  <si>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</si>
  <si>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</si>
  <si>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</si>
  <si>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</si>
  <si>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</si>
  <si>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</si>
  <si>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</si>
  <si>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</si>
  <si>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</si>
  <si>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</si>
  <si>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</si>
  <si>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</si>
  <si>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</si>
  <si>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</si>
  <si>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</si>
  <si>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</si>
  <si>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</si>
  <si>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</si>
  <si>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</si>
  <si>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</si>
  <si>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</si>
  <si>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</si>
  <si>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</si>
  <si>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</si>
  <si>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</si>
  <si>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</si>
  <si>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</si>
  <si>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</si>
  <si>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</si>
  <si>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</si>
  <si>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</si>
  <si>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</si>
  <si>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</si>
  <si>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</si>
  <si>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</si>
  <si>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</si>
  <si>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</si>
  <si>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</si>
  <si>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</si>
  <si>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</si>
  <si>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</si>
  <si>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</si>
  <si>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</si>
  <si>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</si>
  <si>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</si>
  <si>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</si>
  <si>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</si>
  <si>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</si>
  <si>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</si>
  <si>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</si>
  <si>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</si>
  <si>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</si>
  <si>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</si>
  <si>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</si>
  <si>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</si>
  <si>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</si>
  <si>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</si>
  <si>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</si>
  <si>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</si>
  <si>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</si>
  <si>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</si>
  <si>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</si>
  <si>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</si>
  <si>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</si>
  <si>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</si>
  <si>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</si>
  <si>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</si>
  <si>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</si>
  <si>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</si>
  <si>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</si>
  <si>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</si>
  <si>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</si>
  <si>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</si>
  <si>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</si>
  <si>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</si>
  <si>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</si>
  <si>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</si>
  <si>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</si>
  <si>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</si>
  <si>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</si>
  <si>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</si>
  <si>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</si>
  <si>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</si>
  <si>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</si>
  <si>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</si>
  <si>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</si>
  <si>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</si>
  <si>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</si>
  <si>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</si>
  <si>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</si>
  <si>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</si>
  <si>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</si>
  <si>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</si>
  <si>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</si>
  <si>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</si>
  <si>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</si>
  <si>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</si>
  <si>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</si>
  <si>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</si>
  <si>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</si>
  <si>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</si>
  <si>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</si>
  <si>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</si>
  <si>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</si>
  <si>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</si>
  <si>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</si>
  <si>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</si>
  <si>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</si>
  <si>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</si>
  <si>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</si>
  <si>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</si>
  <si>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</si>
  <si>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</si>
  <si>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</si>
  <si>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</si>
  <si>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</si>
  <si>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</si>
  <si>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</si>
  <si>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</si>
  <si>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</si>
  <si>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</si>
  <si>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</si>
  <si>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</si>
  <si>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</si>
  <si>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</si>
  <si>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</si>
  <si>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</si>
  <si>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</si>
  <si>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</si>
  <si>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</si>
  <si>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</si>
  <si>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</si>
  <si>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</si>
  <si>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</si>
  <si>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</si>
  <si>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</si>
  <si>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</si>
  <si>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</si>
  <si>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</si>
  <si>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</si>
  <si>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</si>
  <si>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</si>
  <si>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</si>
  <si>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</si>
  <si>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</si>
  <si>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</si>
  <si>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</si>
  <si>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</si>
  <si>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</si>
  <si>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</si>
  <si>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</si>
  <si>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</si>
  <si>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</si>
  <si>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</si>
  <si>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</si>
  <si>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</si>
  <si>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</si>
  <si>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</si>
  <si>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</si>
  <si>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</si>
  <si>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</si>
  <si>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</si>
  <si>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</si>
  <si>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</si>
  <si>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</si>
  <si>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</si>
  <si>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</si>
  <si>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</si>
  <si>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</si>
  <si>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</si>
  <si>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</si>
  <si>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</si>
  <si>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</si>
  <si>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</si>
  <si>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</si>
  <si>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</si>
  <si>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</si>
  <si>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</si>
  <si>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</si>
  <si>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</si>
  <si>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</si>
  <si>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</si>
  <si>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</si>
  <si>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</si>
  <si>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</si>
  <si>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</si>
  <si>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</si>
  <si>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</si>
  <si>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</si>
  <si>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</si>
  <si>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</si>
  <si>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</si>
  <si>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</si>
  <si>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</si>
  <si>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</si>
  <si>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</si>
  <si>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</si>
  <si>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</si>
  <si>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</si>
  <si>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</si>
  <si>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</si>
  <si>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</si>
  <si>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</si>
  <si>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</si>
  <si>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</si>
  <si>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</si>
  <si>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</si>
  <si>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</si>
  <si>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</si>
  <si>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</si>
  <si>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</si>
  <si>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</si>
  <si>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</si>
  <si>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</si>
  <si>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</si>
  <si>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</si>
  <si>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</si>
  <si>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</si>
  <si>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</si>
  <si>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</si>
  <si>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</si>
  <si>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</si>
  <si>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</si>
  <si>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</si>
  <si>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</si>
  <si>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</si>
  <si>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</si>
  <si>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</si>
  <si>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</si>
  <si>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</si>
  <si>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</si>
  <si>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</si>
  <si>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</si>
  <si>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</si>
  <si>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</si>
  <si>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</si>
  <si>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</si>
  <si>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</si>
  <si>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</si>
  <si>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</si>
  <si>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</si>
  <si>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</si>
  <si>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</si>
  <si>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</si>
  <si>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</si>
  <si>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</si>
  <si>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</si>
  <si>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</si>
  <si>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</si>
  <si>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</si>
  <si>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</si>
  <si>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</si>
  <si>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</si>
  <si>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</si>
  <si>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</si>
  <si>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</si>
  <si>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</si>
  <si>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</si>
  <si>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</si>
  <si>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</si>
  <si>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</si>
  <si>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</si>
  <si>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</si>
  <si>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</si>
  <si>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</si>
  <si>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</si>
  <si>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</si>
  <si>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</si>
  <si>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</si>
  <si>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</si>
  <si>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</si>
  <si>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</si>
  <si>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</si>
  <si>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</si>
  <si>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</si>
  <si>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</si>
  <si>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</si>
  <si>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</si>
  <si>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</si>
  <si>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</si>
  <si>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</si>
  <si>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</si>
  <si>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</si>
  <si>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</si>
  <si>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</si>
  <si>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</si>
  <si>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</si>
  <si>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</si>
  <si>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</si>
  <si>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</si>
  <si>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</si>
  <si>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</si>
  <si>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</si>
  <si>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</si>
  <si>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</si>
  <si>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</si>
  <si>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</si>
  <si>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</si>
  <si>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</si>
  <si>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</si>
  <si>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</si>
  <si>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</si>
  <si>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</si>
  <si>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</si>
  <si>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</si>
  <si>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</si>
  <si>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</si>
  <si>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</si>
  <si>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</si>
  <si>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</si>
  <si>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</si>
  <si>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</si>
  <si>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</si>
  <si>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</si>
  <si>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</si>
  <si>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</si>
  <si>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</si>
  <si>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</si>
  <si>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</si>
  <si>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</si>
  <si>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</si>
  <si>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</si>
  <si>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</si>
  <si>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</si>
  <si>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</si>
  <si>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</si>
  <si>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</si>
  <si>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</si>
  <si>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</si>
  <si>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</si>
  <si>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</si>
  <si>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</si>
  <si>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</si>
  <si>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</si>
  <si>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</si>
  <si>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</si>
  <si>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</si>
  <si>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</si>
  <si>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</si>
  <si>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</si>
  <si>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</si>
  <si>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</si>
  <si>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</si>
  <si>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</si>
  <si>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</si>
  <si>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</si>
  <si>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</si>
  <si>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</si>
  <si>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</si>
  <si>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</si>
  <si>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</si>
  <si>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</si>
  <si>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</si>
  <si>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</si>
  <si>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</si>
  <si>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</si>
  <si>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</si>
  <si>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</si>
  <si>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</si>
  <si>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</si>
  <si>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</si>
  <si>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</si>
  <si>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</si>
  <si>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</si>
  <si>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</si>
  <si>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</si>
  <si>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</si>
  <si>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</si>
  <si>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</si>
  <si>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</si>
  <si>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</si>
  <si>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</si>
  <si>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</si>
  <si>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</si>
  <si>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</si>
  <si>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</si>
  <si>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</si>
  <si>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</si>
  <si>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</si>
  <si>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</si>
  <si>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</si>
  <si>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</si>
  <si>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</si>
  <si>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</si>
  <si>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</si>
  <si>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</si>
  <si>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</si>
  <si>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</si>
  <si>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</si>
  <si>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</si>
  <si>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</si>
  <si>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</si>
  <si>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</si>
  <si>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</si>
  <si>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</si>
  <si>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</si>
  <si>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</si>
  <si>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</si>
  <si>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</si>
  <si>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</si>
  <si>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</si>
  <si>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</si>
  <si>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</si>
  <si>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</si>
  <si>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</si>
  <si>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</si>
  <si>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</si>
  <si>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</si>
  <si>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</si>
  <si>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</si>
  <si>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</si>
  <si>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</si>
  <si>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</si>
  <si>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</si>
  <si>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</si>
  <si>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</si>
  <si>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</si>
  <si>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</si>
  <si>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</si>
  <si>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</si>
  <si>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</si>
  <si>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</si>
  <si>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</si>
  <si>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</si>
  <si>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</si>
  <si>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</si>
  <si>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</si>
  <si>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</si>
  <si>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</si>
  <si>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</si>
  <si>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</si>
  <si>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</si>
  <si>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</si>
  <si>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</si>
  <si>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</si>
  <si>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</si>
  <si>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</si>
  <si>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</si>
  <si>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</si>
  <si>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</si>
  <si>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</si>
  <si>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</si>
  <si>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</si>
  <si>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</si>
  <si>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</si>
  <si>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</si>
  <si>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</si>
  <si>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</si>
  <si>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</si>
  <si>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</si>
  <si>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</si>
  <si>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</si>
  <si>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</si>
  <si>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</si>
  <si>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</si>
  <si>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</si>
  <si>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</si>
  <si>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</si>
  <si>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</si>
  <si>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</si>
  <si>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</si>
  <si>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</si>
  <si>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</si>
  <si>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</si>
  <si>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</si>
  <si>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</si>
  <si>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</si>
  <si>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</si>
  <si>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</si>
  <si>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</si>
  <si>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</si>
  <si>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</si>
  <si>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</si>
  <si>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</si>
  <si>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</si>
  <si>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</si>
  <si>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</si>
  <si>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</si>
  <si>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</si>
  <si>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</si>
  <si>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</si>
  <si>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</si>
  <si>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</si>
  <si>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</si>
  <si>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</si>
  <si>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</si>
  <si>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</si>
  <si>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</si>
  <si>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</si>
  <si>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</si>
  <si>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</si>
  <si>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</si>
  <si>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</si>
  <si>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</si>
  <si>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</si>
  <si>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</si>
  <si>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</si>
  <si>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</si>
  <si>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</si>
  <si>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</si>
  <si>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</si>
  <si>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</si>
  <si>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</si>
  <si>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</si>
  <si>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</si>
  <si>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</si>
  <si>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</si>
  <si>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</si>
  <si>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</si>
  <si>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</si>
  <si>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</si>
  <si>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</si>
  <si>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</si>
  <si>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</si>
  <si>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</si>
  <si>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</si>
  <si>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</si>
  <si>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</si>
  <si>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</si>
  <si>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</si>
  <si>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</si>
  <si>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</si>
  <si>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</si>
  <si>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</si>
  <si>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</si>
  <si>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</si>
  <si>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</si>
  <si>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</si>
  <si>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</si>
  <si>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</si>
  <si>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</si>
  <si>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</si>
  <si>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</si>
  <si>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</si>
  <si>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</si>
  <si>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</si>
  <si>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</si>
  <si>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</si>
  <si>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</si>
  <si>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</si>
  <si>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</si>
  <si>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</si>
  <si>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</si>
  <si>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</si>
  <si>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</si>
  <si>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</si>
  <si>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</si>
  <si>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</si>
  <si>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</si>
  <si>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</si>
  <si>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</si>
  <si>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</si>
  <si>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</si>
  <si>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</si>
  <si>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</si>
  <si>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</si>
  <si>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</si>
  <si>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</si>
  <si>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</si>
  <si>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</si>
  <si>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</si>
  <si>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</si>
  <si>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</si>
  <si>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</si>
  <si>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</si>
  <si>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</si>
  <si>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</si>
  <si>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</si>
  <si>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</si>
  <si>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</si>
  <si>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</si>
  <si>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</si>
  <si>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</si>
  <si>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</si>
  <si>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</si>
  <si>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</si>
  <si>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</si>
  <si>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</si>
  <si>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</si>
  <si>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</si>
  <si>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</si>
  <si>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</si>
  <si>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</si>
  <si>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</si>
  <si>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</si>
  <si>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</si>
  <si>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</si>
  <si>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</si>
  <si>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</si>
  <si>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</si>
  <si>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</si>
  <si>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</si>
  <si>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</si>
  <si>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</si>
  <si>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</si>
  <si>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</si>
  <si>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</si>
  <si>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</si>
  <si>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</si>
  <si>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</si>
  <si>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</si>
  <si>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</si>
  <si>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</si>
  <si>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</si>
  <si>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</si>
  <si>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</si>
  <si>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</si>
  <si>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</si>
  <si>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</si>
  <si>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</si>
  <si>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</si>
  <si>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</si>
  <si>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</si>
  <si>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</si>
  <si>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</si>
  <si>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</si>
  <si>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</si>
  <si>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</si>
  <si>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</si>
  <si>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</si>
  <si>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</si>
  <si>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</si>
  <si>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</si>
  <si>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</si>
  <si>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</si>
  <si>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</si>
  <si>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</si>
  <si>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</si>
  <si>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</si>
  <si>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</si>
  <si>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</si>
  <si>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</si>
  <si>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</si>
  <si>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</si>
  <si>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</si>
  <si>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</si>
  <si>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</si>
  <si>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</si>
  <si>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</si>
  <si>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</si>
  <si>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</si>
  <si>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</si>
  <si>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</si>
  <si>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</si>
  <si>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</si>
  <si>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</si>
  <si>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</si>
  <si>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</si>
  <si>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</si>
  <si>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</si>
  <si>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</si>
  <si>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</si>
  <si>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</si>
  <si>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</si>
  <si>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</si>
  <si>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</si>
  <si>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</si>
  <si>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</si>
  <si>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</si>
  <si>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</si>
  <si>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</si>
  <si>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</si>
  <si>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</si>
  <si>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</si>
  <si>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</si>
  <si>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</si>
  <si>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</si>
  <si>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</si>
  <si>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</si>
  <si>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</si>
  <si>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</si>
  <si>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</si>
  <si>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</si>
  <si>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</si>
  <si>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</si>
  <si>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</si>
  <si>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</si>
  <si>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</si>
  <si>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</si>
  <si>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</si>
  <si>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</si>
  <si>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</si>
  <si>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</si>
  <si>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</si>
  <si>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</si>
  <si>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</si>
  <si>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</si>
  <si>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</si>
  <si>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</si>
  <si>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</si>
  <si>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</si>
  <si>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</si>
  <si>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</si>
  <si>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</si>
  <si>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</si>
  <si>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</si>
  <si>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</si>
  <si>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</si>
  <si>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</si>
  <si>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</si>
  <si>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</si>
  <si>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</si>
  <si>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</si>
  <si>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</si>
  <si>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</si>
  <si>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</si>
  <si>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</si>
  <si>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</si>
  <si>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</si>
  <si>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</si>
  <si>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</si>
  <si>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</si>
  <si>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</si>
  <si>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</si>
  <si>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</si>
  <si>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</si>
  <si>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</si>
  <si>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</si>
  <si>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</si>
  <si>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</si>
  <si>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</si>
  <si>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</si>
  <si>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</si>
  <si>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</si>
  <si>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</si>
  <si>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</si>
  <si>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</si>
  <si>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</si>
  <si>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</si>
  <si>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</si>
  <si>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</si>
  <si>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</si>
  <si>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</si>
  <si>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</si>
  <si>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</si>
  <si>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</si>
  <si>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</si>
  <si>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</si>
  <si>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</si>
  <si>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</si>
  <si>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</si>
  <si>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</si>
  <si>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</si>
  <si>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</si>
  <si>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</si>
  <si>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</si>
  <si>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</si>
  <si>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</si>
  <si>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</si>
  <si>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</si>
  <si>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</si>
  <si>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</si>
  <si>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</si>
  <si>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</si>
  <si>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</si>
  <si>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</si>
  <si>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</si>
  <si>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</si>
  <si>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</si>
  <si>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</si>
  <si>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</si>
  <si>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</si>
  <si>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</si>
  <si>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</si>
  <si>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</si>
  <si>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</si>
  <si>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</si>
  <si>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</si>
  <si>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</si>
  <si>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</si>
  <si>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</si>
  <si>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</si>
  <si>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</si>
  <si>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</si>
  <si>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</si>
  <si>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</si>
  <si>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</si>
  <si>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</si>
  <si>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</si>
  <si>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</si>
  <si>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</si>
  <si>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</si>
  <si>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</si>
  <si>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</si>
  <si>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</si>
  <si>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</si>
  <si>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</si>
  <si>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</si>
  <si>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</si>
  <si>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</si>
  <si>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</si>
  <si>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</si>
  <si>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</si>
  <si>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</si>
  <si>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</si>
  <si>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</si>
  <si>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</si>
  <si>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</si>
  <si>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</si>
  <si>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</si>
  <si>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</si>
  <si>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</si>
  <si>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</si>
  <si>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</si>
  <si>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</si>
  <si>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</si>
  <si>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</si>
  <si>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</si>
  <si>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</si>
  <si>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</si>
  <si>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</si>
  <si>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</si>
  <si>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</si>
  <si>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</si>
  <si>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</si>
  <si>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</si>
  <si>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</si>
  <si>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</si>
  <si>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</si>
  <si>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</si>
  <si>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</si>
  <si>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</si>
  <si>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</si>
  <si>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</si>
  <si>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</si>
  <si>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</si>
  <si>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</si>
  <si>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</si>
  <si>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</si>
  <si>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</si>
  <si>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</si>
  <si>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</si>
  <si>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</si>
  <si>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</si>
  <si>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</si>
  <si>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</si>
  <si>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</si>
  <si>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</si>
  <si>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</si>
  <si>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</si>
  <si>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</si>
  <si>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</si>
  <si>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</si>
  <si>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</si>
  <si>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</si>
  <si>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</si>
  <si>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</si>
  <si>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</si>
  <si>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</si>
  <si>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</si>
  <si>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</si>
  <si>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</si>
  <si>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</si>
  <si>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</si>
  <si>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</si>
  <si>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</si>
  <si>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</si>
  <si>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</si>
  <si>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</si>
  <si>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</si>
  <si>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</si>
  <si>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</si>
  <si>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</si>
  <si>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</si>
  <si>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</si>
  <si>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</si>
  <si>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</si>
  <si>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</si>
  <si>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</si>
  <si>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</si>
  <si>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</si>
  <si>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</si>
  <si>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</si>
  <si>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</si>
  <si>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</si>
  <si>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</si>
  <si>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</si>
  <si>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</si>
  <si>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</si>
  <si>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</si>
  <si>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</si>
  <si>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</si>
  <si>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</si>
  <si>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</si>
  <si>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</si>
  <si>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</si>
  <si>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</si>
  <si>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</si>
  <si>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</si>
  <si>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</si>
  <si>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</si>
  <si>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</si>
  <si>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</si>
  <si>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</si>
  <si>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</si>
  <si>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</si>
  <si>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</si>
  <si>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</si>
  <si>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</si>
  <si>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</si>
  <si>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</si>
  <si>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</si>
  <si>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</si>
  <si>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</si>
  <si>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</si>
  <si>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</si>
  <si>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</si>
  <si>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</si>
  <si>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</si>
  <si>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</si>
  <si>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</si>
  <si>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</si>
  <si>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</si>
  <si>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</si>
  <si>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</si>
  <si>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</si>
  <si>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</si>
  <si>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</si>
  <si>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</si>
  <si>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</si>
  <si>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</si>
  <si>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</si>
  <si>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</si>
  <si>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</si>
  <si>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</si>
  <si>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</si>
  <si>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</si>
  <si>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</si>
  <si>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</si>
  <si>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</si>
  <si>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</si>
  <si>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</si>
  <si>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</si>
  <si>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</si>
  <si>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</si>
  <si>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</si>
  <si>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</si>
  <si>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</si>
  <si>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</si>
  <si>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</si>
  <si>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</si>
  <si>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</si>
  <si>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</si>
  <si>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</si>
  <si>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</si>
  <si>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</si>
  <si>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</si>
  <si>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</si>
  <si>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</si>
  <si>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</si>
  <si>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</si>
  <si>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</si>
  <si>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</si>
  <si>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</si>
  <si>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</si>
  <si>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</si>
  <si>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</si>
  <si>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</si>
  <si>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</si>
  <si>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</si>
  <si>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</si>
  <si>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</si>
  <si>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</si>
  <si>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</si>
  <si>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</si>
  <si>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</si>
  <si>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</si>
  <si>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</si>
  <si>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</si>
  <si>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</si>
  <si>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</si>
  <si>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</si>
  <si>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</si>
  <si>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</si>
  <si>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</si>
  <si>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</si>
  <si>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</si>
  <si>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</si>
  <si>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</si>
  <si>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</si>
  <si>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</si>
  <si>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</si>
  <si>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</si>
  <si>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</si>
  <si>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</si>
  <si>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</si>
  <si>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</si>
  <si>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</si>
  <si>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</si>
  <si>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</si>
  <si>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</si>
  <si>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</si>
  <si>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</si>
  <si>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</si>
  <si>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</si>
  <si>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</si>
  <si>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</si>
  <si>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</si>
  <si>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</si>
  <si>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</si>
  <si>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</si>
  <si>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</si>
  <si>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</si>
  <si>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</si>
  <si>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</si>
  <si>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</si>
  <si>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</si>
  <si>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</si>
  <si>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</si>
  <si>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</si>
  <si>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</si>
  <si>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</si>
  <si>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</si>
  <si>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</si>
  <si>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</si>
  <si>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</si>
  <si>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</si>
  <si>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</si>
  <si>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</si>
  <si>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</si>
  <si>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</si>
  <si>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</si>
  <si>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</si>
  <si>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</si>
  <si>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</si>
  <si>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</si>
  <si>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</si>
  <si>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</si>
  <si>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</si>
  <si>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</si>
  <si>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</si>
  <si>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</si>
  <si>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</si>
  <si>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</si>
  <si>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</si>
  <si>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</si>
  <si>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</si>
  <si>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</si>
  <si>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</si>
  <si>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</si>
  <si>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</si>
  <si>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</si>
  <si>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</si>
  <si>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</si>
  <si>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</si>
  <si>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</si>
  <si>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</si>
  <si>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</si>
  <si>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</si>
  <si>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</si>
  <si>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</si>
  <si>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</si>
  <si>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</si>
  <si>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</si>
  <si>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</si>
  <si>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</si>
  <si>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</si>
  <si>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</si>
  <si>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</si>
  <si>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</si>
  <si>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</si>
  <si>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</si>
  <si>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</si>
  <si>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</si>
  <si>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</si>
  <si>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</si>
  <si>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</si>
  <si>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</si>
  <si>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</si>
  <si>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</si>
  <si>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</si>
  <si>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</si>
  <si>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</si>
  <si>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</si>
  <si>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</si>
  <si>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</si>
  <si>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</si>
  <si>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</si>
  <si>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</si>
  <si>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</si>
  <si>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</si>
  <si>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</si>
  <si>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</si>
  <si>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</si>
  <si>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</si>
  <si>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</si>
  <si>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</si>
  <si>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</si>
  <si>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</si>
  <si>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</si>
  <si>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</si>
  <si>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</si>
  <si>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</si>
  <si>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</si>
  <si>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</si>
  <si>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</si>
  <si>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</si>
  <si>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</si>
  <si>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</si>
  <si>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</si>
  <si>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</si>
  <si>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</si>
  <si>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</si>
  <si>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</si>
  <si>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</si>
  <si>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</si>
  <si>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</si>
  <si>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</si>
  <si>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</si>
  <si>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</si>
  <si>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</si>
  <si>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</si>
  <si>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</si>
  <si>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</si>
  <si>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</si>
  <si>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</si>
  <si>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</si>
  <si>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</si>
  <si>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</si>
  <si>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</si>
  <si>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</si>
  <si>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</si>
  <si>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</si>
  <si>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</si>
  <si>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</si>
  <si>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</si>
  <si>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</si>
  <si>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</si>
  <si>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</si>
  <si>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</si>
  <si>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</si>
  <si>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</si>
  <si>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</si>
  <si>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</si>
  <si>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</si>
  <si>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</si>
  <si>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</si>
  <si>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</si>
  <si>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</si>
  <si>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</si>
  <si>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</si>
  <si>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</si>
  <si>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</si>
  <si>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</si>
  <si>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</si>
  <si>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</si>
  <si>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</si>
  <si>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</si>
  <si>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</si>
  <si>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</si>
  <si>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</si>
  <si>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</si>
  <si>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</si>
  <si>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</si>
  <si>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</si>
  <si>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</si>
  <si>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</si>
  <si>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</si>
  <si>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</si>
  <si>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</si>
  <si>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</si>
  <si>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</si>
  <si>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</si>
  <si>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</si>
  <si>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</si>
  <si>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</si>
  <si>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</si>
  <si>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</si>
  <si>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</si>
  <si>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</si>
  <si>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</si>
  <si>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</si>
  <si>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</si>
  <si>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</si>
  <si>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</si>
  <si>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</si>
  <si>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</si>
  <si>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</si>
  <si>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</si>
  <si>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</si>
  <si>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</si>
  <si>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</si>
  <si>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</si>
  <si>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</si>
  <si>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</si>
  <si>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</si>
  <si>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</si>
  <si>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</si>
  <si>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</si>
  <si>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</si>
  <si>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</si>
  <si>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</si>
  <si>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</si>
  <si>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</si>
  <si>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</si>
  <si>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</si>
  <si>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</si>
  <si>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</si>
  <si>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</si>
  <si>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</si>
  <si>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</si>
  <si>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</si>
  <si>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</si>
  <si>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</si>
  <si>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</si>
  <si>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</si>
  <si>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</si>
  <si>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</si>
  <si>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</si>
  <si>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</si>
  <si>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</si>
  <si>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</si>
  <si>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</si>
  <si>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</si>
  <si>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</si>
  <si>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</si>
  <si>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</si>
  <si>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</si>
  <si>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</si>
  <si>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</si>
  <si>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</si>
  <si>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</si>
  <si>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</si>
  <si>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</si>
  <si>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</si>
  <si>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</si>
  <si>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</si>
  <si>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</si>
  <si>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</si>
  <si>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</si>
  <si>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</si>
  <si>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</si>
  <si>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</si>
  <si>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</si>
  <si>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</si>
  <si>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</si>
  <si>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</si>
  <si>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</si>
  <si>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</si>
  <si>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</si>
  <si>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</si>
  <si>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</si>
  <si>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</si>
  <si>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</si>
  <si>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</si>
  <si>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</si>
  <si>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</si>
  <si>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</si>
  <si>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</si>
  <si>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</si>
  <si>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</si>
  <si>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</si>
  <si>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</si>
  <si>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</si>
  <si>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</si>
  <si>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</si>
  <si>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</si>
  <si>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</si>
  <si>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</si>
  <si>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</si>
  <si>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</si>
  <si>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</si>
  <si>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</si>
  <si>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</si>
  <si>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</si>
  <si>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</si>
  <si>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</si>
  <si>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</si>
  <si>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</si>
  <si>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</si>
  <si>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</si>
  <si>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</si>
  <si>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</si>
  <si>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</si>
  <si>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</si>
  <si>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</si>
  <si>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</si>
  <si>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</si>
  <si>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</si>
  <si>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</si>
  <si>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</si>
  <si>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</si>
  <si>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</si>
  <si>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</si>
  <si>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</si>
  <si>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</si>
  <si>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</si>
  <si>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</si>
  <si>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</si>
  <si>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</si>
  <si>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</si>
  <si>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</si>
  <si>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</si>
  <si>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</si>
  <si>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</si>
  <si>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</si>
  <si>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</si>
  <si>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</si>
  <si>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</si>
  <si>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</si>
  <si>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</si>
  <si>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</si>
  <si>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</si>
  <si>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</si>
  <si>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</si>
  <si>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</si>
  <si>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</si>
  <si>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</si>
  <si>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</si>
  <si>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</si>
  <si>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</si>
  <si>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</si>
  <si>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</si>
  <si>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</si>
  <si>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</si>
  <si>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</si>
  <si>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</si>
  <si>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</si>
  <si>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</si>
  <si>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</si>
  <si>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</si>
  <si>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</si>
  <si>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</si>
  <si>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</si>
  <si>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</si>
  <si>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</si>
  <si>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</si>
  <si>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</si>
  <si>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</si>
  <si>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</si>
  <si>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</si>
  <si>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</si>
  <si>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</si>
  <si>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</si>
  <si>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</si>
  <si>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</si>
  <si>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</si>
  <si>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</si>
  <si>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</si>
  <si>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</si>
  <si>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</si>
  <si>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</si>
  <si>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</si>
  <si>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</si>
  <si>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</si>
  <si>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</si>
  <si>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</si>
  <si>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</si>
  <si>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</si>
  <si>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</si>
  <si>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</si>
  <si>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</si>
  <si>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</si>
  <si>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</si>
  <si>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</si>
  <si>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</si>
  <si>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</si>
  <si>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</si>
  <si>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</si>
  <si>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</si>
  <si>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</si>
  <si>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</si>
  <si>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</si>
  <si>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</si>
  <si>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</si>
  <si>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</si>
  <si>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</si>
  <si>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</si>
  <si>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</si>
  <si>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</si>
  <si>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</si>
  <si>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</si>
  <si>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</si>
  <si>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</si>
  <si>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</si>
  <si>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</si>
  <si>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</si>
  <si>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</si>
  <si>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</si>
  <si>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</si>
  <si>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</si>
  <si>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</si>
  <si>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</si>
  <si>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</si>
  <si>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</si>
  <si>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</si>
  <si>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</si>
  <si>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</si>
  <si>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</si>
  <si>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</si>
  <si>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</si>
  <si>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</si>
  <si>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</si>
  <si>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</si>
  <si>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</si>
  <si>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</si>
  <si>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</si>
  <si>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</si>
  <si>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</si>
  <si>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</si>
  <si>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</si>
  <si>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</si>
  <si>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</si>
  <si>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</si>
  <si>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</si>
  <si>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</si>
  <si>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</si>
  <si>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</si>
  <si>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</si>
  <si>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</si>
  <si>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</si>
  <si>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</si>
  <si>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</si>
  <si>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</si>
  <si>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</si>
  <si>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</si>
  <si>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</si>
  <si>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</si>
  <si>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</si>
  <si>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</si>
  <si>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</si>
  <si>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</si>
  <si>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</si>
  <si>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</si>
  <si>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</si>
  <si>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</si>
  <si>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</si>
  <si>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</si>
  <si>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</si>
  <si>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</si>
  <si>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</si>
  <si>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</si>
  <si>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</si>
  <si>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</si>
  <si>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</si>
  <si>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</si>
  <si>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</si>
  <si>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</si>
  <si>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</si>
  <si>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</si>
  <si>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</si>
  <si>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</si>
  <si>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</si>
  <si>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</si>
  <si>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</si>
  <si>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</si>
  <si>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</si>
  <si>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</si>
  <si>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</si>
  <si>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</si>
  <si>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</si>
  <si>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</si>
  <si>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</si>
  <si>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</si>
  <si>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</si>
  <si>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</si>
  <si>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</si>
  <si>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</si>
  <si>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</si>
  <si>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</si>
  <si>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</si>
  <si>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</si>
  <si>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</si>
  <si>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</si>
  <si>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</si>
  <si>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</si>
  <si>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</si>
  <si>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</si>
  <si>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</si>
  <si>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</si>
  <si>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</si>
  <si>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</si>
  <si>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</si>
  <si>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</si>
  <si>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</si>
  <si>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</si>
  <si>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</si>
  <si>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</si>
  <si>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</si>
  <si>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</si>
  <si>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</si>
  <si>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</si>
  <si>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</si>
  <si>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</si>
  <si>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</si>
  <si>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</si>
  <si>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</si>
  <si>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</si>
  <si>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</si>
  <si>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</si>
  <si>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</si>
  <si>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</si>
  <si>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</si>
  <si>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</si>
  <si>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</si>
  <si>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</si>
  <si>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</si>
  <si>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</si>
  <si>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</si>
  <si>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</si>
  <si>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</si>
  <si>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</si>
  <si>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</si>
  <si>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</si>
  <si>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</si>
  <si>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</si>
  <si>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</si>
  <si>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</si>
  <si>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</si>
  <si>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</si>
  <si>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</si>
  <si>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</si>
  <si>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</si>
  <si>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</si>
  <si>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</si>
  <si>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</si>
  <si>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</si>
  <si>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</si>
  <si>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</si>
  <si>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</si>
  <si>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</si>
  <si>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</si>
  <si>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</si>
  <si>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</si>
  <si>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</si>
  <si>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</si>
  <si>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</si>
  <si>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</si>
  <si>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</si>
  <si>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</si>
  <si>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</si>
  <si>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</si>
  <si>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</si>
  <si>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</si>
  <si>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</si>
  <si>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</si>
  <si>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</si>
  <si>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</si>
  <si>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</si>
  <si>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</si>
  <si>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</si>
  <si>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</si>
  <si>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</si>
  <si>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</si>
  <si>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</si>
  <si>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</si>
  <si>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</si>
  <si>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</si>
  <si>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</si>
  <si>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</si>
  <si>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</si>
  <si>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</si>
  <si>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</si>
  <si>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</si>
  <si>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</si>
  <si>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</si>
  <si>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</si>
  <si>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</si>
  <si>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</si>
  <si>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</si>
  <si>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</si>
  <si>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</si>
  <si>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</si>
  <si>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</si>
  <si>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</si>
  <si>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</si>
  <si>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</si>
  <si>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</si>
  <si>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</si>
  <si>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</si>
  <si>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</si>
  <si>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</si>
  <si>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</si>
  <si>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</si>
  <si>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</si>
  <si>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</si>
  <si>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</si>
  <si>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</si>
  <si>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</si>
  <si>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</si>
  <si>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</si>
  <si>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</si>
  <si>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</si>
  <si>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</si>
  <si>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</si>
  <si>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</si>
  <si>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</si>
  <si>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</si>
  <si>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</si>
  <si>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</si>
  <si>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</si>
  <si>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</si>
  <si>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</si>
  <si>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</si>
  <si>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</si>
  <si>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</si>
  <si>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</si>
  <si>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</si>
  <si>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</si>
  <si>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</si>
  <si>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</si>
  <si>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</si>
  <si>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</si>
  <si>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</si>
  <si>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</si>
  <si>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</si>
  <si>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</si>
  <si>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</si>
  <si>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</si>
  <si>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</si>
  <si>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</si>
  <si>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</si>
  <si>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</si>
  <si>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</si>
  <si>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</si>
  <si>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</si>
  <si>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</si>
  <si>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</si>
  <si>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</si>
  <si>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</si>
  <si>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</si>
  <si>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</si>
  <si>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</si>
  <si>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</si>
  <si>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</si>
  <si>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</si>
  <si>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</si>
  <si>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</si>
  <si>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</si>
  <si>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</si>
  <si>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</si>
  <si>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</si>
  <si>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</si>
  <si>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</si>
  <si>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</si>
  <si>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</si>
  <si>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</si>
  <si>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</si>
  <si>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</si>
  <si>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</si>
  <si>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</si>
  <si>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</si>
  <si>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</si>
  <si>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</si>
  <si>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</si>
  <si>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</si>
  <si>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</si>
  <si>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</si>
  <si>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</si>
  <si>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</si>
  <si>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</si>
  <si>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</si>
  <si>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</si>
  <si>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</si>
  <si>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</si>
  <si>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</si>
  <si>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</si>
  <si>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</si>
  <si>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</si>
  <si>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</si>
  <si>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</si>
  <si>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</si>
  <si>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</si>
  <si>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</si>
  <si>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</si>
  <si>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</si>
  <si>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</si>
  <si>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</si>
  <si>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</si>
  <si>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</si>
  <si>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</si>
  <si>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</si>
  <si>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</si>
  <si>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</si>
  <si>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</si>
  <si>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</si>
  <si>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</si>
  <si>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</si>
  <si>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</si>
  <si>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</si>
  <si>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</si>
  <si>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</si>
  <si>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</si>
  <si>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</si>
  <si>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</si>
  <si>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</si>
  <si>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</si>
  <si>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</si>
  <si>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</si>
  <si>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</si>
  <si>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</si>
  <si>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</si>
  <si>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</si>
  <si>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</si>
  <si>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</si>
  <si>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</si>
  <si>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</si>
  <si>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</si>
  <si>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</si>
  <si>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</si>
  <si>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</si>
  <si>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</si>
  <si>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</si>
  <si>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</si>
  <si>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</si>
  <si>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</si>
  <si>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</si>
  <si>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</si>
  <si>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</si>
  <si>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</si>
  <si>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</si>
  <si>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</si>
  <si>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</si>
  <si>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</si>
  <si>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</si>
  <si>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</si>
  <si>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</si>
  <si>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</si>
  <si>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</si>
  <si>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</si>
  <si>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</si>
  <si>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</si>
  <si>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</si>
  <si>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</si>
  <si>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</si>
  <si>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</si>
  <si>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</si>
  <si>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</si>
  <si>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</si>
  <si>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</si>
  <si>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</si>
  <si>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</si>
  <si>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</si>
  <si>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</si>
  <si>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</si>
  <si>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</si>
  <si>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</si>
  <si>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</si>
  <si>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</si>
  <si>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</si>
  <si>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</si>
  <si>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</si>
  <si>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</si>
  <si>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</si>
  <si>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</si>
  <si>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</si>
  <si>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</si>
  <si>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</si>
  <si>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</si>
  <si>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</si>
  <si>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</si>
  <si>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</si>
  <si>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</si>
  <si>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</si>
  <si>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</si>
  <si>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</si>
  <si>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</si>
  <si>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</si>
  <si>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</si>
  <si>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</si>
  <si>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</si>
  <si>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</si>
  <si>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</si>
  <si>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</si>
  <si>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</si>
  <si>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</si>
  <si>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</si>
  <si>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</si>
  <si>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</si>
  <si>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</si>
  <si>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</si>
  <si>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</si>
  <si>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</si>
  <si>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</si>
  <si>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</si>
  <si>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</si>
  <si>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</si>
  <si>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</si>
  <si>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</si>
  <si>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</si>
  <si>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</si>
  <si>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</si>
  <si>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</si>
  <si>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</si>
  <si>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</si>
  <si>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</si>
  <si>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</si>
  <si>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</si>
  <si>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</si>
  <si>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</si>
  <si>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</si>
  <si>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</si>
  <si>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</si>
  <si>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</si>
  <si>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</si>
  <si>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</si>
  <si>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</si>
  <si>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</si>
  <si>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</si>
  <si>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</si>
  <si>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</si>
  <si>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</si>
  <si>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</si>
  <si>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</si>
  <si>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</si>
  <si>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</si>
  <si>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</si>
  <si>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</si>
  <si>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</si>
  <si>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</si>
  <si>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</si>
  <si>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</si>
  <si>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</si>
  <si>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</si>
  <si>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</si>
  <si>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</si>
  <si>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</si>
  <si>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</si>
  <si>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</si>
  <si>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</si>
  <si>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</si>
  <si>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</si>
  <si>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</si>
  <si>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</si>
  <si>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</si>
  <si>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</si>
  <si>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</si>
  <si>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</si>
  <si>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</si>
  <si>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</si>
  <si>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</si>
  <si>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</si>
  <si>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</si>
  <si>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</si>
  <si>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</si>
  <si>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</si>
  <si>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</si>
  <si>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</si>
  <si>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</si>
  <si>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</si>
  <si>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</si>
  <si>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</si>
  <si>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</si>
  <si>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</si>
  <si>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</si>
  <si>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</si>
  <si>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</si>
  <si>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</si>
  <si>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</si>
  <si>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</si>
  <si>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</si>
  <si>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</si>
  <si>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</si>
  <si>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</si>
  <si>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</si>
  <si>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</si>
  <si>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</si>
  <si>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</si>
  <si>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</si>
  <si>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</si>
  <si>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</si>
  <si>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</si>
  <si>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</si>
  <si>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</si>
  <si>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</si>
  <si>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</si>
  <si>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</si>
  <si>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</si>
  <si>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</si>
  <si>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</si>
  <si>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</si>
  <si>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</si>
  <si>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</si>
  <si>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</si>
  <si>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</si>
  <si>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</si>
  <si>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</si>
  <si>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</si>
  <si>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</si>
  <si>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</si>
  <si>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</si>
  <si>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</si>
  <si>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</si>
  <si>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</si>
  <si>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</si>
  <si>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</si>
  <si>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</si>
  <si>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</si>
  <si>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</si>
  <si>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</si>
  <si>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</si>
  <si>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</si>
  <si>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</si>
  <si>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</si>
  <si>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</si>
  <si>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</si>
  <si>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</si>
  <si>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</si>
  <si>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</si>
  <si>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</si>
  <si>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</si>
  <si>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</si>
  <si>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</si>
  <si>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</si>
  <si>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</si>
  <si>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</si>
  <si>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</si>
  <si>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</si>
  <si>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</si>
  <si>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</si>
  <si>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</si>
  <si>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</si>
  <si>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</si>
  <si>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</si>
  <si>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</si>
  <si>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</si>
  <si>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</si>
  <si>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</si>
  <si>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</si>
  <si>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</si>
  <si>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</si>
  <si>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</si>
  <si>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</si>
  <si>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</si>
  <si>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</si>
  <si>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</si>
  <si>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</si>
  <si>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</si>
  <si>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</si>
  <si>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</si>
  <si>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</si>
  <si>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</si>
  <si>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</si>
  <si>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</si>
  <si>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</si>
  <si>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</si>
  <si>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</si>
  <si>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</si>
  <si>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</si>
  <si>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</si>
  <si>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</si>
  <si>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</si>
  <si>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</si>
  <si>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</si>
  <si>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</si>
  <si>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</si>
  <si>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</si>
  <si>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</si>
  <si>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</si>
  <si>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</si>
  <si>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</si>
  <si>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</si>
  <si>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</si>
  <si>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</si>
  <si>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</si>
  <si>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</si>
  <si>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</si>
  <si>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</si>
  <si>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</si>
  <si>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</si>
  <si>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</si>
  <si>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</si>
  <si>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</si>
  <si>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</si>
  <si>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</si>
  <si>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</si>
  <si>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</si>
  <si>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</si>
  <si>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</si>
  <si>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</si>
  <si>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</si>
  <si>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</si>
  <si>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</si>
  <si>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</si>
  <si>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</si>
  <si>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</si>
  <si>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</si>
  <si>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</si>
  <si>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</si>
  <si>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</si>
  <si>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</si>
  <si>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</si>
  <si>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</si>
  <si>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</si>
  <si>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</si>
  <si>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</si>
  <si>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</si>
  <si>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</si>
  <si>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</si>
  <si>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</si>
  <si>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</si>
  <si>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</si>
  <si>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</si>
  <si>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</si>
  <si>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</si>
  <si>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</si>
  <si>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</si>
  <si>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</si>
  <si>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</si>
  <si>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</si>
  <si>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</si>
  <si>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</si>
  <si>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</si>
  <si>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</si>
  <si>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</si>
  <si>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</si>
  <si>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</si>
  <si>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</si>
  <si>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</si>
  <si>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</si>
  <si>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</si>
  <si>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</si>
  <si>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39:30</t>
  </si>
  <si>
    <t>29:00</t>
  </si>
  <si>
    <t>82:00</t>
  </si>
  <si>
    <t>Zimmer Jakub</t>
  </si>
  <si>
    <t>Vaníková Anna</t>
  </si>
  <si>
    <t>30:00</t>
  </si>
  <si>
    <t>Pánková Vendula</t>
  </si>
  <si>
    <t>61:30</t>
  </si>
  <si>
    <t>Lowe Jana</t>
  </si>
  <si>
    <t>22:30</t>
  </si>
  <si>
    <t>110:00</t>
  </si>
  <si>
    <t>47:30</t>
  </si>
  <si>
    <t>7:00</t>
  </si>
  <si>
    <t>44:30</t>
  </si>
  <si>
    <t>Nedbal Michal</t>
  </si>
  <si>
    <t>100:00</t>
  </si>
  <si>
    <t>6:00</t>
  </si>
  <si>
    <t>Pechová Barbora</t>
  </si>
  <si>
    <t>53:00</t>
  </si>
  <si>
    <t>Dragoun Alfréd</t>
  </si>
  <si>
    <t>5:00</t>
  </si>
  <si>
    <t>10 min 30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</si>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</sst>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46189.0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46174.0</v>
      </c>
      <c r="D1" s="113" t="s">
        <v>2576</v>
      </c>
      <c r="E1" s="114">
        <v>46189.0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0.2355714524534392</v>
      </c>
      <c r="H2" s="21"/>
      <c r="I2" s="118">
        <v>965585.3399999997</v>
      </c>
      <c r="K2" s="21"/>
      <c r="L2" s="119" t="s">
        <v>2556</v>
      </c>
      <c r="M2" s="120">
        <v>223305.77000000008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7"/>
      <c r="D3" s="124"/>
      <c r="E3" s="11"/>
      <c r="H3" s="21"/>
      <c r="K3" s="21"/>
      <c r="L3" s="125" t="s">
        <v>2557</v>
      </c>
      <c r="M3" s="126">
        <v>77418.0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290059.53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232527.4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1964.5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405.5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237.5</v>
      </c>
      <c r="G7" s="13"/>
      <c r="H7" s="13"/>
      <c r="I7" s="13"/>
      <c r="J7" s="134"/>
      <c r="K7" s="134"/>
      <c r="L7" s="135" t="s">
        <v>2562</v>
      </c>
      <c r="M7" s="136">
        <v>32618.739999999998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-61.139999999679276</v>
      </c>
      <c r="K9" s="11"/>
      <c r="L9" s="148" t="s">
        <v>23</v>
      </c>
      <c r="M9" s="126">
        <v>69065.0</v>
      </c>
      <c r="N9" s="121"/>
    </row>
    <row r="10" ht="18.75" customHeight="1">
      <c r="A10" s="149"/>
      <c r="B10" s="150" t="s">
        <v>52</v>
      </c>
      <c r="C10" s="151">
        <v>6.0</v>
      </c>
      <c r="D10" s="151" t="s">
        <v>2580</v>
      </c>
      <c r="E10" s="152" t="s">
        <v>2581</v>
      </c>
      <c r="F10" s="150" t="s">
        <v>373</v>
      </c>
      <c r="G10" s="151">
        <v>11.0</v>
      </c>
      <c r="H10" s="151" t="s">
        <v>2582</v>
      </c>
      <c r="I10" s="153">
        <v>133.0</v>
      </c>
      <c r="J10" s="36"/>
      <c r="K10" s="21"/>
      <c r="L10" s="148" t="s">
        <v>24</v>
      </c>
      <c r="M10" s="126">
        <v>800.0</v>
      </c>
      <c r="N10" s="121"/>
    </row>
    <row r="11" ht="18.75" customHeight="1">
      <c r="A11" s="149"/>
      <c r="B11" s="150" t="s">
        <v>2583</v>
      </c>
      <c r="C11" s="151">
        <v>4.0</v>
      </c>
      <c r="D11" s="151" t="s">
        <v>49</v>
      </c>
      <c r="E11" s="152" t="s">
        <v>49</v>
      </c>
      <c r="F11" s="150" t="s">
        <v>2584</v>
      </c>
      <c r="G11" s="151">
        <v>5.0</v>
      </c>
      <c r="H11" s="151" t="s">
        <v>2585</v>
      </c>
      <c r="I11" s="153">
        <v>62.0</v>
      </c>
      <c r="J11" s="36"/>
      <c r="K11" s="21"/>
      <c r="L11" s="154" t="s">
        <v>25</v>
      </c>
      <c r="M11" s="155">
        <v>46385.0</v>
      </c>
      <c r="N11" s="121"/>
    </row>
    <row r="12" ht="18.75" customHeight="1">
      <c r="A12" s="149"/>
      <c r="B12" s="150" t="s">
        <v>2586</v>
      </c>
      <c r="C12" s="151">
        <v>8.0</v>
      </c>
      <c r="D12" s="151" t="s">
        <v>2587</v>
      </c>
      <c r="E12" s="152" t="s">
        <v>50</v>
      </c>
      <c r="F12" s="150" t="s">
        <v>2588</v>
      </c>
      <c r="G12" s="151">
        <v>8.0</v>
      </c>
      <c r="H12" s="151" t="s">
        <v>2589</v>
      </c>
      <c r="I12" s="153">
        <v>29.0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10.0</v>
      </c>
      <c r="D13" s="151" t="s">
        <v>2590</v>
      </c>
      <c r="E13" s="152" t="s">
        <v>50</v>
      </c>
      <c r="F13" s="150" t="s">
        <v>65</v>
      </c>
      <c r="G13" s="151">
        <v>7.0</v>
      </c>
      <c r="H13" s="151" t="s">
        <v>2591</v>
      </c>
      <c r="I13" s="153">
        <v>62.0</v>
      </c>
      <c r="J13" s="36"/>
      <c r="K13" s="21"/>
      <c r="L13" s="148" t="s">
        <v>29</v>
      </c>
      <c r="M13" s="126">
        <v>3000.0</v>
      </c>
      <c r="N13" s="121"/>
    </row>
    <row r="14" ht="18.75" customHeight="1">
      <c r="A14" s="149"/>
      <c r="B14" s="150" t="s">
        <v>96</v>
      </c>
      <c r="C14" s="151">
        <v>2.0</v>
      </c>
      <c r="D14" s="151" t="s">
        <v>2536</v>
      </c>
      <c r="E14" s="152" t="s">
        <v>2592</v>
      </c>
      <c r="F14" s="150" t="s">
        <v>96</v>
      </c>
      <c r="G14" s="151">
        <v>6.0</v>
      </c>
      <c r="H14" s="151" t="s">
        <v>2593</v>
      </c>
      <c r="I14" s="153">
        <v>57.0</v>
      </c>
      <c r="J14" s="36"/>
      <c r="K14" s="21"/>
      <c r="L14" s="157" t="s">
        <v>30</v>
      </c>
      <c r="M14" s="126">
        <v>45.0</v>
      </c>
      <c r="N14" s="121"/>
    </row>
    <row r="15" ht="18.75" customHeight="1">
      <c r="A15" s="149"/>
      <c r="B15" s="150" t="s">
        <v>2594</v>
      </c>
      <c r="C15" s="151">
        <v>10.0</v>
      </c>
      <c r="D15" s="151" t="s">
        <v>2595</v>
      </c>
      <c r="E15" s="152" t="s">
        <v>2592</v>
      </c>
      <c r="F15" s="150" t="s">
        <v>2583</v>
      </c>
      <c r="G15" s="151">
        <v>1.0</v>
      </c>
      <c r="H15" s="151" t="s">
        <v>2596</v>
      </c>
      <c r="I15" s="153">
        <v>0.0</v>
      </c>
      <c r="J15" s="36"/>
      <c r="K15" s="21"/>
      <c r="L15" s="157" t="s">
        <v>31</v>
      </c>
      <c r="M15" s="126">
        <v>3780.0</v>
      </c>
      <c r="N15" s="121"/>
    </row>
    <row r="16" ht="18.75" customHeight="1">
      <c r="A16" s="149"/>
      <c r="B16" s="150" t="s">
        <v>2597</v>
      </c>
      <c r="C16" s="151">
        <v>7.0</v>
      </c>
      <c r="D16" s="151" t="s">
        <v>2598</v>
      </c>
      <c r="E16" s="158"/>
      <c r="F16" s="150" t="s">
        <v>2599</v>
      </c>
      <c r="G16" s="151">
        <v>1.0</v>
      </c>
      <c r="H16" s="151" t="s">
        <v>2600</v>
      </c>
      <c r="I16" s="153">
        <v>7.0</v>
      </c>
      <c r="J16" s="36"/>
      <c r="K16" s="21"/>
      <c r="L16" s="157" t="s">
        <v>32</v>
      </c>
      <c r="M16" s="126">
        <v>4054.0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13120.0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13.0</v>
      </c>
      <c r="K21" s="170">
        <v>9362.9</v>
      </c>
      <c r="L21" s="171">
        <v>39.0</v>
      </c>
      <c r="M21" s="172" t="s">
        <v>2601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32.0</v>
      </c>
      <c r="K24" s="171">
        <v>2257.0</v>
      </c>
      <c r="L24" s="171">
        <v>407.0</v>
      </c>
      <c r="M24" s="176">
        <v>33.0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3.0</v>
      </c>
      <c r="K27" s="98"/>
      <c r="L27" s="182">
        <v>0.10020073389917414</v>
      </c>
      <c r="M27" s="183">
        <v>6.0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0.8997992661008262</v>
      </c>
      <c r="M30" s="187">
        <v>0.013731326644370124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"/>
      <c r="F2" s="1"/>
      <c r="G2" s="1"/>
      <c r="H2" s="1"/>
      <c r="I2" s="1"/>
      <c r="J2" s="188"/>
      <c r="K2" s="1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88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88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/>
      <c r="B117" s="1"/>
      <c r="C117" s="189"/>
      <c r="D117" s="1"/>
      <c r="E117" s="1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/>
      <c r="B118" s="1"/>
      <c r="C118" s="189"/>
      <c r="D118" s="1"/>
      <c r="E118" s="188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/>
      <c r="B119" s="1"/>
      <c r="C119" s="189"/>
      <c r="D119" s="1"/>
      <c r="E119" s="188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/>
      <c r="B120" s="1"/>
      <c r="C120" s="189"/>
      <c r="D120" s="1"/>
      <c r="E120" s="1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/>
      <c r="B121" s="189"/>
      <c r="C121" s="189"/>
      <c r="D121" s="1"/>
      <c r="E121" s="188"/>
      <c r="F121" s="1"/>
      <c r="G121" s="1"/>
      <c r="H121" s="1"/>
      <c r="I121" s="1"/>
      <c r="J121" s="1"/>
      <c r="K121" s="188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88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/>
      <c r="B123" s="1"/>
      <c r="C123" s="1"/>
      <c r="D123" s="1"/>
      <c r="E123" s="188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/>
      <c r="B125" s="1"/>
      <c r="C125" s="189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/>
      <c r="B127" s="1"/>
      <c r="C127" s="1"/>
      <c r="D127" s="1"/>
      <c r="E127" s="188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/>
      <c r="B128" s="189"/>
      <c r="C128" s="189"/>
      <c r="D128" s="1"/>
      <c r="E128" s="1"/>
      <c r="F128" s="1"/>
      <c r="G128" s="1"/>
      <c r="H128" s="1"/>
      <c r="I128" s="1"/>
      <c r="J128" s="1"/>
      <c r="K128" s="188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"/>
      <c r="B129" s="1"/>
      <c r="C129" s="189"/>
      <c r="D129" s="1"/>
      <c r="E129" s="188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"/>
      <c r="B130" s="189"/>
      <c r="C130" s="189"/>
      <c r="D130" s="1"/>
      <c r="E130" s="188"/>
      <c r="F130" s="1"/>
      <c r="G130" s="1"/>
      <c r="H130" s="1"/>
      <c r="I130" s="1"/>
      <c r="J130" s="1"/>
      <c r="K130" s="188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"/>
      <c r="B131" s="189"/>
      <c r="C131" s="1"/>
      <c r="D131" s="1"/>
      <c r="E131" s="1"/>
      <c r="F131" s="1"/>
      <c r="G131" s="1"/>
      <c r="H131" s="1"/>
      <c r="I131" s="1"/>
      <c r="J131" s="1"/>
      <c r="K131" s="188"/>
      <c r="L131" s="1"/>
      <c r="M131" s="1"/>
      <c r="N131" s="1"/>
      <c r="O131" s="1"/>
      <c r="P131" s="1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"/>
      <c r="B133" s="1"/>
      <c r="C133" s="189"/>
      <c r="D133" s="1"/>
      <c r="E133" s="188"/>
      <c r="F133" s="1"/>
      <c r="G133" s="1"/>
      <c r="H133" s="1"/>
      <c r="I133" s="1"/>
      <c r="J133" s="1"/>
      <c r="K133" s="188"/>
      <c r="L133" s="1"/>
      <c r="M133" s="1"/>
      <c r="N133" s="1"/>
      <c r="O133" s="1"/>
      <c r="P133" s="1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"/>
      <c r="B134" s="1"/>
      <c r="C134" s="1"/>
      <c r="D134" s="1"/>
      <c r="E134" s="188"/>
      <c r="F134" s="1"/>
      <c r="G134" s="1"/>
      <c r="H134" s="1"/>
      <c r="I134" s="1"/>
      <c r="J134" s="1"/>
      <c r="K134" s="188"/>
      <c r="L134" s="1"/>
      <c r="M134" s="1"/>
      <c r="N134" s="1"/>
      <c r="O134" s="1"/>
      <c r="P134" s="1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"/>
      <c r="B135" s="1"/>
      <c r="C135" s="1"/>
      <c r="D135" s="1"/>
      <c r="E135" s="188"/>
      <c r="F135" s="1"/>
      <c r="G135" s="1"/>
      <c r="H135" s="1"/>
      <c r="I135" s="1"/>
      <c r="J135" s="1"/>
      <c r="K135" s="188"/>
      <c r="L135" s="1"/>
      <c r="M135" s="1"/>
      <c r="N135" s="1"/>
      <c r="O135" s="1"/>
      <c r="P135" s="1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"/>
      <c r="B136" s="1"/>
      <c r="C136" s="189"/>
      <c r="D136" s="1"/>
      <c r="E136" s="1"/>
      <c r="F136" s="1"/>
      <c r="G136" s="1"/>
      <c r="H136" s="1"/>
      <c r="I136" s="1"/>
      <c r="J136" s="1"/>
      <c r="K136" s="188"/>
      <c r="L136" s="1"/>
      <c r="M136" s="1"/>
      <c r="N136" s="1"/>
      <c r="O136" s="1"/>
      <c r="P136" s="1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"/>
      <c r="B138" s="189"/>
      <c r="C138" s="189"/>
      <c r="D138" s="1"/>
      <c r="E138" s="188"/>
      <c r="F138" s="1"/>
      <c r="G138" s="1"/>
      <c r="H138" s="1"/>
      <c r="I138" s="1"/>
      <c r="J138" s="1"/>
      <c r="K138" s="188"/>
      <c r="L138" s="1"/>
      <c r="M138" s="1"/>
      <c r="N138" s="1"/>
      <c r="O138" s="1"/>
      <c r="P138" s="1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"/>
      <c r="B139" s="189"/>
      <c r="C139" s="189"/>
      <c r="D139" s="1"/>
      <c r="E139" s="1"/>
      <c r="F139" s="1"/>
      <c r="G139" s="1"/>
      <c r="H139" s="1"/>
      <c r="I139" s="1"/>
      <c r="J139" s="1"/>
      <c r="K139" s="188"/>
      <c r="L139" s="1"/>
      <c r="M139" s="1"/>
      <c r="N139" s="1"/>
      <c r="O139" s="1"/>
      <c r="P139" s="1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"/>
      <c r="B141" s="1"/>
      <c r="C141" s="189"/>
      <c r="D141" s="1"/>
      <c r="E141" s="188"/>
      <c r="F141" s="1"/>
      <c r="G141" s="1"/>
      <c r="H141" s="1"/>
      <c r="I141" s="1"/>
      <c r="J141" s="1"/>
      <c r="K141" s="188"/>
      <c r="L141" s="1"/>
      <c r="M141" s="1"/>
      <c r="N141" s="1"/>
      <c r="O141" s="1"/>
      <c r="P141" s="1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"/>
      <c r="B142" s="1"/>
      <c r="C142" s="189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"/>
      <c r="B143" s="1"/>
      <c r="C143" s="189"/>
      <c r="D143" s="1"/>
      <c r="E143" s="1"/>
      <c r="F143" s="1"/>
      <c r="G143" s="1"/>
      <c r="H143" s="1"/>
      <c r="I143" s="1"/>
      <c r="J143" s="1"/>
      <c r="K143" s="188"/>
      <c r="L143" s="1"/>
      <c r="M143" s="1"/>
      <c r="N143" s="1"/>
      <c r="O143" s="1"/>
      <c r="P143" s="1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"/>
      <c r="B144" s="1"/>
      <c r="C144" s="189"/>
      <c r="D144" s="1"/>
      <c r="E144" s="188"/>
      <c r="F144" s="1"/>
      <c r="G144" s="1"/>
      <c r="H144" s="1"/>
      <c r="I144" s="1"/>
      <c r="J144" s="1"/>
      <c r="K144" s="188"/>
      <c r="L144" s="1"/>
      <c r="M144" s="1"/>
      <c r="N144" s="1"/>
      <c r="O144" s="1"/>
      <c r="P144" s="1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"/>
      <c r="B145" s="1"/>
      <c r="C145" s="189"/>
      <c r="D145" s="1"/>
      <c r="E145" s="1"/>
      <c r="F145" s="1"/>
      <c r="G145" s="1"/>
      <c r="H145" s="1"/>
      <c r="I145" s="1"/>
      <c r="J145" s="1"/>
      <c r="K145" s="188"/>
      <c r="L145" s="1"/>
      <c r="M145" s="1"/>
      <c r="N145" s="1"/>
      <c r="O145" s="1"/>
      <c r="P145" s="1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"/>
      <c r="B146" s="1"/>
      <c r="C146" s="1"/>
      <c r="D146" s="1"/>
      <c r="E146" s="188"/>
      <c r="F146" s="1"/>
      <c r="G146" s="1"/>
      <c r="H146" s="1"/>
      <c r="I146" s="1"/>
      <c r="J146" s="1"/>
      <c r="K146" s="188"/>
      <c r="L146" s="1"/>
      <c r="M146" s="1"/>
      <c r="N146" s="1"/>
      <c r="O146" s="1"/>
      <c r="P146" s="1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"/>
      <c r="B147" s="1"/>
      <c r="C147" s="1"/>
      <c r="D147" s="1"/>
      <c r="E147" s="188"/>
      <c r="F147" s="1"/>
      <c r="G147" s="1"/>
      <c r="H147" s="1"/>
      <c r="I147" s="1"/>
      <c r="J147" s="1"/>
      <c r="K147" s="188"/>
      <c r="L147" s="1"/>
      <c r="M147" s="1"/>
      <c r="N147" s="1"/>
      <c r="O147" s="1"/>
      <c r="P147" s="1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"/>
      <c r="B148" s="1"/>
      <c r="C148" s="1"/>
      <c r="D148" s="1"/>
      <c r="E148" s="188"/>
      <c r="F148" s="1"/>
      <c r="G148" s="1"/>
      <c r="H148" s="1"/>
      <c r="I148" s="1"/>
      <c r="J148" s="1"/>
      <c r="K148" s="188"/>
      <c r="L148" s="1"/>
      <c r="M148" s="1"/>
      <c r="N148" s="1"/>
      <c r="O148" s="1"/>
      <c r="P148" s="1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"/>
      <c r="B149" s="1"/>
      <c r="C149" s="189"/>
      <c r="D149" s="1"/>
      <c r="E149" s="1"/>
      <c r="F149" s="1"/>
      <c r="G149" s="1"/>
      <c r="H149" s="1"/>
      <c r="I149" s="1"/>
      <c r="J149" s="1"/>
      <c r="K149" s="188"/>
      <c r="L149" s="1"/>
      <c r="M149" s="1"/>
      <c r="N149" s="1"/>
      <c r="O149" s="1"/>
      <c r="P149" s="1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"/>
      <c r="B150" s="1"/>
      <c r="C150" s="1"/>
      <c r="D150" s="1"/>
      <c r="E150" s="188"/>
      <c r="F150" s="1"/>
      <c r="G150" s="1"/>
      <c r="H150" s="1"/>
      <c r="I150" s="1"/>
      <c r="J150" s="1"/>
      <c r="K150" s="188"/>
      <c r="L150" s="1"/>
      <c r="M150" s="1"/>
      <c r="N150" s="1"/>
      <c r="O150" s="1"/>
      <c r="P150" s="1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"/>
      <c r="B151" s="1"/>
      <c r="C151" s="189"/>
      <c r="D151" s="1"/>
      <c r="E151" s="1"/>
      <c r="F151" s="1"/>
      <c r="G151" s="1"/>
      <c r="H151" s="1"/>
      <c r="I151" s="1"/>
      <c r="J151" s="1"/>
      <c r="K151" s="188"/>
      <c r="L151" s="1"/>
      <c r="M151" s="1"/>
      <c r="N151" s="1"/>
      <c r="O151" s="1"/>
      <c r="P151" s="1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90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90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90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""Mzdy!ac1:ad200"")"),30.0)</f>
        <v>30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2602</v>
      </c>
      <c r="B4" s="195" t="s">
        <v>2603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IFERROR(__xludf.DUMMYFUNCTION("""COMPUTED_VALUE"""),2882.052)</f>
        <v>2882.052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IFERROR(__xludf.DUMMYFUNCTION("""COMPUTED_VALUE"""),2882.052)</f>
        <v>2882.052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IFERROR(__xludf.DUMMYFUNCTION("""COMPUTED_VALUE"""),2274.6)</f>
        <v>2274.6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IFERROR(__xludf.DUMMYFUNCTION("""COMPUTED_VALUE"""),2882.052)</f>
        <v>2882.052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IFERROR(__xludf.DUMMYFUNCTION("""COMPUTED_VALUE"""),2274.6)</f>
        <v>2274.6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IFERROR(__xludf.DUMMYFUNCTION("""COMPUTED_VALUE"""),2882.052)</f>
        <v>2882.052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IFERROR(__xludf.DUMMYFUNCTION("""COMPUTED_VALUE"""),2274.6)</f>
        <v>2274.6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IFERROR(__xludf.DUMMYFUNCTION("""COMPUTED_VALUE"""),2274.6)</f>
        <v>2274.6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IFERROR(__xludf.DUMMYFUNCTION("""COMPUTED_VALUE"""),2274.6)</f>
        <v>2274.6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IFERROR(__xludf.DUMMYFUNCTION("""COMPUTED_VALUE"""),0.0)</f>
        <v>0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IFERROR(__xludf.DUMMYFUNCTION("""COMPUTED_VALUE"""),0.0)</f>
        <v>0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>Hegedüs Erik</v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 t="str">
        <f>IFERROR(__xludf.DUMMYFUNCTION("""COMPUTED_VALUE"""),"Zličín")</f>
        <v>Zličín</v>
      </c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IFERROR(__xludf.DUMMYFUNCTION("""COMPUTED_VALUE"""),2882.052)</f>
        <v>2882.052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IFERROR(__xludf.DUMMYFUNCTION("""COMPUTED_VALUE"""),2882.052)</f>
        <v>2882.052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IFERROR(__xludf.DUMMYFUNCTION("""COMPUTED_VALUE"""),"Malešice")</f>
        <v>Malešice</v>
      </c>
      <c r="F28" s="191" t="str">
        <f>IFERROR(__xludf.DUMMYFUNCTION("""COMPUTED_VALUE"""),"Chodov")</f>
        <v>Chodov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IFERROR(__xludf.DUMMYFUNCTION("""COMPUTED_VALUE"""),0.0)</f>
        <v>0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 t="str">
        <f>IFERROR(__xludf.DUMMYFUNCTION("""COMPUTED_VALUE"""),"Malešice")</f>
        <v>Malešice</v>
      </c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 t="str">
        <f>IFERROR(__xludf.DUMMYFUNCTION("""COMPUTED_VALUE"""),"Prošek Václav")</f>
        <v>Prošek Václav</v>
      </c>
      <c r="E42" s="191" t="str">
        <f>IFERROR(__xludf.DUMMYFUNCTION("""COMPUTED_VALUE"""),"Libuš")</f>
        <v>Libuš</v>
      </c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IFERROR(__xludf.DUMMYFUNCTION("""COMPUTED_VALUE"""),250.20600000000002)</f>
        <v>250.206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 t="str">
        <f>IFERROR(__xludf.DUMMYFUNCTION("""COMPUTED_VALUE"""),"Malešice")</f>
        <v>Malešice</v>
      </c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IFERROR(__xludf.DUMMYFUNCTION("""COMPUTED_VALUE"""),2577.8799999999997)</f>
        <v>2577.88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IFERROR(__xludf.DUMMYFUNCTION("""COMPUTED_VALUE"""),1650.2)</f>
        <v>1650.2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IFERROR(__xludf.DUMMYFUNCTION("""COMPUTED_VALUE"""),250.20600000000002)</f>
        <v>250.206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IFERROR(__xludf.DUMMYFUNCTION("""COMPUTED_VALUE"""),"Břicháč Pavel")</f>
        <v>Břicháč Pavel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>Čerešňák Michal</v>
      </c>
      <c r="C127" s="191" t="b">
        <f>IFERROR(__xludf.DUMMYFUNCTION("""COMPUTED_VALUE"""),FALSE)</f>
        <v>0</v>
      </c>
      <c r="D127" s="191" t="str">
        <f>IFERROR(__xludf.DUMMYFUNCTION("""COMPUTED_VALUE"""),"Čerešňák Michal")</f>
        <v>Čerešňák Michal</v>
      </c>
      <c r="E127" s="191" t="str">
        <f>IFERROR(__xludf.DUMMYFUNCTION("""COMPUTED_VALUE"""),"Zličín")</f>
        <v>Zličín</v>
      </c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IFERROR(__xludf.DUMMYFUNCTION("""COMPUTED_VALUE"""),170.0)</f>
        <v>170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 t="str">
        <f>IFERROR(__xludf.DUMMYFUNCTION("""COMPUTED_VALUE"""),"Weindling Josef")</f>
        <v>Weindling Josef</v>
      </c>
      <c r="E128" s="191" t="str">
        <f>IFERROR(__xludf.DUMMYFUNCTION("""COMPUTED_VALUE"""),"Libuš")</f>
        <v>Libuš</v>
      </c>
      <c r="F128" s="191" t="str">
        <f>IFERROR(__xludf.DUMMYFUNCTION("""COMPUTED_VALUE"""),"Malešice")</f>
        <v>Malešice</v>
      </c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IFERROR(__xludf.DUMMYFUNCTION("""COMPUTED_VALUE"""),231.474)</f>
        <v>231.474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 t="str">
        <f>IFERROR(__xludf.DUMMYFUNCTION("""COMPUTED_VALUE"""),"Fux Vojtěch")</f>
        <v>Fux Vojtěch</v>
      </c>
      <c r="E129" s="191" t="str">
        <f>IFERROR(__xludf.DUMMYFUNCTION("""COMPUTED_VALUE"""),"Chodov")</f>
        <v>Chodov</v>
      </c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IFERROR(__xludf.DUMMYFUNCTION("""COMPUTED_VALUE"""),200.0)</f>
        <v>200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 t="str">
        <f>IFERROR(__xludf.DUMMYFUNCTION("""COMPUTED_VALUE"""),"Kumar Jatinder")</f>
        <v>Kumar Jatinder</v>
      </c>
      <c r="E130" s="191" t="str">
        <f>IFERROR(__xludf.DUMMYFUNCTION("""COMPUTED_VALUE"""),"Libuš")</f>
        <v>Libuš</v>
      </c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IFERROR(__xludf.DUMMYFUNCTION("""COMPUTED_VALUE"""),231.474)</f>
        <v>231.474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 t="str">
        <f>IFERROR(__xludf.DUMMYFUNCTION("""COMPUTED_VALUE"""),"Stehlíková Magdaléna")</f>
        <v>Stehlíková Magdaléna</v>
      </c>
      <c r="E131" s="191" t="str">
        <f>IFERROR(__xludf.DUMMYFUNCTION("""COMPUTED_VALUE"""),"Bolevec")</f>
        <v>Bolevec</v>
      </c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4">
        <f>IFERROR(__xludf.DUMMYFUNCTION("""COMPUTED_VALUE"""),214.08)</f>
        <v>214.08</v>
      </c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>Dragoun Alfréd</v>
      </c>
      <c r="C132" s="191" t="b">
        <f>IFERROR(__xludf.DUMMYFUNCTION("""COMPUTED_VALUE"""),FALSE)</f>
        <v>0</v>
      </c>
      <c r="D132" s="191" t="str">
        <f>IFERROR(__xludf.DUMMYFUNCTION("""COMPUTED_VALUE"""),"Dragoun Alfréd")</f>
        <v>Dragoun Alfréd</v>
      </c>
      <c r="E132" s="191" t="str">
        <f>IFERROR(__xludf.DUMMYFUNCTION("""COMPUTED_VALUE"""),"Zličín")</f>
        <v>Zličín</v>
      </c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IFERROR(__xludf.DUMMYFUNCTION("""COMPUTED_VALUE"""),250.20600000000002)</f>
        <v>250.206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2604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2605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2606</v>
      </c>
      <c r="B3" s="1" t="s">
        <v>2607</v>
      </c>
      <c r="D3" s="1" t="s">
        <v>2608</v>
      </c>
      <c r="E3" s="1" t="s">
        <v>2608</v>
      </c>
      <c r="F3" s="1" t="s">
        <v>2608</v>
      </c>
      <c r="G3" s="1" t="s">
        <v>2608</v>
      </c>
    </row>
    <row r="4">
      <c r="A4" s="1" t="s">
        <v>2609</v>
      </c>
      <c r="B4" s="1" t="s">
        <v>2610</v>
      </c>
      <c r="C4" s="1" t="s">
        <v>2608</v>
      </c>
      <c r="E4" s="1" t="s">
        <v>2611</v>
      </c>
      <c r="F4" s="1" t="s">
        <v>2612</v>
      </c>
      <c r="G4" s="1" t="s">
        <v>2612</v>
      </c>
      <c r="H4" s="1" t="s">
        <v>2611</v>
      </c>
    </row>
    <row r="5">
      <c r="A5" s="1" t="s">
        <v>2613</v>
      </c>
      <c r="B5" s="1" t="s">
        <v>2614</v>
      </c>
      <c r="E5" s="1" t="s">
        <v>2615</v>
      </c>
      <c r="F5" s="1" t="s">
        <v>2616</v>
      </c>
      <c r="G5" s="1" t="s">
        <v>2617</v>
      </c>
      <c r="H5" s="1" t="s">
        <v>2608</v>
      </c>
    </row>
    <row r="6">
      <c r="A6" s="1" t="s">
        <v>2618</v>
      </c>
      <c r="B6" s="1" t="s">
        <v>2619</v>
      </c>
      <c r="D6" s="1" t="s">
        <v>2619</v>
      </c>
      <c r="F6" s="1" t="s">
        <v>2617</v>
      </c>
    </row>
    <row r="7">
      <c r="A7" s="1" t="s">
        <v>71</v>
      </c>
      <c r="B7" s="1" t="s">
        <v>2620</v>
      </c>
      <c r="D7" s="1" t="s">
        <v>2620</v>
      </c>
    </row>
    <row r="8">
      <c r="A8" s="1" t="s">
        <v>2621</v>
      </c>
      <c r="B8" s="1" t="s">
        <v>2614</v>
      </c>
      <c r="C8" s="1" t="s">
        <v>2614</v>
      </c>
      <c r="E8" s="1" t="s">
        <v>2614</v>
      </c>
      <c r="F8" s="1" t="s">
        <v>2622</v>
      </c>
    </row>
    <row r="9">
      <c r="A9" s="1" t="s">
        <v>44</v>
      </c>
      <c r="C9" s="1" t="s">
        <v>2611</v>
      </c>
      <c r="D9" s="1" t="s">
        <v>2611</v>
      </c>
      <c r="F9" s="1" t="s">
        <v>2612</v>
      </c>
      <c r="G9" s="1" t="s">
        <v>2612</v>
      </c>
      <c r="H9" s="1" t="s">
        <v>2611</v>
      </c>
    </row>
    <row r="10">
      <c r="A10" s="1" t="s">
        <v>2623</v>
      </c>
      <c r="C10" s="1" t="s">
        <v>2617</v>
      </c>
      <c r="E10" s="1" t="s">
        <v>2617</v>
      </c>
      <c r="G10" s="1" t="s">
        <v>2616</v>
      </c>
      <c r="H10" s="1" t="s">
        <v>2615</v>
      </c>
    </row>
    <row r="11">
      <c r="A11" s="1" t="s">
        <v>2624</v>
      </c>
      <c r="C11" s="1" t="s">
        <v>2615</v>
      </c>
      <c r="E11" s="1" t="s">
        <v>2615</v>
      </c>
    </row>
    <row r="12">
      <c r="A12" s="1" t="s">
        <v>2625</v>
      </c>
      <c r="D12" s="1" t="s">
        <v>2611</v>
      </c>
      <c r="E12" s="1" t="s">
        <v>2626</v>
      </c>
      <c r="F12" s="1" t="s">
        <v>2627</v>
      </c>
      <c r="G12" s="1" t="s">
        <v>2628</v>
      </c>
      <c r="H12" s="1" t="s">
        <v>2611</v>
      </c>
    </row>
    <row r="13">
      <c r="A13" s="1" t="s">
        <v>2629</v>
      </c>
      <c r="B13" s="188"/>
      <c r="C13" s="188"/>
      <c r="D13" s="188"/>
      <c r="E13" s="188"/>
      <c r="F13" s="1" t="s">
        <v>2616</v>
      </c>
      <c r="G13" s="1" t="s">
        <v>2630</v>
      </c>
      <c r="H13" s="1" t="s">
        <v>2631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2632</v>
      </c>
      <c r="B14" s="188"/>
      <c r="C14" s="188"/>
      <c r="D14" s="188"/>
      <c r="E14" s="188"/>
      <c r="F14" s="188"/>
      <c r="G14" s="1" t="s">
        <v>2608</v>
      </c>
      <c r="H14" s="1" t="s">
        <v>2608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2633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2634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2635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2636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2637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2638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2639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2640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2641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2642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2643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2644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2645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2646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2647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2648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2649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2650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2651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2652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2653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2654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2655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2656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2657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2658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2659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2660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2661</v>
      </c>
      <c r="AB138" s="1">
        <v>-10.0</v>
      </c>
    </row>
  </sheetData>
  <mergeCells count="1">
    <mergeCell ref="A1:H1"/>
  </mergeCells>
  <drawing r:id="rId1"/>
</worksheet>
</file>