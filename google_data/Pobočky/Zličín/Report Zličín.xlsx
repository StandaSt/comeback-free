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<sst xmlns="http://schemas.openxmlformats.org/spreadsheetml/2006/main" count="8987" uniqueCount="2651">
  <si>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</si>
  <si>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</si>
  <si>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</si>
  <si>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</si>
  <si>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</si>
  <si>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</si>
  <si>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</si>
  <si>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</si>
  <si>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</si>
  <si>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</si>
  <si>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</si>
  <si>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</si>
  <si>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</si>
  <si>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</si>
  <si>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</si>
  <si>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</si>
  <si>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</si>
  <si>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</si>
  <si>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</si>
  <si>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</si>
  <si>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</si>
  <si>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</si>
  <si>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</si>
  <si>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</si>
  <si>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</si>
  <si>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</si>
  <si>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</si>
  <si>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</si>
  <si>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</si>
  <si>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</si>
  <si>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</si>
  <si>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</si>
  <si>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</si>
  <si>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</si>
  <si>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</si>
  <si>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</si>
  <si>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</si>
  <si>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</si>
  <si>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</si>
  <si>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</si>
  <si>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</si>
  <si>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</si>
  <si>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</si>
  <si>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</si>
  <si>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</si>
  <si>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</si>
  <si>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</si>
  <si>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</si>
  <si>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</si>
  <si>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</si>
  <si>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</si>
  <si>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</si>
  <si>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</si>
  <si>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</si>
  <si>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</si>
  <si>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</si>
  <si>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</si>
  <si>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</si>
  <si>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</si>
  <si>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</si>
  <si>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</si>
  <si>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</si>
  <si>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</si>
  <si>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</si>
  <si>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</si>
  <si>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</si>
  <si>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</si>
  <si>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</si>
  <si>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</si>
  <si>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</si>
  <si>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</si>
  <si>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</si>
  <si>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</si>
  <si>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</si>
  <si>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</si>
  <si>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</si>
  <si>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</si>
  <si>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</si>
  <si>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</si>
  <si>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</si>
  <si>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</si>
  <si>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</si>
  <si>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</si>
  <si>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</si>
  <si>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</si>
  <si>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</si>
  <si>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</si>
  <si>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</si>
  <si>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</si>
  <si>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</si>
  <si>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</si>
  <si>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</si>
  <si>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</si>
  <si>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</si>
  <si>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</si>
  <si>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</si>
  <si>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</si>
  <si>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</si>
  <si>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</si>
  <si>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</si>
  <si>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</si>
  <si>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</si>
  <si>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</si>
  <si>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</si>
  <si>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</si>
  <si>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</si>
  <si>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</si>
  <si>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</si>
  <si>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</si>
  <si>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</si>
  <si>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</si>
  <si>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</si>
  <si>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</si>
  <si>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</si>
  <si>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</si>
  <si>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</si>
  <si>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</si>
  <si>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</si>
  <si>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</si>
  <si>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</si>
  <si>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</si>
  <si>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</si>
  <si>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</si>
  <si>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</si>
  <si>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</si>
  <si>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</si>
  <si>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</si>
  <si>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</si>
  <si>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</si>
  <si>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</si>
  <si>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</si>
  <si>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</si>
  <si>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</si>
  <si>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</si>
  <si>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</si>
  <si>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</si>
  <si>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</si>
  <si>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</si>
  <si>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</si>
  <si>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</si>
  <si>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</si>
  <si>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</si>
  <si>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</si>
  <si>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</si>
  <si>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</si>
  <si>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</si>
  <si>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</si>
  <si>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</si>
  <si>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</si>
  <si>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</si>
  <si>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</si>
  <si>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</si>
  <si>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</si>
  <si>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</si>
  <si>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</si>
  <si>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</si>
  <si>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</si>
  <si>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</si>
  <si>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</si>
  <si>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</si>
  <si>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</si>
  <si>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</si>
  <si>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</si>
  <si>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</si>
  <si>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</si>
  <si>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</si>
  <si>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</si>
  <si>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</si>
  <si>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</si>
  <si>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</si>
  <si>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</si>
  <si>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</si>
  <si>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</si>
  <si>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</si>
  <si>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</si>
  <si>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</si>
  <si>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</si>
  <si>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</si>
  <si>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</si>
  <si>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</si>
  <si>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</si>
  <si>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</si>
  <si>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</si>
  <si>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</si>
  <si>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</si>
  <si>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</si>
  <si>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</si>
  <si>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</si>
  <si>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</si>
  <si>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</si>
  <si>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</si>
  <si>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</si>
  <si>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</si>
  <si>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</si>
  <si>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</si>
  <si>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</si>
  <si>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</si>
  <si>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</si>
  <si>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</si>
  <si>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</si>
  <si>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</si>
  <si>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</si>
  <si>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</si>
  <si>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</si>
  <si>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</si>
  <si>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</si>
  <si>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</si>
  <si>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</si>
  <si>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</si>
  <si>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</si>
  <si>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</si>
  <si>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</si>
  <si>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</si>
  <si>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</si>
  <si>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</si>
  <si>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</si>
  <si>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</si>
  <si>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</si>
  <si>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</si>
  <si>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</si>
  <si>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</si>
  <si>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</si>
  <si>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</si>
  <si>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</si>
  <si>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</si>
  <si>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</si>
  <si>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</si>
  <si>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</si>
  <si>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</si>
  <si>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</si>
  <si>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</si>
  <si>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</si>
  <si>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</si>
  <si>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</si>
  <si>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</si>
  <si>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</si>
  <si>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</si>
  <si>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</si>
  <si>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</si>
  <si>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</si>
  <si>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</si>
  <si>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</si>
  <si>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</si>
  <si>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</si>
  <si>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</si>
  <si>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</si>
  <si>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</si>
  <si>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</si>
  <si>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</si>
  <si>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</si>
  <si>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</si>
  <si>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</si>
  <si>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</si>
  <si>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</si>
  <si>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</si>
  <si>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</si>
  <si>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</si>
  <si>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</si>
  <si>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</si>
  <si>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</si>
  <si>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</si>
  <si>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</si>
  <si>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</si>
  <si>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</si>
  <si>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</si>
  <si>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</si>
  <si>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</si>
  <si>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</si>
  <si>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</si>
  <si>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</si>
  <si>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</si>
  <si>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</si>
  <si>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</si>
  <si>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</si>
  <si>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</si>
  <si>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</si>
  <si>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</si>
  <si>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</si>
  <si>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</si>
  <si>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</si>
  <si>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</si>
  <si>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</si>
  <si>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</si>
  <si>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</si>
  <si>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</si>
  <si>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</si>
  <si>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</si>
  <si>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</si>
  <si>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</si>
  <si>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</si>
  <si>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</si>
  <si>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</si>
  <si>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</si>
  <si>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</si>
  <si>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</si>
  <si>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</si>
  <si>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</si>
  <si>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</si>
  <si>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</si>
  <si>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</si>
  <si>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</si>
  <si>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</si>
  <si>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</si>
  <si>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</si>
  <si>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</si>
  <si>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</si>
  <si>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</si>
  <si>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</si>
  <si>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</si>
  <si>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</si>
  <si>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</si>
  <si>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</si>
  <si>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</si>
  <si>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</si>
  <si>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</si>
  <si>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</si>
  <si>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</si>
  <si>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</si>
  <si>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</si>
  <si>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</si>
  <si>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</si>
  <si>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</si>
  <si>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</si>
  <si>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</si>
  <si>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</si>
  <si>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</si>
  <si>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</si>
  <si>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</si>
  <si>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</si>
  <si>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</si>
  <si>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</si>
  <si>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</si>
  <si>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</si>
  <si>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</si>
  <si>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</si>
  <si>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</si>
  <si>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</si>
  <si>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</si>
  <si>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</si>
  <si>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</si>
  <si>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</si>
  <si>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</si>
  <si>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</si>
  <si>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</si>
  <si>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</si>
  <si>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</si>
  <si>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</si>
  <si>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</si>
  <si>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</si>
  <si>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</si>
  <si>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</si>
  <si>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</si>
  <si>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</si>
  <si>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</si>
  <si>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</si>
  <si>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</si>
  <si>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</si>
  <si>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</si>
  <si>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</si>
  <si>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</si>
  <si>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</si>
  <si>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</si>
  <si>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</si>
  <si>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</si>
  <si>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</si>
  <si>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</si>
  <si>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</si>
  <si>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</si>
  <si>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</si>
  <si>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</si>
  <si>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</si>
  <si>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</si>
  <si>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</si>
  <si>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</si>
  <si>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</si>
  <si>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</si>
  <si>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</si>
  <si>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</si>
  <si>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</si>
  <si>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</si>
  <si>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</si>
  <si>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</si>
  <si>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</si>
  <si>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</si>
  <si>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</si>
  <si>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</si>
  <si>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</si>
  <si>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</si>
  <si>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</si>
  <si>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</si>
  <si>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</si>
  <si>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</si>
  <si>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</si>
  <si>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</si>
  <si>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</si>
  <si>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</si>
  <si>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</si>
  <si>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</si>
  <si>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</si>
  <si>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</si>
  <si>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</si>
  <si>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</si>
  <si>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</si>
  <si>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</si>
  <si>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</si>
  <si>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</si>
  <si>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</si>
  <si>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</si>
  <si>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</si>
  <si>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</si>
  <si>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</si>
  <si>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</si>
  <si>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</si>
  <si>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</si>
  <si>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</si>
  <si>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</si>
  <si>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</si>
  <si>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</si>
  <si>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</si>
  <si>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</si>
  <si>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</si>
  <si>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</si>
  <si>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</si>
  <si>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</si>
  <si>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</si>
  <si>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</si>
  <si>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</si>
  <si>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</si>
  <si>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</si>
  <si>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</si>
  <si>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</si>
  <si>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</si>
  <si>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</si>
  <si>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</si>
  <si>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</si>
  <si>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</si>
  <si>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</si>
  <si>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</si>
  <si>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</si>
  <si>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</si>
  <si>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</si>
  <si>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</si>
  <si>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</si>
  <si>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</si>
  <si>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</si>
  <si>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</si>
  <si>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</si>
  <si>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</si>
  <si>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</si>
  <si>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</si>
  <si>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</si>
  <si>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</si>
  <si>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</si>
  <si>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</si>
  <si>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</si>
  <si>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</si>
  <si>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</si>
  <si>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</si>
  <si>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</si>
  <si>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</si>
  <si>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</si>
  <si>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</si>
  <si>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</si>
  <si>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</si>
  <si>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</si>
  <si>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</si>
  <si>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</si>
  <si>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</si>
  <si>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</si>
  <si>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</si>
  <si>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</si>
  <si>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</si>
  <si>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</si>
  <si>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</si>
  <si>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</si>
  <si>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</si>
  <si>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</si>
  <si>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</si>
  <si>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</si>
  <si>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</si>
  <si>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</si>
  <si>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</si>
  <si>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</si>
  <si>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</si>
  <si>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</si>
  <si>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</si>
  <si>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</si>
  <si>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</si>
  <si>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</si>
  <si>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</si>
  <si>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</si>
  <si>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</si>
  <si>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</si>
  <si>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</si>
  <si>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</si>
  <si>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</si>
  <si>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</si>
  <si>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</si>
  <si>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</si>
  <si>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</si>
  <si>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</si>
  <si>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</si>
  <si>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</si>
  <si>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</si>
  <si>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</si>
  <si>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</si>
  <si>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</si>
  <si>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</si>
  <si>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</si>
  <si>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</si>
  <si>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</si>
  <si>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</si>
  <si>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</si>
  <si>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</si>
  <si>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</si>
  <si>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</si>
  <si>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</si>
  <si>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</si>
  <si>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</si>
  <si>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</si>
  <si>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</si>
  <si>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</si>
  <si>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</si>
  <si>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</si>
  <si>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</si>
  <si>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</si>
  <si>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</si>
  <si>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</si>
  <si>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</si>
  <si>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</si>
  <si>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</si>
  <si>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</si>
  <si>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</si>
  <si>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</si>
  <si>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</si>
  <si>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</si>
  <si>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</si>
  <si>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</si>
  <si>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</si>
  <si>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</si>
  <si>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</si>
  <si>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</si>
  <si>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</si>
  <si>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</si>
  <si>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</si>
  <si>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</si>
  <si>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</si>
  <si>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</si>
  <si>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</si>
  <si>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</si>
  <si>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</si>
  <si>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</si>
  <si>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</si>
  <si>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</si>
  <si>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</si>
  <si>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</si>
  <si>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</si>
  <si>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</si>
  <si>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</si>
  <si>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</si>
  <si>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</si>
  <si>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</si>
  <si>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</si>
  <si>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</si>
  <si>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</si>
  <si>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</si>
  <si>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</si>
  <si>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</si>
  <si>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</si>
  <si>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</si>
  <si>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</si>
  <si>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</si>
  <si>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</si>
  <si>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</si>
  <si>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</si>
  <si>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</si>
  <si>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</si>
  <si>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</si>
  <si>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</si>
  <si>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</si>
  <si>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</si>
  <si>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</si>
  <si>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</si>
  <si>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</si>
  <si>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</si>
  <si>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</si>
  <si>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</si>
  <si>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</si>
  <si>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</si>
  <si>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</si>
  <si>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</si>
  <si>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</si>
  <si>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</si>
  <si>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</si>
  <si>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</si>
  <si>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</si>
  <si>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</si>
  <si>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</si>
  <si>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</si>
  <si>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</si>
  <si>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</si>
  <si>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</si>
  <si>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</si>
  <si>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</si>
  <si>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</si>
  <si>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</si>
  <si>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</si>
  <si>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</si>
  <si>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</si>
  <si>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</si>
  <si>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</si>
  <si>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</si>
  <si>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</si>
  <si>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</si>
  <si>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</si>
  <si>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</si>
  <si>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</si>
  <si>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</si>
  <si>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</si>
  <si>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</si>
  <si>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</si>
  <si>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</si>
  <si>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</si>
  <si>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</si>
  <si>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</si>
  <si>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</si>
  <si>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</si>
  <si>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</si>
  <si>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</si>
  <si>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</si>
  <si>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</si>
  <si>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</si>
  <si>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</si>
  <si>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</si>
  <si>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</si>
  <si>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</si>
  <si>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</si>
  <si>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</si>
  <si>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</si>
  <si>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</si>
  <si>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</si>
  <si>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</si>
  <si>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</si>
  <si>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</si>
  <si>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</si>
  <si>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</si>
  <si>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</si>
  <si>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</si>
  <si>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</si>
  <si>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</si>
  <si>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</si>
  <si>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</si>
  <si>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</si>
  <si>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</si>
  <si>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</si>
  <si>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</si>
  <si>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</si>
  <si>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</si>
  <si>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</si>
  <si>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</si>
  <si>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</si>
  <si>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</si>
  <si>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</si>
  <si>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</si>
  <si>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</si>
  <si>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</si>
  <si>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</si>
  <si>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</si>
  <si>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</si>
  <si>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</si>
  <si>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</si>
  <si>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</si>
  <si>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</si>
  <si>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</si>
  <si>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</si>
  <si>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</si>
  <si>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</si>
  <si>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</si>
  <si>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</si>
  <si>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</si>
  <si>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</si>
  <si>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</si>
  <si>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</si>
  <si>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</si>
  <si>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</si>
  <si>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</si>
  <si>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</si>
  <si>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</si>
  <si>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</si>
  <si>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</si>
  <si>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</si>
  <si>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</si>
  <si>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</si>
  <si>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</si>
  <si>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</si>
  <si>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</si>
  <si>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</si>
  <si>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</si>
  <si>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</si>
  <si>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</si>
  <si>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</si>
  <si>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</si>
  <si>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</si>
  <si>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</si>
  <si>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</si>
  <si>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</si>
  <si>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</si>
  <si>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</si>
  <si>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</si>
  <si>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</si>
  <si>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</si>
  <si>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</si>
  <si>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</si>
  <si>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</si>
  <si>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</si>
  <si>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</si>
  <si>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</si>
  <si>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</si>
  <si>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</si>
  <si>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</si>
  <si>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</si>
  <si>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</si>
  <si>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</si>
  <si>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</si>
  <si>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</si>
  <si>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</si>
  <si>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</si>
  <si>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</si>
  <si>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</si>
  <si>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</si>
  <si>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</si>
  <si>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</si>
  <si>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</si>
  <si>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</si>
  <si>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</si>
  <si>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</si>
  <si>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</si>
  <si>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</si>
  <si>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</si>
  <si>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</si>
  <si>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</si>
  <si>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</si>
  <si>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</si>
  <si>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</si>
  <si>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</si>
  <si>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</si>
  <si>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</si>
  <si>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</si>
  <si>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</si>
  <si>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</si>
  <si>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</si>
  <si>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</si>
  <si>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</si>
  <si>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</si>
  <si>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</si>
  <si>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</si>
  <si>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</si>
  <si>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</si>
  <si>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</si>
  <si>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</si>
  <si>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</si>
  <si>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</si>
  <si>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</si>
  <si>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</si>
  <si>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</si>
  <si>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</si>
  <si>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</si>
  <si>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</si>
  <si>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</si>
  <si>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</si>
  <si>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</si>
  <si>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</si>
  <si>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</si>
  <si>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</si>
  <si>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</si>
  <si>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</si>
  <si>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</si>
  <si>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</si>
  <si>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</si>
  <si>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</si>
  <si>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</si>
  <si>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</si>
  <si>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</si>
  <si>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</si>
  <si>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</si>
  <si>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</si>
  <si>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</si>
  <si>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</si>
  <si>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</si>
  <si>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</si>
  <si>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</si>
  <si>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</si>
  <si>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</si>
  <si>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</si>
  <si>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</si>
  <si>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</si>
  <si>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</si>
  <si>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</si>
  <si>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</si>
  <si>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</si>
  <si>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</si>
  <si>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</si>
  <si>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</si>
  <si>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</si>
  <si>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</si>
  <si>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</si>
  <si>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</si>
  <si>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</si>
  <si>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</si>
  <si>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</si>
  <si>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</si>
  <si>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</si>
  <si>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</si>
  <si>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</si>
  <si>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</si>
  <si>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</si>
  <si>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</si>
  <si>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</si>
  <si>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</si>
  <si>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</si>
  <si>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</si>
  <si>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</si>
  <si>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</si>
  <si>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</si>
  <si>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</si>
  <si>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</si>
  <si>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</si>
  <si>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</si>
  <si>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</si>
  <si>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</si>
  <si>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</si>
  <si>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</si>
  <si>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</si>
  <si>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</si>
  <si>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</si>
  <si>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</si>
  <si>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</si>
  <si>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</si>
  <si>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</si>
  <si>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</si>
  <si>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</si>
  <si>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</si>
  <si>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</si>
  <si>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</si>
  <si>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</si>
  <si>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</si>
  <si>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</si>
  <si>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</si>
  <si>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</si>
  <si>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</si>
  <si>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</si>
  <si>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</si>
  <si>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</si>
  <si>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</si>
  <si>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</si>
  <si>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</si>
  <si>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</si>
  <si>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</si>
  <si>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</si>
  <si>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</si>
  <si>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</si>
  <si>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</si>
  <si>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</si>
  <si>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</si>
  <si>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</si>
  <si>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</si>
  <si>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</si>
  <si>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</si>
  <si>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</si>
  <si>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</si>
  <si>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</si>
  <si>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</si>
  <si>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</si>
  <si>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</si>
  <si>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</si>
  <si>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</si>
  <si>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</si>
  <si>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</si>
  <si>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</si>
  <si>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</si>
  <si>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</si>
  <si>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</si>
  <si>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</si>
  <si>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</si>
  <si>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</si>
  <si>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</si>
  <si>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</si>
  <si>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</si>
  <si>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</si>
  <si>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</si>
  <si>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</si>
  <si>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</si>
  <si>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</si>
  <si>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</si>
  <si>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</si>
  <si>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</si>
  <si>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</si>
  <si>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</si>
  <si>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</si>
  <si>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</si>
  <si>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</si>
  <si>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</si>
  <si>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</si>
  <si>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</si>
  <si>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</si>
  <si>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</si>
  <si>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</si>
  <si>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</si>
  <si>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</si>
  <si>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</si>
  <si>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</si>
  <si>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</si>
  <si>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</si>
  <si>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</si>
  <si>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</si>
  <si>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</si>
  <si>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</si>
  <si>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</si>
  <si>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</si>
  <si>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</si>
  <si>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</si>
  <si>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</si>
  <si>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</si>
  <si>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</si>
  <si>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</si>
  <si>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</si>
  <si>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</si>
  <si>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</si>
  <si>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</si>
  <si>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</si>
  <si>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</si>
  <si>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</si>
  <si>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</si>
  <si>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</si>
  <si>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</si>
  <si>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</si>
  <si>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</si>
  <si>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</si>
  <si>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</si>
  <si>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</si>
  <si>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</si>
  <si>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</si>
  <si>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</si>
  <si>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</si>
  <si>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</si>
  <si>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</si>
  <si>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</si>
  <si>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</si>
  <si>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</si>
  <si>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</si>
  <si>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</si>
  <si>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</si>
  <si>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</si>
  <si>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</si>
  <si>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</si>
  <si>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</si>
  <si>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</si>
  <si>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</si>
  <si>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</si>
  <si>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</si>
  <si>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</si>
  <si>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</si>
  <si>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</si>
  <si>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</si>
  <si>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</si>
  <si>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</si>
  <si>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</si>
  <si>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</si>
  <si>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</si>
  <si>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</si>
  <si>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</si>
  <si>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</si>
  <si>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</si>
  <si>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</si>
  <si>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</si>
  <si>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</si>
  <si>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</si>
  <si>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</si>
  <si>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</si>
  <si>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</si>
  <si>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</si>
  <si>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</si>
  <si>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</si>
  <si>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</si>
  <si>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</si>
  <si>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</si>
  <si>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</si>
  <si>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</si>
  <si>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</si>
  <si>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</si>
  <si>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</si>
  <si>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</si>
  <si>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</si>
  <si>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</si>
  <si>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</si>
  <si>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</si>
  <si>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</si>
  <si>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</si>
  <si>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</si>
  <si>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</si>
  <si>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</si>
  <si>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</si>
  <si>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</si>
  <si>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</si>
  <si>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</si>
  <si>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</si>
  <si>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</si>
  <si>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</si>
  <si>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</si>
  <si>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</si>
  <si>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</si>
  <si>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</si>
  <si>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</si>
  <si>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</si>
  <si>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</si>
  <si>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</si>
  <si>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</si>
  <si>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</si>
  <si>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</si>
  <si>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</si>
  <si>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</si>
  <si>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</si>
  <si>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</si>
  <si>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</si>
  <si>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</si>
  <si>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</si>
  <si>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</si>
  <si>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</si>
  <si>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</si>
  <si>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</si>
  <si>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</si>
  <si>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</si>
  <si>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</si>
  <si>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</si>
  <si>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</si>
  <si>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</si>
  <si>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</si>
  <si>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</si>
  <si>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</si>
  <si>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</si>
  <si>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</si>
  <si>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</si>
  <si>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</si>
  <si>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</si>
  <si>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</si>
  <si>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</si>
  <si>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</si>
  <si>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</si>
  <si>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</si>
  <si>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</si>
  <si>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</si>
  <si>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</si>
  <si>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</si>
  <si>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</si>
  <si>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</si>
  <si>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</si>
  <si>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</si>
  <si>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</si>
  <si>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</si>
  <si>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</si>
  <si>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</si>
  <si>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</si>
  <si>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</si>
  <si>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</si>
  <si>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</si>
  <si>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</si>
  <si>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</si>
  <si>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</si>
  <si>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</si>
  <si>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</si>
  <si>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</si>
  <si>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</si>
  <si>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</si>
  <si>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</si>
  <si>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</si>
  <si>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</si>
  <si>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</si>
  <si>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</si>
  <si>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</si>
  <si>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</si>
  <si>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</si>
  <si>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</si>
  <si>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</si>
  <si>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</si>
  <si>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</si>
  <si>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</si>
  <si>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</si>
  <si>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</si>
  <si>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</si>
  <si>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</si>
  <si>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</si>
  <si>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</si>
  <si>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</si>
  <si>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</si>
  <si>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</si>
  <si>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</si>
  <si>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</si>
  <si>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</si>
  <si>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</si>
  <si>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</si>
  <si>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</si>
  <si>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</si>
  <si>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</si>
  <si>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</si>
  <si>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</si>
  <si>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</si>
  <si>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</si>
  <si>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</si>
  <si>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</si>
  <si>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</si>
  <si>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</si>
  <si>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</si>
  <si>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</si>
  <si>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</si>
  <si>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</si>
  <si>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</si>
  <si>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</si>
  <si>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</si>
  <si>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</si>
  <si>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</si>
  <si>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</si>
  <si>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</si>
  <si>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</si>
  <si>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</si>
  <si>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</si>
  <si>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</si>
  <si>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</si>
  <si>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</si>
  <si>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</si>
  <si>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</si>
  <si>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</si>
  <si>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</si>
  <si>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</si>
  <si>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</si>
  <si>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</si>
  <si>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</si>
  <si>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</si>
  <si>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</si>
  <si>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</si>
  <si>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</si>
  <si>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</si>
  <si>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</si>
  <si>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</si>
  <si>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</si>
  <si>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</si>
  <si>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</si>
  <si>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</si>
  <si>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</si>
  <si>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</si>
  <si>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</si>
  <si>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</si>
  <si>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</si>
  <si>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</si>
  <si>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</si>
  <si>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</si>
  <si>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</si>
  <si>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</si>
  <si>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</si>
  <si>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</si>
  <si>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</si>
  <si>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</si>
  <si>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</si>
  <si>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</si>
  <si>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</si>
  <si>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</si>
  <si>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</si>
  <si>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</si>
  <si>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</si>
  <si>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</si>
  <si>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</si>
  <si>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</si>
  <si>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</si>
  <si>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</si>
  <si>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</si>
  <si>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</si>
  <si>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</si>
  <si>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</si>
  <si>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</si>
  <si>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</si>
  <si>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</si>
  <si>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</si>
  <si>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</si>
  <si>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</si>
  <si>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</si>
  <si>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</si>
  <si>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</si>
  <si>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</si>
  <si>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</si>
  <si>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</si>
  <si>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</si>
  <si>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</si>
  <si>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</si>
  <si>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</si>
  <si>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</si>
  <si>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</si>
  <si>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</si>
  <si>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</si>
  <si>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</si>
  <si>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</si>
  <si>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</si>
  <si>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</si>
  <si>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</si>
  <si>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</si>
  <si>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</si>
  <si>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</si>
  <si>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</si>
  <si>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</si>
  <si>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</si>
  <si>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</si>
  <si>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</si>
  <si>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</si>
  <si>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</si>
  <si>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</si>
  <si>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</si>
  <si>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</si>
  <si>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</si>
  <si>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</si>
  <si>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</si>
  <si>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</si>
  <si>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</si>
  <si>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</si>
  <si>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</si>
  <si>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</si>
  <si>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</si>
  <si>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</si>
  <si>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</si>
  <si>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</si>
  <si>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</si>
  <si>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</si>
  <si>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</si>
  <si>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</si>
  <si>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</si>
  <si>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</si>
  <si>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</si>
  <si>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</si>
  <si>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</si>
  <si>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</si>
  <si>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</si>
  <si>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</si>
  <si>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</si>
  <si>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</si>
  <si>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</si>
  <si>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</si>
  <si>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</si>
  <si>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</si>
  <si>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</si>
  <si>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</si>
  <si>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</si>
  <si>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</si>
  <si>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</si>
  <si>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</si>
  <si>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</si>
  <si>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</si>
  <si>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</si>
  <si>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</si>
  <si>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</si>
  <si>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</si>
  <si>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</si>
  <si>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</si>
  <si>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</si>
  <si>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</si>
  <si>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</si>
  <si>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</si>
  <si>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</si>
  <si>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</si>
  <si>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</si>
  <si>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</si>
  <si>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</si>
  <si>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</si>
  <si>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</si>
  <si>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</si>
  <si>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</si>
  <si>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</si>
  <si>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</si>
  <si>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</si>
  <si>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</si>
  <si>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</si>
  <si>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</si>
  <si>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</si>
  <si>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</si>
  <si>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</si>
  <si>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</si>
  <si>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</si>
  <si>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</si>
  <si>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</si>
  <si>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</si>
  <si>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</si>
  <si>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</si>
  <si>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</si>
  <si>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</si>
  <si>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</si>
  <si>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</si>
  <si>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</si>
  <si>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</si>
  <si>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</si>
  <si>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</si>
  <si>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</si>
  <si>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</si>
  <si>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</si>
  <si>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</si>
  <si>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</si>
  <si>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</si>
  <si>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</si>
  <si>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</si>
  <si>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</si>
  <si>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</si>
  <si>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</si>
  <si>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</si>
  <si>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</si>
  <si>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</si>
  <si>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</si>
  <si>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</si>
  <si>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</si>
  <si>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</si>
  <si>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</si>
  <si>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</si>
  <si>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</si>
  <si>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</si>
  <si>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</si>
  <si>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</si>
  <si>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</si>
  <si>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</si>
  <si>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</si>
  <si>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</si>
  <si>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</si>
  <si>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</si>
  <si>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</si>
  <si>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</si>
  <si>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</si>
  <si>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</si>
  <si>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</si>
  <si>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</si>
  <si>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</si>
  <si>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</si>
  <si>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</si>
  <si>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</si>
  <si>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</si>
  <si>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</si>
  <si>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</si>
  <si>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</si>
  <si>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</si>
  <si>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</si>
  <si>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</si>
  <si>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</si>
  <si>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</si>
  <si>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</si>
  <si>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</si>
  <si>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</si>
  <si>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</si>
  <si>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</si>
  <si>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</si>
  <si>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</si>
  <si>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</si>
  <si>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</si>
  <si>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</si>
  <si>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</si>
  <si>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</si>
  <si>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</si>
  <si>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</si>
  <si>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</si>
  <si>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</si>
  <si>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</si>
  <si>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</si>
  <si>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</si>
  <si>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</si>
  <si>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</si>
  <si>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</si>
  <si>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</si>
  <si>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</si>
  <si>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</si>
  <si>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</si>
  <si>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</si>
  <si>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</si>
  <si>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</si>
  <si>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</si>
  <si>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</si>
  <si>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</si>
  <si>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</si>
  <si>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</si>
  <si>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</si>
  <si>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</si>
  <si>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</si>
  <si>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</si>
  <si>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</si>
  <si>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</si>
  <si>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</si>
  <si>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</si>
  <si>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</si>
  <si>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</si>
  <si>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</si>
  <si>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</si>
  <si>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</si>
  <si>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</si>
  <si>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</si>
  <si>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</si>
  <si>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</si>
  <si>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</si>
  <si>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</si>
  <si>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</si>
  <si>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</si>
  <si>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</si>
  <si>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</si>
  <si>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</si>
  <si>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</si>
  <si>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</si>
  <si>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</si>
  <si>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</si>
  <si>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</si>
  <si>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</si>
  <si>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</si>
  <si>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</si>
  <si>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</si>
  <si>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</si>
  <si>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</si>
  <si>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</si>
  <si>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</si>
  <si>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</si>
  <si>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</si>
  <si>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</si>
  <si>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</si>
  <si>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</si>
  <si>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</si>
  <si>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</si>
  <si>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</si>
  <si>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</si>
  <si>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</si>
  <si>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</si>
  <si>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</si>
  <si>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</si>
  <si>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</si>
  <si>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</si>
  <si>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</si>
  <si>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</si>
  <si>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</si>
  <si>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</si>
  <si>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</si>
  <si>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</si>
  <si>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</si>
  <si>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</si>
  <si>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</si>
  <si>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</si>
  <si>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</si>
  <si>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</si>
  <si>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</si>
  <si>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</si>
  <si>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</si>
  <si>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</si>
  <si>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</si>
  <si>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</si>
  <si>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</si>
  <si>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</si>
  <si>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</si>
  <si>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</si>
  <si>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</si>
  <si>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</si>
  <si>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</si>
  <si>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</si>
  <si>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</si>
  <si>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</si>
  <si>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</si>
  <si>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</si>
  <si>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</si>
  <si>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</si>
  <si>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</si>
  <si>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</si>
  <si>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</si>
  <si>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</si>
  <si>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</si>
  <si>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</si>
  <si>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</si>
  <si>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</si>
  <si>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</si>
  <si>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</si>
  <si>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</si>
  <si>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</si>
  <si>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</si>
  <si>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</si>
  <si>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</si>
  <si>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</si>
  <si>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</si>
  <si>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</si>
  <si>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</si>
  <si>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</si>
  <si>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</si>
  <si>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</si>
  <si>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</si>
  <si>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</si>
  <si>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</si>
  <si>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</si>
  <si>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</si>
  <si>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</si>
  <si>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</si>
  <si>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</si>
  <si>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</si>
  <si>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</si>
  <si>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</si>
  <si>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</si>
  <si>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</si>
  <si>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</si>
  <si>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</si>
  <si>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</si>
  <si>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</si>
  <si>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</si>
  <si>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</si>
  <si>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</si>
  <si>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</si>
  <si>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</si>
  <si>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</si>
  <si>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</si>
  <si>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</si>
  <si>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</si>
  <si>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</si>
  <si>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</si>
  <si>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</si>
  <si>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</si>
  <si>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</si>
  <si>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</si>
  <si>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</si>
  <si>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</si>
  <si>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</si>
  <si>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</si>
  <si>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</si>
  <si>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</si>
  <si>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</si>
  <si>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</si>
  <si>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</si>
  <si>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</si>
  <si>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</si>
  <si>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</si>
  <si>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</si>
  <si>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</si>
  <si>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</si>
  <si>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</si>
  <si>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</si>
  <si>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</si>
  <si>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</si>
  <si>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</si>
  <si>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</si>
  <si>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</si>
  <si>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</si>
  <si>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</si>
  <si>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</si>
  <si>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</si>
  <si>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</si>
  <si>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</si>
  <si>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</si>
  <si>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</si>
  <si>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</si>
  <si>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</si>
  <si>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</si>
  <si>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</si>
  <si>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</si>
  <si>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</si>
  <si>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</si>
  <si>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</si>
  <si>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</si>
  <si>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</si>
  <si>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</si>
  <si>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</si>
  <si>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</si>
  <si>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</si>
  <si>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</si>
  <si>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</si>
  <si>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</si>
  <si>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</si>
  <si>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</si>
  <si>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</si>
  <si>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</si>
  <si>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</si>
  <si>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</si>
  <si>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</si>
  <si>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</si>
  <si>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</si>
  <si>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</si>
  <si>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</si>
  <si>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</si>
  <si>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</si>
  <si>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</si>
  <si>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</si>
  <si>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</si>
  <si>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</si>
  <si>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</si>
  <si>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</si>
  <si>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</si>
  <si>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</si>
  <si>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</si>
  <si>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</si>
  <si>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</si>
  <si>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</si>
  <si>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</si>
  <si>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</si>
  <si>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</si>
  <si>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</si>
  <si>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</si>
  <si>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</si>
  <si>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</si>
  <si>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</si>
  <si>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</si>
  <si>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</si>
  <si>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</si>
  <si>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</si>
  <si>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</si>
  <si>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</si>
  <si>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</si>
  <si>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</si>
  <si>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</si>
  <si>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</si>
  <si>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</si>
  <si>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</si>
  <si>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</si>
  <si>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</si>
  <si>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</si>
  <si>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</si>
  <si>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</si>
  <si>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</si>
  <si>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</si>
  <si>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</si>
  <si>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</si>
  <si>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</si>
  <si>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</si>
  <si>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</si>
  <si>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</si>
  <si>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</si>
  <si>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</si>
  <si>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</si>
  <si>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</si>
  <si>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</si>
  <si>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</si>
  <si>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</si>
  <si>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</si>
  <si>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</si>
  <si>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</si>
  <si>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</si>
  <si>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</si>
  <si>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</si>
  <si>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</si>
  <si>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</si>
  <si>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</si>
  <si>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</si>
  <si>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</si>
  <si>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</si>
  <si>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</si>
  <si>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</si>
  <si>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</si>
  <si>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</si>
  <si>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</si>
  <si>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</si>
  <si>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</si>
  <si>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</si>
  <si>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</si>
  <si>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</si>
  <si>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</si>
  <si>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</si>
  <si>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</si>
  <si>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</si>
  <si>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</si>
  <si>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</si>
  <si>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</si>
  <si>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</si>
  <si>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</si>
  <si>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</si>
  <si>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</si>
  <si>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</si>
  <si>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</si>
  <si>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</si>
  <si>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</si>
  <si>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</si>
  <si>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</si>
  <si>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</si>
  <si>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</si>
  <si>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</si>
  <si>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</si>
  <si>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</si>
  <si>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</si>
  <si>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</si>
  <si>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</si>
  <si>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</si>
  <si>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</si>
  <si>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</si>
  <si>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</si>
  <si>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</si>
  <si>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</si>
  <si>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</si>
  <si>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</si>
  <si>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</si>
  <si>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</si>
  <si>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</si>
  <si>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</si>
  <si>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</si>
  <si>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</si>
  <si>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</si>
  <si>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</si>
  <si>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</si>
  <si>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</si>
  <si>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</si>
  <si>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</si>
  <si>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</si>
  <si>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</si>
  <si>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</si>
  <si>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</si>
  <si>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</si>
  <si>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</si>
  <si>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</si>
  <si>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</si>
  <si>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</si>
  <si>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</si>
  <si>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</si>
  <si>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</si>
  <si>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</si>
  <si>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</si>
  <si>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</si>
  <si>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</si>
  <si>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</si>
  <si>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</si>
  <si>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</si>
  <si>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</si>
  <si>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</si>
  <si>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</si>
  <si>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</si>
  <si>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</si>
  <si>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</si>
  <si>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</si>
  <si>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</si>
  <si>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</si>
  <si>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</si>
  <si>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</si>
  <si>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</si>
  <si>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</si>
  <si>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</si>
  <si>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</si>
  <si>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</si>
  <si>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</si>
  <si>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</si>
  <si>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</si>
  <si>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</si>
  <si>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</si>
  <si>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</si>
  <si>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</si>
  <si>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</si>
  <si>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</si>
  <si>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</si>
  <si>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</si>
  <si>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</si>
  <si>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</si>
  <si>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</si>
  <si>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</si>
  <si>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</si>
  <si>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</si>
  <si>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</si>
  <si>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</si>
  <si>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</si>
  <si>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</si>
  <si>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</si>
  <si>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</si>
  <si>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</si>
  <si>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</si>
  <si>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</si>
  <si>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</si>
  <si>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</si>
  <si>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</si>
  <si>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</si>
  <si>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</si>
  <si>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</si>
  <si>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</si>
  <si>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</si>
  <si>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</si>
  <si>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</si>
  <si>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</si>
  <si>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</si>
  <si>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</si>
  <si>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</si>
  <si>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</si>
  <si>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</si>
  <si>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</si>
  <si>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</si>
  <si>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</si>
  <si>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</si>
  <si>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</si>
  <si>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</si>
  <si>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</si>
  <si>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</si>
  <si>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</si>
  <si>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</si>
  <si>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</si>
  <si>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</si>
  <si>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</si>
  <si>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</si>
  <si>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</si>
  <si>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</si>
  <si>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</si>
  <si>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</si>
  <si>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</si>
  <si>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</si>
  <si>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</si>
  <si>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</si>
  <si>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</si>
  <si>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</si>
  <si>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</si>
  <si>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</si>
  <si>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</si>
  <si>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</si>
  <si>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</si>
  <si>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</si>
  <si>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</si>
  <si>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</si>
  <si>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</si>
  <si>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</si>
  <si>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</si>
  <si>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</si>
  <si>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</si>
  <si>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</si>
  <si>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</si>
  <si>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</si>
  <si>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</si>
  <si>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</si>
  <si>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</si>
  <si>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</si>
  <si>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</si>
  <si>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</si>
  <si>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</si>
  <si>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</si>
  <si>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</si>
  <si>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</si>
  <si>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</si>
  <si>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</si>
  <si>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</si>
  <si>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</si>
  <si>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</si>
  <si>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</si>
  <si>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</si>
  <si>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</si>
  <si>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</si>
  <si>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</si>
  <si>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</si>
  <si>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</si>
  <si>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</si>
  <si>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</si>
  <si>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</si>
  <si>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</si>
  <si>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</si>
  <si>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</si>
  <si>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</si>
  <si>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</si>
  <si>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</si>
  <si>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</si>
  <si>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</si>
  <si>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</si>
  <si>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</si>
  <si>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</si>
  <si>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</si>
  <si>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</si>
  <si>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</si>
  <si>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</si>
  <si>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</si>
  <si>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</si>
  <si>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</si>
  <si>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</si>
  <si>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</si>
  <si>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</si>
  <si>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</si>
  <si>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</si>
  <si>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</si>
  <si>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</si>
  <si>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</si>
  <si>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</si>
  <si>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</si>
  <si>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</si>
  <si>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</si>
  <si>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</si>
  <si>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</si>
  <si>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</si>
  <si>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</si>
  <si>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</si>
  <si>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</si>
  <si>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</si>
  <si>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</si>
  <si>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</si>
  <si>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</si>
  <si>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</si>
  <si>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</si>
  <si>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</si>
  <si>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</si>
  <si>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</si>
  <si>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</si>
  <si>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</si>
  <si>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</si>
  <si>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</si>
  <si>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</si>
  <si>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</si>
  <si>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</si>
  <si>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</si>
  <si>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</si>
  <si>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</si>
  <si>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</si>
  <si>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</si>
  <si>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</si>
  <si>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</si>
  <si>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</si>
  <si>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</si>
  <si>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</si>
  <si>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</si>
  <si>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</si>
  <si>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</si>
  <si>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</si>
  <si>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</si>
  <si>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</si>
  <si>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</si>
  <si>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</si>
  <si>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</si>
  <si>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</si>
  <si>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</si>
  <si>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</si>
  <si>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</si>
  <si>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</si>
  <si>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</si>
  <si>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</si>
  <si>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</si>
  <si>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</si>
  <si>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</si>
  <si>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</si>
  <si>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</si>
  <si>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</si>
  <si>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</si>
  <si>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</si>
  <si>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</si>
  <si>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</si>
  <si>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</si>
  <si>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</si>
  <si>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</si>
  <si>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</si>
  <si>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</si>
  <si>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</si>
  <si>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</si>
  <si>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</si>
  <si>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</si>
  <si>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</si>
  <si>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</si>
  <si>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</si>
  <si>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</si>
  <si>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</si>
  <si>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</si>
  <si>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</si>
  <si>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</si>
  <si>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</si>
  <si>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</si>
  <si>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</si>
  <si>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</si>
  <si>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</si>
  <si>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</si>
  <si>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</si>
  <si>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</si>
  <si>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</si>
  <si>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</si>
  <si>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</si>
  <si>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</si>
  <si>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</si>
  <si>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</si>
  <si>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</si>
  <si>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</si>
  <si>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</si>
  <si>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</si>
  <si>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</si>
  <si>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</si>
  <si>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</si>
  <si>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</si>
  <si>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</si>
  <si>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</si>
  <si>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</si>
  <si>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</si>
  <si>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</si>
  <si>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</si>
  <si>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</si>
  <si>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</si>
  <si>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</si>
  <si>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</si>
  <si>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</si>
  <si>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</si>
  <si>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</si>
  <si>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</si>
  <si>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</si>
  <si>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</si>
  <si>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</si>
  <si>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</si>
  <si>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</si>
  <si>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</si>
  <si>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</si>
  <si>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</si>
  <si>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</si>
  <si>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</si>
  <si>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</si>
  <si>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</si>
  <si>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</si>
  <si>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</si>
  <si>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</si>
  <si>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</si>
  <si>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</si>
  <si>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</si>
  <si>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</si>
  <si>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</si>
  <si>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</si>
  <si>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</si>
  <si>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</si>
  <si>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</si>
  <si>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</si>
  <si>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</si>
  <si>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</si>
  <si>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</si>
  <si>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</si>
  <si>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</si>
  <si>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</si>
  <si>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</si>
  <si>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</si>
  <si>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</si>
  <si>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</si>
  <si>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</si>
  <si>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</si>
  <si>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</si>
  <si>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</si>
  <si>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</si>
  <si>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</si>
  <si>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</si>
  <si>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</si>
  <si>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</si>
  <si>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</si>
  <si>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</si>
  <si>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</si>
  <si>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</si>
  <si>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</si>
  <si>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</si>
  <si>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</si>
  <si>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</si>
  <si>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</si>
  <si>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</si>
  <si>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</si>
  <si>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</si>
  <si>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</si>
  <si>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</si>
  <si>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</si>
  <si>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</si>
  <si>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</si>
  <si>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</si>
  <si>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</si>
  <si>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</si>
  <si>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</si>
  <si>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</si>
  <si>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</si>
  <si>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</si>
  <si>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</si>
  <si>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</si>
  <si>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</si>
  <si>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</si>
  <si>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</si>
  <si>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</si>
  <si>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</si>
  <si>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</si>
  <si>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</si>
  <si>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</si>
  <si>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</si>
  <si>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</si>
  <si>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</si>
  <si>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</si>
  <si>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</si>
  <si>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</si>
  <si>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</si>
  <si>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</si>
  <si>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</si>
  <si>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</si>
  <si>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</si>
  <si>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</si>
  <si>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</si>
  <si>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</si>
  <si>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</si>
  <si>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</si>
  <si>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</si>
  <si>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</si>
  <si>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</si>
  <si>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</si>
  <si>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</si>
  <si>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</si>
  <si>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</si>
  <si>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</si>
  <si>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</si>
  <si>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</si>
  <si>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</si>
  <si>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</si>
  <si>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</si>
  <si>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</si>
  <si>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</si>
  <si>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</si>
  <si>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</si>
  <si>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</si>
  <si>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</si>
  <si>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</si>
  <si>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</si>
  <si>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</si>
  <si>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</si>
  <si>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</si>
  <si>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</si>
  <si>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</si>
  <si>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</si>
  <si>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</si>
  <si>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</si>
  <si>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</si>
  <si>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</si>
  <si>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</si>
  <si>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</si>
  <si>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</si>
  <si>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</si>
  <si>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</si>
  <si>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</si>
  <si>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</si>
  <si>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</si>
  <si>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</si>
  <si>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</si>
  <si>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</si>
  <si>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</si>
  <si>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</si>
  <si>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</si>
  <si>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</si>
  <si>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</si>
  <si>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</si>
  <si>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</si>
  <si>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</si>
  <si>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</si>
  <si>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</si>
  <si>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</si>
  <si>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</si>
  <si>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</si>
  <si>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</si>
  <si>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</si>
  <si>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</si>
  <si>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</si>
  <si>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</si>
  <si>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</si>
  <si>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</si>
  <si>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</si>
  <si>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</si>
  <si>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</si>
  <si>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</si>
  <si>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</si>
  <si>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</si>
  <si>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</si>
  <si>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</si>
  <si>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</si>
  <si>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</si>
  <si>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</si>
  <si>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</si>
  <si>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</si>
  <si>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</si>
  <si>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</si>
  <si>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</si>
  <si>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</si>
  <si>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</si>
  <si>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</si>
  <si>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</si>
  <si>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</si>
  <si>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</si>
  <si>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</si>
  <si>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</si>
  <si>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</si>
  <si>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</si>
  <si>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</si>
  <si>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</si>
  <si>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</si>
  <si>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</si>
  <si>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</si>
  <si>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</si>
  <si>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</si>
  <si>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</si>
  <si>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</si>
  <si>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</si>
  <si>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</si>
  <si>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</si>
  <si>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</si>
  <si>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</si>
  <si>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</si>
  <si>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</si>
  <si>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</si>
  <si>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</si>
  <si>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</si>
  <si>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</si>
  <si>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</si>
  <si>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</si>
  <si>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</si>
  <si>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</si>
  <si>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</si>
  <si>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</si>
  <si>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</si>
  <si>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</si>
  <si>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</si>
  <si>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</si>
  <si>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</si>
  <si>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</si>
  <si>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</si>
  <si>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</si>
  <si>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</si>
  <si>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</si>
  <si>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</si>
  <si>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</si>
  <si>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</si>
  <si>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</si>
  <si>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</si>
  <si>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</si>
  <si>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</si>
  <si>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</si>
  <si>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</si>
  <si>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</si>
  <si>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</si>
  <si>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</si>
  <si>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</si>
  <si>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</si>
  <si>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</si>
  <si>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</si>
  <si>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</si>
  <si>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</si>
  <si>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</si>
  <si>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</si>
  <si>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</si>
  <si>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</si>
  <si>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</si>
  <si>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</si>
  <si>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</si>
  <si>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</si>
  <si>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</si>
  <si>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</si>
  <si>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</si>
  <si>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</si>
  <si>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</si>
  <si>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</si>
  <si>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</si>
  <si>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</si>
  <si>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</si>
  <si>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</si>
  <si>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</si>
  <si>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</si>
  <si>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</si>
  <si>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</si>
  <si>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</si>
  <si>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</si>
  <si>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</si>
  <si>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</si>
  <si>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</si>
  <si>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</si>
  <si>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</si>
  <si>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</si>
  <si>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</si>
  <si>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</si>
  <si>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</si>
  <si>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</si>
  <si>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</si>
  <si>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</si>
  <si>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</si>
  <si>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</si>
  <si>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</si>
  <si>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</si>
  <si>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</si>
  <si>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</si>
  <si>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</si>
  <si>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</si>
  <si>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</si>
  <si>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</si>
  <si>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</si>
  <si>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</si>
  <si>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</si>
  <si>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</si>
  <si>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</si>
  <si>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</si>
  <si>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</si>
  <si>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</si>
  <si>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</si>
  <si>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</si>
  <si>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</si>
  <si>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</si>
  <si>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</si>
  <si>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</si>
  <si>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</si>
  <si>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</si>
  <si>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</si>
  <si>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</si>
  <si>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</si>
  <si>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</si>
  <si>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</si>
  <si>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</si>
  <si>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</si>
  <si>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</si>
  <si>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</si>
  <si>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</si>
  <si>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</si>
  <si>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</si>
  <si>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</si>
  <si>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</si>
  <si>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</si>
  <si>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</si>
  <si>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</si>
  <si>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</si>
  <si>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</si>
  <si>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</si>
  <si>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</si>
  <si>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</si>
  <si>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</si>
  <si>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</si>
  <si>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</si>
  <si>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</si>
  <si>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</si>
  <si>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</si>
  <si>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</si>
  <si>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</si>
  <si>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</si>
  <si>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</si>
  <si>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</si>
  <si>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</si>
  <si>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</si>
  <si>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</si>
  <si>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</si>
  <si>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</si>
  <si>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</si>
  <si>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</si>
  <si>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</si>
  <si>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</si>
  <si>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</si>
  <si>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</si>
  <si>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</si>
  <si>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</si>
  <si>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</si>
  <si>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</si>
  <si>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</si>
  <si>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</si>
  <si>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</si>
  <si>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</si>
  <si>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</si>
  <si>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</si>
  <si>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</si>
  <si>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</si>
  <si>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</si>
  <si>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</si>
  <si>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</si>
  <si>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</si>
  <si>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</si>
  <si>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</si>
  <si>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</si>
  <si>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</si>
  <si>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</si>
  <si>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</si>
  <si>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</si>
  <si>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</si>
  <si>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</si>
  <si>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</si>
  <si>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</si>
  <si>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</si>
  <si>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</si>
  <si>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</si>
  <si>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</si>
  <si>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</si>
  <si>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</si>
  <si>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</si>
  <si>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</si>
  <si>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</si>
  <si>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</si>
  <si>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</si>
  <si>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</si>
  <si>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</si>
  <si>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</si>
  <si>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</si>
  <si>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</si>
  <si>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</si>
  <si>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</si>
  <si>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</si>
  <si>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</si>
  <si>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</si>
  <si>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</si>
  <si>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</si>
  <si>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</si>
  <si>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</si>
  <si>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</si>
  <si>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</si>
  <si>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</si>
  <si>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</si>
  <si>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</si>
  <si>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</si>
  <si>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</si>
  <si>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</si>
  <si>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</si>
  <si>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</si>
  <si>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</si>
  <si>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</si>
  <si>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</si>
  <si>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</si>
  <si>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</si>
  <si>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</si>
  <si>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</si>
  <si>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</si>
  <si>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</si>
  <si>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</si>
  <si>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</si>
  <si>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</si>
  <si>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</si>
  <si>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</si>
  <si>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</si>
  <si>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</si>
  <si>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</si>
  <si>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</si>
  <si>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</si>
  <si>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</si>
  <si>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</si>
  <si>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</si>
  <si>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</si>
  <si>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</si>
  <si>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</si>
  <si>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</si>
  <si>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</si>
  <si>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</si>
  <si>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</si>
  <si>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</si>
  <si>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</si>
  <si>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</si>
  <si>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</si>
  <si>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</si>
  <si>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</si>
  <si>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</si>
  <si>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</si>
  <si>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</si>
  <si>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</si>
  <si>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</si>
  <si>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</si>
  <si>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</si>
  <si>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</si>
  <si>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</si>
  <si>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</si>
  <si>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</si>
  <si>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</si>
  <si>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</si>
  <si>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</si>
  <si>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</si>
  <si>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</si>
  <si>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</si>
  <si>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</si>
  <si>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</si>
  <si>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</si>
  <si>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</si>
  <si>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</si>
  <si>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</si>
  <si>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</si>
  <si>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</si>
  <si>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</si>
  <si>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</si>
  <si>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</si>
  <si>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</si>
  <si>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</si>
  <si>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</si>
  <si>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</si>
  <si>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</si>
  <si>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</si>
  <si>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</si>
  <si>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</si>
  <si>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</si>
  <si>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</si>
  <si>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</si>
  <si>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</si>
  <si>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</si>
  <si>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</si>
  <si>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</si>
  <si>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</si>
  <si>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</si>
  <si>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</si>
  <si>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</si>
  <si>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</si>
  <si>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</si>
  <si>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</si>
  <si>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</si>
  <si>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</si>
  <si>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</si>
  <si>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</si>
  <si>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</si>
  <si>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</si>
  <si>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</si>
  <si>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</si>
  <si>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</si>
  <si>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</si>
  <si>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</si>
  <si>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</si>
  <si>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</si>
  <si>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</si>
  <si>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</si>
  <si>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</si>
  <si>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</si>
  <si>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</si>
  <si>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</si>
  <si>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</si>
  <si>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</si>
  <si>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</si>
  <si>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</si>
  <si>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</si>
  <si>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</si>
  <si>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</si>
  <si>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</si>
  <si>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</si>
  <si>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</si>
  <si>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</si>
  <si>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</si>
  <si>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</si>
  <si>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</si>
  <si>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</si>
  <si>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</si>
  <si>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</si>
  <si>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</si>
  <si>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</si>
  <si>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</si>
  <si>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</si>
  <si>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</si>
  <si>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</si>
  <si>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</si>
  <si>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</si>
  <si>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</si>
  <si>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</si>
  <si>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</si>
  <si>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</si>
  <si>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</si>
  <si>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</si>
  <si>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</si>
  <si>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</si>
  <si>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</si>
  <si>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</si>
  <si>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</si>
  <si>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</si>
  <si>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</si>
  <si>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</si>
  <si>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</si>
  <si>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</si>
  <si>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</si>
  <si>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</si>
  <si>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</si>
  <si>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</si>
  <si>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</si>
  <si>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</si>
  <si>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</si>
  <si>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</si>
  <si>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</si>
  <si>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</si>
  <si>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</si>
  <si>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</si>
  <si>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</si>
  <si>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</si>
  <si>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</si>
  <si>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</si>
  <si>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</si>
  <si>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</si>
  <si>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</si>
  <si>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</si>
  <si>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</si>
  <si>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</si>
  <si>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</si>
  <si>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</si>
  <si>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</si>
  <si>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</si>
  <si>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</si>
  <si>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</si>
  <si>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</si>
  <si>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</si>
  <si>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</si>
  <si>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</si>
  <si>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</si>
  <si>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</si>
  <si>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</si>
  <si>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</si>
  <si>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</si>
  <si>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</si>
  <si>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</si>
  <si>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</si>
  <si>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</si>
  <si>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</si>
  <si>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</si>
  <si>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</si>
  <si>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</si>
  <si>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</si>
  <si>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</si>
  <si>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</si>
  <si>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</si>
  <si>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</si>
  <si>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</si>
  <si>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</si>
  <si>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29:00</t>
  </si>
  <si>
    <t>7:00</t>
  </si>
  <si>
    <t>Pechová Barbora</t>
  </si>
  <si>
    <t>4:00</t>
  </si>
  <si>
    <t>Zimmer Jakub</t>
  </si>
  <si>
    <t>6:00</t>
  </si>
  <si>
    <t>Vaníková Anna</t>
  </si>
  <si>
    <t>3:00</t>
  </si>
  <si>
    <t>Lowe Jana</t>
  </si>
  <si>
    <t>Dragoun Alfréd</t>
  </si>
  <si>
    <t>11 min 38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</si>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</sst>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46207.0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Sobota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IF(H25,G25*40,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46204.0</v>
      </c>
      <c r="D1" s="113" t="s">
        <v>2576</v>
      </c>
      <c r="E1" s="114">
        <v>46208.0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0.2453729972327889</v>
      </c>
      <c r="H2" s="21"/>
      <c r="I2" s="118">
        <v>106333.89999999997</v>
      </c>
      <c r="K2" s="21"/>
      <c r="L2" s="119" t="s">
        <v>2556</v>
      </c>
      <c r="M2" s="120">
        <v>26647.40000000001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7"/>
      <c r="D3" s="124"/>
      <c r="E3" s="11"/>
      <c r="H3" s="21"/>
      <c r="K3" s="21"/>
      <c r="L3" s="125" t="s">
        <v>2557</v>
      </c>
      <c r="M3" s="126">
        <v>5211.0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36700.0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23113.0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608.0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38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30</v>
      </c>
      <c r="G7" s="13"/>
      <c r="H7" s="13"/>
      <c r="I7" s="13"/>
      <c r="J7" s="134"/>
      <c r="K7" s="134"/>
      <c r="L7" s="135" t="s">
        <v>2562</v>
      </c>
      <c r="M7" s="136">
        <v>3194.0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-0.4999999999490683</v>
      </c>
      <c r="K9" s="11"/>
      <c r="L9" s="148" t="s">
        <v>23</v>
      </c>
      <c r="M9" s="126">
        <v>7556.0</v>
      </c>
      <c r="N9" s="121"/>
    </row>
    <row r="10" ht="18.75" customHeight="1">
      <c r="A10" s="149"/>
      <c r="B10" s="150" t="s">
        <v>40</v>
      </c>
      <c r="C10" s="151">
        <v>2.0</v>
      </c>
      <c r="D10" s="151" t="s">
        <v>70</v>
      </c>
      <c r="E10" s="152" t="s">
        <v>2580</v>
      </c>
      <c r="F10" s="150" t="s">
        <v>373</v>
      </c>
      <c r="G10" s="151">
        <v>1.0</v>
      </c>
      <c r="H10" s="151" t="s">
        <v>2581</v>
      </c>
      <c r="I10" s="153">
        <v>7.0</v>
      </c>
      <c r="J10" s="36"/>
      <c r="K10" s="21"/>
      <c r="L10" s="148" t="s">
        <v>24</v>
      </c>
      <c r="M10" s="126">
        <v>200.0</v>
      </c>
      <c r="N10" s="121"/>
    </row>
    <row r="11" ht="18.75" customHeight="1">
      <c r="A11" s="149"/>
      <c r="B11" s="150" t="s">
        <v>2582</v>
      </c>
      <c r="C11" s="151">
        <v>2.0</v>
      </c>
      <c r="D11" s="151" t="s">
        <v>2513</v>
      </c>
      <c r="E11" s="152" t="s">
        <v>49</v>
      </c>
      <c r="F11" s="150" t="s">
        <v>96</v>
      </c>
      <c r="G11" s="151">
        <v>1.0</v>
      </c>
      <c r="H11" s="151" t="s">
        <v>2583</v>
      </c>
      <c r="I11" s="153">
        <v>8.0</v>
      </c>
      <c r="J11" s="36"/>
      <c r="K11" s="21"/>
      <c r="L11" s="154" t="s">
        <v>25</v>
      </c>
      <c r="M11" s="155">
        <v>2222.0</v>
      </c>
      <c r="N11" s="121"/>
    </row>
    <row r="12" ht="18.75" customHeight="1">
      <c r="A12" s="149"/>
      <c r="B12" s="150" t="s">
        <v>2584</v>
      </c>
      <c r="C12" s="151">
        <v>1.0</v>
      </c>
      <c r="D12" s="151" t="s">
        <v>2585</v>
      </c>
      <c r="E12" s="152" t="s">
        <v>50</v>
      </c>
      <c r="F12" s="150" t="s">
        <v>2586</v>
      </c>
      <c r="G12" s="151">
        <v>1.0</v>
      </c>
      <c r="H12" s="151" t="s">
        <v>2587</v>
      </c>
      <c r="I12" s="153">
        <v>2.0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/>
      <c r="C13" s="151"/>
      <c r="D13" s="151"/>
      <c r="E13" s="152" t="s">
        <v>50</v>
      </c>
      <c r="F13" s="150" t="s">
        <v>65</v>
      </c>
      <c r="G13" s="151">
        <v>1.0</v>
      </c>
      <c r="H13" s="151" t="s">
        <v>2585</v>
      </c>
      <c r="I13" s="153">
        <v>3.0</v>
      </c>
      <c r="J13" s="36"/>
      <c r="K13" s="21"/>
      <c r="L13" s="148" t="s">
        <v>29</v>
      </c>
      <c r="M13" s="126">
        <v>501.0</v>
      </c>
      <c r="N13" s="121"/>
    </row>
    <row r="14" ht="18.75" customHeight="1">
      <c r="A14" s="149"/>
      <c r="B14" s="150"/>
      <c r="C14" s="151"/>
      <c r="D14" s="151"/>
      <c r="E14" s="152" t="s">
        <v>2581</v>
      </c>
      <c r="F14" s="150" t="s">
        <v>2588</v>
      </c>
      <c r="G14" s="151">
        <v>1.0</v>
      </c>
      <c r="H14" s="151" t="s">
        <v>2587</v>
      </c>
      <c r="I14" s="153">
        <v>3.0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/>
      <c r="C15" s="151"/>
      <c r="D15" s="151"/>
      <c r="E15" s="152" t="s">
        <v>2581</v>
      </c>
      <c r="F15" s="150" t="s">
        <v>2589</v>
      </c>
      <c r="G15" s="151">
        <v>1.0</v>
      </c>
      <c r="H15" s="151" t="s">
        <v>2581</v>
      </c>
      <c r="I15" s="153">
        <v>9.0</v>
      </c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2615.0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960.0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0.0</v>
      </c>
      <c r="K21" s="170">
        <v>0.0</v>
      </c>
      <c r="L21" s="171">
        <v>9.0</v>
      </c>
      <c r="M21" s="172" t="s">
        <v>2590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5.0</v>
      </c>
      <c r="K24" s="171">
        <v>263.0</v>
      </c>
      <c r="L24" s="171">
        <v>38.0</v>
      </c>
      <c r="M24" s="176">
        <v>5.0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2.0</v>
      </c>
      <c r="K27" s="98"/>
      <c r="L27" s="182">
        <v>0.1956521739130435</v>
      </c>
      <c r="M27" s="183">
        <v>2.0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0.8043478260869565</v>
      </c>
      <c r="M30" s="187">
        <v>0.043478260869565216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89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88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88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88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88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88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89"/>
      <c r="D128" s="1"/>
      <c r="E128" s="188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88"/>
      <c r="F132" s="1"/>
      <c r="G132" s="1"/>
      <c r="H132" s="1"/>
      <c r="I132" s="1"/>
      <c r="J132" s="1"/>
      <c r="K132" s="188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88"/>
      <c r="F133" s="1"/>
      <c r="G133" s="1"/>
      <c r="H133" s="1"/>
      <c r="I133" s="1"/>
      <c r="J133" s="1"/>
      <c r="K133" s="188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/>
      <c r="B136" s="1"/>
      <c r="C136" s="189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88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/>
      <c r="B138" s="189"/>
      <c r="C138" s="189"/>
      <c r="D138" s="1"/>
      <c r="E138" s="1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/>
      <c r="B139" s="189"/>
      <c r="C139" s="189"/>
      <c r="D139" s="1"/>
      <c r="E139" s="1"/>
      <c r="F139" s="1"/>
      <c r="G139" s="1"/>
      <c r="H139" s="1"/>
      <c r="I139" s="1"/>
      <c r="J139" s="1"/>
      <c r="K139" s="188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/>
      <c r="B140" s="1"/>
      <c r="C140" s="1"/>
      <c r="D140" s="1"/>
      <c r="E140" s="188"/>
      <c r="F140" s="1"/>
      <c r="G140" s="1"/>
      <c r="H140" s="1"/>
      <c r="I140" s="1"/>
      <c r="J140" s="1"/>
      <c r="K140" s="188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/>
      <c r="B141" s="1"/>
      <c r="C141" s="189"/>
      <c r="D141" s="1"/>
      <c r="E141" s="1"/>
      <c r="F141" s="1"/>
      <c r="G141" s="1"/>
      <c r="H141" s="1"/>
      <c r="I141" s="1"/>
      <c r="J141" s="1"/>
      <c r="K141" s="188"/>
      <c r="L141" s="1"/>
      <c r="M141" s="1"/>
      <c r="N141" s="1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/>
      <c r="B142" s="1"/>
      <c r="C142" s="189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"/>
      <c r="B143" s="1"/>
      <c r="C143" s="189"/>
      <c r="D143" s="1"/>
      <c r="E143" s="1"/>
      <c r="F143" s="1"/>
      <c r="G143" s="1"/>
      <c r="H143" s="1"/>
      <c r="I143" s="1"/>
      <c r="J143" s="1"/>
      <c r="K143" s="188"/>
      <c r="L143" s="1"/>
      <c r="M143" s="1"/>
      <c r="N143" s="1"/>
      <c r="O143" s="1"/>
      <c r="P143" s="1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"/>
      <c r="B144" s="1"/>
      <c r="C144" s="189"/>
      <c r="D144" s="1"/>
      <c r="E144" s="188"/>
      <c r="F144" s="1"/>
      <c r="G144" s="1"/>
      <c r="H144" s="1"/>
      <c r="I144" s="1"/>
      <c r="J144" s="1"/>
      <c r="K144" s="188"/>
      <c r="L144" s="1"/>
      <c r="M144" s="1"/>
      <c r="N144" s="1"/>
      <c r="O144" s="1"/>
      <c r="P144" s="1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"/>
      <c r="B145" s="1"/>
      <c r="C145" s="189"/>
      <c r="D145" s="1"/>
      <c r="E145" s="1"/>
      <c r="F145" s="1"/>
      <c r="G145" s="1"/>
      <c r="H145" s="1"/>
      <c r="I145" s="1"/>
      <c r="J145" s="1"/>
      <c r="K145" s="188"/>
      <c r="L145" s="1"/>
      <c r="M145" s="1"/>
      <c r="N145" s="1"/>
      <c r="O145" s="1"/>
      <c r="P145" s="1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88"/>
      <c r="L146" s="1"/>
      <c r="M146" s="1"/>
      <c r="N146" s="1"/>
      <c r="O146" s="1"/>
      <c r="P146" s="1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"/>
      <c r="B147" s="1"/>
      <c r="C147" s="1"/>
      <c r="D147" s="1"/>
      <c r="E147" s="188"/>
      <c r="F147" s="1"/>
      <c r="G147" s="1"/>
      <c r="H147" s="1"/>
      <c r="I147" s="1"/>
      <c r="J147" s="1"/>
      <c r="K147" s="188"/>
      <c r="L147" s="1"/>
      <c r="M147" s="1"/>
      <c r="N147" s="1"/>
      <c r="O147" s="1"/>
      <c r="P147" s="1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"/>
      <c r="B148" s="1"/>
      <c r="C148" s="189"/>
      <c r="D148" s="1"/>
      <c r="E148" s="188"/>
      <c r="F148" s="1"/>
      <c r="G148" s="1"/>
      <c r="H148" s="1"/>
      <c r="I148" s="1"/>
      <c r="J148" s="1"/>
      <c r="K148" s="188"/>
      <c r="L148" s="1"/>
      <c r="M148" s="1"/>
      <c r="N148" s="1"/>
      <c r="O148" s="1"/>
      <c r="P148" s="1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"/>
      <c r="B149" s="1"/>
      <c r="C149" s="189"/>
      <c r="D149" s="1"/>
      <c r="E149" s="188"/>
      <c r="F149" s="1"/>
      <c r="G149" s="1"/>
      <c r="H149" s="1"/>
      <c r="I149" s="1"/>
      <c r="J149" s="1"/>
      <c r="K149" s="188"/>
      <c r="L149" s="1"/>
      <c r="M149" s="1"/>
      <c r="N149" s="1"/>
      <c r="O149" s="1"/>
      <c r="P149" s="1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"/>
      <c r="B151" s="1"/>
      <c r="C151" s="189"/>
      <c r="D151" s="1"/>
      <c r="E151" s="188"/>
      <c r="F151" s="1"/>
      <c r="G151" s="1"/>
      <c r="H151" s="1"/>
      <c r="I151" s="1"/>
      <c r="J151" s="1"/>
      <c r="K151" s="188"/>
      <c r="L151" s="1"/>
      <c r="M151" s="1"/>
      <c r="N151" s="1"/>
      <c r="O151" s="1"/>
      <c r="P151" s="1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"/>
      <c r="B152" s="1"/>
      <c r="C152" s="1"/>
      <c r="D152" s="1"/>
      <c r="E152" s="188"/>
      <c r="F152" s="1"/>
      <c r="G152" s="1"/>
      <c r="H152" s="1"/>
      <c r="I152" s="1"/>
      <c r="J152" s="1"/>
      <c r="K152" s="188"/>
      <c r="L152" s="1"/>
      <c r="M152" s="1"/>
      <c r="N152" s="1"/>
      <c r="O152" s="1"/>
      <c r="P152" s="1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88"/>
      <c r="L153" s="1"/>
      <c r="M153" s="1"/>
      <c r="N153" s="1"/>
      <c r="O153" s="1"/>
      <c r="P153" s="1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"/>
      <c r="B154" s="1"/>
      <c r="C154" s="189"/>
      <c r="D154" s="1"/>
      <c r="E154" s="188"/>
      <c r="F154" s="1"/>
      <c r="G154" s="1"/>
      <c r="H154" s="1"/>
      <c r="I154" s="1"/>
      <c r="J154" s="1"/>
      <c r="K154" s="188"/>
      <c r="L154" s="1"/>
      <c r="M154" s="1"/>
      <c r="N154" s="1"/>
      <c r="O154" s="1"/>
      <c r="P154" s="1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"/>
      <c r="B155" s="1"/>
      <c r="C155" s="189"/>
      <c r="D155" s="1"/>
      <c r="E155" s="188"/>
      <c r="F155" s="1"/>
      <c r="G155" s="1"/>
      <c r="H155" s="1"/>
      <c r="I155" s="1"/>
      <c r="J155" s="1"/>
      <c r="K155" s="188"/>
      <c r="L155" s="1"/>
      <c r="M155" s="1"/>
      <c r="N155" s="1"/>
      <c r="O155" s="1"/>
      <c r="P155" s="1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"/>
      <c r="B156" s="189"/>
      <c r="C156" s="1"/>
      <c r="D156" s="1"/>
      <c r="E156" s="188"/>
      <c r="F156" s="1"/>
      <c r="G156" s="1"/>
      <c r="H156" s="1"/>
      <c r="I156" s="1"/>
      <c r="J156" s="1"/>
      <c r="K156" s="188"/>
      <c r="L156" s="1"/>
      <c r="M156" s="1"/>
      <c r="N156" s="1"/>
      <c r="O156" s="1"/>
      <c r="P156" s="1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"/>
      <c r="B157" s="1"/>
      <c r="C157" s="189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88"/>
      <c r="L158" s="1"/>
      <c r="M158" s="1"/>
      <c r="N158" s="1"/>
      <c r="O158" s="1"/>
      <c r="P158" s="1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"/>
      <c r="B159" s="1"/>
      <c r="C159" s="189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88"/>
      <c r="L160" s="1"/>
      <c r="M160" s="1"/>
      <c r="N160" s="1"/>
      <c r="O160" s="1"/>
      <c r="P160" s="1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"/>
      <c r="B161" s="1"/>
      <c r="C161" s="1"/>
      <c r="D161" s="1"/>
      <c r="E161" s="188"/>
      <c r="F161" s="1"/>
      <c r="G161" s="1"/>
      <c r="H161" s="1"/>
      <c r="I161" s="1"/>
      <c r="J161" s="1"/>
      <c r="K161" s="188"/>
      <c r="L161" s="1"/>
      <c r="M161" s="1"/>
      <c r="N161" s="1"/>
      <c r="O161" s="1"/>
      <c r="P161" s="1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"/>
      <c r="B162" s="1"/>
      <c r="C162" s="189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90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90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2591</v>
      </c>
      <c r="B4" s="195" t="s">
        <v>2592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/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IFERROR(__xludf.DUMMYFUNCTION("""COMPUTED_VALUE"""),"Bolevec")</f>
        <v>Bolevec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>Pánková Vendula</v>
      </c>
      <c r="C18" s="191" t="b">
        <f>IFERROR(__xludf.DUMMYFUNCTION("""COMPUTED_VALUE"""),FALSE)</f>
        <v>0</v>
      </c>
      <c r="D18" s="191" t="str">
        <f>IFERROR(__xludf.DUMMYFUNCTION("""COMPUTED_VALUE"""),"Pánková Vendula")</f>
        <v>Pánková Vendula</v>
      </c>
      <c r="E18" s="191" t="str">
        <f>IFERROR(__xludf.DUMMYFUNCTION("""COMPUTED_VALUE"""),"Zličín")</f>
        <v>Zličín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IFERROR(__xludf.DUMMYFUNCTION("""COMPUTED_VALUE"""),267.6)</f>
        <v>267.6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>Hegedüs Erik</v>
      </c>
      <c r="C19" s="191" t="b">
        <f>IFERROR(__xludf.DUMMYFUNCTION("""COMPUTED_VALUE"""),TRUE)</f>
        <v>1</v>
      </c>
      <c r="D19" s="191" t="str">
        <f>IFERROR(__xludf.DUMMYFUNCTION("""COMPUTED_VALUE"""),"Hegedüs Erik")</f>
        <v>Hegedüs Erik</v>
      </c>
      <c r="E19" s="191" t="str">
        <f>IFERROR(__xludf.DUMMYFUNCTION("""COMPUTED_VALUE"""),"Libuš")</f>
        <v>Libuš</v>
      </c>
      <c r="F19" s="191" t="str">
        <f>IFERROR(__xludf.DUMMYFUNCTION("""COMPUTED_VALUE"""),"Chodov")</f>
        <v>Chodov</v>
      </c>
      <c r="G19" s="191" t="str">
        <f>IFERROR(__xludf.DUMMYFUNCTION("""COMPUTED_VALUE"""),"Malešice")</f>
        <v>Malešice</v>
      </c>
      <c r="H19" s="191" t="str">
        <f>IFERROR(__xludf.DUMMYFUNCTION("""COMPUTED_VALUE"""),"Zličín")</f>
        <v>Zličín</v>
      </c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IFERROR(__xludf.DUMMYFUNCTION("""COMPUTED_VALUE"""),432.3078)</f>
        <v>432.3078</v>
      </c>
      <c r="W19" s="194">
        <f>IFERROR(__xludf.DUMMYFUNCTION("""COMPUTED_VALUE"""),2789.082580645161)</f>
        <v>2789.082581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/>
      </c>
      <c r="C20" s="191" t="b">
        <f>IFERROR(__xludf.DUMMYFUNCTION("""COMPUTED_VALUE"""),TRUE)</f>
        <v>1</v>
      </c>
      <c r="D20" s="191" t="str">
        <f>IFERROR(__xludf.DUMMYFUNCTION("""COMPUTED_VALUE"""),"Roth Stanislav ml.")</f>
        <v>Roth Stanislav ml.</v>
      </c>
      <c r="E20" s="191" t="str">
        <f>IFERROR(__xludf.DUMMYFUNCTION("""COMPUTED_VALUE"""),"Bolevec")</f>
        <v>Bolevec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IFERROR(__xludf.DUMMYFUNCTION("""COMPUTED_VALUE"""),432.3078)</f>
        <v>432.3078</v>
      </c>
      <c r="W20" s="194">
        <f>IFERROR(__xludf.DUMMYFUNCTION("""COMPUTED_VALUE"""),2789.082580645161)</f>
        <v>2789.082581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IFERROR(__xludf.DUMMYFUNCTION("""COMPUTED_VALUE"""),FALSE)</f>
        <v>0</v>
      </c>
      <c r="D21" s="191" t="str">
        <f>IFERROR(__xludf.DUMMYFUNCTION("""COMPUTED_VALUE"""),"Bubník Martin")</f>
        <v>Bubník Martin</v>
      </c>
      <c r="E21" s="191" t="str">
        <f>IFERROR(__xludf.DUMMYFUNCTION("""COMPUTED_VALUE"""),"Libuš")</f>
        <v>Libuš</v>
      </c>
      <c r="F21" s="191" t="str">
        <f>IFERROR(__xludf.DUMMYFUNCTION("""COMPUTED_VALUE"""),"Malešice")</f>
        <v>Malešice</v>
      </c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IFERROR(__xludf.DUMMYFUNCTION("""COMPUTED_VALUE"""),267.6)</f>
        <v>267.6</v>
      </c>
      <c r="W21" s="194">
        <f>IFERROR(__xludf.DUMMYFUNCTION("""COMPUTED_VALUE"""),0.0)</f>
        <v>0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IFERROR(__xludf.DUMMYFUNCTION("""COMPUTED_VALUE"""),FALSE)</f>
        <v>0</v>
      </c>
      <c r="D22" s="191" t="str">
        <f>IFERROR(__xludf.DUMMYFUNCTION("""COMPUTED_VALUE"""),"Berdar Vasyl")</f>
        <v>Berdar Vasyl</v>
      </c>
      <c r="E22" s="191" t="str">
        <f>IFERROR(__xludf.DUMMYFUNCTION("""COMPUTED_VALUE"""),"Libuš")</f>
        <v>Libuš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IFERROR(__xludf.DUMMYFUNCTION("""COMPUTED_VALUE"""),286.332)</f>
        <v>286.332</v>
      </c>
      <c r="W22" s="194">
        <f>IFERROR(__xludf.DUMMYFUNCTION("""COMPUTED_VALUE"""),0.0)</f>
        <v>0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>Yarushynskyi Vladyslav</v>
      </c>
      <c r="C23" s="191" t="b">
        <f>IFERROR(__xludf.DUMMYFUNCTION("""COMPUTED_VALUE"""),FALSE)</f>
        <v>0</v>
      </c>
      <c r="D23" s="191" t="str">
        <f>IFERROR(__xludf.DUMMYFUNCTION("""COMPUTED_VALUE"""),"Yarushynskyi Vladyslav")</f>
        <v>Yarushynskyi Vladyslav</v>
      </c>
      <c r="E23" s="191" t="str">
        <f>IFERROR(__xludf.DUMMYFUNCTION("""COMPUTED_VALUE"""),"Malešice")</f>
        <v>Malešice</v>
      </c>
      <c r="F23" s="191" t="str">
        <f>IFERROR(__xludf.DUMMYFUNCTION("""COMPUTED_VALUE"""),"Chodov")</f>
        <v>Chodov</v>
      </c>
      <c r="G23" s="191" t="str">
        <f>IFERROR(__xludf.DUMMYFUNCTION("""COMPUTED_VALUE"""),"Zličín")</f>
        <v>Zličín</v>
      </c>
      <c r="H23" s="191" t="str">
        <f>IFERROR(__xludf.DUMMYFUNCTION("""COMPUTED_VALUE"""),"Prosek")</f>
        <v>Prosek</v>
      </c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IFERROR(__xludf.DUMMYFUNCTION("""COMPUTED_VALUE"""),267.6)</f>
        <v>267.6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IFERROR(__xludf.DUMMYFUNCTION("""COMPUTED_VALUE"""),"Židek Petr")</f>
        <v>Židek Petr</v>
      </c>
      <c r="E24" s="191" t="str">
        <f>IFERROR(__xludf.DUMMYFUNCTION("""COMPUTED_VALUE"""),"Chodov")</f>
        <v>Chodov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IFERROR(__xludf.DUMMYFUNCTION("""COMPUTED_VALUE"""),250.20600000000002)</f>
        <v>250.206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IFERROR(__xludf.DUMMYFUNCTION("""COMPUTED_VALUE"""),"Gorol Patrik")</f>
        <v>Gorol Patrik</v>
      </c>
      <c r="E25" s="191" t="str">
        <f>IFERROR(__xludf.DUMMYFUNCTION("""COMPUTED_VALUE"""),"Malešice")</f>
        <v>Malešice</v>
      </c>
      <c r="F25" s="191" t="str">
        <f>IFERROR(__xludf.DUMMYFUNCTION("""COMPUTED_VALUE"""),"Libuš")</f>
        <v>Libuš</v>
      </c>
      <c r="G25" s="191" t="str">
        <f>IFERROR(__xludf.DUMMYFUNCTION("""COMPUTED_VALUE"""),"Prosek")</f>
        <v>Prosek</v>
      </c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 t="str">
        <f>IFERROR(__xludf.DUMMYFUNCTION("""COMPUTED_VALUE"""),"Hegedüs Gergö")</f>
        <v>Hegedüs Gergö</v>
      </c>
      <c r="E26" s="191" t="str">
        <f>IFERROR(__xludf.DUMMYFUNCTION("""COMPUTED_VALUE"""),"Libuš")</f>
        <v>Libuš</v>
      </c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IFERROR(__xludf.DUMMYFUNCTION("""COMPUTED_VALUE"""),214.08)</f>
        <v>214.08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IFERROR(__xludf.DUMMYFUNCTION("""COMPUTED_VALUE"""),"Barvínková Eliška")</f>
        <v>Barvínková Eliška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IFERROR(__xludf.DUMMYFUNCTION("""COMPUTED_VALUE"""),231.474)</f>
        <v>231.474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/>
      </c>
      <c r="C28" s="191" t="b">
        <f>IFERROR(__xludf.DUMMYFUNCTION("""COMPUTED_VALUE"""),FALSE)</f>
        <v>0</v>
      </c>
      <c r="D28" s="191" t="str">
        <f>IFERROR(__xludf.DUMMYFUNCTION("""COMPUTED_VALUE"""),"Kursheva Diana")</f>
        <v>Kursheva Diana</v>
      </c>
      <c r="E28" s="191" t="str">
        <f>IFERROR(__xludf.DUMMYFUNCTION("""COMPUTED_VALUE"""),"Výroba")</f>
        <v>Výroba</v>
      </c>
      <c r="F28" s="191" t="str">
        <f>IFERROR(__xludf.DUMMYFUNCTION("""COMPUTED_VALUE"""),"Chodov")</f>
        <v>Chodov</v>
      </c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IFERROR(__xludf.DUMMYFUNCTION("""COMPUTED_VALUE"""),250.20600000000002)</f>
        <v>250.206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IFERROR(__xludf.DUMMYFUNCTION("""COMPUTED_VALUE"""),"Kubík Martin")</f>
        <v>Kubík Martin</v>
      </c>
      <c r="E29" s="191" t="str">
        <f>IFERROR(__xludf.DUMMYFUNCTION("""COMPUTED_VALUE"""),"Libuš")</f>
        <v>Libuš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>Putna Jaroslav</v>
      </c>
      <c r="C30" s="191" t="b">
        <f>IFERROR(__xludf.DUMMYFUNCTION("""COMPUTED_VALUE"""),FALSE)</f>
        <v>0</v>
      </c>
      <c r="D30" s="191" t="str">
        <f>IFERROR(__xludf.DUMMYFUNCTION("""COMPUTED_VALUE"""),"Putna Jaroslav")</f>
        <v>Putna Jaroslav</v>
      </c>
      <c r="E30" s="191" t="str">
        <f>IFERROR(__xludf.DUMMYFUNCTION("""COMPUTED_VALUE"""),"Zličín")</f>
        <v>Zličín</v>
      </c>
      <c r="F30" s="191" t="str">
        <f>IFERROR(__xludf.DUMMYFUNCTION("""COMPUTED_VALUE"""),"Prosek")</f>
        <v>Prosek</v>
      </c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IFERROR(__xludf.DUMMYFUNCTION("""COMPUTED_VALUE"""),"Kopic Jakub")</f>
        <v>Kopic Jakub</v>
      </c>
      <c r="E31" s="191" t="str">
        <f>IFERROR(__xludf.DUMMYFUNCTION("""COMPUTED_VALUE"""),"Malešice")</f>
        <v>Malešice</v>
      </c>
      <c r="F31" s="191" t="str">
        <f>IFERROR(__xludf.DUMMYFUNCTION("""COMPUTED_VALUE"""),"Prosek")</f>
        <v>Prosek</v>
      </c>
      <c r="G31" s="191" t="str">
        <f>IFERROR(__xludf.DUMMYFUNCTION("""COMPUTED_VALUE"""),"Libuš")</f>
        <v>Libuš</v>
      </c>
      <c r="H31" s="191" t="str">
        <f>IFERROR(__xludf.DUMMYFUNCTION("""COMPUTED_VALUE"""),"Prosek")</f>
        <v>Prosek</v>
      </c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IFERROR(__xludf.DUMMYFUNCTION("""COMPUTED_VALUE"""),250.20600000000002)</f>
        <v>250.206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IFERROR(__xludf.DUMMYFUNCTION("""COMPUTED_VALUE"""),"Fáberová Kateřina")</f>
        <v>Fáberová Kateřina</v>
      </c>
      <c r="E32" s="191" t="str">
        <f>IFERROR(__xludf.DUMMYFUNCTION("""COMPUTED_VALUE"""),"Prosek")</f>
        <v>Prosek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IFERROR(__xludf.DUMMYFUNCTION("""COMPUTED_VALUE"""),250.20600000000002)</f>
        <v>250.206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IFERROR(__xludf.DUMMYFUNCTION("""COMPUTED_VALUE"""),"Chlubnová Adéla")</f>
        <v>Chlubnová Adéla</v>
      </c>
      <c r="E33" s="191" t="str">
        <f>IFERROR(__xludf.DUMMYFUNCTION("""COMPUTED_VALUE"""),"Chodov")</f>
        <v>Chodov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IFERROR(__xludf.DUMMYFUNCTION("""COMPUTED_VALUE"""),250.20600000000002)</f>
        <v>250.206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IFERROR(__xludf.DUMMYFUNCTION("""COMPUTED_VALUE"""),"Prošek Václav")</f>
        <v>Prošek Václav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IFERROR(__xludf.DUMMYFUNCTION("""COMPUTED_VALUE"""),250.20600000000002)</f>
        <v>250.206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IFERROR(__xludf.DUMMYFUNCTION("""COMPUTED_VALUE"""),"Millington Emmanuel")</f>
        <v>Millington Emmanuel</v>
      </c>
      <c r="E35" s="191" t="str">
        <f>IFERROR(__xludf.DUMMYFUNCTION("""COMPUTED_VALUE"""),"Libuš")</f>
        <v>Libuš</v>
      </c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IFERROR(__xludf.DUMMYFUNCTION("""COMPUTED_VALUE"""),"Kašpárek Jan")</f>
        <v>Kašpárek Jan</v>
      </c>
      <c r="E36" s="191" t="str">
        <f>IFERROR(__xludf.DUMMYFUNCTION("""COMPUTED_VALUE"""),"Libuš")</f>
        <v>Libuš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IFERROR(__xludf.DUMMYFUNCTION("""COMPUTED_VALUE"""),"Koteliuk Maryna")</f>
        <v>Koteliuk Maryna</v>
      </c>
      <c r="E37" s="191" t="str">
        <f>IFERROR(__xludf.DUMMYFUNCTION("""COMPUTED_VALUE"""),"Výroba")</f>
        <v>Výroba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/>
      </c>
      <c r="C38" s="191" t="b">
        <f>IFERROR(__xludf.DUMMYFUNCTION("""COMPUTED_VALUE"""),FALSE)</f>
        <v>0</v>
      </c>
      <c r="D38" s="191" t="str">
        <f>IFERROR(__xludf.DUMMYFUNCTION("""COMPUTED_VALUE"""),"Remač Jiří")</f>
        <v>Remač Jiří</v>
      </c>
      <c r="E38" s="191" t="str">
        <f>IFERROR(__xludf.DUMMYFUNCTION("""COMPUTED_VALUE"""),"Libuš")</f>
        <v>Libuš</v>
      </c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IFERROR(__xludf.DUMMYFUNCTION("""COMPUTED_VALUE"""),0.0)</f>
        <v>0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/>
      <c r="E40" s="191"/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IFERROR(__xludf.DUMMYFUNCTION("""COMPUTED_VALUE"""),0.0)</f>
        <v>0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IFERROR(__xludf.DUMMYFUNCTION("""COMPUTED_VALUE"""),0.0)</f>
        <v>0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IFERROR(__xludf.DUMMYFUNCTION("""COMPUTED_VALUE"""),"Hyský Aleš")</f>
        <v>Hyský Aleš</v>
      </c>
      <c r="E86" s="191" t="str">
        <f>IFERROR(__xludf.DUMMYFUNCTION("""COMPUTED_VALUE"""),"Chodov")</f>
        <v>Chodov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IFERROR(__xludf.DUMMYFUNCTION("""COMPUTED_VALUE"""),231.474)</f>
        <v>231.474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IFERROR(__xludf.DUMMYFUNCTION("""COMPUTED_VALUE"""),"Lažek Jaroslav")</f>
        <v>Lažek Jaroslav</v>
      </c>
      <c r="E87" s="191" t="str">
        <f>IFERROR(__xludf.DUMMYFUNCTION("""COMPUTED_VALUE"""),"Libuš")</f>
        <v>Libuš</v>
      </c>
      <c r="F87" s="191" t="str">
        <f>IFERROR(__xludf.DUMMYFUNCTION("""COMPUTED_VALUE"""),"Chodov")</f>
        <v>Chodov</v>
      </c>
      <c r="G87" s="191" t="str">
        <f>IFERROR(__xludf.DUMMYFUNCTION("""COMPUTED_VALUE"""),"Malešice")</f>
        <v>Malešice</v>
      </c>
      <c r="H87" s="191" t="str">
        <f>IFERROR(__xludf.DUMMYFUNCTION("""COMPUTED_VALUE"""),"Výroba")</f>
        <v>Výroba</v>
      </c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IFERROR(__xludf.DUMMYFUNCTION("""COMPUTED_VALUE"""),170.0)</f>
        <v>170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>Kormash Liubov</v>
      </c>
      <c r="C88" s="191" t="b">
        <f>IFERROR(__xludf.DUMMYFUNCTION("""COMPUTED_VALUE"""),FALSE)</f>
        <v>0</v>
      </c>
      <c r="D88" s="191" t="str">
        <f>IFERROR(__xludf.DUMMYFUNCTION("""COMPUTED_VALUE"""),"Kormash Liubov")</f>
        <v>Kormash Liubov</v>
      </c>
      <c r="E88" s="191" t="str">
        <f>IFERROR(__xludf.DUMMYFUNCTION("""COMPUTED_VALUE"""),"Zličín")</f>
        <v>Zličín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IFERROR(__xludf.DUMMYFUNCTION("""COMPUTED_VALUE"""),160.0)</f>
        <v>160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IFERROR(__xludf.DUMMYFUNCTION("""COMPUTED_VALUE"""),"Chlubna Tomáš")</f>
        <v>Chlubna Tomáš</v>
      </c>
      <c r="E89" s="191" t="str">
        <f>IFERROR(__xludf.DUMMYFUNCTION("""COMPUTED_VALUE"""),"Chodov")</f>
        <v>Chodov</v>
      </c>
      <c r="F89" s="191" t="str">
        <f>IFERROR(__xludf.DUMMYFUNCTION("""COMPUTED_VALUE"""),"Libuš")</f>
        <v>Libuš</v>
      </c>
      <c r="G89" s="191" t="str">
        <f>IFERROR(__xludf.DUMMYFUNCTION("""COMPUTED_VALUE"""),"Výroba")</f>
        <v>Výroba</v>
      </c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IFERROR(__xludf.DUMMYFUNCTION("""COMPUTED_VALUE"""),250.20600000000002)</f>
        <v>250.206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Vychivskyi Volodymyr</v>
      </c>
      <c r="C90" s="191" t="b">
        <f>IFERROR(__xludf.DUMMYFUNCTION("""COMPUTED_VALUE"""),FALSE)</f>
        <v>0</v>
      </c>
      <c r="D90" s="191" t="str">
        <f>IFERROR(__xludf.DUMMYFUNCTION("""COMPUTED_VALUE"""),"Vychivskyi Volodymyr")</f>
        <v>Vychivskyi Volodymyr</v>
      </c>
      <c r="E90" s="191" t="str">
        <f>IFERROR(__xludf.DUMMYFUNCTION("""COMPUTED_VALUE"""),"Malešice")</f>
        <v>Malešice</v>
      </c>
      <c r="F90" s="191" t="str">
        <f>IFERROR(__xludf.DUMMYFUNCTION("""COMPUTED_VALUE"""),"Prosek")</f>
        <v>Prosek</v>
      </c>
      <c r="G90" s="191" t="str">
        <f>IFERROR(__xludf.DUMMYFUNCTION("""COMPUTED_VALUE"""),"Zličín")</f>
        <v>Zličín</v>
      </c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IFERROR(__xludf.DUMMYFUNCTION("""COMPUTED_VALUE"""),250.20600000000002)</f>
        <v>250.206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 t="str">
        <f>IFERROR(__xludf.DUMMYFUNCTION("""COMPUTED_VALUE"""),"Hřebík Martin")</f>
        <v>Hřebík Martin</v>
      </c>
      <c r="E91" s="191" t="str">
        <f>IFERROR(__xludf.DUMMYFUNCTION("""COMPUTED_VALUE"""),"Výroba")</f>
        <v>Výroba</v>
      </c>
      <c r="F91" s="191" t="str">
        <f>IFERROR(__xludf.DUMMYFUNCTION("""COMPUTED_VALUE"""),"Chodov")</f>
        <v>Chodov</v>
      </c>
      <c r="G91" s="191" t="str">
        <f>IFERROR(__xludf.DUMMYFUNCTION("""COMPUTED_VALUE"""),"Prosek")</f>
        <v>Prosek</v>
      </c>
      <c r="H91" s="191" t="str">
        <f>IFERROR(__xludf.DUMMYFUNCTION("""COMPUTED_VALUE"""),"Libuš")</f>
        <v>Libuš</v>
      </c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IFERROR(__xludf.DUMMYFUNCTION("""COMPUTED_VALUE"""),386.68199999999996)</f>
        <v>386.682</v>
      </c>
      <c r="W91" s="194">
        <f>IFERROR(__xludf.DUMMYFUNCTION("""COMPUTED_VALUE"""),2494.722580645161)</f>
        <v>2494.722581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 t="str">
        <f>IFERROR(__xludf.DUMMYFUNCTION("""COMPUTED_VALUE"""),"Eszenyiová Patrícia")</f>
        <v>Eszenyiová Patrícia</v>
      </c>
      <c r="E92" s="191" t="str">
        <f>IFERROR(__xludf.DUMMYFUNCTION("""COMPUTED_VALUE"""),"Libuš")</f>
        <v>Libuš</v>
      </c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IFERROR(__xludf.DUMMYFUNCTION("""COMPUTED_VALUE"""),250.20600000000002)</f>
        <v>250.206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IFERROR(__xludf.DUMMYFUNCTION("""COMPUTED_VALUE"""),"Reischl Jan")</f>
        <v>Reischl Jan</v>
      </c>
      <c r="E93" s="191" t="str">
        <f>IFERROR(__xludf.DUMMYFUNCTION("""COMPUTED_VALUE"""),"Malešice")</f>
        <v>Malešice</v>
      </c>
      <c r="F93" s="191" t="str">
        <f>IFERROR(__xludf.DUMMYFUNCTION("""COMPUTED_VALUE"""),"Chodov")</f>
        <v>Chodov</v>
      </c>
      <c r="G93" s="191" t="str">
        <f>IFERROR(__xludf.DUMMYFUNCTION("""COMPUTED_VALUE"""),"Libuš")</f>
        <v>Libuš</v>
      </c>
      <c r="H93" s="191" t="str">
        <f>IFERROR(__xludf.DUMMYFUNCTION("""COMPUTED_VALUE"""),"Prosek")</f>
        <v>Prosek</v>
      </c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IFERROR(__xludf.DUMMYFUNCTION("""COMPUTED_VALUE"""),214.08)</f>
        <v>214.08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/>
      </c>
      <c r="C94" s="191" t="b">
        <f>IFERROR(__xludf.DUMMYFUNCTION("""COMPUTED_VALUE"""),FALSE)</f>
        <v>0</v>
      </c>
      <c r="D94" s="191" t="str">
        <f>IFERROR(__xludf.DUMMYFUNCTION("""COMPUTED_VALUE"""),"Mikešová Adéla")</f>
        <v>Mikešová Adéla</v>
      </c>
      <c r="E94" s="191" t="str">
        <f>IFERROR(__xludf.DUMMYFUNCTION("""COMPUTED_VALUE"""),"Bolevec")</f>
        <v>Bolevec</v>
      </c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IFERROR(__xludf.DUMMYFUNCTION("""COMPUTED_VALUE"""),214.08)</f>
        <v>214.08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 t="str">
        <f>IFERROR(__xludf.DUMMYFUNCTION("""COMPUTED_VALUE"""),"Chyský David")</f>
        <v>Chyský David</v>
      </c>
      <c r="E95" s="191" t="str">
        <f>IFERROR(__xludf.DUMMYFUNCTION("""COMPUTED_VALUE"""),"Chodov")</f>
        <v>Chodov</v>
      </c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IFERROR(__xludf.DUMMYFUNCTION("""COMPUTED_VALUE"""),231.474)</f>
        <v>231.474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IFERROR(__xludf.DUMMYFUNCTION("""COMPUTED_VALUE"""),"Kalina Filip")</f>
        <v>Kalina Filip</v>
      </c>
      <c r="E96" s="191" t="str">
        <f>IFERROR(__xludf.DUMMYFUNCTION("""COMPUTED_VALUE"""),"Malešice")</f>
        <v>Malešice</v>
      </c>
      <c r="F96" s="191" t="str">
        <f>IFERROR(__xludf.DUMMYFUNCTION("""COMPUTED_VALUE"""),"Libuš")</f>
        <v>Libuš</v>
      </c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IFERROR(__xludf.DUMMYFUNCTION("""COMPUTED_VALUE"""),231.474)</f>
        <v>231.474</v>
      </c>
      <c r="W96" s="194">
        <f>IFERROR(__xludf.DUMMYFUNCTION("""COMPUTED_VALUE"""),0.0)</f>
        <v>0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IFERROR(__xludf.DUMMYFUNCTION("""COMPUTED_VALUE"""),"Kaločai Rudolf")</f>
        <v>Kaločai Rudolf</v>
      </c>
      <c r="E97" s="191" t="str">
        <f>IFERROR(__xludf.DUMMYFUNCTION("""COMPUTED_VALUE"""),"Bolevec")</f>
        <v>Bolevec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IFERROR(__xludf.DUMMYFUNCTION("""COMPUTED_VALUE"""),140.0)</f>
        <v>140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IFERROR(__xludf.DUMMYFUNCTION("""COMPUTED_VALUE"""),"Dušek Sam")</f>
        <v>Dušek Sam</v>
      </c>
      <c r="E98" s="191" t="str">
        <f>IFERROR(__xludf.DUMMYFUNCTION("""COMPUTED_VALUE"""),"Libuš")</f>
        <v>Libuš</v>
      </c>
      <c r="F98" s="191" t="str">
        <f>IFERROR(__xludf.DUMMYFUNCTION("""COMPUTED_VALUE"""),"Malešice")</f>
        <v>Malešice</v>
      </c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IFERROR(__xludf.DUMMYFUNCTION("""COMPUTED_VALUE"""),250.20600000000002)</f>
        <v>250.206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>Banga Adam</v>
      </c>
      <c r="C99" s="191" t="b">
        <f>IFERROR(__xludf.DUMMYFUNCTION("""COMPUTED_VALUE"""),FALSE)</f>
        <v>0</v>
      </c>
      <c r="D99" s="191" t="str">
        <f>IFERROR(__xludf.DUMMYFUNCTION("""COMPUTED_VALUE"""),"Banga Adam")</f>
        <v>Banga Adam</v>
      </c>
      <c r="E99" s="191" t="str">
        <f>IFERROR(__xludf.DUMMYFUNCTION("""COMPUTED_VALUE"""),"Zličín")</f>
        <v>Zličín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IFERROR(__xludf.DUMMYFUNCTION("""COMPUTED_VALUE"""),231.474)</f>
        <v>231.474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IFERROR(__xludf.DUMMYFUNCTION("""COMPUTED_VALUE"""),"Vopatová Anna")</f>
        <v>Vopatová Anna</v>
      </c>
      <c r="E100" s="191" t="str">
        <f>IFERROR(__xludf.DUMMYFUNCTION("""COMPUTED_VALUE"""),"Bolevec")</f>
        <v>Bolevec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IFERROR(__xludf.DUMMYFUNCTION("""COMPUTED_VALUE"""),214.08)</f>
        <v>214.08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IFERROR(__xludf.DUMMYFUNCTION("""COMPUTED_VALUE"""),"Vopatová Šárka")</f>
        <v>Vopatová Šárka</v>
      </c>
      <c r="E101" s="191" t="str">
        <f>IFERROR(__xludf.DUMMYFUNCTION("""COMPUTED_VALUE"""),"Bolevec")</f>
        <v>Bolevec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IFERROR(__xludf.DUMMYFUNCTION("""COMPUTED_VALUE"""),214.08)</f>
        <v>214.08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 t="str">
        <f>IFERROR(__xludf.DUMMYFUNCTION("""COMPUTED_VALUE"""),"Richterová Monika")</f>
        <v>Richterová Monika</v>
      </c>
      <c r="E102" s="191" t="str">
        <f>IFERROR(__xludf.DUMMYFUNCTION("""COMPUTED_VALUE"""),"Malešice")</f>
        <v>Malešice</v>
      </c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IFERROR(__xludf.DUMMYFUNCTION("""COMPUTED_VALUE"""),214.08)</f>
        <v>214.08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 t="str">
        <f>IFERROR(__xludf.DUMMYFUNCTION("""COMPUTED_VALUE"""),"Serin David")</f>
        <v>Serin David</v>
      </c>
      <c r="E103" s="191" t="str">
        <f>IFERROR(__xludf.DUMMYFUNCTION("""COMPUTED_VALUE"""),"Libuš")</f>
        <v>Libuš</v>
      </c>
      <c r="F103" s="191" t="str">
        <f>IFERROR(__xludf.DUMMYFUNCTION("""COMPUTED_VALUE"""),"Malešice")</f>
        <v>Malešice</v>
      </c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IFERROR(__xludf.DUMMYFUNCTION("""COMPUTED_VALUE"""),250.20600000000002)</f>
        <v>250.206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IFERROR(__xludf.DUMMYFUNCTION("""COMPUTED_VALUE"""),"Fabera Tomáš")</f>
        <v>Fabera Tomáš</v>
      </c>
      <c r="E104" s="191" t="str">
        <f>IFERROR(__xludf.DUMMYFUNCTION("""COMPUTED_VALUE"""),"Chodov")</f>
        <v>Chodov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IFERROR(__xludf.DUMMYFUNCTION("""COMPUTED_VALUE"""),"Hendrych Rostislav")</f>
        <v>Hendrych Rostislav</v>
      </c>
      <c r="E105" s="191" t="str">
        <f>IFERROR(__xludf.DUMMYFUNCTION("""COMPUTED_VALUE"""),"Malešice")</f>
        <v>Malešice</v>
      </c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IFERROR(__xludf.DUMMYFUNCTION("""COMPUTED_VALUE"""),250.20600000000002)</f>
        <v>250.206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 t="str">
        <f>IFERROR(__xludf.DUMMYFUNCTION("""COMPUTED_VALUE"""),"Světlík František")</f>
        <v>Světlík František</v>
      </c>
      <c r="E106" s="191" t="str">
        <f>IFERROR(__xludf.DUMMYFUNCTION("""COMPUTED_VALUE"""),"Bolevec")</f>
        <v>Bolevec</v>
      </c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IFERROR(__xludf.DUMMYFUNCTION("""COMPUTED_VALUE"""),214.08)</f>
        <v>214.08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IFERROR(__xludf.DUMMYFUNCTION("""COMPUTED_VALUE"""),"Ženíšek Lukáš")</f>
        <v>Ženíšek Lukáš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IFERROR(__xludf.DUMMYFUNCTION("""COMPUTED_VALUE"""),214.08)</f>
        <v>214.08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IFERROR(__xludf.DUMMYFUNCTION("""COMPUTED_VALUE"""),"Roth Stanislav st.")</f>
        <v>Roth Stanislav st.</v>
      </c>
      <c r="E108" s="191" t="str">
        <f>IFERROR(__xludf.DUMMYFUNCTION("""COMPUTED_VALUE"""),"Bolevec")</f>
        <v>Bolevec</v>
      </c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IFERROR(__xludf.DUMMYFUNCTION("""COMPUTED_VALUE"""),49506.0)</f>
        <v>49506</v>
      </c>
      <c r="W108" s="194">
        <f>IFERROR(__xludf.DUMMYFUNCTION("""COMPUTED_VALUE"""),1596.967741935484)</f>
        <v>1596.967742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>Vaníková Anna</v>
      </c>
      <c r="C109" s="191" t="b">
        <f>IFERROR(__xludf.DUMMYFUNCTION("""COMPUTED_VALUE"""),FALSE)</f>
        <v>0</v>
      </c>
      <c r="D109" s="191" t="str">
        <f>IFERROR(__xludf.DUMMYFUNCTION("""COMPUTED_VALUE"""),"Vaníková Anna")</f>
        <v>Vaníková Anna</v>
      </c>
      <c r="E109" s="191" t="str">
        <f>IFERROR(__xludf.DUMMYFUNCTION("""COMPUTED_VALUE"""),"Zličín")</f>
        <v>Zličín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IFERROR(__xludf.DUMMYFUNCTION("""COMPUTED_VALUE"""),250.20600000000002)</f>
        <v>250.206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IFERROR(__xludf.DUMMYFUNCTION("""COMPUTED_VALUE"""),"Břicháč Pavel")</f>
        <v>Břicháč Pavel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IFERROR(__xludf.DUMMYFUNCTION("""COMPUTED_VALUE"""),231.474)</f>
        <v>231.474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Čerešňák Michal</v>
      </c>
      <c r="C111" s="191" t="b">
        <f>IFERROR(__xludf.DUMMYFUNCTION("""COMPUTED_VALUE"""),FALSE)</f>
        <v>0</v>
      </c>
      <c r="D111" s="191" t="str">
        <f>IFERROR(__xludf.DUMMYFUNCTION("""COMPUTED_VALUE"""),"Čerešňák Michal")</f>
        <v>Čerešňák Michal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IFERROR(__xludf.DUMMYFUNCTION("""COMPUTED_VALUE"""),170.0)</f>
        <v>170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IFERROR(__xludf.DUMMYFUNCTION("""COMPUTED_VALUE"""),"Weindling Josef")</f>
        <v>Weindling Josef</v>
      </c>
      <c r="E112" s="191" t="str">
        <f>IFERROR(__xludf.DUMMYFUNCTION("""COMPUTED_VALUE"""),"Libuš")</f>
        <v>Libuš</v>
      </c>
      <c r="F112" s="191" t="str">
        <f>IFERROR(__xludf.DUMMYFUNCTION("""COMPUTED_VALUE"""),"Malešice")</f>
        <v>Malešice</v>
      </c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IFERROR(__xludf.DUMMYFUNCTION("""COMPUTED_VALUE"""),231.474)</f>
        <v>231.474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IFERROR(__xludf.DUMMYFUNCTION("""COMPUTED_VALUE"""),"Fux Vojtěch")</f>
        <v>Fux Vojtěch</v>
      </c>
      <c r="E113" s="191" t="str">
        <f>IFERROR(__xludf.DUMMYFUNCTION("""COMPUTED_VALUE"""),"Chodov")</f>
        <v>Chodov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IFERROR(__xludf.DUMMYFUNCTION("""COMPUTED_VALUE"""),200.0)</f>
        <v>200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IFERROR(__xludf.DUMMYFUNCTION("""COMPUTED_VALUE"""),"Kumar Jatinder")</f>
        <v>Kumar Jatinder</v>
      </c>
      <c r="E114" s="191" t="str">
        <f>IFERROR(__xludf.DUMMYFUNCTION("""COMPUTED_VALUE"""),"Libuš")</f>
        <v>Libuš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IFERROR(__xludf.DUMMYFUNCTION("""COMPUTED_VALUE"""),231.474)</f>
        <v>231.474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IFERROR(__xludf.DUMMYFUNCTION("""COMPUTED_VALUE"""),"Stehlíková Magdaléna")</f>
        <v>Stehlíková Magdaléna</v>
      </c>
      <c r="E115" s="191" t="str">
        <f>IFERROR(__xludf.DUMMYFUNCTION("""COMPUTED_VALUE"""),"Bolevec")</f>
        <v>Bolevec</v>
      </c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IFERROR(__xludf.DUMMYFUNCTION("""COMPUTED_VALUE"""),214.08)</f>
        <v>214.08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>Dragoun Alfréd</v>
      </c>
      <c r="C116" s="191" t="b">
        <f>IFERROR(__xludf.DUMMYFUNCTION("""COMPUTED_VALUE"""),FALSE)</f>
        <v>0</v>
      </c>
      <c r="D116" s="191" t="str">
        <f>IFERROR(__xludf.DUMMYFUNCTION("""COMPUTED_VALUE"""),"Dragoun Alfréd")</f>
        <v>Dragoun Alfréd</v>
      </c>
      <c r="E116" s="191" t="str">
        <f>IFERROR(__xludf.DUMMYFUNCTION("""COMPUTED_VALUE"""),"Zličín")</f>
        <v>Zličín</v>
      </c>
      <c r="F116" s="191" t="str">
        <f>IFERROR(__xludf.DUMMYFUNCTION("""COMPUTED_VALUE"""),"Malešice")</f>
        <v>Malešice</v>
      </c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IFERROR(__xludf.DUMMYFUNCTION("""COMPUTED_VALUE"""),250.20600000000002)</f>
        <v>250.206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IFERROR(__xludf.DUMMYFUNCTION("""COMPUTED_VALUE"""),0.0)</f>
        <v>0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IFERROR(__xludf.DUMMYFUNCTION("""COMPUTED_VALUE"""),0.0)</f>
        <v>0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IFERROR(__xludf.DUMMYFUNCTION("""COMPUTED_VALUE"""),0.0)</f>
        <v>0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IFERROR(__xludf.DUMMYFUNCTION("""COMPUTED_VALUE"""),0.0)</f>
        <v>0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IFERROR(__xludf.DUMMYFUNCTION("""COMPUTED_VALUE"""),0.0)</f>
        <v>0</v>
      </c>
      <c r="W122" s="194">
        <f>IFERROR(__xludf.DUMMYFUNCTION("""COMPUTED_VALUE"""),0.0)</f>
        <v>0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/>
      </c>
      <c r="C125" s="191" t="b">
        <f>IFERROR(__xludf.DUMMYFUNCTION("""COMPUTED_VALUE"""),FALSE)</f>
        <v>0</v>
      </c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IFERROR(__xludf.DUMMYFUNCTION("""COMPUTED_VALUE"""),0.0)</f>
        <v>0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IFERROR(__xludf.DUMMYFUNCTION("""COMPUTED_VALUE"""),0.0)</f>
        <v>0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 t="str">
        <f>IFERROR(__xludf.DUMMYFUNCTION("""COMPUTED_VALUE"""),"Chodov")</f>
        <v>Chodov</v>
      </c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IFERROR(__xludf.DUMMYFUNCTION("""COMPUTED_VALUE"""),231.474)</f>
        <v>231.474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4">
        <f>IFERROR(__xludf.DUMMYFUNCTION("""COMPUTED_VALUE"""),0.0)</f>
        <v>0</v>
      </c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2593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2595</v>
      </c>
      <c r="B3" s="1" t="s">
        <v>2596</v>
      </c>
      <c r="D3" s="1" t="s">
        <v>2597</v>
      </c>
      <c r="E3" s="1" t="s">
        <v>2597</v>
      </c>
      <c r="F3" s="1" t="s">
        <v>2597</v>
      </c>
      <c r="G3" s="1" t="s">
        <v>2597</v>
      </c>
    </row>
    <row r="4">
      <c r="A4" s="1" t="s">
        <v>2598</v>
      </c>
      <c r="B4" s="1" t="s">
        <v>2599</v>
      </c>
      <c r="C4" s="1" t="s">
        <v>2597</v>
      </c>
      <c r="E4" s="1" t="s">
        <v>2600</v>
      </c>
      <c r="F4" s="1" t="s">
        <v>2601</v>
      </c>
      <c r="G4" s="1" t="s">
        <v>2601</v>
      </c>
      <c r="H4" s="1" t="s">
        <v>2600</v>
      </c>
    </row>
    <row r="5">
      <c r="A5" s="1" t="s">
        <v>2602</v>
      </c>
      <c r="B5" s="1" t="s">
        <v>2603</v>
      </c>
      <c r="E5" s="1" t="s">
        <v>2604</v>
      </c>
      <c r="F5" s="1" t="s">
        <v>2605</v>
      </c>
      <c r="G5" s="1" t="s">
        <v>2606</v>
      </c>
      <c r="H5" s="1" t="s">
        <v>2597</v>
      </c>
    </row>
    <row r="6">
      <c r="A6" s="1" t="s">
        <v>2607</v>
      </c>
      <c r="B6" s="1" t="s">
        <v>2608</v>
      </c>
      <c r="D6" s="1" t="s">
        <v>2608</v>
      </c>
      <c r="F6" s="1" t="s">
        <v>2606</v>
      </c>
    </row>
    <row r="7">
      <c r="A7" s="1" t="s">
        <v>71</v>
      </c>
      <c r="B7" s="1" t="s">
        <v>2609</v>
      </c>
      <c r="D7" s="1" t="s">
        <v>2609</v>
      </c>
    </row>
    <row r="8">
      <c r="A8" s="1" t="s">
        <v>2610</v>
      </c>
      <c r="B8" s="1" t="s">
        <v>2603</v>
      </c>
      <c r="C8" s="1" t="s">
        <v>2603</v>
      </c>
      <c r="E8" s="1" t="s">
        <v>2603</v>
      </c>
      <c r="F8" s="1" t="s">
        <v>2611</v>
      </c>
    </row>
    <row r="9">
      <c r="A9" s="1" t="s">
        <v>44</v>
      </c>
      <c r="C9" s="1" t="s">
        <v>2600</v>
      </c>
      <c r="D9" s="1" t="s">
        <v>2600</v>
      </c>
      <c r="F9" s="1" t="s">
        <v>2601</v>
      </c>
      <c r="G9" s="1" t="s">
        <v>2601</v>
      </c>
      <c r="H9" s="1" t="s">
        <v>2600</v>
      </c>
    </row>
    <row r="10">
      <c r="A10" s="1" t="s">
        <v>2612</v>
      </c>
      <c r="C10" s="1" t="s">
        <v>2606</v>
      </c>
      <c r="E10" s="1" t="s">
        <v>2606</v>
      </c>
      <c r="G10" s="1" t="s">
        <v>2605</v>
      </c>
      <c r="H10" s="1" t="s">
        <v>2604</v>
      </c>
    </row>
    <row r="11">
      <c r="A11" s="1" t="s">
        <v>2613</v>
      </c>
      <c r="C11" s="1" t="s">
        <v>2604</v>
      </c>
      <c r="E11" s="1" t="s">
        <v>2604</v>
      </c>
    </row>
    <row r="12">
      <c r="A12" s="1" t="s">
        <v>2614</v>
      </c>
      <c r="D12" s="1" t="s">
        <v>2600</v>
      </c>
      <c r="E12" s="1" t="s">
        <v>2615</v>
      </c>
      <c r="F12" s="1" t="s">
        <v>2616</v>
      </c>
      <c r="G12" s="1" t="s">
        <v>2617</v>
      </c>
      <c r="H12" s="1" t="s">
        <v>2600</v>
      </c>
    </row>
    <row r="13">
      <c r="A13" s="1" t="s">
        <v>2618</v>
      </c>
      <c r="B13" s="188"/>
      <c r="C13" s="188"/>
      <c r="D13" s="188"/>
      <c r="E13" s="188"/>
      <c r="F13" s="1" t="s">
        <v>2605</v>
      </c>
      <c r="G13" s="1" t="s">
        <v>2619</v>
      </c>
      <c r="H13" s="1" t="s">
        <v>2620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2621</v>
      </c>
      <c r="B14" s="188"/>
      <c r="C14" s="188"/>
      <c r="D14" s="188"/>
      <c r="E14" s="188"/>
      <c r="F14" s="188"/>
      <c r="G14" s="1" t="s">
        <v>2597</v>
      </c>
      <c r="H14" s="1" t="s">
        <v>2597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2622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2623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2624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2625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2626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2627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2628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2629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2630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2631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2632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2633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2634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2635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2636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2637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2638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2639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2640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2641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2642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2643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2644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2645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2646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2647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2648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2649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2650</v>
      </c>
      <c r="AB138" s="1">
        <v>-10.0</v>
      </c>
    </row>
  </sheetData>
  <mergeCells count="1">
    <mergeCell ref="A1:H1"/>
  </mergeCells>
  <drawing r:id="rId1"/>
</worksheet>
</file>