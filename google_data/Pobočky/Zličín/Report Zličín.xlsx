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<sst xmlns="http://schemas.openxmlformats.org/spreadsheetml/2006/main" count="9005" uniqueCount="2652">
  <si>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</si>
  <si>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</si>
  <si>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</si>
  <si>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</si>
  <si>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</si>
  <si>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</si>
  <si>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</si>
  <si>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</si>
  <si>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</si>
  <si>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</si>
  <si>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</si>
  <si>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</si>
  <si>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</si>
  <si>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</si>
  <si>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</si>
  <si>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</si>
  <si>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</si>
  <si>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</si>
  <si>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</si>
  <si>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</si>
  <si>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</si>
  <si>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</si>
  <si>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</si>
  <si>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</si>
  <si>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</si>
  <si>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</si>
  <si>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</si>
  <si>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</si>
  <si>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</si>
  <si>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</si>
  <si>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</si>
  <si>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</si>
  <si>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</si>
  <si>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</si>
  <si>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</si>
  <si>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</si>
  <si>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</si>
  <si>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</si>
  <si>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</si>
  <si>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</si>
  <si>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</si>
  <si>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</si>
  <si>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</si>
  <si>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</si>
  <si>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</si>
  <si>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</si>
  <si>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</si>
  <si>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</si>
  <si>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</si>
  <si>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</si>
  <si>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</si>
  <si>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</si>
  <si>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</si>
  <si>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</si>
  <si>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</si>
  <si>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</si>
  <si>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</si>
  <si>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</si>
  <si>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</si>
  <si>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</si>
  <si>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</si>
  <si>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</si>
  <si>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</si>
  <si>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</si>
  <si>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</si>
  <si>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</si>
  <si>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</si>
  <si>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</si>
  <si>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</si>
  <si>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</si>
  <si>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</si>
  <si>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</si>
  <si>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</si>
  <si>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</si>
  <si>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</si>
  <si>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</si>
  <si>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</si>
  <si>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</si>
  <si>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</si>
  <si>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</si>
  <si>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</si>
  <si>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</si>
  <si>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</si>
  <si>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</si>
  <si>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</si>
  <si>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</si>
  <si>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</si>
  <si>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</si>
  <si>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</si>
  <si>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</si>
  <si>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</si>
  <si>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</si>
  <si>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</si>
  <si>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</si>
  <si>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</si>
  <si>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</si>
  <si>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</si>
  <si>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</si>
  <si>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</si>
  <si>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</si>
  <si>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</si>
  <si>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</si>
  <si>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</si>
  <si>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</si>
  <si>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</si>
  <si>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</si>
  <si>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</si>
  <si>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</si>
  <si>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</si>
  <si>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</si>
  <si>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</si>
  <si>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</si>
  <si>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</si>
  <si>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</si>
  <si>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</si>
  <si>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</si>
  <si>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</si>
  <si>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</si>
  <si>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</si>
  <si>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</si>
  <si>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</si>
  <si>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</si>
  <si>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</si>
  <si>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</si>
  <si>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</si>
  <si>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</si>
  <si>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</si>
  <si>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</si>
  <si>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</si>
  <si>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</si>
  <si>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</si>
  <si>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</si>
  <si>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</si>
  <si>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</si>
  <si>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</si>
  <si>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</si>
  <si>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</si>
  <si>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</si>
  <si>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</si>
  <si>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</si>
  <si>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</si>
  <si>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</si>
  <si>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</si>
  <si>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</si>
  <si>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</si>
  <si>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</si>
  <si>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</si>
  <si>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</si>
  <si>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</si>
  <si>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</si>
  <si>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</si>
  <si>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</si>
  <si>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</si>
  <si>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</si>
  <si>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</si>
  <si>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</si>
  <si>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</si>
  <si>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</si>
  <si>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</si>
  <si>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</si>
  <si>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</si>
  <si>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</si>
  <si>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</si>
  <si>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</si>
  <si>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</si>
  <si>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</si>
  <si>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</si>
  <si>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</si>
  <si>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</si>
  <si>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</si>
  <si>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</si>
  <si>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</si>
  <si>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</si>
  <si>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</si>
  <si>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</si>
  <si>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</si>
  <si>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</si>
  <si>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</si>
  <si>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</si>
  <si>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</si>
  <si>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</si>
  <si>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</si>
  <si>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</si>
  <si>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</si>
  <si>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</si>
  <si>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</si>
  <si>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</si>
  <si>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</si>
  <si>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</si>
  <si>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</si>
  <si>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</si>
  <si>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</si>
  <si>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</si>
  <si>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</si>
  <si>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</si>
  <si>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</si>
  <si>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</si>
  <si>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</si>
  <si>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</si>
  <si>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</si>
  <si>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</si>
  <si>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</si>
  <si>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</si>
  <si>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</si>
  <si>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</si>
  <si>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</si>
  <si>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</si>
  <si>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</si>
  <si>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</si>
  <si>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</si>
  <si>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</si>
  <si>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</si>
  <si>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</si>
  <si>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</si>
  <si>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</si>
  <si>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</si>
  <si>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</si>
  <si>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</si>
  <si>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</si>
  <si>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</si>
  <si>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</si>
  <si>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</si>
  <si>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</si>
  <si>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</si>
  <si>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</si>
  <si>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</si>
  <si>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</si>
  <si>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</si>
  <si>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</si>
  <si>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</si>
  <si>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</si>
  <si>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</si>
  <si>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</si>
  <si>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</si>
  <si>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</si>
  <si>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</si>
  <si>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</si>
  <si>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</si>
  <si>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</si>
  <si>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</si>
  <si>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</si>
  <si>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</si>
  <si>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</si>
  <si>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</si>
  <si>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</si>
  <si>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</si>
  <si>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</si>
  <si>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</si>
  <si>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</si>
  <si>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</si>
  <si>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</si>
  <si>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</si>
  <si>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</si>
  <si>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</si>
  <si>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</si>
  <si>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</si>
  <si>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</si>
  <si>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</si>
  <si>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</si>
  <si>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</si>
  <si>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</si>
  <si>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</si>
  <si>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</si>
  <si>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</si>
  <si>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</si>
  <si>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</si>
  <si>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</si>
  <si>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</si>
  <si>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</si>
  <si>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</si>
  <si>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</si>
  <si>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</si>
  <si>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</si>
  <si>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</si>
  <si>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</si>
  <si>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</si>
  <si>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</si>
  <si>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</si>
  <si>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</si>
  <si>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</si>
  <si>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</si>
  <si>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</si>
  <si>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</si>
  <si>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</si>
  <si>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</si>
  <si>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</si>
  <si>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</si>
  <si>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</si>
  <si>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</si>
  <si>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</si>
  <si>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</si>
  <si>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</si>
  <si>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</si>
  <si>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</si>
  <si>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</si>
  <si>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</si>
  <si>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</si>
  <si>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</si>
  <si>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</si>
  <si>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</si>
  <si>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</si>
  <si>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</si>
  <si>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</si>
  <si>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</si>
  <si>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</si>
  <si>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</si>
  <si>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</si>
  <si>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</si>
  <si>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</si>
  <si>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</si>
  <si>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</si>
  <si>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</si>
  <si>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</si>
  <si>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</si>
  <si>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</si>
  <si>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</si>
  <si>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</si>
  <si>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</si>
  <si>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</si>
  <si>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</si>
  <si>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</si>
  <si>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</si>
  <si>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</si>
  <si>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</si>
  <si>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</si>
  <si>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</si>
  <si>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</si>
  <si>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</si>
  <si>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</si>
  <si>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</si>
  <si>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</si>
  <si>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</si>
  <si>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</si>
  <si>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</si>
  <si>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</si>
  <si>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</si>
  <si>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</si>
  <si>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</si>
  <si>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</si>
  <si>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</si>
  <si>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</si>
  <si>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</si>
  <si>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</si>
  <si>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</si>
  <si>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</si>
  <si>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</si>
  <si>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</si>
  <si>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</si>
  <si>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</si>
  <si>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</si>
  <si>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</si>
  <si>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</si>
  <si>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</si>
  <si>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</si>
  <si>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</si>
  <si>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</si>
  <si>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</si>
  <si>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</si>
  <si>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</si>
  <si>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</si>
  <si>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</si>
  <si>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</si>
  <si>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</si>
  <si>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</si>
  <si>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</si>
  <si>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</si>
  <si>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</si>
  <si>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</si>
  <si>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</si>
  <si>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</si>
  <si>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</si>
  <si>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</si>
  <si>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</si>
  <si>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</si>
  <si>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</si>
  <si>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</si>
  <si>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</si>
  <si>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</si>
  <si>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</si>
  <si>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</si>
  <si>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</si>
  <si>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</si>
  <si>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</si>
  <si>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</si>
  <si>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</si>
  <si>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</si>
  <si>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</si>
  <si>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</si>
  <si>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</si>
  <si>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</si>
  <si>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</si>
  <si>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</si>
  <si>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</si>
  <si>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</si>
  <si>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</si>
  <si>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</si>
  <si>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</si>
  <si>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</si>
  <si>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</si>
  <si>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</si>
  <si>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</si>
  <si>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</si>
  <si>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</si>
  <si>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</si>
  <si>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</si>
  <si>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</si>
  <si>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</si>
  <si>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</si>
  <si>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</si>
  <si>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</si>
  <si>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</si>
  <si>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</si>
  <si>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</si>
  <si>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</si>
  <si>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</si>
  <si>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</si>
  <si>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</si>
  <si>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</si>
  <si>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</si>
  <si>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</si>
  <si>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</si>
  <si>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</si>
  <si>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</si>
  <si>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</si>
  <si>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</si>
  <si>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</si>
  <si>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</si>
  <si>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</si>
  <si>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</si>
  <si>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</si>
  <si>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</si>
  <si>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</si>
  <si>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</si>
  <si>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</si>
  <si>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</si>
  <si>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</si>
  <si>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</si>
  <si>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</si>
  <si>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</si>
  <si>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</si>
  <si>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</si>
  <si>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</si>
  <si>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</si>
  <si>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</si>
  <si>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</si>
  <si>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</si>
  <si>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</si>
  <si>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</si>
  <si>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</si>
  <si>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</si>
  <si>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</si>
  <si>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</si>
  <si>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</si>
  <si>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</si>
  <si>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</si>
  <si>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</si>
  <si>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</si>
  <si>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</si>
  <si>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</si>
  <si>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</si>
  <si>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</si>
  <si>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</si>
  <si>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</si>
  <si>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</si>
  <si>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</si>
  <si>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</si>
  <si>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</si>
  <si>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</si>
  <si>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</si>
  <si>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</si>
  <si>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</si>
  <si>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</si>
  <si>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</si>
  <si>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</si>
  <si>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</si>
  <si>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</si>
  <si>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</si>
  <si>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</si>
  <si>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</si>
  <si>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</si>
  <si>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</si>
  <si>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</si>
  <si>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</si>
  <si>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</si>
  <si>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</si>
  <si>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</si>
  <si>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</si>
  <si>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</si>
  <si>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</si>
  <si>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</si>
  <si>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</si>
  <si>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</si>
  <si>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</si>
  <si>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</si>
  <si>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</si>
  <si>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</si>
  <si>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</si>
  <si>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</si>
  <si>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</si>
  <si>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</si>
  <si>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</si>
  <si>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</si>
  <si>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</si>
  <si>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</si>
  <si>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</si>
  <si>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</si>
  <si>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</si>
  <si>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</si>
  <si>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</si>
  <si>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</si>
  <si>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</si>
  <si>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</si>
  <si>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</si>
  <si>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</si>
  <si>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</si>
  <si>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</si>
  <si>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</si>
  <si>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</si>
  <si>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</si>
  <si>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</si>
  <si>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</si>
  <si>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</si>
  <si>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</si>
  <si>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</si>
  <si>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</si>
  <si>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</si>
  <si>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</si>
  <si>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</si>
  <si>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</si>
  <si>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</si>
  <si>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</si>
  <si>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</si>
  <si>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</si>
  <si>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</si>
  <si>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</si>
  <si>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</si>
  <si>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</si>
  <si>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</si>
  <si>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</si>
  <si>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</si>
  <si>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</si>
  <si>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</si>
  <si>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</si>
  <si>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</si>
  <si>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</si>
  <si>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</si>
  <si>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</si>
  <si>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</si>
  <si>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</si>
  <si>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</si>
  <si>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</si>
  <si>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</si>
  <si>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</si>
  <si>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</si>
  <si>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</si>
  <si>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</si>
  <si>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</si>
  <si>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</si>
  <si>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</si>
  <si>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</si>
  <si>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</si>
  <si>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</si>
  <si>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</si>
  <si>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</si>
  <si>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</si>
  <si>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</si>
  <si>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</si>
  <si>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</si>
  <si>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</si>
  <si>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</si>
  <si>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</si>
  <si>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</si>
  <si>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</si>
  <si>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</si>
  <si>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</si>
  <si>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</si>
  <si>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</si>
  <si>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</si>
  <si>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</si>
  <si>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</si>
  <si>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</si>
  <si>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</si>
  <si>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</si>
  <si>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</si>
  <si>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</si>
  <si>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</si>
  <si>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</si>
  <si>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</si>
  <si>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</si>
  <si>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</si>
  <si>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</si>
  <si>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</si>
  <si>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</si>
  <si>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</si>
  <si>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</si>
  <si>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</si>
  <si>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</si>
  <si>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</si>
  <si>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</si>
  <si>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</si>
  <si>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</si>
  <si>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</si>
  <si>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</si>
  <si>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</si>
  <si>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</si>
  <si>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</si>
  <si>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</si>
  <si>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</si>
  <si>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</si>
  <si>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</si>
  <si>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</si>
  <si>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</si>
  <si>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</si>
  <si>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</si>
  <si>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</si>
  <si>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</si>
  <si>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</si>
  <si>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</si>
  <si>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</si>
  <si>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</si>
  <si>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</si>
  <si>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</si>
  <si>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</si>
  <si>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</si>
  <si>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</si>
  <si>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</si>
  <si>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</si>
  <si>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</si>
  <si>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</si>
  <si>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</si>
  <si>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</si>
  <si>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</si>
  <si>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</si>
  <si>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</si>
  <si>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</si>
  <si>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</si>
  <si>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</si>
  <si>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</si>
  <si>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</si>
  <si>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</si>
  <si>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</si>
  <si>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</si>
  <si>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</si>
  <si>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</si>
  <si>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</si>
  <si>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</si>
  <si>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</si>
  <si>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</si>
  <si>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</si>
  <si>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</si>
  <si>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</si>
  <si>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</si>
  <si>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</si>
  <si>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</si>
  <si>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</si>
  <si>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</si>
  <si>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</si>
  <si>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</si>
  <si>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</si>
  <si>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</si>
  <si>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</si>
  <si>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</si>
  <si>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</si>
  <si>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</si>
  <si>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</si>
  <si>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</si>
  <si>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</si>
  <si>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</si>
  <si>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</si>
  <si>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</si>
  <si>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</si>
  <si>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</si>
  <si>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</si>
  <si>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</si>
  <si>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</si>
  <si>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</si>
  <si>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</si>
  <si>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</si>
  <si>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</si>
  <si>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</si>
  <si>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</si>
  <si>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</si>
  <si>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</si>
  <si>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</si>
  <si>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</si>
  <si>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</si>
  <si>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</si>
  <si>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</si>
  <si>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</si>
  <si>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</si>
  <si>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</si>
  <si>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</si>
  <si>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</si>
  <si>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</si>
  <si>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</si>
  <si>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</si>
  <si>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</si>
  <si>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</si>
  <si>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</si>
  <si>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</si>
  <si>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</si>
  <si>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</si>
  <si>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</si>
  <si>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</si>
  <si>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</si>
  <si>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</si>
  <si>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</si>
  <si>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</si>
  <si>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</si>
  <si>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</si>
  <si>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</si>
  <si>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</si>
  <si>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</si>
  <si>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</si>
  <si>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</si>
  <si>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</si>
  <si>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</si>
  <si>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</si>
  <si>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</si>
  <si>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</si>
  <si>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</si>
  <si>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</si>
  <si>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</si>
  <si>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</si>
  <si>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</si>
  <si>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</si>
  <si>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</si>
  <si>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</si>
  <si>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</si>
  <si>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</si>
  <si>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</si>
  <si>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</si>
  <si>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</si>
  <si>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</si>
  <si>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</si>
  <si>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</si>
  <si>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</si>
  <si>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</si>
  <si>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</si>
  <si>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</si>
  <si>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</si>
  <si>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</si>
  <si>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</si>
  <si>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</si>
  <si>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</si>
  <si>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</si>
  <si>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</si>
  <si>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</si>
  <si>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</si>
  <si>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</si>
  <si>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</si>
  <si>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</si>
  <si>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</si>
  <si>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</si>
  <si>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</si>
  <si>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</si>
  <si>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</si>
  <si>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</si>
  <si>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</si>
  <si>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</si>
  <si>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</si>
  <si>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</si>
  <si>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</si>
  <si>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</si>
  <si>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</si>
  <si>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</si>
  <si>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</si>
  <si>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</si>
  <si>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</si>
  <si>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</si>
  <si>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</si>
  <si>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</si>
  <si>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</si>
  <si>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</si>
  <si>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</si>
  <si>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</si>
  <si>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</si>
  <si>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</si>
  <si>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</si>
  <si>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</si>
  <si>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</si>
  <si>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</si>
  <si>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</si>
  <si>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</si>
  <si>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</si>
  <si>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</si>
  <si>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</si>
  <si>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</si>
  <si>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</si>
  <si>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</si>
  <si>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</si>
  <si>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</si>
  <si>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</si>
  <si>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</si>
  <si>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</si>
  <si>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</si>
  <si>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</si>
  <si>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</si>
  <si>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</si>
  <si>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</si>
  <si>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</si>
  <si>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</si>
  <si>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</si>
  <si>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</si>
  <si>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</si>
  <si>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</si>
  <si>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</si>
  <si>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</si>
  <si>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</si>
  <si>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</si>
  <si>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</si>
  <si>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</si>
  <si>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</si>
  <si>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</si>
  <si>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</si>
  <si>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</si>
  <si>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</si>
  <si>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</si>
  <si>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</si>
  <si>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</si>
  <si>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</si>
  <si>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</si>
  <si>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</si>
  <si>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</si>
  <si>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</si>
  <si>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</si>
  <si>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</si>
  <si>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</si>
  <si>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</si>
  <si>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</si>
  <si>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</si>
  <si>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</si>
  <si>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</si>
  <si>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</si>
  <si>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</si>
  <si>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</si>
  <si>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</si>
  <si>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</si>
  <si>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</si>
  <si>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</si>
  <si>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</si>
  <si>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</si>
  <si>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</si>
  <si>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</si>
  <si>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</si>
  <si>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</si>
  <si>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</si>
  <si>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</si>
  <si>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</si>
  <si>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</si>
  <si>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</si>
  <si>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</si>
  <si>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</si>
  <si>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</si>
  <si>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</si>
  <si>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</si>
  <si>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</si>
  <si>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</si>
  <si>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</si>
  <si>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</si>
  <si>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</si>
  <si>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</si>
  <si>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</si>
  <si>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</si>
  <si>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</si>
  <si>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</si>
  <si>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</si>
  <si>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</si>
  <si>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</si>
  <si>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</si>
  <si>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</si>
  <si>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</si>
  <si>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</si>
  <si>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</si>
  <si>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</si>
  <si>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</si>
  <si>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</si>
  <si>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</si>
  <si>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</si>
  <si>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</si>
  <si>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</si>
  <si>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</si>
  <si>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</si>
  <si>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</si>
  <si>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</si>
  <si>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</si>
  <si>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</si>
  <si>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</si>
  <si>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</si>
  <si>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</si>
  <si>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</si>
  <si>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</si>
  <si>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</si>
  <si>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</si>
  <si>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</si>
  <si>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</si>
  <si>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</si>
  <si>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</si>
  <si>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</si>
  <si>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</si>
  <si>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</si>
  <si>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</si>
  <si>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</si>
  <si>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</si>
  <si>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</si>
  <si>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</si>
  <si>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</si>
  <si>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</si>
  <si>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</si>
  <si>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</si>
  <si>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</si>
  <si>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</si>
  <si>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</si>
  <si>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</si>
  <si>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</si>
  <si>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</si>
  <si>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</si>
  <si>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</si>
  <si>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</si>
  <si>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</si>
  <si>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</si>
  <si>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</si>
  <si>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</si>
  <si>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</si>
  <si>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</si>
  <si>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</si>
  <si>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</si>
  <si>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</si>
  <si>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</si>
  <si>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</si>
  <si>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</si>
  <si>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</si>
  <si>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</si>
  <si>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</si>
  <si>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</si>
  <si>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</si>
  <si>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</si>
  <si>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</si>
  <si>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</si>
  <si>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</si>
  <si>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</si>
  <si>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</si>
  <si>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</si>
  <si>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</si>
  <si>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</si>
  <si>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</si>
  <si>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</si>
  <si>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</si>
  <si>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</si>
  <si>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</si>
  <si>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</si>
  <si>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</si>
  <si>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</si>
  <si>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</si>
  <si>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</si>
  <si>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</si>
  <si>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</si>
  <si>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</si>
  <si>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</si>
  <si>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</si>
  <si>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</si>
  <si>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</si>
  <si>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</si>
  <si>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</si>
  <si>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</si>
  <si>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</si>
  <si>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</si>
  <si>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</si>
  <si>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</si>
  <si>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</si>
  <si>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</si>
  <si>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</si>
  <si>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</si>
  <si>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</si>
  <si>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</si>
  <si>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</si>
  <si>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</si>
  <si>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</si>
  <si>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</si>
  <si>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</si>
  <si>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</si>
  <si>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</si>
  <si>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</si>
  <si>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</si>
  <si>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</si>
  <si>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</si>
  <si>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</si>
  <si>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</si>
  <si>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</si>
  <si>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</si>
  <si>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</si>
  <si>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</si>
  <si>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</si>
  <si>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</si>
  <si>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</si>
  <si>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</si>
  <si>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</si>
  <si>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</si>
  <si>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</si>
  <si>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</si>
  <si>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</si>
  <si>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</si>
  <si>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</si>
  <si>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</si>
  <si>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</si>
  <si>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</si>
  <si>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</si>
  <si>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</si>
  <si>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</si>
  <si>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</si>
  <si>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</si>
  <si>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</si>
  <si>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</si>
  <si>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</si>
  <si>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</si>
  <si>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</si>
  <si>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</si>
  <si>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</si>
  <si>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</si>
  <si>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</si>
  <si>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</si>
  <si>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</si>
  <si>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</si>
  <si>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</si>
  <si>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</si>
  <si>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</si>
  <si>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</si>
  <si>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</si>
  <si>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</si>
  <si>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</si>
  <si>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</si>
  <si>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</si>
  <si>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</si>
  <si>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</si>
  <si>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</si>
  <si>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</si>
  <si>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</si>
  <si>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</si>
  <si>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</si>
  <si>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</si>
  <si>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</si>
  <si>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</si>
  <si>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</si>
  <si>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</si>
  <si>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</si>
  <si>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</si>
  <si>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</si>
  <si>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</si>
  <si>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</si>
  <si>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</si>
  <si>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</si>
  <si>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</si>
  <si>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</si>
  <si>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</si>
  <si>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</si>
  <si>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</si>
  <si>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</si>
  <si>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</si>
  <si>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</si>
  <si>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</si>
  <si>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</si>
  <si>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</si>
  <si>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</si>
  <si>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</si>
  <si>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</si>
  <si>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</si>
  <si>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</si>
  <si>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</si>
  <si>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</si>
  <si>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</si>
  <si>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</si>
  <si>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</si>
  <si>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</si>
  <si>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</si>
  <si>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</si>
  <si>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</si>
  <si>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</si>
  <si>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</si>
  <si>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</si>
  <si>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</si>
  <si>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</si>
  <si>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</si>
  <si>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</si>
  <si>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</si>
  <si>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</si>
  <si>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</si>
  <si>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</si>
  <si>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</si>
  <si>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</si>
  <si>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</si>
  <si>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</si>
  <si>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</si>
  <si>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</si>
  <si>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</si>
  <si>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</si>
  <si>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</si>
  <si>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</si>
  <si>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</si>
  <si>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</si>
  <si>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</si>
  <si>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</si>
  <si>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</si>
  <si>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</si>
  <si>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</si>
  <si>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</si>
  <si>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</si>
  <si>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</si>
  <si>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</si>
  <si>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</si>
  <si>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</si>
  <si>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</si>
  <si>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</si>
  <si>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</si>
  <si>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</si>
  <si>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</si>
  <si>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</si>
  <si>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</si>
  <si>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</si>
  <si>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</si>
  <si>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</si>
  <si>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</si>
  <si>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</si>
  <si>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</si>
  <si>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</si>
  <si>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</si>
  <si>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</si>
  <si>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</si>
  <si>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</si>
  <si>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</si>
  <si>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</si>
  <si>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</si>
  <si>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</si>
  <si>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</si>
  <si>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</si>
  <si>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</si>
  <si>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</si>
  <si>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</si>
  <si>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</si>
  <si>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</si>
  <si>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</si>
  <si>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</si>
  <si>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</si>
  <si>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</si>
  <si>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</si>
  <si>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</si>
  <si>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</si>
  <si>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</si>
  <si>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</si>
  <si>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</si>
  <si>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</si>
  <si>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</si>
  <si>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</si>
  <si>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</si>
  <si>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</si>
  <si>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</si>
  <si>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</si>
  <si>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</si>
  <si>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</si>
  <si>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</si>
  <si>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</si>
  <si>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</si>
  <si>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</si>
  <si>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</si>
  <si>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</si>
  <si>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</si>
  <si>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</si>
  <si>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</si>
  <si>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</si>
  <si>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</si>
  <si>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</si>
  <si>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</si>
  <si>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</si>
  <si>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</si>
  <si>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</si>
  <si>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</si>
  <si>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</si>
  <si>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</si>
  <si>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</si>
  <si>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</si>
  <si>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</si>
  <si>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</si>
  <si>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</si>
  <si>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</si>
  <si>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</si>
  <si>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</si>
  <si>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</si>
  <si>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</si>
  <si>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</si>
  <si>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</si>
  <si>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</si>
  <si>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</si>
  <si>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</si>
  <si>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</si>
  <si>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</si>
  <si>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</si>
  <si>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</si>
  <si>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</si>
  <si>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</si>
  <si>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</si>
  <si>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</si>
  <si>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</si>
  <si>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</si>
  <si>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</si>
  <si>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</si>
  <si>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</si>
  <si>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</si>
  <si>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</si>
  <si>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</si>
  <si>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</si>
  <si>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</si>
  <si>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</si>
  <si>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</si>
  <si>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</si>
  <si>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</si>
  <si>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</si>
  <si>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</si>
  <si>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</si>
  <si>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</si>
  <si>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</si>
  <si>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</si>
  <si>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</si>
  <si>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</si>
  <si>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</si>
  <si>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</si>
  <si>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</si>
  <si>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</si>
  <si>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</si>
  <si>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</si>
  <si>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</si>
  <si>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</si>
  <si>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</si>
  <si>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</si>
  <si>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</si>
  <si>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</si>
  <si>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</si>
  <si>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</si>
  <si>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</si>
  <si>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</si>
  <si>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</si>
  <si>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</si>
  <si>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</si>
  <si>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</si>
  <si>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</si>
  <si>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</si>
  <si>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</si>
  <si>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</si>
  <si>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</si>
  <si>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</si>
  <si>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</si>
  <si>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</si>
  <si>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</si>
  <si>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</si>
  <si>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</si>
  <si>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</si>
  <si>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</si>
  <si>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</si>
  <si>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</si>
  <si>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</si>
  <si>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</si>
  <si>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</si>
  <si>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</si>
  <si>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</si>
  <si>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</si>
  <si>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</si>
  <si>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</si>
  <si>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</si>
  <si>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</si>
  <si>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</si>
  <si>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</si>
  <si>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</si>
  <si>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</si>
  <si>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</si>
  <si>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</si>
  <si>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</si>
  <si>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</si>
  <si>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</si>
  <si>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</si>
  <si>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</si>
  <si>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</si>
  <si>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</si>
  <si>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</si>
  <si>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</si>
  <si>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</si>
  <si>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</si>
  <si>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</si>
  <si>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</si>
  <si>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</si>
  <si>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</si>
  <si>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</si>
  <si>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</si>
  <si>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</si>
  <si>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</si>
  <si>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</si>
  <si>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</si>
  <si>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</si>
  <si>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</si>
  <si>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</si>
  <si>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</si>
  <si>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</si>
  <si>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</si>
  <si>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</si>
  <si>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</si>
  <si>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</si>
  <si>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</si>
  <si>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</si>
  <si>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</si>
  <si>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</si>
  <si>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</si>
  <si>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</si>
  <si>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</si>
  <si>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</si>
  <si>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</si>
  <si>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</si>
  <si>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</si>
  <si>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</si>
  <si>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</si>
  <si>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</si>
  <si>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</si>
  <si>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</si>
  <si>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</si>
  <si>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</si>
  <si>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</si>
  <si>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</si>
  <si>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</si>
  <si>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</si>
  <si>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</si>
  <si>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</si>
  <si>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</si>
  <si>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</si>
  <si>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</si>
  <si>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</si>
  <si>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</si>
  <si>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</si>
  <si>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</si>
  <si>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</si>
  <si>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</si>
  <si>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</si>
  <si>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</si>
  <si>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</si>
  <si>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</si>
  <si>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</si>
  <si>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</si>
  <si>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</si>
  <si>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</si>
  <si>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</si>
  <si>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</si>
  <si>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</si>
  <si>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</si>
  <si>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</si>
  <si>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</si>
  <si>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</si>
  <si>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</si>
  <si>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</si>
  <si>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</si>
  <si>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</si>
  <si>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</si>
  <si>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</si>
  <si>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</si>
  <si>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</si>
  <si>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</si>
  <si>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</si>
  <si>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</si>
  <si>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</si>
  <si>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</si>
  <si>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</si>
  <si>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</si>
  <si>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</si>
  <si>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</si>
  <si>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</si>
  <si>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</si>
  <si>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</si>
  <si>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</si>
  <si>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</si>
  <si>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</si>
  <si>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</si>
  <si>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</si>
  <si>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</si>
  <si>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</si>
  <si>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</si>
  <si>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</si>
  <si>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</si>
  <si>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</si>
  <si>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</si>
  <si>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</si>
  <si>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</si>
  <si>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</si>
  <si>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</si>
  <si>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</si>
  <si>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</si>
  <si>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</si>
  <si>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</si>
  <si>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</si>
  <si>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</si>
  <si>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</si>
  <si>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</si>
  <si>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</si>
  <si>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</si>
  <si>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</si>
  <si>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</si>
  <si>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</si>
  <si>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</si>
  <si>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</si>
  <si>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</si>
  <si>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</si>
  <si>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</si>
  <si>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</si>
  <si>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</si>
  <si>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</si>
  <si>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</si>
  <si>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</si>
  <si>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</si>
  <si>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</si>
  <si>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</si>
  <si>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</si>
  <si>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</si>
  <si>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</si>
  <si>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</si>
  <si>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</si>
  <si>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</si>
  <si>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</si>
  <si>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</si>
  <si>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</si>
  <si>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</si>
  <si>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</si>
  <si>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</si>
  <si>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</si>
  <si>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</si>
  <si>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</si>
  <si>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</si>
  <si>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</si>
  <si>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</si>
  <si>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</si>
  <si>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</si>
  <si>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</si>
  <si>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</si>
  <si>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</si>
  <si>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</si>
  <si>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</si>
  <si>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</si>
  <si>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</si>
  <si>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</si>
  <si>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</si>
  <si>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</si>
  <si>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</si>
  <si>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</si>
  <si>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</si>
  <si>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</si>
  <si>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</si>
  <si>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</si>
  <si>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</si>
  <si>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</si>
  <si>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</si>
  <si>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</si>
  <si>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</si>
  <si>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</si>
  <si>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</si>
  <si>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</si>
  <si>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</si>
  <si>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</si>
  <si>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</si>
  <si>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</si>
  <si>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</si>
  <si>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</si>
  <si>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</si>
  <si>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</si>
  <si>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</si>
  <si>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</si>
  <si>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</si>
  <si>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</si>
  <si>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</si>
  <si>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</si>
  <si>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</si>
  <si>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</si>
  <si>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</si>
  <si>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</si>
  <si>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</si>
  <si>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</si>
  <si>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</si>
  <si>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</si>
  <si>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</si>
  <si>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</si>
  <si>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</si>
  <si>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</si>
  <si>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</si>
  <si>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</si>
  <si>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</si>
  <si>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</si>
  <si>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</si>
  <si>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</si>
  <si>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</si>
  <si>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</si>
  <si>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</si>
  <si>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</si>
  <si>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</si>
  <si>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</si>
  <si>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</si>
  <si>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</si>
  <si>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</si>
  <si>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</si>
  <si>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</si>
  <si>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</si>
  <si>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</si>
  <si>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</si>
  <si>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</si>
  <si>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</si>
  <si>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</si>
  <si>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</si>
  <si>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</si>
  <si>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</si>
  <si>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</si>
  <si>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</si>
  <si>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</si>
  <si>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</si>
  <si>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</si>
  <si>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</si>
  <si>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</si>
  <si>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</si>
  <si>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</si>
  <si>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</si>
  <si>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</si>
  <si>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</si>
  <si>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</si>
  <si>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</si>
  <si>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</si>
  <si>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</si>
  <si>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</si>
  <si>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</si>
  <si>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</si>
  <si>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</si>
  <si>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</si>
  <si>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</si>
  <si>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</si>
  <si>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</si>
  <si>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</si>
  <si>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</si>
  <si>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</si>
  <si>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</si>
  <si>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</si>
  <si>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</si>
  <si>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</si>
  <si>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</si>
  <si>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</si>
  <si>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</si>
  <si>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</si>
  <si>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</si>
  <si>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</si>
  <si>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</si>
  <si>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</si>
  <si>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</si>
  <si>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</si>
  <si>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</si>
  <si>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</si>
  <si>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</si>
  <si>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</si>
  <si>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</si>
  <si>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</si>
  <si>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</si>
  <si>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</si>
  <si>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</si>
  <si>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</si>
  <si>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</si>
  <si>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</si>
  <si>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</si>
  <si>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</si>
  <si>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</si>
  <si>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</si>
  <si>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</si>
  <si>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</si>
  <si>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</si>
  <si>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</si>
  <si>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</si>
  <si>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</si>
  <si>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</si>
  <si>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</si>
  <si>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</si>
  <si>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</si>
  <si>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</si>
  <si>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</si>
  <si>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</si>
  <si>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</si>
  <si>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</si>
  <si>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</si>
  <si>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</si>
  <si>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</si>
  <si>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</si>
  <si>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</si>
  <si>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</si>
  <si>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</si>
  <si>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</si>
  <si>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</si>
  <si>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</si>
  <si>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</si>
  <si>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</si>
  <si>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</si>
  <si>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</si>
  <si>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</si>
  <si>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</si>
  <si>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</si>
  <si>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</si>
  <si>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</si>
  <si>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</si>
  <si>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</si>
  <si>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</si>
  <si>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</si>
  <si>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</si>
  <si>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</si>
  <si>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</si>
  <si>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</si>
  <si>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</si>
  <si>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</si>
  <si>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</si>
  <si>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</si>
  <si>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</si>
  <si>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</si>
  <si>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</si>
  <si>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</si>
  <si>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</si>
  <si>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</si>
  <si>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</si>
  <si>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</si>
  <si>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</si>
  <si>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</si>
  <si>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</si>
  <si>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</si>
  <si>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</si>
  <si>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</si>
  <si>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</si>
  <si>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</si>
  <si>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</si>
  <si>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</si>
  <si>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</si>
  <si>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</si>
  <si>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</si>
  <si>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</si>
  <si>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</si>
  <si>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</si>
  <si>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</si>
  <si>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</si>
  <si>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</si>
  <si>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</si>
  <si>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</si>
  <si>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</si>
  <si>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</si>
  <si>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</si>
  <si>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</si>
  <si>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</si>
  <si>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</si>
  <si>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</si>
  <si>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</si>
  <si>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</si>
  <si>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</si>
  <si>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</si>
  <si>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</si>
  <si>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</si>
  <si>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</si>
  <si>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</si>
  <si>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</si>
  <si>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</si>
  <si>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</si>
  <si>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</si>
  <si>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</si>
  <si>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</si>
  <si>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</si>
  <si>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</si>
  <si>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</si>
  <si>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</si>
  <si>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</si>
  <si>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</si>
  <si>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</si>
  <si>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</si>
  <si>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</si>
  <si>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</si>
  <si>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</si>
  <si>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</si>
  <si>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</si>
  <si>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</si>
  <si>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</si>
  <si>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</si>
  <si>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</si>
  <si>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</si>
  <si>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</si>
  <si>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</si>
  <si>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</si>
  <si>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</si>
  <si>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</si>
  <si>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</si>
  <si>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</si>
  <si>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</si>
  <si>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</si>
  <si>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</si>
  <si>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</si>
  <si>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</si>
  <si>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</si>
  <si>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</si>
  <si>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</si>
  <si>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</si>
  <si>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</si>
  <si>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</si>
  <si>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</si>
  <si>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</si>
  <si>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</si>
  <si>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</si>
  <si>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</si>
  <si>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</si>
  <si>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</si>
  <si>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</si>
  <si>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</si>
  <si>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</si>
  <si>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</si>
  <si>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</si>
  <si>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</si>
  <si>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</si>
  <si>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</si>
  <si>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</si>
  <si>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</si>
  <si>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</si>
  <si>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</si>
  <si>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</si>
  <si>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</si>
  <si>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</si>
  <si>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</si>
  <si>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</si>
  <si>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</si>
  <si>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</si>
  <si>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</si>
  <si>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</si>
  <si>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</si>
  <si>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</si>
  <si>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</si>
  <si>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</si>
  <si>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</si>
  <si>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</si>
  <si>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</si>
  <si>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</si>
  <si>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</si>
  <si>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</si>
  <si>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</si>
  <si>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</si>
  <si>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</si>
  <si>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</si>
  <si>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</si>
  <si>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</si>
  <si>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</si>
  <si>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</si>
  <si>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</si>
  <si>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</si>
  <si>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</si>
  <si>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</si>
  <si>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</si>
  <si>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</si>
  <si>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</si>
  <si>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</si>
  <si>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</si>
  <si>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</si>
  <si>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</si>
  <si>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</si>
  <si>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</si>
  <si>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</si>
  <si>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</si>
  <si>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</si>
  <si>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</si>
  <si>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</si>
  <si>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</si>
  <si>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</si>
  <si>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</si>
  <si>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</si>
  <si>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</si>
  <si>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</si>
  <si>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</si>
  <si>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</si>
  <si>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</si>
  <si>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</si>
  <si>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</si>
  <si>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</si>
  <si>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</si>
  <si>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</si>
  <si>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</si>
  <si>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</si>
  <si>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</si>
  <si>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</si>
  <si>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</si>
  <si>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</si>
  <si>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</si>
  <si>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</si>
  <si>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</si>
  <si>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</si>
  <si>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</si>
  <si>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</si>
  <si>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</si>
  <si>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</si>
  <si>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</si>
  <si>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</si>
  <si>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</si>
  <si>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</si>
  <si>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</si>
  <si>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</si>
  <si>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</si>
  <si>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</si>
  <si>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</si>
  <si>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</si>
  <si>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</si>
  <si>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</si>
  <si>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</si>
  <si>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</si>
  <si>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</si>
  <si>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</si>
  <si>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</si>
  <si>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</si>
  <si>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</si>
  <si>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</si>
  <si>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</si>
  <si>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</si>
  <si>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</si>
  <si>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</si>
  <si>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</si>
  <si>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</si>
  <si>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</si>
  <si>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</si>
  <si>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</si>
  <si>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</si>
  <si>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</si>
  <si>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</si>
  <si>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</si>
  <si>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</si>
  <si>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</si>
  <si>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</si>
  <si>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</si>
  <si>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</si>
  <si>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</si>
  <si>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</si>
  <si>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</si>
  <si>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</si>
  <si>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</si>
  <si>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</si>
  <si>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</si>
  <si>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</si>
  <si>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</si>
  <si>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</si>
  <si>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</si>
  <si>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</si>
  <si>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</si>
  <si>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</si>
  <si>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</si>
  <si>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</si>
  <si>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</si>
  <si>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</si>
  <si>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</si>
  <si>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</si>
  <si>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</si>
  <si>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</si>
  <si>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</si>
  <si>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</si>
  <si>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</si>
  <si>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</si>
  <si>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</si>
  <si>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</si>
  <si>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</si>
  <si>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</si>
  <si>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</si>
  <si>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</si>
  <si>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</si>
  <si>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</si>
  <si>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</si>
  <si>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</si>
  <si>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</si>
  <si>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</si>
  <si>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</si>
  <si>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</si>
  <si>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</si>
  <si>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</si>
  <si>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</si>
  <si>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</si>
  <si>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</si>
  <si>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</si>
  <si>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</si>
  <si>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</si>
  <si>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</si>
  <si>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</si>
  <si>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</si>
  <si>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</si>
  <si>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</si>
  <si>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</si>
  <si>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</si>
  <si>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</si>
  <si>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</si>
  <si>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</si>
  <si>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</si>
  <si>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</si>
  <si>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</si>
  <si>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</si>
  <si>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</si>
  <si>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</si>
  <si>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</si>
  <si>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</si>
  <si>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</si>
  <si>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</si>
  <si>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</si>
  <si>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</si>
  <si>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</si>
  <si>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</si>
  <si>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</si>
  <si>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</si>
  <si>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</si>
  <si>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</si>
  <si>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</si>
  <si>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</si>
  <si>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</si>
  <si>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</si>
  <si>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</si>
  <si>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</si>
  <si>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</si>
  <si>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</si>
  <si>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</si>
  <si>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</si>
  <si>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</si>
  <si>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</si>
  <si>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</si>
  <si>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</si>
  <si>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</si>
  <si>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</si>
  <si>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</si>
  <si>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</si>
  <si>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</si>
  <si>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</si>
  <si>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</si>
  <si>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</si>
  <si>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</si>
  <si>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</si>
  <si>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</si>
  <si>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</si>
  <si>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</si>
  <si>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</si>
  <si>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</si>
  <si>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</si>
  <si>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</si>
  <si>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</si>
  <si>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</si>
  <si>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</si>
  <si>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</si>
  <si>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</si>
  <si>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</si>
  <si>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</si>
  <si>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</si>
  <si>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</si>
  <si>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</si>
  <si>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</si>
  <si>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</si>
  <si>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</si>
  <si>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</si>
  <si>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</si>
  <si>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</si>
  <si>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</si>
  <si>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</si>
  <si>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</si>
  <si>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</si>
  <si>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</si>
  <si>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</si>
  <si>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</si>
  <si>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</si>
  <si>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</si>
  <si>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</si>
  <si>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</si>
  <si>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</si>
  <si>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</si>
  <si>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</si>
  <si>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</si>
  <si>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</si>
  <si>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</si>
  <si>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</si>
  <si>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</si>
  <si>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</si>
  <si>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</si>
  <si>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</si>
  <si>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</si>
  <si>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</si>
  <si>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</si>
  <si>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</si>
  <si>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</si>
  <si>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</si>
  <si>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</si>
  <si>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</si>
  <si>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</si>
  <si>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</si>
  <si>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</si>
  <si>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</si>
  <si>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</si>
  <si>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</si>
  <si>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</si>
  <si>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</si>
  <si>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</si>
  <si>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</si>
  <si>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</si>
  <si>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</si>
  <si>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</si>
  <si>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</si>
  <si>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</si>
  <si>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</si>
  <si>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</si>
  <si>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</si>
  <si>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</si>
  <si>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</si>
  <si>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</si>
  <si>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</si>
  <si>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</si>
  <si>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</si>
  <si>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</si>
  <si>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</si>
  <si>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</si>
  <si>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</si>
  <si>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</si>
  <si>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</si>
  <si>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</si>
  <si>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</si>
  <si>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</si>
  <si>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</si>
  <si>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</si>
  <si>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</si>
  <si>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</si>
  <si>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</si>
  <si>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</si>
  <si>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</si>
  <si>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</si>
  <si>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</si>
  <si>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</si>
  <si>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</si>
  <si>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</si>
  <si>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</si>
  <si>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</si>
  <si>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</si>
  <si>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</si>
  <si>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</si>
  <si>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</si>
  <si>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</si>
  <si>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</si>
  <si>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</si>
  <si>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</si>
  <si>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</si>
  <si>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</si>
  <si>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</si>
  <si>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</si>
  <si>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</si>
  <si>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</si>
  <si>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</si>
  <si>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</si>
  <si>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</si>
  <si>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</si>
  <si>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</si>
  <si>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</si>
  <si>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</si>
  <si>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</si>
  <si>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</si>
  <si>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</si>
  <si>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</si>
  <si>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</si>
  <si>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</si>
  <si>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</si>
  <si>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</si>
  <si>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</si>
  <si>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</si>
  <si>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</si>
  <si>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</si>
  <si>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</si>
  <si>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</si>
  <si>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</si>
  <si>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</si>
  <si>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</si>
  <si>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</si>
  <si>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</si>
  <si>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</si>
  <si>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</si>
  <si>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</si>
  <si>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</si>
  <si>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</si>
  <si>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</si>
  <si>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</si>
  <si>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</si>
  <si>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</si>
  <si>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</si>
  <si>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</si>
  <si>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</si>
  <si>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</si>
  <si>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</si>
  <si>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</si>
  <si>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</si>
  <si>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</si>
  <si>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</si>
  <si>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</si>
  <si>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</si>
  <si>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</si>
  <si>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</si>
  <si>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</si>
  <si>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</si>
  <si>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</si>
  <si>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</si>
  <si>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</si>
  <si>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</si>
  <si>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</si>
  <si>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</si>
  <si>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</si>
  <si>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</si>
  <si>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</si>
  <si>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</si>
  <si>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</si>
  <si>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</si>
  <si>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</si>
  <si>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</si>
  <si>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</si>
  <si>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</si>
  <si>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</si>
  <si>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</si>
  <si>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</si>
  <si>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</si>
  <si>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</si>
  <si>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</si>
  <si>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</si>
  <si>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</si>
  <si>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</si>
  <si>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</si>
  <si>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</si>
  <si>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</si>
  <si>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</si>
  <si>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</si>
  <si>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</si>
  <si>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</si>
  <si>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</si>
  <si>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</si>
  <si>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</si>
  <si>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</si>
  <si>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</si>
  <si>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</si>
  <si>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</si>
  <si>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</si>
  <si>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</si>
  <si>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</si>
  <si>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</si>
  <si>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</si>
  <si>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</si>
  <si>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</si>
  <si>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</si>
  <si>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</si>
  <si>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</si>
  <si>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</si>
  <si>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</si>
  <si>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</si>
  <si>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</si>
  <si>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</si>
  <si>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</si>
  <si>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</si>
  <si>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</si>
  <si>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</si>
  <si>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</si>
  <si>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</si>
  <si>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</si>
  <si>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</si>
  <si>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</si>
  <si>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</si>
  <si>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</si>
  <si>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</si>
  <si>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</si>
  <si>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</si>
  <si>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</si>
  <si>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</si>
  <si>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</si>
  <si>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</si>
  <si>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</si>
  <si>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</si>
  <si>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</si>
  <si>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</si>
  <si>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</si>
  <si>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</si>
  <si>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</si>
  <si>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</si>
  <si>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</si>
  <si>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</si>
  <si>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</si>
  <si>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</si>
  <si>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</si>
  <si>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</si>
  <si>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</si>
  <si>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</si>
  <si>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</si>
  <si>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</si>
  <si>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</si>
  <si>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</si>
  <si>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</si>
  <si>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</si>
  <si>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</si>
  <si>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</si>
  <si>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</si>
  <si>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</si>
  <si>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</si>
  <si>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</si>
  <si>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</si>
  <si>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</si>
  <si>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</si>
  <si>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</si>
  <si>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</si>
  <si>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</si>
  <si>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</si>
  <si>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</si>
  <si>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</si>
  <si>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</si>
  <si>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</si>
  <si>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</si>
  <si>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</si>
  <si>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</si>
  <si>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</si>
  <si>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</si>
  <si>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</si>
  <si>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</si>
  <si>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</si>
  <si>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</si>
  <si>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</si>
  <si>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</si>
  <si>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</si>
  <si>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</si>
  <si>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</si>
  <si>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</si>
  <si>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</si>
  <si>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</si>
  <si>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</si>
  <si>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</si>
  <si>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</si>
  <si>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</si>
  <si>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</si>
  <si>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</si>
  <si>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</si>
  <si>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</si>
  <si>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</si>
  <si>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</si>
  <si>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</si>
  <si>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</si>
  <si>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</si>
  <si>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</si>
  <si>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</si>
  <si>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</si>
  <si>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</si>
  <si>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</si>
  <si>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</si>
  <si>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</si>
  <si>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</si>
  <si>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</si>
  <si>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</si>
  <si>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</si>
  <si>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</si>
  <si>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</si>
  <si>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</si>
  <si>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</si>
  <si>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</si>
  <si>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</si>
  <si>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</si>
  <si>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</si>
  <si>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</si>
  <si>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</si>
  <si>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</si>
  <si>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</si>
  <si>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</si>
  <si>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</si>
  <si>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</si>
  <si>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</si>
  <si>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</si>
  <si>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</si>
  <si>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</si>
  <si>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</si>
  <si>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</si>
  <si>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</si>
  <si>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</si>
  <si>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</si>
  <si>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</si>
  <si>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</si>
  <si>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</si>
  <si>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</si>
  <si>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</si>
  <si>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</si>
  <si>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</si>
  <si>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</si>
  <si>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</si>
  <si>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</si>
  <si>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</si>
  <si>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</si>
  <si>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</si>
  <si>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</si>
  <si>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</si>
  <si>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</si>
  <si>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</si>
  <si>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</si>
  <si>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</si>
  <si>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</si>
  <si>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</si>
  <si>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</si>
  <si>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</si>
  <si>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</si>
  <si>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</si>
  <si>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</si>
  <si>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</si>
  <si>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</si>
  <si>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</si>
  <si>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</si>
  <si>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</si>
  <si>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</si>
  <si>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</si>
  <si>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</si>
  <si>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</si>
  <si>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</si>
  <si>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</si>
  <si>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</si>
  <si>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</si>
  <si>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</si>
  <si>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</si>
  <si>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</si>
  <si>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</si>
  <si>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</si>
  <si>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</si>
  <si>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</si>
  <si>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</si>
  <si>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</si>
  <si>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</si>
  <si>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</si>
  <si>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</si>
  <si>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</si>
  <si>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</si>
  <si>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</si>
  <si>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</si>
  <si>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</si>
  <si>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</si>
  <si>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</si>
  <si>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</si>
  <si>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</si>
  <si>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</si>
  <si>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</si>
  <si>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</si>
  <si>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</si>
  <si>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</si>
  <si>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</si>
  <si>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</si>
  <si>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</si>
  <si>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</si>
  <si>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</si>
  <si>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</si>
  <si>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</si>
  <si>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</si>
  <si>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</si>
  <si>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</si>
  <si>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</si>
  <si>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</si>
  <si>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</si>
  <si>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</si>
  <si>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</si>
  <si>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</si>
  <si>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</si>
  <si>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</si>
  <si>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</si>
  <si>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</si>
  <si>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</si>
  <si>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</si>
  <si>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</si>
  <si>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</si>
  <si>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</si>
  <si>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</si>
  <si>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</si>
  <si>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</si>
  <si>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</si>
  <si>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</si>
  <si>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</si>
  <si>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</si>
  <si>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</si>
  <si>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</si>
  <si>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</si>
  <si>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</si>
  <si>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</si>
  <si>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</si>
  <si>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</si>
  <si>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</si>
  <si>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</si>
  <si>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</si>
  <si>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</si>
  <si>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</si>
  <si>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</si>
  <si>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</si>
  <si>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</si>
  <si>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</si>
  <si>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</si>
  <si>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</si>
  <si>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</si>
  <si>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</si>
  <si>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</si>
  <si>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</si>
  <si>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</si>
  <si>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</si>
  <si>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</si>
  <si>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</si>
  <si>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</si>
  <si>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</si>
  <si>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</si>
  <si>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</si>
  <si>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</si>
  <si>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</si>
  <si>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</si>
  <si>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</si>
  <si>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</si>
  <si>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</si>
  <si>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</si>
  <si>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</si>
  <si>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</si>
  <si>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</si>
  <si>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</si>
  <si>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</si>
  <si>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</si>
  <si>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</si>
  <si>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</si>
  <si>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</si>
  <si>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</si>
  <si>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</si>
  <si>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</si>
  <si>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</si>
  <si>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</si>
  <si>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</si>
  <si>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</si>
  <si>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</si>
  <si>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</si>
  <si>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</si>
  <si>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</si>
  <si>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</si>
  <si>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</si>
  <si>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</si>
  <si>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</si>
  <si>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</si>
  <si>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</si>
  <si>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</si>
  <si>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</si>
  <si>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</si>
  <si>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</si>
  <si>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</si>
  <si>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</si>
  <si>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</si>
  <si>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</si>
  <si>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</si>
  <si>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</si>
  <si>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</si>
  <si>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</si>
  <si>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</si>
  <si>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</si>
  <si>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</si>
  <si>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</si>
  <si>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</si>
  <si>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</si>
  <si>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</si>
  <si>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</si>
  <si>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</si>
  <si>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</si>
  <si>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</si>
  <si>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</si>
  <si>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</si>
  <si>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</si>
  <si>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</si>
  <si>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</si>
  <si>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</si>
  <si>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</si>
  <si>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</si>
  <si>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</si>
  <si>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</si>
  <si>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</si>
  <si>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</si>
  <si>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</si>
  <si>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</si>
  <si>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</si>
  <si>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</si>
  <si>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</si>
  <si>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</si>
  <si>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</si>
  <si>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</si>
  <si>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</si>
  <si>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</si>
  <si>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</si>
  <si>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</si>
  <si>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</si>
  <si>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</si>
  <si>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</si>
  <si>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</si>
  <si>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</si>
  <si>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</si>
  <si>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</si>
  <si>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</si>
  <si>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</si>
  <si>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</si>
  <si>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</si>
  <si>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</si>
  <si>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</si>
  <si>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</si>
  <si>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</si>
  <si>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</si>
  <si>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</si>
  <si>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</si>
  <si>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</si>
  <si>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</si>
  <si>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</si>
  <si>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</si>
  <si>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</si>
  <si>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</si>
  <si>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</si>
  <si>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</si>
  <si>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</si>
  <si>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</si>
  <si>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</si>
  <si>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</si>
  <si>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</si>
  <si>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</si>
  <si>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</si>
  <si>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</si>
  <si>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</si>
  <si>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</si>
  <si>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</si>
  <si>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</si>
  <si>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</si>
  <si>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</si>
  <si>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</si>
  <si>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</si>
  <si>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</si>
  <si>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</si>
  <si>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</si>
  <si>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</si>
  <si>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</si>
  <si>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</si>
  <si>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</si>
  <si>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</si>
  <si>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</si>
  <si>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</si>
  <si>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</si>
  <si>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</si>
  <si>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</si>
  <si>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</si>
  <si>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</si>
  <si>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</si>
  <si>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</si>
  <si>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</si>
  <si>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</si>
  <si>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</si>
  <si>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</si>
  <si>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</si>
  <si>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</si>
  <si>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</si>
  <si>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</si>
  <si>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</si>
  <si>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</si>
  <si>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</si>
  <si>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</si>
  <si>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</si>
  <si>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</si>
  <si>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</si>
  <si>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</si>
  <si>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</si>
  <si>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</si>
  <si>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</si>
  <si>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</si>
  <si>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</si>
  <si>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</si>
  <si>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</si>
  <si>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</si>
  <si>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</si>
  <si>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</si>
  <si>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</si>
  <si>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</si>
  <si>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</si>
  <si>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</si>
  <si>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</si>
  <si>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</si>
  <si>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</si>
  <si>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</si>
  <si>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</si>
  <si>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</si>
  <si>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</si>
  <si>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Nedbal Michal</t>
  </si>
  <si>
    <t>Počet zpožděných našich rozvozů +5 min</t>
  </si>
  <si>
    <t>Počet rozvozů</t>
  </si>
  <si>
    <t xml:space="preserve">Vlastní vůz </t>
  </si>
  <si>
    <t>počet výdajových dokadů</t>
  </si>
  <si>
    <t>Lowe Jana</t>
  </si>
  <si>
    <t>13:30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</si>
  <si>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</si>
  <si>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</si>
  <si>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</si>
  <si>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</si>
  <si>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</si>
  <si>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29:00</t>
  </si>
  <si>
    <t>Zimmer Jakub</t>
  </si>
  <si>
    <t>Vaníková Anna</t>
  </si>
  <si>
    <t>Pánková Vendula</t>
  </si>
  <si>
    <t>2:30</t>
  </si>
  <si>
    <t>10:30</t>
  </si>
  <si>
    <t>5:00</t>
  </si>
  <si>
    <t>7:00</t>
  </si>
  <si>
    <t>10 min 30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</si>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</sst>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49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46177.0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Čtvrtek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2217.735</v>
      </c>
      <c r="B12" s="53" t="s">
        <v>52</v>
      </c>
      <c r="C12" s="54" t="s">
        <v>2552</v>
      </c>
      <c r="D12" s="54" t="s">
        <v>45</v>
      </c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07:30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 t="s">
        <v>2571</v>
      </c>
      <c r="C17" s="54" t="s">
        <v>63</v>
      </c>
      <c r="D17" s="54" t="s">
        <v>56</v>
      </c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13:30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 t="s">
        <v>40</v>
      </c>
      <c r="C18" s="54" t="s">
        <v>45</v>
      </c>
      <c r="D18" s="54" t="s">
        <v>56</v>
      </c>
      <c r="E18" s="55"/>
      <c r="F18" s="56" t="str">
        <f t="shared" si="2"/>
        <v>07:30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2572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2573</v>
      </c>
      <c r="H24" s="81" t="s">
        <v>2574</v>
      </c>
      <c r="I24" s="82" t="s">
        <v>13</v>
      </c>
      <c r="J24" s="83" t="s">
        <v>2575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375</v>
      </c>
      <c r="B25" s="53" t="s">
        <v>2576</v>
      </c>
      <c r="C25" s="85" t="s">
        <v>63</v>
      </c>
      <c r="D25" s="85" t="s">
        <v>2577</v>
      </c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02:30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810.159</v>
      </c>
      <c r="B26" s="53" t="s">
        <v>65</v>
      </c>
      <c r="C26" s="85" t="s">
        <v>2577</v>
      </c>
      <c r="D26" s="85" t="s">
        <v>45</v>
      </c>
      <c r="E26" s="90"/>
      <c r="F26" s="56" t="str">
        <f t="shared" si="3"/>
        <v>03:30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1190</v>
      </c>
      <c r="B27" s="53" t="s">
        <v>96</v>
      </c>
      <c r="C27" s="85" t="s">
        <v>45</v>
      </c>
      <c r="D27" s="85" t="s">
        <v>57</v>
      </c>
      <c r="E27" s="90"/>
      <c r="F27" s="56" t="str">
        <f t="shared" si="3"/>
        <v>07:00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2578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G11 G19">
      <formula1>"Hanakova Ayuna,Nedbal Michal,Veselý Ondřej"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46174.0</v>
      </c>
      <c r="D1" s="113" t="s">
        <v>2579</v>
      </c>
      <c r="E1" s="114">
        <v>46203.0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0.2889169589954325</v>
      </c>
      <c r="H2" s="21"/>
      <c r="I2" s="118">
        <v>148030.12</v>
      </c>
      <c r="K2" s="21"/>
      <c r="L2" s="119" t="s">
        <v>2556</v>
      </c>
      <c r="M2" s="120">
        <v>34959.8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7"/>
      <c r="D3" s="124"/>
      <c r="E3" s="11"/>
      <c r="H3" s="21"/>
      <c r="K3" s="21"/>
      <c r="L3" s="125" t="s">
        <v>2557</v>
      </c>
      <c r="M3" s="126">
        <v>14936.0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38395.62000000001</v>
      </c>
      <c r="N4" s="121"/>
    </row>
    <row r="5">
      <c r="A5" s="127"/>
      <c r="B5" s="128" t="s">
        <v>2580</v>
      </c>
      <c r="C5" s="27"/>
      <c r="D5" s="27"/>
      <c r="E5" s="11"/>
      <c r="F5" s="129" t="s">
        <v>2581</v>
      </c>
      <c r="G5" s="27"/>
      <c r="H5" s="27"/>
      <c r="I5" s="27"/>
      <c r="J5" s="27"/>
      <c r="K5" s="11"/>
      <c r="L5" s="130" t="s">
        <v>2560</v>
      </c>
      <c r="M5" s="126">
        <v>37605.0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0.0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58.5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39</v>
      </c>
      <c r="G7" s="13"/>
      <c r="H7" s="13"/>
      <c r="I7" s="13"/>
      <c r="J7" s="134"/>
      <c r="K7" s="134"/>
      <c r="L7" s="135" t="s">
        <v>2562</v>
      </c>
      <c r="M7" s="136">
        <v>2384.2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2582</v>
      </c>
      <c r="D9" s="144" t="s">
        <v>2569</v>
      </c>
      <c r="E9" s="145"/>
      <c r="F9" s="143" t="s">
        <v>2565</v>
      </c>
      <c r="G9" s="144" t="s">
        <v>2582</v>
      </c>
      <c r="H9" s="144" t="s">
        <v>2569</v>
      </c>
      <c r="I9" s="146" t="s">
        <v>2573</v>
      </c>
      <c r="J9" s="147">
        <v>6.300000000024738</v>
      </c>
      <c r="K9" s="11"/>
      <c r="L9" s="148" t="s">
        <v>23</v>
      </c>
      <c r="M9" s="126">
        <v>10221.0</v>
      </c>
      <c r="N9" s="121"/>
    </row>
    <row r="10" ht="18.75" customHeight="1">
      <c r="A10" s="149"/>
      <c r="B10" s="150" t="s">
        <v>52</v>
      </c>
      <c r="C10" s="151">
        <v>2.0</v>
      </c>
      <c r="D10" s="151" t="s">
        <v>2518</v>
      </c>
      <c r="E10" s="152" t="s">
        <v>2583</v>
      </c>
      <c r="F10" s="150" t="s">
        <v>373</v>
      </c>
      <c r="G10" s="151">
        <v>2.0</v>
      </c>
      <c r="H10" s="151" t="s">
        <v>2513</v>
      </c>
      <c r="I10" s="153">
        <v>19.0</v>
      </c>
      <c r="J10" s="36"/>
      <c r="K10" s="21"/>
      <c r="L10" s="148" t="s">
        <v>24</v>
      </c>
      <c r="M10" s="126">
        <v>400.0</v>
      </c>
      <c r="N10" s="121"/>
    </row>
    <row r="11" ht="18.75" customHeight="1">
      <c r="A11" s="149"/>
      <c r="B11" s="150" t="s">
        <v>2584</v>
      </c>
      <c r="C11" s="151">
        <v>2.0</v>
      </c>
      <c r="D11" s="151" t="s">
        <v>41</v>
      </c>
      <c r="E11" s="152" t="s">
        <v>49</v>
      </c>
      <c r="F11" s="150" t="s">
        <v>2585</v>
      </c>
      <c r="G11" s="151">
        <v>2.0</v>
      </c>
      <c r="H11" s="151" t="s">
        <v>43</v>
      </c>
      <c r="I11" s="153">
        <v>23.0</v>
      </c>
      <c r="J11" s="36"/>
      <c r="K11" s="21"/>
      <c r="L11" s="154" t="s">
        <v>25</v>
      </c>
      <c r="M11" s="155">
        <v>8999.0</v>
      </c>
      <c r="N11" s="121"/>
    </row>
    <row r="12" ht="18.75" customHeight="1">
      <c r="A12" s="149"/>
      <c r="B12" s="150" t="s">
        <v>2586</v>
      </c>
      <c r="C12" s="151">
        <v>2.0</v>
      </c>
      <c r="D12" s="151" t="s">
        <v>2513</v>
      </c>
      <c r="E12" s="152" t="s">
        <v>50</v>
      </c>
      <c r="F12" s="150" t="s">
        <v>2576</v>
      </c>
      <c r="G12" s="151">
        <v>1.0</v>
      </c>
      <c r="H12" s="151" t="s">
        <v>2587</v>
      </c>
      <c r="I12" s="153">
        <v>2.0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1.0</v>
      </c>
      <c r="D13" s="151" t="s">
        <v>2510</v>
      </c>
      <c r="E13" s="152" t="s">
        <v>50</v>
      </c>
      <c r="F13" s="150" t="s">
        <v>65</v>
      </c>
      <c r="G13" s="151">
        <v>1.0</v>
      </c>
      <c r="H13" s="151" t="s">
        <v>2588</v>
      </c>
      <c r="I13" s="153">
        <v>12.0</v>
      </c>
      <c r="J13" s="36"/>
      <c r="K13" s="21"/>
      <c r="L13" s="148" t="s">
        <v>29</v>
      </c>
      <c r="M13" s="126">
        <v>0.0</v>
      </c>
      <c r="N13" s="121"/>
    </row>
    <row r="14" ht="18.75" customHeight="1">
      <c r="A14" s="149"/>
      <c r="B14" s="150" t="s">
        <v>96</v>
      </c>
      <c r="C14" s="151">
        <v>1.0</v>
      </c>
      <c r="D14" s="151" t="s">
        <v>2589</v>
      </c>
      <c r="E14" s="152" t="s">
        <v>2590</v>
      </c>
      <c r="F14" s="150"/>
      <c r="G14" s="151"/>
      <c r="H14" s="151"/>
      <c r="I14" s="153"/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/>
      <c r="C15" s="151"/>
      <c r="D15" s="151"/>
      <c r="E15" s="152" t="s">
        <v>2590</v>
      </c>
      <c r="F15" s="150"/>
      <c r="G15" s="151"/>
      <c r="H15" s="151"/>
      <c r="I15" s="153"/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/>
      <c r="C16" s="151"/>
      <c r="D16" s="151"/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0.0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2520.0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2572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4.0</v>
      </c>
      <c r="K21" s="170">
        <v>5995.7</v>
      </c>
      <c r="L21" s="171">
        <v>6.0</v>
      </c>
      <c r="M21" s="172" t="s">
        <v>2591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2575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6.0</v>
      </c>
      <c r="K24" s="171">
        <v>361.0</v>
      </c>
      <c r="L24" s="171">
        <v>66.0</v>
      </c>
      <c r="M24" s="176">
        <v>5.0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2578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0.0</v>
      </c>
      <c r="K27" s="98"/>
      <c r="L27" s="182">
        <v>0.08226495726495726</v>
      </c>
      <c r="M27" s="183">
        <v>1.0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0.9177350427350427</v>
      </c>
      <c r="M30" s="187">
        <v>0.013888888888888888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89"/>
      <c r="D2" s="1"/>
      <c r="E2" s="188"/>
      <c r="F2" s="1"/>
      <c r="G2" s="1"/>
      <c r="H2" s="1"/>
      <c r="I2" s="188"/>
      <c r="J2" s="188"/>
      <c r="K2" s="188"/>
      <c r="L2" s="1"/>
      <c r="M2" s="1"/>
      <c r="N2" s="188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88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89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88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89"/>
      <c r="C38" s="1"/>
      <c r="D38" s="1"/>
      <c r="E38" s="1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89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88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88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89"/>
      <c r="C61" s="189"/>
      <c r="D61" s="1"/>
      <c r="E61" s="1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89"/>
      <c r="C63" s="1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88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88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88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88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88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88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88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88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88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89"/>
      <c r="D102" s="1"/>
      <c r="E102" s="1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88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88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88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88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89"/>
      <c r="D113" s="1"/>
      <c r="E113" s="188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88"/>
      <c r="F114" s="1"/>
      <c r="G114" s="1"/>
      <c r="H114" s="1"/>
      <c r="I114" s="1"/>
      <c r="J114" s="1"/>
      <c r="K114" s="188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88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"/>
      <c r="B117" s="1"/>
      <c r="C117" s="189"/>
      <c r="D117" s="1"/>
      <c r="E117" s="188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"/>
      <c r="B118" s="1"/>
      <c r="C118" s="189"/>
      <c r="D118" s="1"/>
      <c r="E118" s="188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"/>
      <c r="B119" s="1"/>
      <c r="C119" s="189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"/>
      <c r="B120" s="1"/>
      <c r="C120" s="189"/>
      <c r="D120" s="1"/>
      <c r="E120" s="188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"/>
      <c r="B121" s="189"/>
      <c r="C121" s="189"/>
      <c r="D121" s="1"/>
      <c r="E121" s="1"/>
      <c r="F121" s="1"/>
      <c r="G121" s="1"/>
      <c r="H121" s="1"/>
      <c r="I121" s="1"/>
      <c r="J121" s="1"/>
      <c r="K121" s="188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88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"/>
      <c r="B124" s="1"/>
      <c r="C124" s="1"/>
      <c r="D124" s="1"/>
      <c r="E124" s="188"/>
      <c r="F124" s="1"/>
      <c r="G124" s="1"/>
      <c r="H124" s="1"/>
      <c r="I124" s="1"/>
      <c r="J124" s="1"/>
      <c r="K124" s="188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"/>
      <c r="B125" s="1"/>
      <c r="C125" s="189"/>
      <c r="D125" s="1"/>
      <c r="E125" s="188"/>
      <c r="F125" s="1"/>
      <c r="G125" s="1"/>
      <c r="H125" s="1"/>
      <c r="I125" s="1"/>
      <c r="J125" s="1"/>
      <c r="K125" s="188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"/>
      <c r="B127" s="1"/>
      <c r="C127" s="1"/>
      <c r="D127" s="1"/>
      <c r="E127" s="188"/>
      <c r="F127" s="1"/>
      <c r="G127" s="1"/>
      <c r="H127" s="1"/>
      <c r="I127" s="1"/>
      <c r="J127" s="1"/>
      <c r="K127" s="188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"/>
      <c r="B128" s="189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"/>
      <c r="B129" s="1"/>
      <c r="C129" s="189"/>
      <c r="D129" s="1"/>
      <c r="E129" s="188"/>
      <c r="F129" s="1"/>
      <c r="G129" s="1"/>
      <c r="H129" s="1"/>
      <c r="I129" s="1"/>
      <c r="J129" s="1"/>
      <c r="K129" s="188"/>
      <c r="L129" s="1"/>
      <c r="M129" s="1"/>
      <c r="N129" s="1"/>
      <c r="O129" s="1"/>
      <c r="P129" s="1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"/>
      <c r="B130" s="189"/>
      <c r="C130" s="189"/>
      <c r="D130" s="1"/>
      <c r="E130" s="188"/>
      <c r="F130" s="1"/>
      <c r="G130" s="1"/>
      <c r="H130" s="1"/>
      <c r="I130" s="1"/>
      <c r="J130" s="1"/>
      <c r="K130" s="188"/>
      <c r="L130" s="1"/>
      <c r="M130" s="1"/>
      <c r="N130" s="1"/>
      <c r="O130" s="1"/>
      <c r="P130" s="1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"/>
      <c r="B131" s="189"/>
      <c r="C131" s="1"/>
      <c r="D131" s="1"/>
      <c r="E131" s="188"/>
      <c r="F131" s="1"/>
      <c r="G131" s="1"/>
      <c r="H131" s="1"/>
      <c r="I131" s="1"/>
      <c r="J131" s="1"/>
      <c r="K131" s="188"/>
      <c r="L131" s="1"/>
      <c r="M131" s="1"/>
      <c r="N131" s="1"/>
      <c r="O131" s="1"/>
      <c r="P131" s="1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"/>
      <c r="B133" s="1"/>
      <c r="C133" s="189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88"/>
      <c r="L134" s="1"/>
      <c r="M134" s="1"/>
      <c r="N134" s="1"/>
      <c r="O134" s="1"/>
      <c r="P134" s="1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"/>
      <c r="B135" s="1"/>
      <c r="C135" s="1"/>
      <c r="D135" s="1"/>
      <c r="E135" s="188"/>
      <c r="F135" s="1"/>
      <c r="G135" s="1"/>
      <c r="H135" s="1"/>
      <c r="I135" s="1"/>
      <c r="J135" s="1"/>
      <c r="K135" s="188"/>
      <c r="L135" s="1"/>
      <c r="M135" s="1"/>
      <c r="N135" s="1"/>
      <c r="O135" s="1"/>
      <c r="P135" s="1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"/>
      <c r="B136" s="1"/>
      <c r="C136" s="189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"/>
      <c r="B137" s="1"/>
      <c r="C137" s="1"/>
      <c r="D137" s="1"/>
      <c r="E137" s="188"/>
      <c r="F137" s="1"/>
      <c r="G137" s="1"/>
      <c r="H137" s="1"/>
      <c r="I137" s="1"/>
      <c r="J137" s="1"/>
      <c r="K137" s="188"/>
      <c r="L137" s="1"/>
      <c r="M137" s="1"/>
      <c r="N137" s="1"/>
      <c r="O137" s="1"/>
      <c r="P137" s="1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"/>
      <c r="B138" s="189"/>
      <c r="C138" s="189"/>
      <c r="D138" s="1"/>
      <c r="E138" s="188"/>
      <c r="F138" s="1"/>
      <c r="G138" s="1"/>
      <c r="H138" s="1"/>
      <c r="I138" s="1"/>
      <c r="J138" s="1"/>
      <c r="K138" s="188"/>
      <c r="L138" s="1"/>
      <c r="M138" s="1"/>
      <c r="N138" s="1"/>
      <c r="O138" s="1"/>
      <c r="P138" s="1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"/>
      <c r="B139" s="189"/>
      <c r="C139" s="189"/>
      <c r="D139" s="1"/>
      <c r="E139" s="188"/>
      <c r="F139" s="1"/>
      <c r="G139" s="1"/>
      <c r="H139" s="1"/>
      <c r="I139" s="1"/>
      <c r="J139" s="1"/>
      <c r="K139" s="188"/>
      <c r="L139" s="1"/>
      <c r="M139" s="1"/>
      <c r="N139" s="1"/>
      <c r="O139" s="1"/>
      <c r="P139" s="1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"/>
      <c r="B140" s="1"/>
      <c r="C140" s="1"/>
      <c r="D140" s="1"/>
      <c r="E140" s="188"/>
      <c r="F140" s="1"/>
      <c r="G140" s="1"/>
      <c r="H140" s="1"/>
      <c r="I140" s="1"/>
      <c r="J140" s="1"/>
      <c r="K140" s="188"/>
      <c r="L140" s="1"/>
      <c r="M140" s="1"/>
      <c r="N140" s="1"/>
      <c r="O140" s="1"/>
      <c r="P140" s="1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"/>
      <c r="B141" s="1"/>
      <c r="C141" s="189"/>
      <c r="D141" s="1"/>
      <c r="E141" s="188"/>
      <c r="F141" s="1"/>
      <c r="G141" s="1"/>
      <c r="H141" s="1"/>
      <c r="I141" s="188"/>
      <c r="J141" s="188"/>
      <c r="K141" s="188"/>
      <c r="L141" s="1"/>
      <c r="M141" s="1"/>
      <c r="N141" s="188"/>
      <c r="O141" s="1"/>
      <c r="P141" s="1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"/>
      <c r="B142" s="1"/>
      <c r="C142" s="189"/>
      <c r="D142" s="1"/>
      <c r="E142" s="188"/>
      <c r="F142" s="1"/>
      <c r="G142" s="1"/>
      <c r="H142" s="1"/>
      <c r="I142" s="1"/>
      <c r="J142" s="1"/>
      <c r="K142" s="188"/>
      <c r="L142" s="1"/>
      <c r="M142" s="1"/>
      <c r="N142" s="1"/>
      <c r="O142" s="1"/>
      <c r="P142" s="1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90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90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""Mzdy!ac1:ad200"")"),31.0)</f>
        <v>31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2592</v>
      </c>
      <c r="B4" s="195" t="s">
        <v>2593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IFERROR(__xludf.DUMMYFUNCTION("""COMPUTED_VALUE"""),2789.082580645161)</f>
        <v>2789.082581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IFERROR(__xludf.DUMMYFUNCTION("""COMPUTED_VALUE"""),2789.082580645161)</f>
        <v>2789.082581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IFERROR(__xludf.DUMMYFUNCTION("""COMPUTED_VALUE"""),2201.2258064516127)</f>
        <v>2201.225806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IFERROR(__xludf.DUMMYFUNCTION("""COMPUTED_VALUE"""),2789.082580645161)</f>
        <v>2789.082581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IFERROR(__xludf.DUMMYFUNCTION("""COMPUTED_VALUE"""),2201.2258064516127)</f>
        <v>2201.225806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IFERROR(__xludf.DUMMYFUNCTION("""COMPUTED_VALUE"""),2789.082580645161)</f>
        <v>2789.082581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IFERROR(__xludf.DUMMYFUNCTION("""COMPUTED_VALUE"""),2201.2258064516127)</f>
        <v>2201.225806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IFERROR(__xludf.DUMMYFUNCTION("""COMPUTED_VALUE"""),2201.2258064516127)</f>
        <v>2201.225806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IFERROR(__xludf.DUMMYFUNCTION("""COMPUTED_VALUE"""),2201.2258064516127)</f>
        <v>2201.225806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>Hegedüs Erik</v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 t="str">
        <f>IFERROR(__xludf.DUMMYFUNCTION("""COMPUTED_VALUE"""),"Zličín")</f>
        <v>Zličín</v>
      </c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IFERROR(__xludf.DUMMYFUNCTION("""COMPUTED_VALUE"""),2789.082580645161)</f>
        <v>2789.082581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IFERROR(__xludf.DUMMYFUNCTION("""COMPUTED_VALUE"""),2789.082580645161)</f>
        <v>2789.082581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IFERROR(__xludf.DUMMYFUNCTION("""COMPUTED_VALUE"""),"Malešice")</f>
        <v>Malešice</v>
      </c>
      <c r="F28" s="191" t="str">
        <f>IFERROR(__xludf.DUMMYFUNCTION("""COMPUTED_VALUE"""),"Chodov")</f>
        <v>Chodov</v>
      </c>
      <c r="G28" s="191" t="str">
        <f>IFERROR(__xludf.DUMMYFUNCTION("""COMPUTED_VALUE"""),"Zličín")</f>
        <v>Zličín</v>
      </c>
      <c r="H28" s="191" t="str">
        <f>IFERROR(__xludf.DUMMYFUNCTION("""COMPUTED_VALUE"""),"Prosek")</f>
        <v>Prosek</v>
      </c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IFERROR(__xludf.DUMMYFUNCTION("""COMPUTED_VALUE"""),2494.722580645161)</f>
        <v>2494.722581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IFERROR(__xludf.DUMMYFUNCTION("""COMPUTED_VALUE"""),1596.967741935484)</f>
        <v>1596.967742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IFERROR(__xludf.DUMMYFUNCTION("""COMPUTED_VALUE"""),"Břicháč Pavel")</f>
        <v>Břicháč Pavel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>Čerešňák Michal</v>
      </c>
      <c r="C127" s="191" t="b">
        <f>IFERROR(__xludf.DUMMYFUNCTION("""COMPUTED_VALUE"""),FALSE)</f>
        <v>0</v>
      </c>
      <c r="D127" s="191" t="str">
        <f>IFERROR(__xludf.DUMMYFUNCTION("""COMPUTED_VALUE"""),"Čerešňák Michal")</f>
        <v>Čerešňák Michal</v>
      </c>
      <c r="E127" s="191" t="str">
        <f>IFERROR(__xludf.DUMMYFUNCTION("""COMPUTED_VALUE"""),"Zličín")</f>
        <v>Zličín</v>
      </c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IFERROR(__xludf.DUMMYFUNCTION("""COMPUTED_VALUE"""),170.0)</f>
        <v>170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 t="str">
        <f>IFERROR(__xludf.DUMMYFUNCTION("""COMPUTED_VALUE"""),"Weindling Josef")</f>
        <v>Weindling Josef</v>
      </c>
      <c r="E128" s="191" t="str">
        <f>IFERROR(__xludf.DUMMYFUNCTION("""COMPUTED_VALUE"""),"Libuš")</f>
        <v>Libuš</v>
      </c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IFERROR(__xludf.DUMMYFUNCTION("""COMPUTED_VALUE"""),231.474)</f>
        <v>231.474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 t="str">
        <f>IFERROR(__xludf.DUMMYFUNCTION("""COMPUTED_VALUE"""),"Fux Vojtěch")</f>
        <v>Fux Vojtěch</v>
      </c>
      <c r="E129" s="191" t="str">
        <f>IFERROR(__xludf.DUMMYFUNCTION("""COMPUTED_VALUE"""),"Chodov")</f>
        <v>Chodov</v>
      </c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IFERROR(__xludf.DUMMYFUNCTION("""COMPUTED_VALUE"""),170.0)</f>
        <v>170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2594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2595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2596</v>
      </c>
      <c r="B3" s="1" t="s">
        <v>2597</v>
      </c>
      <c r="D3" s="1" t="s">
        <v>2598</v>
      </c>
      <c r="E3" s="1" t="s">
        <v>2598</v>
      </c>
      <c r="F3" s="1" t="s">
        <v>2598</v>
      </c>
      <c r="G3" s="1" t="s">
        <v>2598</v>
      </c>
    </row>
    <row r="4">
      <c r="A4" s="1" t="s">
        <v>2599</v>
      </c>
      <c r="B4" s="1" t="s">
        <v>2600</v>
      </c>
      <c r="C4" s="1" t="s">
        <v>2598</v>
      </c>
      <c r="E4" s="1" t="s">
        <v>2601</v>
      </c>
      <c r="F4" s="1" t="s">
        <v>2602</v>
      </c>
      <c r="G4" s="1" t="s">
        <v>2602</v>
      </c>
      <c r="H4" s="1" t="s">
        <v>2601</v>
      </c>
    </row>
    <row r="5">
      <c r="A5" s="1" t="s">
        <v>2603</v>
      </c>
      <c r="B5" s="1" t="s">
        <v>2604</v>
      </c>
      <c r="E5" s="1" t="s">
        <v>2605</v>
      </c>
      <c r="F5" s="1" t="s">
        <v>2606</v>
      </c>
      <c r="G5" s="1" t="s">
        <v>2607</v>
      </c>
      <c r="H5" s="1" t="s">
        <v>2598</v>
      </c>
    </row>
    <row r="6">
      <c r="A6" s="1" t="s">
        <v>2608</v>
      </c>
      <c r="B6" s="1" t="s">
        <v>2609</v>
      </c>
      <c r="D6" s="1" t="s">
        <v>2609</v>
      </c>
      <c r="F6" s="1" t="s">
        <v>2607</v>
      </c>
    </row>
    <row r="7">
      <c r="A7" s="1" t="s">
        <v>71</v>
      </c>
      <c r="B7" s="1" t="s">
        <v>2610</v>
      </c>
      <c r="D7" s="1" t="s">
        <v>2610</v>
      </c>
    </row>
    <row r="8">
      <c r="A8" s="1" t="s">
        <v>2611</v>
      </c>
      <c r="B8" s="1" t="s">
        <v>2604</v>
      </c>
      <c r="C8" s="1" t="s">
        <v>2604</v>
      </c>
      <c r="E8" s="1" t="s">
        <v>2604</v>
      </c>
      <c r="F8" s="1" t="s">
        <v>2612</v>
      </c>
    </row>
    <row r="9">
      <c r="A9" s="1" t="s">
        <v>44</v>
      </c>
      <c r="C9" s="1" t="s">
        <v>2601</v>
      </c>
      <c r="D9" s="1" t="s">
        <v>2601</v>
      </c>
      <c r="F9" s="1" t="s">
        <v>2602</v>
      </c>
      <c r="G9" s="1" t="s">
        <v>2602</v>
      </c>
      <c r="H9" s="1" t="s">
        <v>2601</v>
      </c>
    </row>
    <row r="10">
      <c r="A10" s="1" t="s">
        <v>2613</v>
      </c>
      <c r="C10" s="1" t="s">
        <v>2607</v>
      </c>
      <c r="E10" s="1" t="s">
        <v>2607</v>
      </c>
      <c r="G10" s="1" t="s">
        <v>2606</v>
      </c>
      <c r="H10" s="1" t="s">
        <v>2605</v>
      </c>
    </row>
    <row r="11">
      <c r="A11" s="1" t="s">
        <v>2614</v>
      </c>
      <c r="C11" s="1" t="s">
        <v>2605</v>
      </c>
      <c r="E11" s="1" t="s">
        <v>2605</v>
      </c>
    </row>
    <row r="12">
      <c r="A12" s="1" t="s">
        <v>2615</v>
      </c>
      <c r="D12" s="1" t="s">
        <v>2601</v>
      </c>
      <c r="E12" s="1" t="s">
        <v>2616</v>
      </c>
      <c r="F12" s="1" t="s">
        <v>2617</v>
      </c>
      <c r="G12" s="1" t="s">
        <v>2618</v>
      </c>
      <c r="H12" s="1" t="s">
        <v>2601</v>
      </c>
    </row>
    <row r="13">
      <c r="A13" s="1" t="s">
        <v>2619</v>
      </c>
      <c r="B13" s="188"/>
      <c r="C13" s="188"/>
      <c r="D13" s="188"/>
      <c r="E13" s="188"/>
      <c r="F13" s="1" t="s">
        <v>2606</v>
      </c>
      <c r="G13" s="1" t="s">
        <v>2620</v>
      </c>
      <c r="H13" s="1" t="s">
        <v>2621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2622</v>
      </c>
      <c r="B14" s="188"/>
      <c r="C14" s="188"/>
      <c r="D14" s="188"/>
      <c r="E14" s="188"/>
      <c r="F14" s="188"/>
      <c r="G14" s="1" t="s">
        <v>2598</v>
      </c>
      <c r="H14" s="1" t="s">
        <v>2598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2623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2624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2625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2626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2627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2628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2629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2630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2631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2632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2633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2634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2635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2636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2637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2638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2639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2640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2641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2642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2643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2644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2645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2646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2647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2648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2649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2650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2651</v>
      </c>
      <c r="AB138" s="1">
        <v>-10.0</v>
      </c>
    </row>
  </sheetData>
  <mergeCells count="1">
    <mergeCell ref="A1:H1"/>
  </mergeCells>
  <drawing r:id="rId1"/>
</worksheet>
</file>