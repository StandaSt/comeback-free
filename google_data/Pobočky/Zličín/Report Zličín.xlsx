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<sst xmlns="http://schemas.openxmlformats.org/spreadsheetml/2006/main" count="8981" uniqueCount="2650">
  <si>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</si>
  <si>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</si>
  <si>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</si>
  <si>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</si>
  <si>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</si>
  <si>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</si>
  <si>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</si>
  <si>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</si>
  <si>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</si>
  <si>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</si>
  <si>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</si>
  <si>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</si>
  <si>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</si>
  <si>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</si>
  <si>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</si>
  <si>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</si>
  <si>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</si>
  <si>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</si>
  <si>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</si>
  <si>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</si>
  <si>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</si>
  <si>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</si>
  <si>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</si>
  <si>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</si>
  <si>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</si>
  <si>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</si>
  <si>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</si>
  <si>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</si>
  <si>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</si>
  <si>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</si>
  <si>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</si>
  <si>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</si>
  <si>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</si>
  <si>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</si>
  <si>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</si>
  <si>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</si>
  <si>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</si>
  <si>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</si>
  <si>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</si>
  <si>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</si>
  <si>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</si>
  <si>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</si>
  <si>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</si>
  <si>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</si>
  <si>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</si>
  <si>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</si>
  <si>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</si>
  <si>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</si>
  <si>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</si>
  <si>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</si>
  <si>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</si>
  <si>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</si>
  <si>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</si>
  <si>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</si>
  <si>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</si>
  <si>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</si>
  <si>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</si>
  <si>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</si>
  <si>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</si>
  <si>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</si>
  <si>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</si>
  <si>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</si>
  <si>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</si>
  <si>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</si>
  <si>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</si>
  <si>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</si>
  <si>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</si>
  <si>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</si>
  <si>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</si>
  <si>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</si>
  <si>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</si>
  <si>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</si>
  <si>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</si>
  <si>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</si>
  <si>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</si>
  <si>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</si>
  <si>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</si>
  <si>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</si>
  <si>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</si>
  <si>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</si>
  <si>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</si>
  <si>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</si>
  <si>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</si>
  <si>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</si>
  <si>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</si>
  <si>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</si>
  <si>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</si>
  <si>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</si>
  <si>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</si>
  <si>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</si>
  <si>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</si>
  <si>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</si>
  <si>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</si>
  <si>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</si>
  <si>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</si>
  <si>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</si>
  <si>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</si>
  <si>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</si>
  <si>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</si>
  <si>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</si>
  <si>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</si>
  <si>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</si>
  <si>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</si>
  <si>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</si>
  <si>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</si>
  <si>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</si>
  <si>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</si>
  <si>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</si>
  <si>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</si>
  <si>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</si>
  <si>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</si>
  <si>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</si>
  <si>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</si>
  <si>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</si>
  <si>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</si>
  <si>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</si>
  <si>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</si>
  <si>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</si>
  <si>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</si>
  <si>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</si>
  <si>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</si>
  <si>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</si>
  <si>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</si>
  <si>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</si>
  <si>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</si>
  <si>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</si>
  <si>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</si>
  <si>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</si>
  <si>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</si>
  <si>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</si>
  <si>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</si>
  <si>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</si>
  <si>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</si>
  <si>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</si>
  <si>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</si>
  <si>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</si>
  <si>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</si>
  <si>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</si>
  <si>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</si>
  <si>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</si>
  <si>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</si>
  <si>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</si>
  <si>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</si>
  <si>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</si>
  <si>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</si>
  <si>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</si>
  <si>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</si>
  <si>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</si>
  <si>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</si>
  <si>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</si>
  <si>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</si>
  <si>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</si>
  <si>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</si>
  <si>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</si>
  <si>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</si>
  <si>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</si>
  <si>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</si>
  <si>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</si>
  <si>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</si>
  <si>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</si>
  <si>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</si>
  <si>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</si>
  <si>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</si>
  <si>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</si>
  <si>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</si>
  <si>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</si>
  <si>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</si>
  <si>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</si>
  <si>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</si>
  <si>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</si>
  <si>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</si>
  <si>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</si>
  <si>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</si>
  <si>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</si>
  <si>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</si>
  <si>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</si>
  <si>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</si>
  <si>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</si>
  <si>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</si>
  <si>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</si>
  <si>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</si>
  <si>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</si>
  <si>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</si>
  <si>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</si>
  <si>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</si>
  <si>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</si>
  <si>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</si>
  <si>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</si>
  <si>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</si>
  <si>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</si>
  <si>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</si>
  <si>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</si>
  <si>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</si>
  <si>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</si>
  <si>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</si>
  <si>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</si>
  <si>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</si>
  <si>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</si>
  <si>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</si>
  <si>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</si>
  <si>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</si>
  <si>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</si>
  <si>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</si>
  <si>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</si>
  <si>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</si>
  <si>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</si>
  <si>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</si>
  <si>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</si>
  <si>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</si>
  <si>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</si>
  <si>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</si>
  <si>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</si>
  <si>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</si>
  <si>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</si>
  <si>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</si>
  <si>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</si>
  <si>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</si>
  <si>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</si>
  <si>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</si>
  <si>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</si>
  <si>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</si>
  <si>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</si>
  <si>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</si>
  <si>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</si>
  <si>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</si>
  <si>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</si>
  <si>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</si>
  <si>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</si>
  <si>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</si>
  <si>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</si>
  <si>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</si>
  <si>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</si>
  <si>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</si>
  <si>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</si>
  <si>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</si>
  <si>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</si>
  <si>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</si>
  <si>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</si>
  <si>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</si>
  <si>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</si>
  <si>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</si>
  <si>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</si>
  <si>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</si>
  <si>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</si>
  <si>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</si>
  <si>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</si>
  <si>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</si>
  <si>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</si>
  <si>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</si>
  <si>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</si>
  <si>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</si>
  <si>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</si>
  <si>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</si>
  <si>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</si>
  <si>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</si>
  <si>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</si>
  <si>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</si>
  <si>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</si>
  <si>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</si>
  <si>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</si>
  <si>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</si>
  <si>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</si>
  <si>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</si>
  <si>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</si>
  <si>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</si>
  <si>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</si>
  <si>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</si>
  <si>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</si>
  <si>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</si>
  <si>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</si>
  <si>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</si>
  <si>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</si>
  <si>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</si>
  <si>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</si>
  <si>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</si>
  <si>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</si>
  <si>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</si>
  <si>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</si>
  <si>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</si>
  <si>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</si>
  <si>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</si>
  <si>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</si>
  <si>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</si>
  <si>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</si>
  <si>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</si>
  <si>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</si>
  <si>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</si>
  <si>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</si>
  <si>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</si>
  <si>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</si>
  <si>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</si>
  <si>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</si>
  <si>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</si>
  <si>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</si>
  <si>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</si>
  <si>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</si>
  <si>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</si>
  <si>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</si>
  <si>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</si>
  <si>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</si>
  <si>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</si>
  <si>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</si>
  <si>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</si>
  <si>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</si>
  <si>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</si>
  <si>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</si>
  <si>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</si>
  <si>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</si>
  <si>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</si>
  <si>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</si>
  <si>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</si>
  <si>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</si>
  <si>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</si>
  <si>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</si>
  <si>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</si>
  <si>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</si>
  <si>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</si>
  <si>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</si>
  <si>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</si>
  <si>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</si>
  <si>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</si>
  <si>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</si>
  <si>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</si>
  <si>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</si>
  <si>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</si>
  <si>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</si>
  <si>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</si>
  <si>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</si>
  <si>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</si>
  <si>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</si>
  <si>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</si>
  <si>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</si>
  <si>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</si>
  <si>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</si>
  <si>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</si>
  <si>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</si>
  <si>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</si>
  <si>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</si>
  <si>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</si>
  <si>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</si>
  <si>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</si>
  <si>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</si>
  <si>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</si>
  <si>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</si>
  <si>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</si>
  <si>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</si>
  <si>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</si>
  <si>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</si>
  <si>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</si>
  <si>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</si>
  <si>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</si>
  <si>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</si>
  <si>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</si>
  <si>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</si>
  <si>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</si>
  <si>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</si>
  <si>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</si>
  <si>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</si>
  <si>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</si>
  <si>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</si>
  <si>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</si>
  <si>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</si>
  <si>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</si>
  <si>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</si>
  <si>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</si>
  <si>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</si>
  <si>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</si>
  <si>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</si>
  <si>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</si>
  <si>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</si>
  <si>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</si>
  <si>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</si>
  <si>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</si>
  <si>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</si>
  <si>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</si>
  <si>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</si>
  <si>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</si>
  <si>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</si>
  <si>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</si>
  <si>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</si>
  <si>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</si>
  <si>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</si>
  <si>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</si>
  <si>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</si>
  <si>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</si>
  <si>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</si>
  <si>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</si>
  <si>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</si>
  <si>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</si>
  <si>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</si>
  <si>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</si>
  <si>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</si>
  <si>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</si>
  <si>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</si>
  <si>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</si>
  <si>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</si>
  <si>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</si>
  <si>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</si>
  <si>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</si>
  <si>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</si>
  <si>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</si>
  <si>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</si>
  <si>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</si>
  <si>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</si>
  <si>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</si>
  <si>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</si>
  <si>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</si>
  <si>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</si>
  <si>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</si>
  <si>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</si>
  <si>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</si>
  <si>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</si>
  <si>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</si>
  <si>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</si>
  <si>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</si>
  <si>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</si>
  <si>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</si>
  <si>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</si>
  <si>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</si>
  <si>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</si>
  <si>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</si>
  <si>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</si>
  <si>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</si>
  <si>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</si>
  <si>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</si>
  <si>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</si>
  <si>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</si>
  <si>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</si>
  <si>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</si>
  <si>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</si>
  <si>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</si>
  <si>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</si>
  <si>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</si>
  <si>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</si>
  <si>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</si>
  <si>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</si>
  <si>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</si>
  <si>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</si>
  <si>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</si>
  <si>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</si>
  <si>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</si>
  <si>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</si>
  <si>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</si>
  <si>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</si>
  <si>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</si>
  <si>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</si>
  <si>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</si>
  <si>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</si>
  <si>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</si>
  <si>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</si>
  <si>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</si>
  <si>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</si>
  <si>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</si>
  <si>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</si>
  <si>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</si>
  <si>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</si>
  <si>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</si>
  <si>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</si>
  <si>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</si>
  <si>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</si>
  <si>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</si>
  <si>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</si>
  <si>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</si>
  <si>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</si>
  <si>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</si>
  <si>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</si>
  <si>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</si>
  <si>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</si>
  <si>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</si>
  <si>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</si>
  <si>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</si>
  <si>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</si>
  <si>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</si>
  <si>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</si>
  <si>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</si>
  <si>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</si>
  <si>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</si>
  <si>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</si>
  <si>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</si>
  <si>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</si>
  <si>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</si>
  <si>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</si>
  <si>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</si>
  <si>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</si>
  <si>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</si>
  <si>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</si>
  <si>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</si>
  <si>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</si>
  <si>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</si>
  <si>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</si>
  <si>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</si>
  <si>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</si>
  <si>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</si>
  <si>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</si>
  <si>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</si>
  <si>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</si>
  <si>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</si>
  <si>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</si>
  <si>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</si>
  <si>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</si>
  <si>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</si>
  <si>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</si>
  <si>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</si>
  <si>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</si>
  <si>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</si>
  <si>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</si>
  <si>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</si>
  <si>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</si>
  <si>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</si>
  <si>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</si>
  <si>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</si>
  <si>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</si>
  <si>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</si>
  <si>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</si>
  <si>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</si>
  <si>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</si>
  <si>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</si>
  <si>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</si>
  <si>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</si>
  <si>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</si>
  <si>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</si>
  <si>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</si>
  <si>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</si>
  <si>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</si>
  <si>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</si>
  <si>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</si>
  <si>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</si>
  <si>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</si>
  <si>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</si>
  <si>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</si>
  <si>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</si>
  <si>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</si>
  <si>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</si>
  <si>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</si>
  <si>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</si>
  <si>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</si>
  <si>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</si>
  <si>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</si>
  <si>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</si>
  <si>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</si>
  <si>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</si>
  <si>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</si>
  <si>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</si>
  <si>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</si>
  <si>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</si>
  <si>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</si>
  <si>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</si>
  <si>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</si>
  <si>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</si>
  <si>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</si>
  <si>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</si>
  <si>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</si>
  <si>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</si>
  <si>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</si>
  <si>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</si>
  <si>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</si>
  <si>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</si>
  <si>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</si>
  <si>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</si>
  <si>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</si>
  <si>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</si>
  <si>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</si>
  <si>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</si>
  <si>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</si>
  <si>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</si>
  <si>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</si>
  <si>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</si>
  <si>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</si>
  <si>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</si>
  <si>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</si>
  <si>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</si>
  <si>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</si>
  <si>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</si>
  <si>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</si>
  <si>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</si>
  <si>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</si>
  <si>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</si>
  <si>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</si>
  <si>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</si>
  <si>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</si>
  <si>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</si>
  <si>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</si>
  <si>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</si>
  <si>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</si>
  <si>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</si>
  <si>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</si>
  <si>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</si>
  <si>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</si>
  <si>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</si>
  <si>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</si>
  <si>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</si>
  <si>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</si>
  <si>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</si>
  <si>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</si>
  <si>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</si>
  <si>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</si>
  <si>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</si>
  <si>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</si>
  <si>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</si>
  <si>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</si>
  <si>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</si>
  <si>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</si>
  <si>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</si>
  <si>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</si>
  <si>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</si>
  <si>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</si>
  <si>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</si>
  <si>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</si>
  <si>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</si>
  <si>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</si>
  <si>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</si>
  <si>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</si>
  <si>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</si>
  <si>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</si>
  <si>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</si>
  <si>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</si>
  <si>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</si>
  <si>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</si>
  <si>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</si>
  <si>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</si>
  <si>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</si>
  <si>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</si>
  <si>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</si>
  <si>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</si>
  <si>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</si>
  <si>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</si>
  <si>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</si>
  <si>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</si>
  <si>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</si>
  <si>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</si>
  <si>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</si>
  <si>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</si>
  <si>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</si>
  <si>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</si>
  <si>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</si>
  <si>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</si>
  <si>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</si>
  <si>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</si>
  <si>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</si>
  <si>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</si>
  <si>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</si>
  <si>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</si>
  <si>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</si>
  <si>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</si>
  <si>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</si>
  <si>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</si>
  <si>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</si>
  <si>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</si>
  <si>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</si>
  <si>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</si>
  <si>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</si>
  <si>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</si>
  <si>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</si>
  <si>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</si>
  <si>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</si>
  <si>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</si>
  <si>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</si>
  <si>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</si>
  <si>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</si>
  <si>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</si>
  <si>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</si>
  <si>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</si>
  <si>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</si>
  <si>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</si>
  <si>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</si>
  <si>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</si>
  <si>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</si>
  <si>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</si>
  <si>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</si>
  <si>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</si>
  <si>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</si>
  <si>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</si>
  <si>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</si>
  <si>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</si>
  <si>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</si>
  <si>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</si>
  <si>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</si>
  <si>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</si>
  <si>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</si>
  <si>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</si>
  <si>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</si>
  <si>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</si>
  <si>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</si>
  <si>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</si>
  <si>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</si>
  <si>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</si>
  <si>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</si>
  <si>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</si>
  <si>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</si>
  <si>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</si>
  <si>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</si>
  <si>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</si>
  <si>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</si>
  <si>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</si>
  <si>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</si>
  <si>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</si>
  <si>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</si>
  <si>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</si>
  <si>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</si>
  <si>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</si>
  <si>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</si>
  <si>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</si>
  <si>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</si>
  <si>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</si>
  <si>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</si>
  <si>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</si>
  <si>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</si>
  <si>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</si>
  <si>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</si>
  <si>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</si>
  <si>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</si>
  <si>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</si>
  <si>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</si>
  <si>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</si>
  <si>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</si>
  <si>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</si>
  <si>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</si>
  <si>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</si>
  <si>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</si>
  <si>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</si>
  <si>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</si>
  <si>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</si>
  <si>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</si>
  <si>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</si>
  <si>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</si>
  <si>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</si>
  <si>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</si>
  <si>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</si>
  <si>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</si>
  <si>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</si>
  <si>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</si>
  <si>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</si>
  <si>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</si>
  <si>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</si>
  <si>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</si>
  <si>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</si>
  <si>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</si>
  <si>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</si>
  <si>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</si>
  <si>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</si>
  <si>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</si>
  <si>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</si>
  <si>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</si>
  <si>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</si>
  <si>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</si>
  <si>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</si>
  <si>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</si>
  <si>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</si>
  <si>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</si>
  <si>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</si>
  <si>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</si>
  <si>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</si>
  <si>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</si>
  <si>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</si>
  <si>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</si>
  <si>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</si>
  <si>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</si>
  <si>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</si>
  <si>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</si>
  <si>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</si>
  <si>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</si>
  <si>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</si>
  <si>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</si>
  <si>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</si>
  <si>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</si>
  <si>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</si>
  <si>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</si>
  <si>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</si>
  <si>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</si>
  <si>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</si>
  <si>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</si>
  <si>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</si>
  <si>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</si>
  <si>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</si>
  <si>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</si>
  <si>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</si>
  <si>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</si>
  <si>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</si>
  <si>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</si>
  <si>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</si>
  <si>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</si>
  <si>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</si>
  <si>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</si>
  <si>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</si>
  <si>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</si>
  <si>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</si>
  <si>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</si>
  <si>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</si>
  <si>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</si>
  <si>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</si>
  <si>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</si>
  <si>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</si>
  <si>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</si>
  <si>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</si>
  <si>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</si>
  <si>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</si>
  <si>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</si>
  <si>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</si>
  <si>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</si>
  <si>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</si>
  <si>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</si>
  <si>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</si>
  <si>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</si>
  <si>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</si>
  <si>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</si>
  <si>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</si>
  <si>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</si>
  <si>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</si>
  <si>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</si>
  <si>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</si>
  <si>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</si>
  <si>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</si>
  <si>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</si>
  <si>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</si>
  <si>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</si>
  <si>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</si>
  <si>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</si>
  <si>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</si>
  <si>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</si>
  <si>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</si>
  <si>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</si>
  <si>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</si>
  <si>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</si>
  <si>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</si>
  <si>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</si>
  <si>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</si>
  <si>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</si>
  <si>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</si>
  <si>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</si>
  <si>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</si>
  <si>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</si>
  <si>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</si>
  <si>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</si>
  <si>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</si>
  <si>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</si>
  <si>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</si>
  <si>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</si>
  <si>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</si>
  <si>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</si>
  <si>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</si>
  <si>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</si>
  <si>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</si>
  <si>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</si>
  <si>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</si>
  <si>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</si>
  <si>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</si>
  <si>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</si>
  <si>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</si>
  <si>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</si>
  <si>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</si>
  <si>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</si>
  <si>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</si>
  <si>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</si>
  <si>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</si>
  <si>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</si>
  <si>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</si>
  <si>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</si>
  <si>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</si>
  <si>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</si>
  <si>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</si>
  <si>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</si>
  <si>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</si>
  <si>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</si>
  <si>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</si>
  <si>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</si>
  <si>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</si>
  <si>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</si>
  <si>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</si>
  <si>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</si>
  <si>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</si>
  <si>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</si>
  <si>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</si>
  <si>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</si>
  <si>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</si>
  <si>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</si>
  <si>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</si>
  <si>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</si>
  <si>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</si>
  <si>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</si>
  <si>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</si>
  <si>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</si>
  <si>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</si>
  <si>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</si>
  <si>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</si>
  <si>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</si>
  <si>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</si>
  <si>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</si>
  <si>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</si>
  <si>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</si>
  <si>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</si>
  <si>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</si>
  <si>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</si>
  <si>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</si>
  <si>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</si>
  <si>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</si>
  <si>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</si>
  <si>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</si>
  <si>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</si>
  <si>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</si>
  <si>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</si>
  <si>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</si>
  <si>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</si>
  <si>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</si>
  <si>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</si>
  <si>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</si>
  <si>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</si>
  <si>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</si>
  <si>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</si>
  <si>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</si>
  <si>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</si>
  <si>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</si>
  <si>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</si>
  <si>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</si>
  <si>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</si>
  <si>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</si>
  <si>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</si>
  <si>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</si>
  <si>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</si>
  <si>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</si>
  <si>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</si>
  <si>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</si>
  <si>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</si>
  <si>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</si>
  <si>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</si>
  <si>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</si>
  <si>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</si>
  <si>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</si>
  <si>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</si>
  <si>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</si>
  <si>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</si>
  <si>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</si>
  <si>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</si>
  <si>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</si>
  <si>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</si>
  <si>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</si>
  <si>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</si>
  <si>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</si>
  <si>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</si>
  <si>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</si>
  <si>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</si>
  <si>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</si>
  <si>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</si>
  <si>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</si>
  <si>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</si>
  <si>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</si>
  <si>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</si>
  <si>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</si>
  <si>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</si>
  <si>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</si>
  <si>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</si>
  <si>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</si>
  <si>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</si>
  <si>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</si>
  <si>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</si>
  <si>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</si>
  <si>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</si>
  <si>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</si>
  <si>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</si>
  <si>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</si>
  <si>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</si>
  <si>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</si>
  <si>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</si>
  <si>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</si>
  <si>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</si>
  <si>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</si>
  <si>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</si>
  <si>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</si>
  <si>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</si>
  <si>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</si>
  <si>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</si>
  <si>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</si>
  <si>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</si>
  <si>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</si>
  <si>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</si>
  <si>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</si>
  <si>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</si>
  <si>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</si>
  <si>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</si>
  <si>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</si>
  <si>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</si>
  <si>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</si>
  <si>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</si>
  <si>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</si>
  <si>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</si>
  <si>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</si>
  <si>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</si>
  <si>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</si>
  <si>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</si>
  <si>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</si>
  <si>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</si>
  <si>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</si>
  <si>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</si>
  <si>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</si>
  <si>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</si>
  <si>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</si>
  <si>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</si>
  <si>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</si>
  <si>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</si>
  <si>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</si>
  <si>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</si>
  <si>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</si>
  <si>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</si>
  <si>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</si>
  <si>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</si>
  <si>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</si>
  <si>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</si>
  <si>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</si>
  <si>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</si>
  <si>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</si>
  <si>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</si>
  <si>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</si>
  <si>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</si>
  <si>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</si>
  <si>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</si>
  <si>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</si>
  <si>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</si>
  <si>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</si>
  <si>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</si>
  <si>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</si>
  <si>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</si>
  <si>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</si>
  <si>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</si>
  <si>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</si>
  <si>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</si>
  <si>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</si>
  <si>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</si>
  <si>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</si>
  <si>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</si>
  <si>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</si>
  <si>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</si>
  <si>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</si>
  <si>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</si>
  <si>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</si>
  <si>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</si>
  <si>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</si>
  <si>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</si>
  <si>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</si>
  <si>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</si>
  <si>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</si>
  <si>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</si>
  <si>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</si>
  <si>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</si>
  <si>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</si>
  <si>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</si>
  <si>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</si>
  <si>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</si>
  <si>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</si>
  <si>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</si>
  <si>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</si>
  <si>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</si>
  <si>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</si>
  <si>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</si>
  <si>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</si>
  <si>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</si>
  <si>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</si>
  <si>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</si>
  <si>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</si>
  <si>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</si>
  <si>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</si>
  <si>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</si>
  <si>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</si>
  <si>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</si>
  <si>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</si>
  <si>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</si>
  <si>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</si>
  <si>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</si>
  <si>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</si>
  <si>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</si>
  <si>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</si>
  <si>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</si>
  <si>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</si>
  <si>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</si>
  <si>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</si>
  <si>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</si>
  <si>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</si>
  <si>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</si>
  <si>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</si>
  <si>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</si>
  <si>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</si>
  <si>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</si>
  <si>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</si>
  <si>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</si>
  <si>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</si>
  <si>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</si>
  <si>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</si>
  <si>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</si>
  <si>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</si>
  <si>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</si>
  <si>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</si>
  <si>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</si>
  <si>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</si>
  <si>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</si>
  <si>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</si>
  <si>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</si>
  <si>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</si>
  <si>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</si>
  <si>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</si>
  <si>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</si>
  <si>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</si>
  <si>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</si>
  <si>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</si>
  <si>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</si>
  <si>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</si>
  <si>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</si>
  <si>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</si>
  <si>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</si>
  <si>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</si>
  <si>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</si>
  <si>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</si>
  <si>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</si>
  <si>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</si>
  <si>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</si>
  <si>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</si>
  <si>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</si>
  <si>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</si>
  <si>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</si>
  <si>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</si>
  <si>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</si>
  <si>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</si>
  <si>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</si>
  <si>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</si>
  <si>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</si>
  <si>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</si>
  <si>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</si>
  <si>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</si>
  <si>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</si>
  <si>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</si>
  <si>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</si>
  <si>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</si>
  <si>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</si>
  <si>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</si>
  <si>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</si>
  <si>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</si>
  <si>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</si>
  <si>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</si>
  <si>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</si>
  <si>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</si>
  <si>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</si>
  <si>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</si>
  <si>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</si>
  <si>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</si>
  <si>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</si>
  <si>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</si>
  <si>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</si>
  <si>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</si>
  <si>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</si>
  <si>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</si>
  <si>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</si>
  <si>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</si>
  <si>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</si>
  <si>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</si>
  <si>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</si>
  <si>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</si>
  <si>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</si>
  <si>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</si>
  <si>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</si>
  <si>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</si>
  <si>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</si>
  <si>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</si>
  <si>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</si>
  <si>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</si>
  <si>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</si>
  <si>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</si>
  <si>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</si>
  <si>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</si>
  <si>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</si>
  <si>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</si>
  <si>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</si>
  <si>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</si>
  <si>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</si>
  <si>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</si>
  <si>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</si>
  <si>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</si>
  <si>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</si>
  <si>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</si>
  <si>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</si>
  <si>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</si>
  <si>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</si>
  <si>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</si>
  <si>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</si>
  <si>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</si>
  <si>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</si>
  <si>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</si>
  <si>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</si>
  <si>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</si>
  <si>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</si>
  <si>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</si>
  <si>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</si>
  <si>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</si>
  <si>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</si>
  <si>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</si>
  <si>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</si>
  <si>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</si>
  <si>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</si>
  <si>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</si>
  <si>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</si>
  <si>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</si>
  <si>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</si>
  <si>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</si>
  <si>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</si>
  <si>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</si>
  <si>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</si>
  <si>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</si>
  <si>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</si>
  <si>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</si>
  <si>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</si>
  <si>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</si>
  <si>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</si>
  <si>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</si>
  <si>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</si>
  <si>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</si>
  <si>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</si>
  <si>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</si>
  <si>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</si>
  <si>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</si>
  <si>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</si>
  <si>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</si>
  <si>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</si>
  <si>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</si>
  <si>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</si>
  <si>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</si>
  <si>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</si>
  <si>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</si>
  <si>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</si>
  <si>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</si>
  <si>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</si>
  <si>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</si>
  <si>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</si>
  <si>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</si>
  <si>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</si>
  <si>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</si>
  <si>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</si>
  <si>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</si>
  <si>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</si>
  <si>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</si>
  <si>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</si>
  <si>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</si>
  <si>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</si>
  <si>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</si>
  <si>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</si>
  <si>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</si>
  <si>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</si>
  <si>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</si>
  <si>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</si>
  <si>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</si>
  <si>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</si>
  <si>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</si>
  <si>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</si>
  <si>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</si>
  <si>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</si>
  <si>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</si>
  <si>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</si>
  <si>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</si>
  <si>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</si>
  <si>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</si>
  <si>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</si>
  <si>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</si>
  <si>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</si>
  <si>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</si>
  <si>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</si>
  <si>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</si>
  <si>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</si>
  <si>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</si>
  <si>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</si>
  <si>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</si>
  <si>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</si>
  <si>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</si>
  <si>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</si>
  <si>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</si>
  <si>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</si>
  <si>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</si>
  <si>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</si>
  <si>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</si>
  <si>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</si>
  <si>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</si>
  <si>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</si>
  <si>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</si>
  <si>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</si>
  <si>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</si>
  <si>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</si>
  <si>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</si>
  <si>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</si>
  <si>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</si>
  <si>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</si>
  <si>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</si>
  <si>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</si>
  <si>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</si>
  <si>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</si>
  <si>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</si>
  <si>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</si>
  <si>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</si>
  <si>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</si>
  <si>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</si>
  <si>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</si>
  <si>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</si>
  <si>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</si>
  <si>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</si>
  <si>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</si>
  <si>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</si>
  <si>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</si>
  <si>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</si>
  <si>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</si>
  <si>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</si>
  <si>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</si>
  <si>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</si>
  <si>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</si>
  <si>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</si>
  <si>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</si>
  <si>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</si>
  <si>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</si>
  <si>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</si>
  <si>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</si>
  <si>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</si>
  <si>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</si>
  <si>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</si>
  <si>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</si>
  <si>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</si>
  <si>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</si>
  <si>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</si>
  <si>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</si>
  <si>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</si>
  <si>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</si>
  <si>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</si>
  <si>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</si>
  <si>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</si>
  <si>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</si>
  <si>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</si>
  <si>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</si>
  <si>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</si>
  <si>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</si>
  <si>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</si>
  <si>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</si>
  <si>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</si>
  <si>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</si>
  <si>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</si>
  <si>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</si>
  <si>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</si>
  <si>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</si>
  <si>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</si>
  <si>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</si>
  <si>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</si>
  <si>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</si>
  <si>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</si>
  <si>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</si>
  <si>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</si>
  <si>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</si>
  <si>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</si>
  <si>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</si>
  <si>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</si>
  <si>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</si>
  <si>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</si>
  <si>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</si>
  <si>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</si>
  <si>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</si>
  <si>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</si>
  <si>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</si>
  <si>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</si>
  <si>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</si>
  <si>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</si>
  <si>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</si>
  <si>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</si>
  <si>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</si>
  <si>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</si>
  <si>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</si>
  <si>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</si>
  <si>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</si>
  <si>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</si>
  <si>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</si>
  <si>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</si>
  <si>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</si>
  <si>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</si>
  <si>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</si>
  <si>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</si>
  <si>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</si>
  <si>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</si>
  <si>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</si>
  <si>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</si>
  <si>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</si>
  <si>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</si>
  <si>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</si>
  <si>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</si>
  <si>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</si>
  <si>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</si>
  <si>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</si>
  <si>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</si>
  <si>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</si>
  <si>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</si>
  <si>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</si>
  <si>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</si>
  <si>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</si>
  <si>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</si>
  <si>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</si>
  <si>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</si>
  <si>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</si>
  <si>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</si>
  <si>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</si>
  <si>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</si>
  <si>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</si>
  <si>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</si>
  <si>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</si>
  <si>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</si>
  <si>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</si>
  <si>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</si>
  <si>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</si>
  <si>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</si>
  <si>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</si>
  <si>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</si>
  <si>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</si>
  <si>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</si>
  <si>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</si>
  <si>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</si>
  <si>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</si>
  <si>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</si>
  <si>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</si>
  <si>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</si>
  <si>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</si>
  <si>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</si>
  <si>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</si>
  <si>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</si>
  <si>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</si>
  <si>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</si>
  <si>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</si>
  <si>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</si>
  <si>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</si>
  <si>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</si>
  <si>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</si>
  <si>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</si>
  <si>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</si>
  <si>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</si>
  <si>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</si>
  <si>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</si>
  <si>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</si>
  <si>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</si>
  <si>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</si>
  <si>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</si>
  <si>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</si>
  <si>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</si>
  <si>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</si>
  <si>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</si>
  <si>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</si>
  <si>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</si>
  <si>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</si>
  <si>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</si>
  <si>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</si>
  <si>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</si>
  <si>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</si>
  <si>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</si>
  <si>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</si>
  <si>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</si>
  <si>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</si>
  <si>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</si>
  <si>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</si>
  <si>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</si>
  <si>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</si>
  <si>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</si>
  <si>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</si>
  <si>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</si>
  <si>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</si>
  <si>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</si>
  <si>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</si>
  <si>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</si>
  <si>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</si>
  <si>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</si>
  <si>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</si>
  <si>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</si>
  <si>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</si>
  <si>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</si>
  <si>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</si>
  <si>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</si>
  <si>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</si>
  <si>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</si>
  <si>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</si>
  <si>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</si>
  <si>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</si>
  <si>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</si>
  <si>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</si>
  <si>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</si>
  <si>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</si>
  <si>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</si>
  <si>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</si>
  <si>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</si>
  <si>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</si>
  <si>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</si>
  <si>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</si>
  <si>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</si>
  <si>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</si>
  <si>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</si>
  <si>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</si>
  <si>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</si>
  <si>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</si>
  <si>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</si>
  <si>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</si>
  <si>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</si>
  <si>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</si>
  <si>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</si>
  <si>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</si>
  <si>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</si>
  <si>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</si>
  <si>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</si>
  <si>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</si>
  <si>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</si>
  <si>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</si>
  <si>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</si>
  <si>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</si>
  <si>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</si>
  <si>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</si>
  <si>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</si>
  <si>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</si>
  <si>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</si>
  <si>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</si>
  <si>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</si>
  <si>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</si>
  <si>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</si>
  <si>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</si>
  <si>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</si>
  <si>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</si>
  <si>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</si>
  <si>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</si>
  <si>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</si>
  <si>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</si>
  <si>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</si>
  <si>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</si>
  <si>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</si>
  <si>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</si>
  <si>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</si>
  <si>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</si>
  <si>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</si>
  <si>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</si>
  <si>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</si>
  <si>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</si>
  <si>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</si>
  <si>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</si>
  <si>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</si>
  <si>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</si>
  <si>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</si>
  <si>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</si>
  <si>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</si>
  <si>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</si>
  <si>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</si>
  <si>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</si>
  <si>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</si>
  <si>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</si>
  <si>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</si>
  <si>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</si>
  <si>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</si>
  <si>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</si>
  <si>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</si>
  <si>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</si>
  <si>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</si>
  <si>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</si>
  <si>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</si>
  <si>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</si>
  <si>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</si>
  <si>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</si>
  <si>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</si>
  <si>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</si>
  <si>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</si>
  <si>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</si>
  <si>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</si>
  <si>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</si>
  <si>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</si>
  <si>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</si>
  <si>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</si>
  <si>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</si>
  <si>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</si>
  <si>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</si>
  <si>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</si>
  <si>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</si>
  <si>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</si>
  <si>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</si>
  <si>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</si>
  <si>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</si>
  <si>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</si>
  <si>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</si>
  <si>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</si>
  <si>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</si>
  <si>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</si>
  <si>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</si>
  <si>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</si>
  <si>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</si>
  <si>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</si>
  <si>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</si>
  <si>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</si>
  <si>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</si>
  <si>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</si>
  <si>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</si>
  <si>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</si>
  <si>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</si>
  <si>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</si>
  <si>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</si>
  <si>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</si>
  <si>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</si>
  <si>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</si>
  <si>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</si>
  <si>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</si>
  <si>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</si>
  <si>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</si>
  <si>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</si>
  <si>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</si>
  <si>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</si>
  <si>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</si>
  <si>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</si>
  <si>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</si>
  <si>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</si>
  <si>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</si>
  <si>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</si>
  <si>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</si>
  <si>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</si>
  <si>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</si>
  <si>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</si>
  <si>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</si>
  <si>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</si>
  <si>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</si>
  <si>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</si>
  <si>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</si>
  <si>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</si>
  <si>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</si>
  <si>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</si>
  <si>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</si>
  <si>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</si>
  <si>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</si>
  <si>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</si>
  <si>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</si>
  <si>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</si>
  <si>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</si>
  <si>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</si>
  <si>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</si>
  <si>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</si>
  <si>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</si>
  <si>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</si>
  <si>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</si>
  <si>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</si>
  <si>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</si>
  <si>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</si>
  <si>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</si>
  <si>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</si>
  <si>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</si>
  <si>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</si>
  <si>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</si>
  <si>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</si>
  <si>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</si>
  <si>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</si>
  <si>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</si>
  <si>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</si>
  <si>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</si>
  <si>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</si>
  <si>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</si>
  <si>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</si>
  <si>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</si>
  <si>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</si>
  <si>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</si>
  <si>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</si>
  <si>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</si>
  <si>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</si>
  <si>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</si>
  <si>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</si>
  <si>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</si>
  <si>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</si>
  <si>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</si>
  <si>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</si>
  <si>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</si>
  <si>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</si>
  <si>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</si>
  <si>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</si>
  <si>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</si>
  <si>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</si>
  <si>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</si>
  <si>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</si>
  <si>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</si>
  <si>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</si>
  <si>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</si>
  <si>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</si>
  <si>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</si>
  <si>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</si>
  <si>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</si>
  <si>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</si>
  <si>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</si>
  <si>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</si>
  <si>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</si>
  <si>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</si>
  <si>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</si>
  <si>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</si>
  <si>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</si>
  <si>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</si>
  <si>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</si>
  <si>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</si>
  <si>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</si>
  <si>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</si>
  <si>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</si>
  <si>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</si>
  <si>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</si>
  <si>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</si>
  <si>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</si>
  <si>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</si>
  <si>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</si>
  <si>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</si>
  <si>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</si>
  <si>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</si>
  <si>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</si>
  <si>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</si>
  <si>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</si>
  <si>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</si>
  <si>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</si>
  <si>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</si>
  <si>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</si>
  <si>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</si>
  <si>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</si>
  <si>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</si>
  <si>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</si>
  <si>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</si>
  <si>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</si>
  <si>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</si>
  <si>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</si>
  <si>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</si>
  <si>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</si>
  <si>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</si>
  <si>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</si>
  <si>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</si>
  <si>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</si>
  <si>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</si>
  <si>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</si>
  <si>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</si>
  <si>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</si>
  <si>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</si>
  <si>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</si>
  <si>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</si>
  <si>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</si>
  <si>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</si>
  <si>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</si>
  <si>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</si>
  <si>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</si>
  <si>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</si>
  <si>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</si>
  <si>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</si>
  <si>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</si>
  <si>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</si>
  <si>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</si>
  <si>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</si>
  <si>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</si>
  <si>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</si>
  <si>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</si>
  <si>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</si>
  <si>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</si>
  <si>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</si>
  <si>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</si>
  <si>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</si>
  <si>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</si>
  <si>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</si>
  <si>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</si>
  <si>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</si>
  <si>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</si>
  <si>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</si>
  <si>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</si>
  <si>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</si>
  <si>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</si>
  <si>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</si>
  <si>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</si>
  <si>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</si>
  <si>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</si>
  <si>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</si>
  <si>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</si>
  <si>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</si>
  <si>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</si>
  <si>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</si>
  <si>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</si>
  <si>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</si>
  <si>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</si>
  <si>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</si>
  <si>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</si>
  <si>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</si>
  <si>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</si>
  <si>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</si>
  <si>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</si>
  <si>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</si>
  <si>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</si>
  <si>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</si>
  <si>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</si>
  <si>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</si>
  <si>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</si>
  <si>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</si>
  <si>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</si>
  <si>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</si>
  <si>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</si>
  <si>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</si>
  <si>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</si>
  <si>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</si>
  <si>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</si>
  <si>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</si>
  <si>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</si>
  <si>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</si>
  <si>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</si>
  <si>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</si>
  <si>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</si>
  <si>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</si>
  <si>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</si>
  <si>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</si>
  <si>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</si>
  <si>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</si>
  <si>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</si>
  <si>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</si>
  <si>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</si>
  <si>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</si>
  <si>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</si>
  <si>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</si>
  <si>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</si>
  <si>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</si>
  <si>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</si>
  <si>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</si>
  <si>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</si>
  <si>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</si>
  <si>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</si>
  <si>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</si>
  <si>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</si>
  <si>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</si>
  <si>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</si>
  <si>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</si>
  <si>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</si>
  <si>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</si>
  <si>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</si>
  <si>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</si>
  <si>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</si>
  <si>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</si>
  <si>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</si>
  <si>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</si>
  <si>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</si>
  <si>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</si>
  <si>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</si>
  <si>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</si>
  <si>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</si>
  <si>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</si>
  <si>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</si>
  <si>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</si>
  <si>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</si>
  <si>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</si>
  <si>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</si>
  <si>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</si>
  <si>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</si>
  <si>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</si>
  <si>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</si>
  <si>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</si>
  <si>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</si>
  <si>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</si>
  <si>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</si>
  <si>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</si>
  <si>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</si>
  <si>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</si>
  <si>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</si>
  <si>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</si>
  <si>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</si>
  <si>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</si>
  <si>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</si>
  <si>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</si>
  <si>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</si>
  <si>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</si>
  <si>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</si>
  <si>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</si>
  <si>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</si>
  <si>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</si>
  <si>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</si>
  <si>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</si>
  <si>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</si>
  <si>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</si>
  <si>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</si>
  <si>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</si>
  <si>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</si>
  <si>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</si>
  <si>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</si>
  <si>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</si>
  <si>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</si>
  <si>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</si>
  <si>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</si>
  <si>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</si>
  <si>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</si>
  <si>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</si>
  <si>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</si>
  <si>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</si>
  <si>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</si>
  <si>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</si>
  <si>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</si>
  <si>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</si>
  <si>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</si>
  <si>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</si>
  <si>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</si>
  <si>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</si>
  <si>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</si>
  <si>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</si>
  <si>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</si>
  <si>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</si>
  <si>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</si>
  <si>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</si>
  <si>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</si>
  <si>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</si>
  <si>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</si>
  <si>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</si>
  <si>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</si>
  <si>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</si>
  <si>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</si>
  <si>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</si>
  <si>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</si>
  <si>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</si>
  <si>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</si>
  <si>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</si>
  <si>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</si>
  <si>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</si>
  <si>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</si>
  <si>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</si>
  <si>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</si>
  <si>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</si>
  <si>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</si>
  <si>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</si>
  <si>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</si>
  <si>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</si>
  <si>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</si>
  <si>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</si>
  <si>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</si>
  <si>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</si>
  <si>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</si>
  <si>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</si>
  <si>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</si>
  <si>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</si>
  <si>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</si>
  <si>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</si>
  <si>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</si>
  <si>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</si>
  <si>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</si>
  <si>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</si>
  <si>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</si>
  <si>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</si>
  <si>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</si>
  <si>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</si>
  <si>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</si>
  <si>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</si>
  <si>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</si>
  <si>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</si>
  <si>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</si>
  <si>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</si>
  <si>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</si>
  <si>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</si>
  <si>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</si>
  <si>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</si>
  <si>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</si>
  <si>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</si>
  <si>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</si>
  <si>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</si>
  <si>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</si>
  <si>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</si>
  <si>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</si>
  <si>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</si>
  <si>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</si>
  <si>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</si>
  <si>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</si>
  <si>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</si>
  <si>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</si>
  <si>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</si>
  <si>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</si>
  <si>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</si>
  <si>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</si>
  <si>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</si>
  <si>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</si>
  <si>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</si>
  <si>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</si>
  <si>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</si>
  <si>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</si>
  <si>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</si>
  <si>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</si>
  <si>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</si>
  <si>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</si>
  <si>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</si>
  <si>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</si>
  <si>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</si>
  <si>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</si>
  <si>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</si>
  <si>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</si>
  <si>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</si>
  <si>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</si>
  <si>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</si>
  <si>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</si>
  <si>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</si>
  <si>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</si>
  <si>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</si>
  <si>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</si>
  <si>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</si>
  <si>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</si>
  <si>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</si>
  <si>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</si>
  <si>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</si>
  <si>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</si>
  <si>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</si>
  <si>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</si>
  <si>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</si>
  <si>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</si>
  <si>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</si>
  <si>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</si>
  <si>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</si>
  <si>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</si>
  <si>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</si>
  <si>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</si>
  <si>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</si>
  <si>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</si>
  <si>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</si>
  <si>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</si>
  <si>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</si>
  <si>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</si>
  <si>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</si>
  <si>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</si>
  <si>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</si>
  <si>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</si>
  <si>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</si>
  <si>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</si>
  <si>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</si>
  <si>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</si>
  <si>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</si>
  <si>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</si>
  <si>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</si>
  <si>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</si>
  <si>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</si>
  <si>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</si>
  <si>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</si>
  <si>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</si>
  <si>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</si>
  <si>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</si>
  <si>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</si>
  <si>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</si>
  <si>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</si>
  <si>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</si>
  <si>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</si>
  <si>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</si>
  <si>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</si>
  <si>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</si>
  <si>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</si>
  <si>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</si>
  <si>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</si>
  <si>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</si>
  <si>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</si>
  <si>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</si>
  <si>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</si>
  <si>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</si>
  <si>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</si>
  <si>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</si>
  <si>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</si>
  <si>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</si>
  <si>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</si>
  <si>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</si>
  <si>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</si>
  <si>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</si>
  <si>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</si>
  <si>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</si>
  <si>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</si>
  <si>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</si>
  <si>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</si>
  <si>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</si>
  <si>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</si>
  <si>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</si>
  <si>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</si>
  <si>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</si>
  <si>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</si>
  <si>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</si>
  <si>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</si>
  <si>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</si>
  <si>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</si>
  <si>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</si>
  <si>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</si>
  <si>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</si>
  <si>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</si>
  <si>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</si>
  <si>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</si>
  <si>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</si>
  <si>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</si>
  <si>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</si>
  <si>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</si>
  <si>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</si>
  <si>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</si>
  <si>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</si>
  <si>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</si>
  <si>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</si>
  <si>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</si>
  <si>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</si>
  <si>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</si>
  <si>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</si>
  <si>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</si>
  <si>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</si>
  <si>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</si>
  <si>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</si>
  <si>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</si>
  <si>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</si>
  <si>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</si>
  <si>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</si>
  <si>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</si>
  <si>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</si>
  <si>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</si>
  <si>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</si>
  <si>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</si>
  <si>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</si>
  <si>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</si>
  <si>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</si>
  <si>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</si>
  <si>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</si>
  <si>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</si>
  <si>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</si>
  <si>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</si>
  <si>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</si>
  <si>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</si>
  <si>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</si>
  <si>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</si>
  <si>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</si>
  <si>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</si>
  <si>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</si>
  <si>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</si>
  <si>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</si>
  <si>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</si>
  <si>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</si>
  <si>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</si>
  <si>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</si>
  <si>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</si>
  <si>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</si>
  <si>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</si>
  <si>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</si>
  <si>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</si>
  <si>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</si>
  <si>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</si>
  <si>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</si>
  <si>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</si>
  <si>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</si>
  <si>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</si>
  <si>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</si>
  <si>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</si>
  <si>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</si>
  <si>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</si>
  <si>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</si>
  <si>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</si>
  <si>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</si>
  <si>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</si>
  <si>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</si>
  <si>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</si>
  <si>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</si>
  <si>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</si>
  <si>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</si>
  <si>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</si>
  <si>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</si>
  <si>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</si>
  <si>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</si>
  <si>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</si>
  <si>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</si>
  <si>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</si>
  <si>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</si>
  <si>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</si>
  <si>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</si>
  <si>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</si>
  <si>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</si>
  <si>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</si>
  <si>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</si>
  <si>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</si>
  <si>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</si>
  <si>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</si>
  <si>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</si>
  <si>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</si>
  <si>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</si>
  <si>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</si>
  <si>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</si>
  <si>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</si>
  <si>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</si>
  <si>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</si>
  <si>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</si>
  <si>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</si>
  <si>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</si>
  <si>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</si>
  <si>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</si>
  <si>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</si>
  <si>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</si>
  <si>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</si>
  <si>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</si>
  <si>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</si>
  <si>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</si>
  <si>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</si>
  <si>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</si>
  <si>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</si>
  <si>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</si>
  <si>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</si>
  <si>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</si>
  <si>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</si>
  <si>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</si>
  <si>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</si>
  <si>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</si>
  <si>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</si>
  <si>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</si>
  <si>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</si>
  <si>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</si>
  <si>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</si>
  <si>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</si>
  <si>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</si>
  <si>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</si>
  <si>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</si>
  <si>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</si>
  <si>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</si>
  <si>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</si>
  <si>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</si>
  <si>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</si>
  <si>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</si>
  <si>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</si>
  <si>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</si>
  <si>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</si>
  <si>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</si>
  <si>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</si>
  <si>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</si>
  <si>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</si>
  <si>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</si>
  <si>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</si>
  <si>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</si>
  <si>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</si>
  <si>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</si>
  <si>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</si>
  <si>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</si>
  <si>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</si>
  <si>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</si>
  <si>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</si>
  <si>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</si>
  <si>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</si>
  <si>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</si>
  <si>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</si>
  <si>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</si>
  <si>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</si>
  <si>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</si>
  <si>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</si>
  <si>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</si>
  <si>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</si>
  <si>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</si>
  <si>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</si>
  <si>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</si>
  <si>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</si>
  <si>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</si>
  <si>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</si>
  <si>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</si>
  <si>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</si>
  <si>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</si>
  <si>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</si>
  <si>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</si>
  <si>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</si>
  <si>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</si>
  <si>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</si>
  <si>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</si>
  <si>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</si>
  <si>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</si>
  <si>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</si>
  <si>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</si>
  <si>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</si>
  <si>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</si>
  <si>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</si>
  <si>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</si>
  <si>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</si>
  <si>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</si>
  <si>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</si>
  <si>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</si>
  <si>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</si>
  <si>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</si>
  <si>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</si>
  <si>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</si>
  <si>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</si>
  <si>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</si>
  <si>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</si>
  <si>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</si>
  <si>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</si>
  <si>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</si>
  <si>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</si>
  <si>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</si>
  <si>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</si>
  <si>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</si>
  <si>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</si>
  <si>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</si>
  <si>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</si>
  <si>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</si>
  <si>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</si>
  <si>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</si>
  <si>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</si>
  <si>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</si>
  <si>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</si>
  <si>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</si>
  <si>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</si>
  <si>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</si>
  <si>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</si>
  <si>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</si>
  <si>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</si>
  <si>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</si>
  <si>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</si>
  <si>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</si>
  <si>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</si>
  <si>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</si>
  <si>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</si>
  <si>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</si>
  <si>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</si>
  <si>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</si>
  <si>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</si>
  <si>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</si>
  <si>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</si>
  <si>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</si>
  <si>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</si>
  <si>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</si>
  <si>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</si>
  <si>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</si>
  <si>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</si>
  <si>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</si>
  <si>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</si>
  <si>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</si>
  <si>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</si>
  <si>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</si>
  <si>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</si>
  <si>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</si>
  <si>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</si>
  <si>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</si>
  <si>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</si>
  <si>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</si>
  <si>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</si>
  <si>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</si>
  <si>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</si>
  <si>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</si>
  <si>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</si>
  <si>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</si>
  <si>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</si>
  <si>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</si>
  <si>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</si>
  <si>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</si>
  <si>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</si>
  <si>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</si>
  <si>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</si>
  <si>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</si>
  <si>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</si>
  <si>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</si>
  <si>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</si>
  <si>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</si>
  <si>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</si>
  <si>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</si>
  <si>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</si>
  <si>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</si>
  <si>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</si>
  <si>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</si>
  <si>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</si>
  <si>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</si>
  <si>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</si>
  <si>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</si>
  <si>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</si>
  <si>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</si>
  <si>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</si>
  <si>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</si>
  <si>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</si>
  <si>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</si>
  <si>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</si>
  <si>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</si>
  <si>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</si>
  <si>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</si>
  <si>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</si>
  <si>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</si>
  <si>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</si>
  <si>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</si>
  <si>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</si>
  <si>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</si>
  <si>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</si>
  <si>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</si>
  <si>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</si>
  <si>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</si>
  <si>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</si>
  <si>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</si>
  <si>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</si>
  <si>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</si>
  <si>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</si>
  <si>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</si>
  <si>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</si>
  <si>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</si>
  <si>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</si>
  <si>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</si>
  <si>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</si>
  <si>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</si>
  <si>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</si>
  <si>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</si>
  <si>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</si>
  <si>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</si>
  <si>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</si>
  <si>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</si>
  <si>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</si>
  <si>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</si>
  <si>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</si>
  <si>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</si>
  <si>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</si>
  <si>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</si>
  <si>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</si>
  <si>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</si>
  <si>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</si>
  <si>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</si>
  <si>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</si>
  <si>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</si>
  <si>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</si>
  <si>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</si>
  <si>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</si>
  <si>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</si>
  <si>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</si>
  <si>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</si>
  <si>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</si>
  <si>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</si>
  <si>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</si>
  <si>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</si>
  <si>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</si>
  <si>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</si>
  <si>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</si>
  <si>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</si>
  <si>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</si>
  <si>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</si>
  <si>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</si>
  <si>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</si>
  <si>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</si>
  <si>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</si>
  <si>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</si>
  <si>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</si>
  <si>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</si>
  <si>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</si>
  <si>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</si>
  <si>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</si>
  <si>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</si>
  <si>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</si>
  <si>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</si>
  <si>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</si>
  <si>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</si>
  <si>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</si>
  <si>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</si>
  <si>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</si>
  <si>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</si>
  <si>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</si>
  <si>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</si>
  <si>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</si>
  <si>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</si>
  <si>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</si>
  <si>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</si>
  <si>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</si>
  <si>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</si>
  <si>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</si>
  <si>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</si>
  <si>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</si>
  <si>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</si>
  <si>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</si>
  <si>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</si>
  <si>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</si>
  <si>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</si>
  <si>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</si>
  <si>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</si>
  <si>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</si>
  <si>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</si>
  <si>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</si>
  <si>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</si>
  <si>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</si>
  <si>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</si>
  <si>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</si>
  <si>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</si>
  <si>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</si>
  <si>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</si>
  <si>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</si>
  <si>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</si>
  <si>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</si>
  <si>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</si>
  <si>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</si>
  <si>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</si>
  <si>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</si>
  <si>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</si>
  <si>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</si>
  <si>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</si>
  <si>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</si>
  <si>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</si>
  <si>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</si>
  <si>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</si>
  <si>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</si>
  <si>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</si>
  <si>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</si>
  <si>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</si>
  <si>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</si>
  <si>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</si>
  <si>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</si>
  <si>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</si>
  <si>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</si>
  <si>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</si>
  <si>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</si>
  <si>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</si>
  <si>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</si>
  <si>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</si>
  <si>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</si>
  <si>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</si>
  <si>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</si>
  <si>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</si>
  <si>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</si>
  <si>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</si>
  <si>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</si>
  <si>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</si>
  <si>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</si>
  <si>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</si>
  <si>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</si>
  <si>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</si>
  <si>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</si>
  <si>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</si>
  <si>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</si>
  <si>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</si>
  <si>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</si>
  <si>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</si>
  <si>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</si>
  <si>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</si>
  <si>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</si>
  <si>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</si>
  <si>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</si>
  <si>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</si>
  <si>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</si>
  <si>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</si>
  <si>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</si>
  <si>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</si>
  <si>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</si>
  <si>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</si>
  <si>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</si>
  <si>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</si>
  <si>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</si>
  <si>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</si>
  <si>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</si>
  <si>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</si>
  <si>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</si>
  <si>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</si>
  <si>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</si>
  <si>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</si>
  <si>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</si>
  <si>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</si>
  <si>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</si>
  <si>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</si>
  <si>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</si>
  <si>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</si>
  <si>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</si>
  <si>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</si>
  <si>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</si>
  <si>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</si>
  <si>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</si>
  <si>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</si>
  <si>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</si>
  <si>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</si>
  <si>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</si>
  <si>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</si>
  <si>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</si>
  <si>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</si>
  <si>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</si>
  <si>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</si>
  <si>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</si>
  <si>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</si>
  <si>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</si>
  <si>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</si>
  <si>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</si>
  <si>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</si>
  <si>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</si>
  <si>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</si>
  <si>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</si>
  <si>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</si>
  <si>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</si>
  <si>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</si>
  <si>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</si>
  <si>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</si>
  <si>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</si>
  <si>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Zličín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</si>
  <si>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</si>
  <si>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</si>
  <si>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</si>
  <si>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</si>
  <si>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</si>
  <si>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</si>
  <si>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</si>
  <si>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</si>
  <si>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</si>
  <si>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</si>
  <si>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</si>
  <si>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</si>
  <si>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</si>
  <si>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</si>
  <si>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</si>
  <si>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</si>
  <si>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</si>
  <si>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</si>
  <si>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</si>
  <si>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</si>
  <si>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</si>
  <si>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</si>
  <si>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</si>
  <si>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</si>
  <si>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</si>
  <si>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29:00</t>
  </si>
  <si>
    <t>Lowe Jana</t>
  </si>
  <si>
    <t>3:00</t>
  </si>
  <si>
    <t>Pechová Barbora</t>
  </si>
  <si>
    <t>8:00</t>
  </si>
  <si>
    <t>6:00</t>
  </si>
  <si>
    <t>5:00</t>
  </si>
  <si>
    <t>Dragoun Alfréd</t>
  </si>
  <si>
    <t>7:00</t>
  </si>
  <si>
    <t>12 min 01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</si>
  <si>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</si>
  <si>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</si>
  <si>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</si>
  <si>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</si>
  <si>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Ayuna Hanakova</t>
  </si>
  <si>
    <t>10:00 - 15:00 (Instor)</t>
  </si>
  <si>
    <t>10:00 - 17:00 (Instor)</t>
  </si>
  <si>
    <t xml:space="preserve">Ondřej Veselý </t>
  </si>
  <si>
    <t>15:00 - 18:00 (Instor)</t>
  </si>
  <si>
    <t>17:00 - 0:00 (Instor)</t>
  </si>
  <si>
    <t>17:00 - 1:00 (Instor)</t>
  </si>
  <si>
    <t>Karel Kučera</t>
  </si>
  <si>
    <t>18:00 - 0:00 (Instor)</t>
  </si>
  <si>
    <t>17:00 - 0:00 (Kurýr)</t>
  </si>
  <si>
    <t>17:00 - 1:00 (Kurýr)</t>
  </si>
  <si>
    <t>11:00 - 17:00 (Kurýr)</t>
  </si>
  <si>
    <t>Liubov Kormash</t>
  </si>
  <si>
    <t>11:00 - 18:00 (Kurýr)</t>
  </si>
  <si>
    <t>18:00 - 0:00 (Kurýr)</t>
  </si>
  <si>
    <t>Bára Pechová</t>
  </si>
  <si>
    <t>18:00 - 22:00 (Instor)</t>
  </si>
  <si>
    <t>Jakub Novák</t>
  </si>
  <si>
    <t>Otakar Černohorský</t>
  </si>
  <si>
    <t>Antonio Gomez</t>
  </si>
  <si>
    <t>10:00 - 18:00 (Instor)</t>
  </si>
  <si>
    <t>11:00 - 18:00 (Instor)</t>
  </si>
  <si>
    <t>17:00 - 22:00 (Instor)</t>
  </si>
  <si>
    <t>Michal Čerešňák</t>
  </si>
  <si>
    <t>11:00 - 1:00 (Kurýr)</t>
  </si>
  <si>
    <t>11:00 - 0:00 (Kurýr)</t>
  </si>
  <si>
    <t>Vendula Pánková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</si>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</sst>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Arial"/>
    </font>
    <font>
      <b/>
      <sz val="14.0"/>
      <color theme="1"/>
      <name val="Arial"/>
      <scheme val="minor"/>
    </font>
    <font>
      <b/>
      <i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20" xfId="0" applyAlignment="1" applyBorder="1" applyFont="1" applyNumberFormat="1">
      <alignment horizontal="center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30" fillId="9" fontId="2" numFmtId="0" xfId="0" applyAlignment="1" applyBorder="1" applyFont="1">
      <alignment horizontal="center" readingOrder="0" vertical="center"/>
    </xf>
    <xf borderId="29" fillId="9" fontId="2" numFmtId="49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/>
    </xf>
    <xf borderId="36" fillId="0" fontId="6" numFmtId="0" xfId="0" applyBorder="1" applyFont="1"/>
    <xf borderId="26" fillId="9" fontId="2" numFmtId="20" xfId="0" applyAlignment="1" applyBorder="1" applyFont="1" applyNumberFormat="1">
      <alignment horizontal="center" vertical="center"/>
    </xf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3" fillId="5" fontId="12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69" xfId="0" applyAlignment="1" applyBorder="1" applyFont="1" applyNumberFormat="1">
      <alignment horizontal="center" shrinkToFit="0" wrapText="1"/>
    </xf>
    <xf borderId="54" fillId="10" fontId="19" numFmtId="169" xfId="0" applyAlignment="1" applyBorder="1" applyFont="1" applyNumberFormat="1">
      <alignment horizontal="center" shrinkToFit="0" wrapText="1"/>
    </xf>
    <xf borderId="56" fillId="0" fontId="6" numFmtId="0" xfId="0" applyBorder="1" applyFont="1"/>
    <xf borderId="57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35" fillId="10" fontId="19" numFmtId="169" xfId="0" applyAlignment="1" applyBorder="1" applyFont="1" applyNumberFormat="1">
      <alignment horizontal="center" shrinkToFit="0" wrapText="1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6" numFmtId="0" xfId="0" applyAlignment="1" applyBorder="1" applyFill="1" applyFont="1">
      <alignment shrinkToFit="0" vertical="bottom" wrapText="1"/>
    </xf>
    <xf borderId="0" fillId="22" fontId="26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46204.0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SUMIFS(RestiaCSV!C:C, RestiaCSV!B:B, "&lt;&gt;canceled", RestiaCSV!B:B, "&lt;&gt;expired")</f>
        <v>0</v>
      </c>
      <c r="K2" s="21"/>
      <c r="L2" s="23" t="s">
        <v>2556</v>
      </c>
      <c r="M2" s="24">
        <f>SUMIFS(RestiaCSV!C:C, RestiaCSV!A:A, Report!L2, RestiaCSV!B:B, "&lt;&gt;canceled", RestiaCSV!B:B, "&lt;&gt;expired")</f>
        <v>0</v>
      </c>
    </row>
    <row r="3">
      <c r="A3" s="25"/>
      <c r="B3" s="26" t="str">
        <f>CHOOSE(WEEKDAY(D1), "Neděle", "Pondělí", "Úterý", "Středa", "Čtvrtek", "Pátek", "Sobota")</f>
        <v>Středa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/>
      <c r="C12" s="54"/>
      <c r="D12" s="54"/>
      <c r="E12" s="55"/>
      <c r="F12" s="56" t="str">
        <f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2570</v>
      </c>
      <c r="M12" s="58"/>
    </row>
    <row r="13">
      <c r="A13" s="52">
        <f t="array" ref="A13">IF(ISBLANK(#REF!), 0, IF(ISNUMBER(MATCH(#REF!, HR!A:A, 0)), 0, IF(ISNUMBER(MATCH(#REF!, HR!B:B, 0)), INDEX(HR!V:V, MATCH(#REF!, HR!B:B, 0)) * (F13 * 24), 0)))</f>
        <v>0</v>
      </c>
      <c r="B13" s="53"/>
      <c r="C13" s="54"/>
      <c r="D13" s="54"/>
      <c r="E13" s="55"/>
      <c r="F13" s="56" t="str">
        <f t="shared" ref="F13:F16" si="1">IF(OR(ISBLANK(B13),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TIMEVALUE(IF(ISBLANK(C13), "00:00", C13)) - TIMEVALUE(IF(ISBLANK(E13), "00:00", E13))), "hh:mm"))
</f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55"/>
      <c r="F14" s="56" t="str">
        <f t="shared" si="1"/>
        <v>0:00</v>
      </c>
      <c r="G14" s="60"/>
      <c r="I14" s="21"/>
      <c r="J14" s="36"/>
      <c r="K14" s="21"/>
      <c r="L14" s="61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55"/>
      <c r="F15" s="56" t="str">
        <f t="shared" si="1"/>
        <v>0:00</v>
      </c>
      <c r="I15" s="21"/>
      <c r="J15" s="36"/>
      <c r="K15" s="21"/>
      <c r="L15" s="61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55"/>
      <c r="F16" s="56" t="str">
        <f t="shared" si="1"/>
        <v>0:00</v>
      </c>
      <c r="I16" s="21"/>
      <c r="J16" s="36"/>
      <c r="K16" s="21"/>
      <c r="L16" s="61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ref="F17:F21" si="2">IF(OR(ISBLANK(B17), ISBLANK(D17), D17=0), "0:00", TEXT((IF(AND(TIMEVALUE(IF(ISBLANK(D17), "00:00", D17))&gt;=TIMEVALUE("00:00"), TIMEVALUE(IF(ISBLANK(D17), "00:00", D17))&lt;=TIMEVALUE("06:00")), TIMEVALUE(IF(ISBLANK(D17), "00:00", D17))+1, TIMEVALUE(IF(ISBLANK(D17), "00:00", D17))) - TIMEVALUE(IF(ISBLANK(C17), "00:00", C17)) - TIMEVALUE(IF(ISBLANK(E17), "00:00", E17))), "hh:mm"))
</f>
        <v>0:00</v>
      </c>
      <c r="G17" s="28"/>
      <c r="H17" s="28"/>
      <c r="I17" s="19"/>
      <c r="J17" s="18"/>
      <c r="K17" s="19"/>
      <c r="L17" s="62" t="s">
        <v>33</v>
      </c>
      <c r="M17" s="63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55"/>
      <c r="F18" s="56" t="str">
        <f t="shared" si="2"/>
        <v>0:00</v>
      </c>
      <c r="G18" s="64" t="s">
        <v>16</v>
      </c>
      <c r="H18" s="28"/>
      <c r="I18" s="19"/>
      <c r="J18" s="65"/>
      <c r="M18" s="66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55"/>
      <c r="F19" s="56" t="str">
        <f t="shared" si="2"/>
        <v>0:00</v>
      </c>
      <c r="G19" s="48"/>
      <c r="I19" s="21"/>
      <c r="M19" s="66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54"/>
      <c r="D20" s="54"/>
      <c r="E20" s="55"/>
      <c r="F20" s="56" t="str">
        <f t="shared" si="2"/>
        <v>0:00</v>
      </c>
      <c r="I20" s="21"/>
      <c r="M20" s="66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67"/>
      <c r="C21" s="68"/>
      <c r="D21" s="68"/>
      <c r="E21" s="69"/>
      <c r="F21" s="70" t="str">
        <f t="shared" si="2"/>
        <v>0:00</v>
      </c>
      <c r="G21" s="28"/>
      <c r="H21" s="28"/>
      <c r="I21" s="19"/>
      <c r="M21" s="66"/>
    </row>
    <row r="22">
      <c r="A22" s="71"/>
      <c r="B22" s="72"/>
      <c r="C22" s="28"/>
      <c r="D22" s="28"/>
      <c r="E22" s="28"/>
      <c r="F22" s="28"/>
      <c r="G22" s="28"/>
      <c r="H22" s="28"/>
      <c r="I22" s="19"/>
      <c r="J22" s="73" t="s">
        <v>34</v>
      </c>
      <c r="K22" s="73" t="s">
        <v>35</v>
      </c>
      <c r="L22" s="74" t="s">
        <v>2571</v>
      </c>
      <c r="M22" s="74" t="s">
        <v>37</v>
      </c>
    </row>
    <row r="23">
      <c r="A23" s="71"/>
      <c r="B23" s="75" t="s">
        <v>78</v>
      </c>
      <c r="I23" s="21"/>
      <c r="J23" s="76">
        <f>COUNTIF(RestiaCSV!B:B, "canceled")</f>
        <v>0</v>
      </c>
      <c r="K23" s="77">
        <f>SUMIF(RestiaCSV!B:B, "canceled", RestiaCSV!C:C)</f>
        <v>0</v>
      </c>
      <c r="L23" s="78">
        <f>COUNTIFS(RestiaCSV!L:L, "&gt;5", RestiaCSV!F:F, "delivery")</f>
        <v>0</v>
      </c>
      <c r="M23" s="76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1"/>
      <c r="B24" s="79" t="s">
        <v>2565</v>
      </c>
      <c r="C24" s="80" t="s">
        <v>2566</v>
      </c>
      <c r="D24" s="80" t="s">
        <v>2567</v>
      </c>
      <c r="E24" s="80" t="s">
        <v>2568</v>
      </c>
      <c r="F24" s="81" t="s">
        <v>2569</v>
      </c>
      <c r="G24" s="81" t="s">
        <v>2572</v>
      </c>
      <c r="H24" s="81" t="s">
        <v>2573</v>
      </c>
      <c r="I24" s="82" t="s">
        <v>13</v>
      </c>
      <c r="J24" s="83" t="s">
        <v>2574</v>
      </c>
      <c r="K24" s="84" t="s">
        <v>2498</v>
      </c>
      <c r="L24" s="83" t="s">
        <v>2499</v>
      </c>
      <c r="M24" s="84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/>
      <c r="C25" s="85"/>
      <c r="D25" s="85"/>
      <c r="E25" s="85"/>
      <c r="F25" s="56" t="str">
        <f t="shared" ref="F25:F31" si="3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6">
        <f>COUNTIF(RestiaCSV!E:E, B25)</f>
        <v>0</v>
      </c>
      <c r="H25" s="87" t="b">
        <v>1</v>
      </c>
      <c r="I25" s="88">
        <f t="shared" ref="I25:I31" si="4">IF(H25,G25*45, 0)</f>
        <v>0</v>
      </c>
      <c r="J25" s="89"/>
      <c r="K25" s="89"/>
      <c r="L25" s="89"/>
      <c r="M25" s="89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5"/>
      <c r="D26" s="85"/>
      <c r="E26" s="90"/>
      <c r="F26" s="56" t="str">
        <f t="shared" si="3"/>
        <v>0:00</v>
      </c>
      <c r="G26" s="86">
        <f>COUNTIF(RestiaCSV!E:E, B26)</f>
        <v>0</v>
      </c>
      <c r="H26" s="87" t="b">
        <v>1</v>
      </c>
      <c r="I26" s="88">
        <f t="shared" si="4"/>
        <v>0</v>
      </c>
      <c r="J26" s="91">
        <f>COUNTIF(I25:I31, "&gt;0")</f>
        <v>0</v>
      </c>
      <c r="K26" s="78">
        <f>IFERROR(__xludf.DUMMYFUNCTION("COUNTA(FILTER(RestiaCSV!B2:B32, RestiaCSV!B2:B32 &lt;&gt; ""canceled""))"),0.0)</f>
        <v>0</v>
      </c>
      <c r="L26" s="78">
        <f>COUNTIF(RestiaCSV!F1:F32, "delivery")</f>
        <v>0</v>
      </c>
      <c r="M26" s="92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5"/>
      <c r="D27" s="85"/>
      <c r="E27" s="90"/>
      <c r="F27" s="56" t="str">
        <f t="shared" si="3"/>
        <v>0:00</v>
      </c>
      <c r="G27" s="86">
        <f>COUNTIF(RestiaCSV!E:E, B27)</f>
        <v>0</v>
      </c>
      <c r="H27" s="87" t="b">
        <v>1</v>
      </c>
      <c r="I27" s="88">
        <f t="shared" si="4"/>
        <v>0</v>
      </c>
      <c r="J27" s="93" t="s">
        <v>2575</v>
      </c>
      <c r="K27" s="94"/>
      <c r="L27" s="83" t="s">
        <v>2502</v>
      </c>
      <c r="M27" s="84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5"/>
      <c r="D28" s="85"/>
      <c r="E28" s="90"/>
      <c r="F28" s="56" t="str">
        <f t="shared" si="3"/>
        <v>0:00</v>
      </c>
      <c r="G28" s="86">
        <f>COUNTIF(RestiaCSV!E:E, B28)</f>
        <v>0</v>
      </c>
      <c r="H28" s="87" t="b">
        <v>1</v>
      </c>
      <c r="I28" s="88">
        <f t="shared" si="4"/>
        <v>0</v>
      </c>
      <c r="J28" s="95"/>
      <c r="K28" s="96"/>
      <c r="L28" s="89"/>
      <c r="M28" s="89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5"/>
      <c r="D29" s="85"/>
      <c r="E29" s="90"/>
      <c r="F29" s="56" t="str">
        <f t="shared" si="3"/>
        <v>0:00</v>
      </c>
      <c r="G29" s="86">
        <f>COUNTIF(RestiaCSV!E:E, B29)</f>
        <v>0</v>
      </c>
      <c r="H29" s="87" t="b">
        <v>1</v>
      </c>
      <c r="I29" s="88">
        <f t="shared" si="4"/>
        <v>0</v>
      </c>
      <c r="J29" s="97">
        <f>COUNTIFS(RestiaCSV!M:M, "&gt;5", RestiaCSV!L:L, "&gt;5")</f>
        <v>0</v>
      </c>
      <c r="K29" s="98"/>
      <c r="L29" s="99" t="str">
        <f>L23/L26</f>
        <v>#DIV/0!</v>
      </c>
      <c r="M29" s="78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0"/>
      <c r="D30" s="85"/>
      <c r="E30" s="90"/>
      <c r="F30" s="56" t="str">
        <f t="shared" si="3"/>
        <v>0:00</v>
      </c>
      <c r="G30" s="86">
        <f>COUNTIF(RestiaCSV!E:E, B30)</f>
        <v>0</v>
      </c>
      <c r="H30" s="87" t="b">
        <v>0</v>
      </c>
      <c r="I30" s="88">
        <f t="shared" si="4"/>
        <v>0</v>
      </c>
      <c r="J30" s="100"/>
      <c r="K30" s="100"/>
      <c r="L30" s="84" t="s">
        <v>2504</v>
      </c>
      <c r="M30" s="84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1"/>
      <c r="C31" s="90"/>
      <c r="D31" s="90"/>
      <c r="E31" s="90"/>
      <c r="F31" s="56" t="str">
        <f t="shared" si="3"/>
        <v>0:00</v>
      </c>
      <c r="G31" s="86">
        <f>COUNTIF(RestiaCSV!E:E, B31)</f>
        <v>0</v>
      </c>
      <c r="H31" s="87" t="b">
        <v>0</v>
      </c>
      <c r="I31" s="88">
        <f t="shared" si="4"/>
        <v>0</v>
      </c>
      <c r="J31" s="100"/>
      <c r="K31" s="100"/>
      <c r="L31" s="89"/>
      <c r="M31" s="89"/>
    </row>
    <row r="32">
      <c r="A32" s="102"/>
      <c r="B32" s="103" t="s">
        <v>90</v>
      </c>
      <c r="C32" s="104" t="s">
        <v>14</v>
      </c>
      <c r="D32" s="28"/>
      <c r="E32" s="28"/>
      <c r="F32" s="105"/>
      <c r="G32" s="106">
        <f>COUNTIFS(RestiaCSV!E:E, "wolt kurýr", RestiaCSV!A:A, "&lt;&gt;wolt")</f>
        <v>0</v>
      </c>
      <c r="H32" s="107" t="b">
        <v>1</v>
      </c>
      <c r="I32" s="108">
        <f>G32*127</f>
        <v>0</v>
      </c>
      <c r="J32" s="109"/>
      <c r="K32" s="109"/>
      <c r="L32" s="99" t="str">
        <f>100%-L29</f>
        <v>#DIV/0!</v>
      </c>
      <c r="M32" s="99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2:B21">
      <formula1>"Nedbal Michal,Hanakova Ayuna,Veselý Ondřej,Pechová Barbora,Pánková Vendula,Hegedüs Erik,Yarushynskyi Vladyslav,Putna Jaroslav"</formula1>
    </dataValidation>
    <dataValidation type="list" allowBlank="1" sqref="B25:B31">
      <formula1>"Němec Filip,Zimmer Jakub,Nekolný Vladimír,Novák Jakub,Černohorský Otakar,Lowe Jana,Kormash Liubov,Vychivskyi Volodymyr,Banga Adam,Vaníková Anna,Čerešňák Michal,Dragoun Alfréd"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0"/>
      <c r="B1" s="111" t="str">
        <f>Report!B1</f>
        <v>Zličín</v>
      </c>
      <c r="C1" s="112">
        <v>46203.0</v>
      </c>
      <c r="D1" s="113" t="s">
        <v>2576</v>
      </c>
      <c r="E1" s="114">
        <v>46203.0</v>
      </c>
      <c r="F1" s="115" t="s">
        <v>28</v>
      </c>
      <c r="G1" s="13"/>
      <c r="H1" s="14"/>
      <c r="I1" s="115" t="s">
        <v>26</v>
      </c>
      <c r="J1" s="13"/>
      <c r="K1" s="14"/>
      <c r="L1" s="116" t="s">
        <v>2555</v>
      </c>
      <c r="M1" s="21"/>
      <c r="N1" s="116"/>
    </row>
    <row r="2" ht="19.5" customHeight="1">
      <c r="A2" s="110"/>
      <c r="B2" s="17"/>
      <c r="C2" s="18"/>
      <c r="D2" s="17"/>
      <c r="E2" s="19"/>
      <c r="F2" s="117">
        <v>0.25513575575221875</v>
      </c>
      <c r="H2" s="21"/>
      <c r="I2" s="118">
        <v>56034.89999999999</v>
      </c>
      <c r="K2" s="21"/>
      <c r="L2" s="119" t="s">
        <v>2556</v>
      </c>
      <c r="M2" s="120">
        <v>14732.000000000004</v>
      </c>
      <c r="N2" s="121"/>
    </row>
    <row r="3">
      <c r="A3" s="122"/>
      <c r="B3" s="123" t="str">
        <f>CHOOSE(WEEKDAY(C1), "Neděle", "Pondělí", "Úterý", "Středa", "Čtvrtek", "Pátek", "Sobota")</f>
        <v>Úterý</v>
      </c>
      <c r="C3" s="27"/>
      <c r="D3" s="124"/>
      <c r="E3" s="11"/>
      <c r="H3" s="21"/>
      <c r="K3" s="21"/>
      <c r="L3" s="125" t="s">
        <v>2557</v>
      </c>
      <c r="M3" s="126">
        <v>2754.0</v>
      </c>
      <c r="N3" s="121"/>
    </row>
    <row r="4">
      <c r="A4" s="122"/>
      <c r="B4" s="18"/>
      <c r="C4" s="28"/>
      <c r="D4" s="18"/>
      <c r="E4" s="19"/>
      <c r="F4" s="28"/>
      <c r="G4" s="28"/>
      <c r="H4" s="19"/>
      <c r="I4" s="28"/>
      <c r="J4" s="28"/>
      <c r="K4" s="19"/>
      <c r="L4" s="125" t="s">
        <v>2558</v>
      </c>
      <c r="M4" s="126">
        <v>18024.800000000003</v>
      </c>
      <c r="N4" s="121"/>
    </row>
    <row r="5">
      <c r="A5" s="127"/>
      <c r="B5" s="128" t="s">
        <v>2577</v>
      </c>
      <c r="C5" s="27"/>
      <c r="D5" s="27"/>
      <c r="E5" s="11"/>
      <c r="F5" s="129" t="s">
        <v>2578</v>
      </c>
      <c r="G5" s="27"/>
      <c r="H5" s="27"/>
      <c r="I5" s="27"/>
      <c r="J5" s="27"/>
      <c r="K5" s="11"/>
      <c r="L5" s="130" t="s">
        <v>2560</v>
      </c>
      <c r="M5" s="126">
        <v>12263.4</v>
      </c>
      <c r="N5" s="121"/>
    </row>
    <row r="6">
      <c r="A6" s="127"/>
      <c r="B6" s="18"/>
      <c r="C6" s="28"/>
      <c r="D6" s="28"/>
      <c r="E6" s="19"/>
      <c r="F6" s="28"/>
      <c r="G6" s="28"/>
      <c r="H6" s="28"/>
      <c r="I6" s="28"/>
      <c r="J6" s="28"/>
      <c r="K6" s="19"/>
      <c r="L6" s="130" t="s">
        <v>2561</v>
      </c>
      <c r="M6" s="126">
        <v>0.0</v>
      </c>
      <c r="N6" s="121"/>
    </row>
    <row r="7">
      <c r="A7" s="131"/>
      <c r="B7" s="132">
        <f>TEXT(SUMPRODUCT((IFERROR(LEFT(D10:D30, FIND(":", D10:D30) - 1) * 60, 0) + IFERROR(MID(D10:D30, FIND(":", D10:D30) + 1, LEN(D10:D30) - FIND(":", D10:D30)), 0))), "[h]:mm")/60</f>
        <v>28</v>
      </c>
      <c r="C7" s="28"/>
      <c r="D7" s="28"/>
      <c r="E7" s="19"/>
      <c r="F7" s="133">
        <f>TEXT(SUMPRODUCT((IFERROR(LEFT(H10:H30, FIND(":", H10:H30) - 1) * 60, 0) + IFERROR(MID(H10:H30, FIND(":", H10:H30) + 1, LEN(H10:H30) - FIND(":", H10:H30)), 0))), "[h]:mm")/60</f>
        <v>16</v>
      </c>
      <c r="G7" s="13"/>
      <c r="H7" s="13"/>
      <c r="I7" s="13"/>
      <c r="J7" s="134"/>
      <c r="K7" s="134"/>
      <c r="L7" s="135" t="s">
        <v>2562</v>
      </c>
      <c r="M7" s="136">
        <v>2167.2</v>
      </c>
      <c r="N7" s="121"/>
    </row>
    <row r="8">
      <c r="A8" s="137"/>
      <c r="B8" s="138" t="s">
        <v>2563</v>
      </c>
      <c r="C8" s="13"/>
      <c r="D8" s="13"/>
      <c r="E8" s="14"/>
      <c r="F8" s="139" t="s">
        <v>78</v>
      </c>
      <c r="G8" s="13"/>
      <c r="H8" s="13"/>
      <c r="I8" s="14"/>
      <c r="J8" s="140" t="s">
        <v>2564</v>
      </c>
      <c r="K8" s="11"/>
      <c r="L8" s="141" t="s">
        <v>25</v>
      </c>
      <c r="M8" s="14"/>
      <c r="N8" s="116"/>
    </row>
    <row r="9">
      <c r="A9" s="142"/>
      <c r="B9" s="143" t="s">
        <v>2565</v>
      </c>
      <c r="C9" s="144" t="s">
        <v>2579</v>
      </c>
      <c r="D9" s="144" t="s">
        <v>2569</v>
      </c>
      <c r="E9" s="145"/>
      <c r="F9" s="143" t="s">
        <v>2565</v>
      </c>
      <c r="G9" s="144" t="s">
        <v>2579</v>
      </c>
      <c r="H9" s="144" t="s">
        <v>2569</v>
      </c>
      <c r="I9" s="146" t="s">
        <v>2572</v>
      </c>
      <c r="J9" s="147">
        <v>0.3000000000174623</v>
      </c>
      <c r="K9" s="11"/>
      <c r="L9" s="148" t="s">
        <v>23</v>
      </c>
      <c r="M9" s="126">
        <v>4364.0</v>
      </c>
      <c r="N9" s="121"/>
    </row>
    <row r="10" ht="18.75" customHeight="1">
      <c r="A10" s="149"/>
      <c r="B10" s="150" t="s">
        <v>40</v>
      </c>
      <c r="C10" s="151">
        <v>1.0</v>
      </c>
      <c r="D10" s="151" t="s">
        <v>2510</v>
      </c>
      <c r="E10" s="152" t="s">
        <v>2580</v>
      </c>
      <c r="F10" s="150" t="s">
        <v>2581</v>
      </c>
      <c r="G10" s="151">
        <v>1.0</v>
      </c>
      <c r="H10" s="151" t="s">
        <v>2582</v>
      </c>
      <c r="I10" s="153">
        <v>3.0</v>
      </c>
      <c r="J10" s="36"/>
      <c r="K10" s="21"/>
      <c r="L10" s="148" t="s">
        <v>24</v>
      </c>
      <c r="M10" s="126">
        <v>200.0</v>
      </c>
      <c r="N10" s="121"/>
    </row>
    <row r="11" ht="18.75" customHeight="1">
      <c r="A11" s="149"/>
      <c r="B11" s="150" t="s">
        <v>2583</v>
      </c>
      <c r="C11" s="151">
        <v>1.0</v>
      </c>
      <c r="D11" s="151" t="s">
        <v>2584</v>
      </c>
      <c r="E11" s="152" t="s">
        <v>49</v>
      </c>
      <c r="F11" s="150" t="s">
        <v>65</v>
      </c>
      <c r="G11" s="151">
        <v>1.0</v>
      </c>
      <c r="H11" s="151" t="s">
        <v>2585</v>
      </c>
      <c r="I11" s="153">
        <v>5.0</v>
      </c>
      <c r="J11" s="36"/>
      <c r="K11" s="21"/>
      <c r="L11" s="154" t="s">
        <v>25</v>
      </c>
      <c r="M11" s="155">
        <v>1376.0</v>
      </c>
      <c r="N11" s="121"/>
    </row>
    <row r="12" ht="18.75" customHeight="1">
      <c r="A12" s="149"/>
      <c r="B12" s="150" t="s">
        <v>96</v>
      </c>
      <c r="C12" s="151">
        <v>1.0</v>
      </c>
      <c r="D12" s="151" t="s">
        <v>2586</v>
      </c>
      <c r="E12" s="152" t="s">
        <v>50</v>
      </c>
      <c r="F12" s="150" t="s">
        <v>2587</v>
      </c>
      <c r="G12" s="151">
        <v>1.0</v>
      </c>
      <c r="H12" s="151" t="s">
        <v>2588</v>
      </c>
      <c r="I12" s="153">
        <v>12.0</v>
      </c>
      <c r="J12" s="36"/>
      <c r="K12" s="21"/>
      <c r="L12" s="156" t="s">
        <v>2570</v>
      </c>
      <c r="M12" s="19"/>
      <c r="N12" s="116"/>
    </row>
    <row r="13" ht="18.75" customHeight="1">
      <c r="A13" s="149"/>
      <c r="B13" s="150"/>
      <c r="C13" s="151"/>
      <c r="D13" s="151"/>
      <c r="E13" s="152" t="s">
        <v>50</v>
      </c>
      <c r="F13" s="150"/>
      <c r="G13" s="151"/>
      <c r="H13" s="151"/>
      <c r="I13" s="153"/>
      <c r="J13" s="36"/>
      <c r="K13" s="21"/>
      <c r="L13" s="148" t="s">
        <v>29</v>
      </c>
      <c r="M13" s="126">
        <v>0.0</v>
      </c>
      <c r="N13" s="121"/>
    </row>
    <row r="14" ht="18.75" customHeight="1">
      <c r="A14" s="149"/>
      <c r="B14" s="150"/>
      <c r="C14" s="151"/>
      <c r="D14" s="151"/>
      <c r="E14" s="152" t="s">
        <v>2588</v>
      </c>
      <c r="F14" s="150"/>
      <c r="G14" s="151"/>
      <c r="H14" s="151"/>
      <c r="I14" s="153"/>
      <c r="J14" s="36"/>
      <c r="K14" s="21"/>
      <c r="L14" s="157" t="s">
        <v>30</v>
      </c>
      <c r="M14" s="126">
        <v>0.0</v>
      </c>
      <c r="N14" s="121"/>
    </row>
    <row r="15" ht="18.75" customHeight="1">
      <c r="A15" s="149"/>
      <c r="B15" s="150"/>
      <c r="C15" s="151"/>
      <c r="D15" s="151"/>
      <c r="E15" s="152" t="s">
        <v>2588</v>
      </c>
      <c r="F15" s="150"/>
      <c r="G15" s="151"/>
      <c r="H15" s="151"/>
      <c r="I15" s="153"/>
      <c r="J15" s="36"/>
      <c r="K15" s="21"/>
      <c r="L15" s="157" t="s">
        <v>31</v>
      </c>
      <c r="M15" s="126">
        <v>1421.0</v>
      </c>
      <c r="N15" s="121"/>
    </row>
    <row r="16" ht="18.75" customHeight="1">
      <c r="A16" s="149"/>
      <c r="B16" s="150"/>
      <c r="C16" s="151"/>
      <c r="D16" s="151"/>
      <c r="E16" s="158"/>
      <c r="F16" s="150"/>
      <c r="G16" s="151"/>
      <c r="H16" s="151"/>
      <c r="I16" s="153"/>
      <c r="J16" s="36"/>
      <c r="K16" s="21"/>
      <c r="L16" s="157" t="s">
        <v>32</v>
      </c>
      <c r="M16" s="126">
        <v>0.0</v>
      </c>
      <c r="N16" s="121"/>
    </row>
    <row r="17" ht="18.75" customHeight="1">
      <c r="A17" s="149"/>
      <c r="B17" s="150"/>
      <c r="C17" s="151"/>
      <c r="D17" s="151"/>
      <c r="E17" s="158"/>
      <c r="F17" s="150"/>
      <c r="G17" s="151"/>
      <c r="H17" s="151"/>
      <c r="I17" s="153"/>
      <c r="J17" s="18"/>
      <c r="K17" s="19"/>
      <c r="L17" s="159" t="s">
        <v>33</v>
      </c>
      <c r="M17" s="160">
        <v>900.0</v>
      </c>
      <c r="N17" s="121"/>
    </row>
    <row r="18" ht="18.75" customHeight="1">
      <c r="A18" s="149"/>
      <c r="B18" s="150"/>
      <c r="C18" s="151"/>
      <c r="D18" s="151"/>
      <c r="E18" s="158"/>
      <c r="F18" s="150"/>
      <c r="G18" s="151"/>
      <c r="H18" s="151"/>
      <c r="I18" s="153"/>
      <c r="J18" s="161"/>
      <c r="K18" s="13"/>
      <c r="L18" s="13"/>
      <c r="M18" s="14"/>
      <c r="N18" s="162"/>
    </row>
    <row r="19" ht="18.75" customHeight="1">
      <c r="A19" s="149"/>
      <c r="B19" s="150"/>
      <c r="C19" s="151"/>
      <c r="D19" s="151"/>
      <c r="E19" s="158"/>
      <c r="F19" s="150"/>
      <c r="G19" s="151"/>
      <c r="H19" s="151"/>
      <c r="I19" s="153"/>
      <c r="J19" s="163" t="s">
        <v>34</v>
      </c>
      <c r="K19" s="164" t="s">
        <v>35</v>
      </c>
      <c r="L19" s="165" t="s">
        <v>2571</v>
      </c>
      <c r="M19" s="166" t="s">
        <v>37</v>
      </c>
    </row>
    <row r="20" ht="18.75" customHeight="1">
      <c r="A20" s="149"/>
      <c r="B20" s="150"/>
      <c r="C20" s="151"/>
      <c r="D20" s="151"/>
      <c r="E20" s="158"/>
      <c r="F20" s="150"/>
      <c r="G20" s="151"/>
      <c r="H20" s="151"/>
      <c r="I20" s="153"/>
      <c r="J20" s="167"/>
      <c r="K20" s="89"/>
      <c r="L20" s="89"/>
      <c r="M20" s="168"/>
    </row>
    <row r="21" ht="18.75" customHeight="1">
      <c r="A21" s="149"/>
      <c r="B21" s="150"/>
      <c r="C21" s="151"/>
      <c r="D21" s="151"/>
      <c r="E21" s="158"/>
      <c r="F21" s="150"/>
      <c r="G21" s="151"/>
      <c r="H21" s="151"/>
      <c r="I21" s="153"/>
      <c r="J21" s="169">
        <v>0.0</v>
      </c>
      <c r="K21" s="170">
        <v>0.0</v>
      </c>
      <c r="L21" s="171">
        <v>1.0</v>
      </c>
      <c r="M21" s="172" t="s">
        <v>2589</v>
      </c>
      <c r="N21" s="162"/>
    </row>
    <row r="22" ht="18.75" customHeight="1">
      <c r="A22" s="149"/>
      <c r="B22" s="150"/>
      <c r="C22" s="151"/>
      <c r="D22" s="151"/>
      <c r="E22" s="158"/>
      <c r="F22" s="150"/>
      <c r="G22" s="151"/>
      <c r="H22" s="151"/>
      <c r="I22" s="153"/>
      <c r="J22" s="173" t="s">
        <v>2574</v>
      </c>
      <c r="K22" s="84" t="s">
        <v>2498</v>
      </c>
      <c r="L22" s="83" t="s">
        <v>2499</v>
      </c>
      <c r="M22" s="174" t="s">
        <v>2500</v>
      </c>
      <c r="N22" s="162"/>
    </row>
    <row r="23" ht="18.75" customHeight="1">
      <c r="A23" s="149"/>
      <c r="B23" s="150"/>
      <c r="C23" s="151"/>
      <c r="D23" s="151"/>
      <c r="E23" s="158"/>
      <c r="F23" s="150"/>
      <c r="G23" s="151"/>
      <c r="H23" s="151"/>
      <c r="I23" s="153"/>
      <c r="J23" s="167"/>
      <c r="K23" s="89"/>
      <c r="L23" s="89"/>
      <c r="M23" s="168"/>
      <c r="N23" s="162"/>
    </row>
    <row r="24" ht="18.75" customHeight="1">
      <c r="A24" s="149"/>
      <c r="B24" s="150"/>
      <c r="C24" s="151"/>
      <c r="D24" s="151"/>
      <c r="E24" s="158"/>
      <c r="F24" s="150"/>
      <c r="G24" s="151"/>
      <c r="H24" s="151"/>
      <c r="I24" s="153"/>
      <c r="J24" s="175">
        <v>3.0</v>
      </c>
      <c r="K24" s="171">
        <v>138.0</v>
      </c>
      <c r="L24" s="171">
        <v>21.0</v>
      </c>
      <c r="M24" s="176">
        <v>1.0</v>
      </c>
      <c r="N24" s="162"/>
    </row>
    <row r="25" ht="18.75" customHeight="1">
      <c r="A25" s="149"/>
      <c r="B25" s="150"/>
      <c r="C25" s="151"/>
      <c r="D25" s="151"/>
      <c r="E25" s="158"/>
      <c r="F25" s="150"/>
      <c r="G25" s="151"/>
      <c r="H25" s="151"/>
      <c r="I25" s="153"/>
      <c r="J25" s="177" t="s">
        <v>2575</v>
      </c>
      <c r="K25" s="94"/>
      <c r="L25" s="178" t="s">
        <v>2502</v>
      </c>
      <c r="M25" s="179" t="s">
        <v>2503</v>
      </c>
      <c r="N25" s="162"/>
    </row>
    <row r="26" ht="18.75" customHeight="1">
      <c r="A26" s="149"/>
      <c r="B26" s="150"/>
      <c r="C26" s="151"/>
      <c r="D26" s="151"/>
      <c r="E26" s="158"/>
      <c r="F26" s="150"/>
      <c r="G26" s="151"/>
      <c r="H26" s="151"/>
      <c r="I26" s="153"/>
      <c r="J26" s="180"/>
      <c r="K26" s="96"/>
      <c r="L26" s="89"/>
      <c r="M26" s="168"/>
      <c r="N26" s="162"/>
    </row>
    <row r="27" ht="18.75" customHeight="1">
      <c r="A27" s="149"/>
      <c r="B27" s="150"/>
      <c r="C27" s="151"/>
      <c r="D27" s="151"/>
      <c r="E27" s="158"/>
      <c r="F27" s="150"/>
      <c r="G27" s="151"/>
      <c r="H27" s="151"/>
      <c r="I27" s="153"/>
      <c r="J27" s="181">
        <v>1.0</v>
      </c>
      <c r="K27" s="98"/>
      <c r="L27" s="182">
        <v>0.047619047619047616</v>
      </c>
      <c r="M27" s="183">
        <v>1.0</v>
      </c>
      <c r="N27" s="162"/>
    </row>
    <row r="28" ht="18.75" customHeight="1">
      <c r="A28" s="149"/>
      <c r="B28" s="150"/>
      <c r="C28" s="151"/>
      <c r="D28" s="151"/>
      <c r="E28" s="158"/>
      <c r="F28" s="150"/>
      <c r="G28" s="151"/>
      <c r="H28" s="151"/>
      <c r="I28" s="153"/>
      <c r="J28" s="184"/>
      <c r="L28" s="185" t="s">
        <v>2504</v>
      </c>
      <c r="M28" s="179" t="s">
        <v>2505</v>
      </c>
      <c r="N28" s="162"/>
    </row>
    <row r="29" ht="18.75" customHeight="1">
      <c r="A29" s="149"/>
      <c r="B29" s="150"/>
      <c r="C29" s="151"/>
      <c r="D29" s="151"/>
      <c r="E29" s="158"/>
      <c r="F29" s="150"/>
      <c r="G29" s="151"/>
      <c r="H29" s="151"/>
      <c r="I29" s="153"/>
      <c r="J29" s="36"/>
      <c r="L29" s="89"/>
      <c r="M29" s="168"/>
      <c r="N29" s="162"/>
    </row>
    <row r="30" ht="18.75" customHeight="1">
      <c r="A30" s="149"/>
      <c r="B30" s="150"/>
      <c r="C30" s="151"/>
      <c r="D30" s="151"/>
      <c r="E30" s="158"/>
      <c r="F30" s="150"/>
      <c r="G30" s="151"/>
      <c r="H30" s="151"/>
      <c r="I30" s="153"/>
      <c r="J30" s="18"/>
      <c r="K30" s="28"/>
      <c r="L30" s="186">
        <v>0.9523809523809523</v>
      </c>
      <c r="M30" s="187">
        <v>0.047619047619047616</v>
      </c>
      <c r="N30" s="162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</row>
    <row r="2">
      <c r="A2" s="1"/>
      <c r="B2" s="1"/>
      <c r="C2" s="189"/>
      <c r="D2" s="1"/>
      <c r="E2" s="188"/>
      <c r="F2" s="1"/>
      <c r="G2" s="1"/>
      <c r="H2" s="1"/>
      <c r="I2" s="1"/>
      <c r="J2" s="1"/>
      <c r="K2" s="188"/>
      <c r="L2" s="1"/>
      <c r="M2" s="1"/>
      <c r="N2" s="1"/>
      <c r="O2" s="1"/>
      <c r="P2" s="1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</row>
    <row r="3">
      <c r="A3" s="1"/>
      <c r="B3" s="1"/>
      <c r="C3" s="1"/>
      <c r="D3" s="1"/>
      <c r="E3" s="188"/>
      <c r="F3" s="1"/>
      <c r="G3" s="1"/>
      <c r="H3" s="1"/>
      <c r="I3" s="1"/>
      <c r="J3" s="1"/>
      <c r="K3" s="188"/>
      <c r="L3" s="1"/>
      <c r="M3" s="1"/>
      <c r="N3" s="1"/>
      <c r="O3" s="1"/>
      <c r="P3" s="1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</row>
    <row r="4">
      <c r="A4" s="1"/>
      <c r="B4" s="1"/>
      <c r="C4" s="189"/>
      <c r="D4" s="1"/>
      <c r="E4" s="188"/>
      <c r="F4" s="1"/>
      <c r="G4" s="1"/>
      <c r="H4" s="1"/>
      <c r="I4" s="1"/>
      <c r="J4" s="1"/>
      <c r="K4" s="188"/>
      <c r="L4" s="1"/>
      <c r="M4" s="1"/>
      <c r="N4" s="1"/>
      <c r="O4" s="1"/>
      <c r="P4" s="1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88"/>
      <c r="L5" s="1"/>
      <c r="M5" s="1"/>
      <c r="N5" s="1"/>
      <c r="O5" s="1"/>
      <c r="P5" s="1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</row>
    <row r="6">
      <c r="A6" s="1"/>
      <c r="B6" s="1"/>
      <c r="C6" s="189"/>
      <c r="D6" s="1"/>
      <c r="E6" s="1"/>
      <c r="F6" s="1"/>
      <c r="G6" s="1"/>
      <c r="H6" s="1"/>
      <c r="I6" s="1"/>
      <c r="J6" s="1"/>
      <c r="K6" s="188"/>
      <c r="L6" s="1"/>
      <c r="M6" s="1"/>
      <c r="N6" s="1"/>
      <c r="O6" s="1"/>
      <c r="P6" s="1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</row>
    <row r="7">
      <c r="A7" s="1"/>
      <c r="B7" s="1"/>
      <c r="C7" s="189"/>
      <c r="D7" s="1"/>
      <c r="E7" s="188"/>
      <c r="F7" s="1"/>
      <c r="G7" s="1"/>
      <c r="H7" s="1"/>
      <c r="I7" s="1"/>
      <c r="J7" s="1"/>
      <c r="K7" s="188"/>
      <c r="L7" s="1"/>
      <c r="M7" s="1"/>
      <c r="N7" s="1"/>
      <c r="O7" s="1"/>
      <c r="P7" s="1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</row>
    <row r="8">
      <c r="A8" s="1"/>
      <c r="B8" s="1"/>
      <c r="C8" s="189"/>
      <c r="D8" s="1"/>
      <c r="E8" s="1"/>
      <c r="F8" s="1"/>
      <c r="G8" s="1"/>
      <c r="H8" s="1"/>
      <c r="I8" s="1"/>
      <c r="J8" s="1"/>
      <c r="K8" s="188"/>
      <c r="L8" s="1"/>
      <c r="M8" s="1"/>
      <c r="N8" s="1"/>
      <c r="O8" s="1"/>
      <c r="P8" s="1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</row>
    <row r="9">
      <c r="A9" s="1"/>
      <c r="B9" s="1"/>
      <c r="C9" s="189"/>
      <c r="D9" s="1"/>
      <c r="E9" s="188"/>
      <c r="F9" s="1"/>
      <c r="G9" s="1"/>
      <c r="H9" s="1"/>
      <c r="I9" s="1"/>
      <c r="J9" s="1"/>
      <c r="K9" s="188"/>
      <c r="L9" s="1"/>
      <c r="M9" s="1"/>
      <c r="N9" s="1"/>
      <c r="O9" s="1"/>
      <c r="P9" s="1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</row>
    <row r="10">
      <c r="A10" s="1"/>
      <c r="B10" s="1"/>
      <c r="C10" s="189"/>
      <c r="D10" s="1"/>
      <c r="E10" s="188"/>
      <c r="F10" s="1"/>
      <c r="G10" s="1"/>
      <c r="H10" s="1"/>
      <c r="I10" s="1"/>
      <c r="J10" s="1"/>
      <c r="K10" s="188"/>
      <c r="L10" s="1"/>
      <c r="M10" s="1"/>
      <c r="N10" s="1"/>
      <c r="O10" s="1"/>
      <c r="P10" s="1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</row>
    <row r="11">
      <c r="A11" s="1"/>
      <c r="B11" s="1"/>
      <c r="C11" s="189"/>
      <c r="D11" s="1"/>
      <c r="E11" s="188"/>
      <c r="F11" s="1"/>
      <c r="G11" s="1"/>
      <c r="H11" s="1"/>
      <c r="I11" s="1"/>
      <c r="J11" s="1"/>
      <c r="K11" s="188"/>
      <c r="L11" s="1"/>
      <c r="M11" s="1"/>
      <c r="N11" s="1"/>
      <c r="O11" s="1"/>
      <c r="P11" s="1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</row>
    <row r="12">
      <c r="A12" s="1"/>
      <c r="B12" s="1"/>
      <c r="C12" s="189"/>
      <c r="D12" s="1"/>
      <c r="E12" s="188"/>
      <c r="F12" s="1"/>
      <c r="G12" s="1"/>
      <c r="H12" s="1"/>
      <c r="I12" s="1"/>
      <c r="J12" s="1"/>
      <c r="K12" s="188"/>
      <c r="L12" s="1"/>
      <c r="M12" s="1"/>
      <c r="N12" s="1"/>
      <c r="O12" s="1"/>
      <c r="P12" s="1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</row>
    <row r="13">
      <c r="A13" s="1"/>
      <c r="B13" s="1"/>
      <c r="C13" s="189"/>
      <c r="D13" s="1"/>
      <c r="E13" s="1"/>
      <c r="F13" s="1"/>
      <c r="G13" s="1"/>
      <c r="H13" s="1"/>
      <c r="I13" s="1"/>
      <c r="J13" s="1"/>
      <c r="K13" s="188"/>
      <c r="L13" s="1"/>
      <c r="M13" s="1"/>
      <c r="N13" s="1"/>
      <c r="O13" s="1"/>
      <c r="P13" s="1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88"/>
      <c r="L15" s="1"/>
      <c r="M15" s="1"/>
      <c r="N15" s="1"/>
      <c r="O15" s="1"/>
      <c r="P15" s="1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</row>
    <row r="16">
      <c r="A16" s="1"/>
      <c r="B16" s="1"/>
      <c r="C16" s="189"/>
      <c r="D16" s="1"/>
      <c r="E16" s="188"/>
      <c r="F16" s="1"/>
      <c r="G16" s="1"/>
      <c r="H16" s="1"/>
      <c r="I16" s="1"/>
      <c r="J16" s="1"/>
      <c r="K16" s="188"/>
      <c r="L16" s="1"/>
      <c r="M16" s="1"/>
      <c r="N16" s="1"/>
      <c r="O16" s="1"/>
      <c r="P16" s="1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</row>
    <row r="17">
      <c r="A17" s="1"/>
      <c r="B17" s="1"/>
      <c r="C17" s="189"/>
      <c r="D17" s="1"/>
      <c r="E17" s="188"/>
      <c r="F17" s="1"/>
      <c r="G17" s="1"/>
      <c r="H17" s="1"/>
      <c r="I17" s="1"/>
      <c r="J17" s="1"/>
      <c r="K17" s="188"/>
      <c r="L17" s="1"/>
      <c r="M17" s="1"/>
      <c r="N17" s="1"/>
      <c r="O17" s="1"/>
      <c r="P17" s="1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</row>
    <row r="18">
      <c r="A18" s="1"/>
      <c r="B18" s="1"/>
      <c r="C18" s="189"/>
      <c r="D18" s="1"/>
      <c r="E18" s="188"/>
      <c r="F18" s="1"/>
      <c r="G18" s="1"/>
      <c r="H18" s="1"/>
      <c r="I18" s="1"/>
      <c r="J18" s="1"/>
      <c r="K18" s="188"/>
      <c r="L18" s="1"/>
      <c r="M18" s="1"/>
      <c r="N18" s="1"/>
      <c r="O18" s="1"/>
      <c r="P18" s="1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</row>
    <row r="19">
      <c r="A19" s="1"/>
      <c r="B19" s="1"/>
      <c r="C19" s="189"/>
      <c r="D19" s="1"/>
      <c r="E19" s="188"/>
      <c r="F19" s="1"/>
      <c r="G19" s="1"/>
      <c r="H19" s="1"/>
      <c r="I19" s="1"/>
      <c r="J19" s="1"/>
      <c r="K19" s="188"/>
      <c r="L19" s="1"/>
      <c r="M19" s="1"/>
      <c r="N19" s="1"/>
      <c r="O19" s="1"/>
      <c r="P19" s="1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</row>
    <row r="20">
      <c r="A20" s="1"/>
      <c r="B20" s="1"/>
      <c r="C20" s="189"/>
      <c r="D20" s="1"/>
      <c r="E20" s="188"/>
      <c r="F20" s="1"/>
      <c r="G20" s="1"/>
      <c r="H20" s="1"/>
      <c r="I20" s="1"/>
      <c r="J20" s="1"/>
      <c r="K20" s="188"/>
      <c r="L20" s="1"/>
      <c r="M20" s="1"/>
      <c r="N20" s="1"/>
      <c r="O20" s="1"/>
      <c r="P20" s="1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</row>
    <row r="21">
      <c r="A21" s="1"/>
      <c r="B21" s="1"/>
      <c r="C21" s="189"/>
      <c r="D21" s="1"/>
      <c r="E21" s="188"/>
      <c r="F21" s="1"/>
      <c r="G21" s="1"/>
      <c r="H21" s="1"/>
      <c r="I21" s="1"/>
      <c r="J21" s="1"/>
      <c r="K21" s="188"/>
      <c r="L21" s="1"/>
      <c r="M21" s="1"/>
      <c r="N21" s="1"/>
      <c r="O21" s="1"/>
      <c r="P21" s="1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</row>
    <row r="22">
      <c r="A22" s="1"/>
      <c r="B22" s="189"/>
      <c r="C22" s="189"/>
      <c r="D22" s="1"/>
      <c r="E22" s="1"/>
      <c r="F22" s="1"/>
      <c r="G22" s="1"/>
      <c r="H22" s="1"/>
      <c r="I22" s="1"/>
      <c r="J22" s="1"/>
      <c r="K22" s="188"/>
      <c r="L22" s="1"/>
      <c r="M22" s="1"/>
      <c r="N22" s="1"/>
      <c r="O22" s="1"/>
      <c r="P22" s="1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</row>
    <row r="23">
      <c r="A23" s="1"/>
      <c r="B23" s="1"/>
      <c r="C23" s="189"/>
      <c r="D23" s="1"/>
      <c r="E23" s="188"/>
      <c r="F23" s="1"/>
      <c r="G23" s="1"/>
      <c r="H23" s="1"/>
      <c r="I23" s="1"/>
      <c r="J23" s="1"/>
      <c r="K23" s="188"/>
      <c r="L23" s="1"/>
      <c r="M23" s="1"/>
      <c r="N23" s="1"/>
      <c r="O23" s="1"/>
      <c r="P23" s="1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</row>
    <row r="24">
      <c r="A24" s="1"/>
      <c r="B24" s="1"/>
      <c r="C24" s="189"/>
      <c r="D24" s="1"/>
      <c r="E24" s="1"/>
      <c r="F24" s="1"/>
      <c r="G24" s="1"/>
      <c r="H24" s="1"/>
      <c r="I24" s="1"/>
      <c r="J24" s="1"/>
      <c r="K24" s="188"/>
      <c r="L24" s="1"/>
      <c r="M24" s="1"/>
      <c r="N24" s="1"/>
      <c r="O24" s="1"/>
      <c r="P24" s="1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88"/>
      <c r="L25" s="1"/>
      <c r="M25" s="1"/>
      <c r="N25" s="1"/>
      <c r="O25" s="1"/>
      <c r="P25" s="1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</row>
    <row r="26">
      <c r="A26" s="1"/>
      <c r="B26" s="1"/>
      <c r="C26" s="189"/>
      <c r="D26" s="1"/>
      <c r="E26" s="188"/>
      <c r="F26" s="1"/>
      <c r="G26" s="1"/>
      <c r="H26" s="1"/>
      <c r="I26" s="1"/>
      <c r="J26" s="1"/>
      <c r="K26" s="188"/>
      <c r="L26" s="1"/>
      <c r="M26" s="1"/>
      <c r="N26" s="1"/>
      <c r="O26" s="1"/>
      <c r="P26" s="1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</row>
    <row r="27">
      <c r="A27" s="1"/>
      <c r="B27" s="1"/>
      <c r="C27" s="1"/>
      <c r="D27" s="1"/>
      <c r="E27" s="188"/>
      <c r="F27" s="1"/>
      <c r="G27" s="1"/>
      <c r="H27" s="1"/>
      <c r="I27" s="1"/>
      <c r="J27" s="1"/>
      <c r="K27" s="188"/>
      <c r="L27" s="1"/>
      <c r="M27" s="1"/>
      <c r="N27" s="1"/>
      <c r="O27" s="1"/>
      <c r="P27" s="1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</row>
    <row r="28">
      <c r="A28" s="1"/>
      <c r="B28" s="1"/>
      <c r="C28" s="189"/>
      <c r="D28" s="1"/>
      <c r="E28" s="1"/>
      <c r="F28" s="1"/>
      <c r="G28" s="1"/>
      <c r="H28" s="1"/>
      <c r="I28" s="1"/>
      <c r="J28" s="1"/>
      <c r="K28" s="188"/>
      <c r="L28" s="1"/>
      <c r="M28" s="1"/>
      <c r="N28" s="1"/>
      <c r="O28" s="1"/>
      <c r="P28" s="1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</row>
    <row r="29">
      <c r="A29" s="1"/>
      <c r="B29" s="1"/>
      <c r="C29" s="189"/>
      <c r="D29" s="1"/>
      <c r="E29" s="1"/>
      <c r="F29" s="1"/>
      <c r="G29" s="1"/>
      <c r="H29" s="1"/>
      <c r="I29" s="1"/>
      <c r="J29" s="1"/>
      <c r="K29" s="188"/>
      <c r="L29" s="1"/>
      <c r="M29" s="1"/>
      <c r="N29" s="1"/>
      <c r="O29" s="1"/>
      <c r="P29" s="1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</row>
    <row r="30">
      <c r="A30" s="1"/>
      <c r="B30" s="1"/>
      <c r="C30" s="189"/>
      <c r="D30" s="1"/>
      <c r="E30" s="188"/>
      <c r="F30" s="1"/>
      <c r="G30" s="1"/>
      <c r="H30" s="1"/>
      <c r="I30" s="1"/>
      <c r="J30" s="1"/>
      <c r="K30" s="188"/>
      <c r="L30" s="1"/>
      <c r="M30" s="1"/>
      <c r="N30" s="1"/>
      <c r="O30" s="1"/>
      <c r="P30" s="1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88"/>
      <c r="L31" s="1"/>
      <c r="M31" s="1"/>
      <c r="N31" s="1"/>
      <c r="O31" s="1"/>
      <c r="P31" s="1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</row>
    <row r="32">
      <c r="A32" s="1"/>
      <c r="B32" s="189"/>
      <c r="C32" s="18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</row>
    <row r="33">
      <c r="A33" s="1"/>
      <c r="B33" s="1"/>
      <c r="C33" s="18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</row>
    <row r="34">
      <c r="A34" s="1"/>
      <c r="B34" s="1"/>
      <c r="C34" s="189"/>
      <c r="D34" s="1"/>
      <c r="E34" s="188"/>
      <c r="F34" s="1"/>
      <c r="G34" s="1"/>
      <c r="H34" s="1"/>
      <c r="I34" s="1"/>
      <c r="J34" s="1"/>
      <c r="K34" s="188"/>
      <c r="L34" s="1"/>
      <c r="M34" s="1"/>
      <c r="N34" s="1"/>
      <c r="O34" s="1"/>
      <c r="P34" s="1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</row>
    <row r="35">
      <c r="A35" s="1"/>
      <c r="B35" s="1"/>
      <c r="C35" s="189"/>
      <c r="D35" s="1"/>
      <c r="E35" s="188"/>
      <c r="F35" s="1"/>
      <c r="G35" s="1"/>
      <c r="H35" s="1"/>
      <c r="I35" s="1"/>
      <c r="J35" s="1"/>
      <c r="K35" s="188"/>
      <c r="L35" s="1"/>
      <c r="M35" s="1"/>
      <c r="N35" s="1"/>
      <c r="O35" s="1"/>
      <c r="P35" s="1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88"/>
      <c r="L36" s="1"/>
      <c r="M36" s="1"/>
      <c r="N36" s="1"/>
      <c r="O36" s="1"/>
      <c r="P36" s="1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88"/>
      <c r="L37" s="1"/>
      <c r="M37" s="1"/>
      <c r="N37" s="1"/>
      <c r="O37" s="1"/>
      <c r="P37" s="1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</row>
    <row r="38">
      <c r="A38" s="1"/>
      <c r="B38" s="189"/>
      <c r="C38" s="1"/>
      <c r="D38" s="1"/>
      <c r="E38" s="188"/>
      <c r="F38" s="1"/>
      <c r="G38" s="1"/>
      <c r="H38" s="1"/>
      <c r="I38" s="1"/>
      <c r="J38" s="1"/>
      <c r="K38" s="188"/>
      <c r="L38" s="1"/>
      <c r="M38" s="1"/>
      <c r="N38" s="1"/>
      <c r="O38" s="1"/>
      <c r="P38" s="1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</row>
    <row r="39">
      <c r="A39" s="1"/>
      <c r="B39" s="189"/>
      <c r="C39" s="189"/>
      <c r="D39" s="1"/>
      <c r="E39" s="188"/>
      <c r="F39" s="1"/>
      <c r="G39" s="1"/>
      <c r="H39" s="1"/>
      <c r="I39" s="1"/>
      <c r="J39" s="1"/>
      <c r="K39" s="188"/>
      <c r="L39" s="1"/>
      <c r="M39" s="1"/>
      <c r="N39" s="1"/>
      <c r="O39" s="1"/>
      <c r="P39" s="1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</row>
    <row r="40">
      <c r="A40" s="1"/>
      <c r="B40" s="1"/>
      <c r="C40" s="189"/>
      <c r="D40" s="1"/>
      <c r="E40" s="1"/>
      <c r="F40" s="1"/>
      <c r="G40" s="1"/>
      <c r="H40" s="1"/>
      <c r="I40" s="1"/>
      <c r="J40" s="1"/>
      <c r="K40" s="188"/>
      <c r="L40" s="1"/>
      <c r="M40" s="1"/>
      <c r="N40" s="1"/>
      <c r="O40" s="1"/>
      <c r="P40" s="1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</row>
    <row r="41">
      <c r="A41" s="1"/>
      <c r="B41" s="1"/>
      <c r="C41" s="189"/>
      <c r="D41" s="1"/>
      <c r="E41" s="188"/>
      <c r="F41" s="1"/>
      <c r="G41" s="1"/>
      <c r="H41" s="1"/>
      <c r="I41" s="1"/>
      <c r="J41" s="1"/>
      <c r="K41" s="188"/>
      <c r="L41" s="1"/>
      <c r="M41" s="1"/>
      <c r="N41" s="1"/>
      <c r="O41" s="1"/>
      <c r="P41" s="1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</row>
    <row r="43">
      <c r="A43" s="1"/>
      <c r="B43" s="1"/>
      <c r="C43" s="189"/>
      <c r="D43" s="1"/>
      <c r="E43" s="188"/>
      <c r="F43" s="1"/>
      <c r="G43" s="1"/>
      <c r="H43" s="1"/>
      <c r="I43" s="1"/>
      <c r="J43" s="1"/>
      <c r="K43" s="188"/>
      <c r="L43" s="1"/>
      <c r="M43" s="1"/>
      <c r="N43" s="1"/>
      <c r="O43" s="1"/>
      <c r="P43" s="1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</row>
    <row r="44">
      <c r="A44" s="1"/>
      <c r="B44" s="1"/>
      <c r="C44" s="189"/>
      <c r="D44" s="1"/>
      <c r="E44" s="188"/>
      <c r="F44" s="1"/>
      <c r="G44" s="1"/>
      <c r="H44" s="1"/>
      <c r="I44" s="1"/>
      <c r="J44" s="1"/>
      <c r="K44" s="188"/>
      <c r="L44" s="1"/>
      <c r="M44" s="1"/>
      <c r="N44" s="1"/>
      <c r="O44" s="1"/>
      <c r="P44" s="1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</row>
    <row r="45">
      <c r="A45" s="1"/>
      <c r="B45" s="1"/>
      <c r="C45" s="189"/>
      <c r="D45" s="1"/>
      <c r="E45" s="188"/>
      <c r="F45" s="1"/>
      <c r="G45" s="1"/>
      <c r="H45" s="1"/>
      <c r="I45" s="1"/>
      <c r="J45" s="1"/>
      <c r="K45" s="188"/>
      <c r="L45" s="1"/>
      <c r="M45" s="1"/>
      <c r="N45" s="1"/>
      <c r="O45" s="1"/>
      <c r="P45" s="1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8"/>
      <c r="BB45" s="188"/>
      <c r="BC45" s="188"/>
    </row>
    <row r="46">
      <c r="A46" s="1"/>
      <c r="B46" s="1"/>
      <c r="C46" s="1"/>
      <c r="D46" s="1"/>
      <c r="E46" s="188"/>
      <c r="F46" s="1"/>
      <c r="G46" s="1"/>
      <c r="H46" s="1"/>
      <c r="I46" s="1"/>
      <c r="J46" s="1"/>
      <c r="K46" s="188"/>
      <c r="L46" s="1"/>
      <c r="M46" s="1"/>
      <c r="N46" s="1"/>
      <c r="O46" s="1"/>
      <c r="P46" s="1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</row>
    <row r="47">
      <c r="A47" s="1"/>
      <c r="B47" s="1"/>
      <c r="C47" s="189"/>
      <c r="D47" s="1"/>
      <c r="E47" s="188"/>
      <c r="F47" s="1"/>
      <c r="G47" s="1"/>
      <c r="H47" s="1"/>
      <c r="I47" s="1"/>
      <c r="J47" s="1"/>
      <c r="K47" s="188"/>
      <c r="L47" s="1"/>
      <c r="M47" s="1"/>
      <c r="N47" s="1"/>
      <c r="O47" s="1"/>
      <c r="P47" s="1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188"/>
      <c r="BA47" s="188"/>
      <c r="BB47" s="188"/>
      <c r="BC47" s="188"/>
    </row>
    <row r="48">
      <c r="A48" s="1"/>
      <c r="B48" s="1"/>
      <c r="C48" s="189"/>
      <c r="D48" s="1"/>
      <c r="E48" s="1"/>
      <c r="F48" s="1"/>
      <c r="G48" s="1"/>
      <c r="H48" s="1"/>
      <c r="I48" s="1"/>
      <c r="J48" s="1"/>
      <c r="K48" s="188"/>
      <c r="L48" s="1"/>
      <c r="M48" s="1"/>
      <c r="N48" s="1"/>
      <c r="O48" s="1"/>
      <c r="P48" s="1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</row>
    <row r="49">
      <c r="A49" s="1"/>
      <c r="B49" s="1"/>
      <c r="C49" s="189"/>
      <c r="D49" s="1"/>
      <c r="E49" s="188"/>
      <c r="F49" s="1"/>
      <c r="G49" s="1"/>
      <c r="H49" s="1"/>
      <c r="I49" s="1"/>
      <c r="J49" s="1"/>
      <c r="K49" s="188"/>
      <c r="L49" s="1"/>
      <c r="M49" s="1"/>
      <c r="N49" s="1"/>
      <c r="O49" s="1"/>
      <c r="P49" s="1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88"/>
      <c r="L50" s="1"/>
      <c r="M50" s="1"/>
      <c r="N50" s="1"/>
      <c r="O50" s="1"/>
      <c r="P50" s="1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</row>
    <row r="51">
      <c r="A51" s="1"/>
      <c r="B51" s="1"/>
      <c r="C51" s="18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</row>
    <row r="52">
      <c r="A52" s="1"/>
      <c r="B52" s="1"/>
      <c r="C52" s="189"/>
      <c r="D52" s="1"/>
      <c r="E52" s="188"/>
      <c r="F52" s="1"/>
      <c r="G52" s="1"/>
      <c r="H52" s="1"/>
      <c r="I52" s="1"/>
      <c r="J52" s="1"/>
      <c r="K52" s="188"/>
      <c r="L52" s="1"/>
      <c r="M52" s="1"/>
      <c r="N52" s="1"/>
      <c r="O52" s="1"/>
      <c r="P52" s="1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</row>
    <row r="53">
      <c r="A53" s="1"/>
      <c r="B53" s="1"/>
      <c r="C53" s="189"/>
      <c r="D53" s="1"/>
      <c r="E53" s="188"/>
      <c r="F53" s="1"/>
      <c r="G53" s="1"/>
      <c r="H53" s="1"/>
      <c r="I53" s="1"/>
      <c r="J53" s="1"/>
      <c r="K53" s="188"/>
      <c r="L53" s="1"/>
      <c r="M53" s="1"/>
      <c r="N53" s="1"/>
      <c r="O53" s="1"/>
      <c r="P53" s="1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</row>
    <row r="55">
      <c r="A55" s="1"/>
      <c r="B55" s="189"/>
      <c r="C55" s="1"/>
      <c r="D55" s="1"/>
      <c r="E55" s="1"/>
      <c r="F55" s="1"/>
      <c r="G55" s="1"/>
      <c r="H55" s="1"/>
      <c r="I55" s="1"/>
      <c r="J55" s="1"/>
      <c r="K55" s="188"/>
      <c r="L55" s="1"/>
      <c r="M55" s="1"/>
      <c r="N55" s="1"/>
      <c r="O55" s="1"/>
      <c r="P55" s="1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88"/>
      <c r="L56" s="1"/>
      <c r="M56" s="1"/>
      <c r="N56" s="1"/>
      <c r="O56" s="1"/>
      <c r="P56" s="1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</row>
    <row r="57">
      <c r="A57" s="1"/>
      <c r="B57" s="1"/>
      <c r="C57" s="189"/>
      <c r="D57" s="1"/>
      <c r="E57" s="188"/>
      <c r="F57" s="1"/>
      <c r="G57" s="1"/>
      <c r="H57" s="1"/>
      <c r="I57" s="1"/>
      <c r="J57" s="1"/>
      <c r="K57" s="188"/>
      <c r="L57" s="1"/>
      <c r="M57" s="1"/>
      <c r="N57" s="1"/>
      <c r="O57" s="1"/>
      <c r="P57" s="1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</row>
    <row r="58">
      <c r="A58" s="1"/>
      <c r="B58" s="1"/>
      <c r="C58" s="189"/>
      <c r="D58" s="1"/>
      <c r="E58" s="188"/>
      <c r="F58" s="1"/>
      <c r="G58" s="1"/>
      <c r="H58" s="1"/>
      <c r="I58" s="1"/>
      <c r="J58" s="1"/>
      <c r="K58" s="188"/>
      <c r="L58" s="1"/>
      <c r="M58" s="1"/>
      <c r="N58" s="1"/>
      <c r="O58" s="1"/>
      <c r="P58" s="1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</row>
    <row r="59">
      <c r="A59" s="1"/>
      <c r="B59" s="1"/>
      <c r="C59" s="189"/>
      <c r="D59" s="1"/>
      <c r="E59" s="1"/>
      <c r="F59" s="1"/>
      <c r="G59" s="1"/>
      <c r="H59" s="1"/>
      <c r="I59" s="1"/>
      <c r="J59" s="1"/>
      <c r="K59" s="188"/>
      <c r="L59" s="1"/>
      <c r="M59" s="1"/>
      <c r="N59" s="1"/>
      <c r="O59" s="1"/>
      <c r="P59" s="1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</row>
    <row r="60">
      <c r="A60" s="1"/>
      <c r="B60" s="1"/>
      <c r="C60" s="1"/>
      <c r="D60" s="1"/>
      <c r="E60" s="188"/>
      <c r="F60" s="1"/>
      <c r="G60" s="1"/>
      <c r="H60" s="1"/>
      <c r="I60" s="1"/>
      <c r="J60" s="1"/>
      <c r="K60" s="188"/>
      <c r="L60" s="1"/>
      <c r="M60" s="1"/>
      <c r="N60" s="1"/>
      <c r="O60" s="1"/>
      <c r="P60" s="1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</row>
    <row r="61">
      <c r="A61" s="1"/>
      <c r="B61" s="189"/>
      <c r="C61" s="18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</row>
    <row r="62">
      <c r="A62" s="1"/>
      <c r="B62" s="189"/>
      <c r="C62" s="18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</row>
    <row r="63">
      <c r="A63" s="1"/>
      <c r="B63" s="189"/>
      <c r="C63" s="1"/>
      <c r="D63" s="1"/>
      <c r="E63" s="188"/>
      <c r="F63" s="1"/>
      <c r="G63" s="1"/>
      <c r="H63" s="1"/>
      <c r="I63" s="1"/>
      <c r="J63" s="1"/>
      <c r="K63" s="188"/>
      <c r="L63" s="1"/>
      <c r="M63" s="1"/>
      <c r="N63" s="1"/>
      <c r="O63" s="1"/>
      <c r="P63" s="1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</row>
    <row r="64">
      <c r="A64" s="1"/>
      <c r="B64" s="1"/>
      <c r="C64" s="189"/>
      <c r="D64" s="1"/>
      <c r="E64" s="1"/>
      <c r="F64" s="1"/>
      <c r="G64" s="1"/>
      <c r="H64" s="1"/>
      <c r="I64" s="1"/>
      <c r="J64" s="1"/>
      <c r="K64" s="188"/>
      <c r="L64" s="1"/>
      <c r="M64" s="1"/>
      <c r="N64" s="1"/>
      <c r="O64" s="1"/>
      <c r="P64" s="1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</row>
    <row r="65">
      <c r="A65" s="1"/>
      <c r="B65" s="1"/>
      <c r="C65" s="1"/>
      <c r="D65" s="1"/>
      <c r="E65" s="188"/>
      <c r="F65" s="1"/>
      <c r="G65" s="1"/>
      <c r="H65" s="1"/>
      <c r="I65" s="1"/>
      <c r="J65" s="1"/>
      <c r="K65" s="188"/>
      <c r="L65" s="1"/>
      <c r="M65" s="1"/>
      <c r="N65" s="1"/>
      <c r="O65" s="1"/>
      <c r="P65" s="1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</row>
    <row r="66">
      <c r="A66" s="1"/>
      <c r="B66" s="1"/>
      <c r="C66" s="189"/>
      <c r="D66" s="1"/>
      <c r="E66" s="188"/>
      <c r="F66" s="1"/>
      <c r="G66" s="1"/>
      <c r="H66" s="1"/>
      <c r="I66" s="1"/>
      <c r="J66" s="1"/>
      <c r="K66" s="188"/>
      <c r="L66" s="1"/>
      <c r="M66" s="1"/>
      <c r="N66" s="1"/>
      <c r="O66" s="1"/>
      <c r="P66" s="1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</row>
    <row r="67">
      <c r="A67" s="1"/>
      <c r="B67" s="189"/>
      <c r="C67" s="189"/>
      <c r="D67" s="1"/>
      <c r="E67" s="188"/>
      <c r="F67" s="1"/>
      <c r="G67" s="1"/>
      <c r="H67" s="1"/>
      <c r="I67" s="1"/>
      <c r="J67" s="1"/>
      <c r="K67" s="188"/>
      <c r="L67" s="1"/>
      <c r="M67" s="1"/>
      <c r="N67" s="1"/>
      <c r="O67" s="1"/>
      <c r="P67" s="1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</row>
    <row r="68">
      <c r="A68" s="1"/>
      <c r="B68" s="1"/>
      <c r="C68" s="189"/>
      <c r="D68" s="1"/>
      <c r="E68" s="1"/>
      <c r="F68" s="1"/>
      <c r="G68" s="1"/>
      <c r="H68" s="1"/>
      <c r="I68" s="1"/>
      <c r="J68" s="1"/>
      <c r="K68" s="188"/>
      <c r="L68" s="1"/>
      <c r="M68" s="1"/>
      <c r="N68" s="1"/>
      <c r="O68" s="1"/>
      <c r="P68" s="1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</row>
    <row r="69">
      <c r="A69" s="1"/>
      <c r="B69" s="1"/>
      <c r="C69" s="189"/>
      <c r="D69" s="1"/>
      <c r="E69" s="188"/>
      <c r="F69" s="1"/>
      <c r="G69" s="1"/>
      <c r="H69" s="1"/>
      <c r="I69" s="1"/>
      <c r="J69" s="1"/>
      <c r="K69" s="188"/>
      <c r="L69" s="1"/>
      <c r="M69" s="1"/>
      <c r="N69" s="1"/>
      <c r="O69" s="1"/>
      <c r="P69" s="1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</row>
    <row r="71">
      <c r="A71" s="1"/>
      <c r="B71" s="1"/>
      <c r="C71" s="189"/>
      <c r="D71" s="1"/>
      <c r="E71" s="188"/>
      <c r="F71" s="1"/>
      <c r="G71" s="1"/>
      <c r="H71" s="1"/>
      <c r="I71" s="1"/>
      <c r="J71" s="1"/>
      <c r="K71" s="188"/>
      <c r="L71" s="1"/>
      <c r="M71" s="1"/>
      <c r="N71" s="1"/>
      <c r="O71" s="1"/>
      <c r="P71" s="1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</row>
    <row r="72">
      <c r="A72" s="1"/>
      <c r="B72" s="1"/>
      <c r="C72" s="189"/>
      <c r="D72" s="1"/>
      <c r="E72" s="1"/>
      <c r="F72" s="1"/>
      <c r="G72" s="1"/>
      <c r="H72" s="1"/>
      <c r="I72" s="1"/>
      <c r="J72" s="1"/>
      <c r="K72" s="188"/>
      <c r="L72" s="1"/>
      <c r="M72" s="1"/>
      <c r="N72" s="1"/>
      <c r="O72" s="1"/>
      <c r="P72" s="1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</row>
    <row r="73">
      <c r="A73" s="1"/>
      <c r="B73" s="1"/>
      <c r="C73" s="189"/>
      <c r="D73" s="1"/>
      <c r="E73" s="1"/>
      <c r="F73" s="1"/>
      <c r="G73" s="1"/>
      <c r="H73" s="1"/>
      <c r="I73" s="1"/>
      <c r="J73" s="1"/>
      <c r="K73" s="188"/>
      <c r="L73" s="1"/>
      <c r="M73" s="1"/>
      <c r="N73" s="1"/>
      <c r="O73" s="1"/>
      <c r="P73" s="1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</row>
    <row r="74">
      <c r="A74" s="1"/>
      <c r="B74" s="189"/>
      <c r="C74" s="1"/>
      <c r="D74" s="1"/>
      <c r="E74" s="1"/>
      <c r="F74" s="1"/>
      <c r="G74" s="1"/>
      <c r="H74" s="1"/>
      <c r="I74" s="1"/>
      <c r="J74" s="1"/>
      <c r="K74" s="188"/>
      <c r="L74" s="1"/>
      <c r="M74" s="1"/>
      <c r="N74" s="1"/>
      <c r="O74" s="1"/>
      <c r="P74" s="1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</row>
    <row r="75">
      <c r="A75" s="1"/>
      <c r="B75" s="1"/>
      <c r="C75" s="1"/>
      <c r="D75" s="1"/>
      <c r="E75" s="188"/>
      <c r="F75" s="1"/>
      <c r="G75" s="1"/>
      <c r="H75" s="1"/>
      <c r="I75" s="1"/>
      <c r="J75" s="1"/>
      <c r="K75" s="188"/>
      <c r="L75" s="1"/>
      <c r="M75" s="1"/>
      <c r="N75" s="1"/>
      <c r="O75" s="1"/>
      <c r="P75" s="1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</row>
    <row r="76">
      <c r="A76" s="1"/>
      <c r="B76" s="189"/>
      <c r="C76" s="18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</row>
    <row r="77">
      <c r="A77" s="1"/>
      <c r="B77" s="1"/>
      <c r="C77" s="189"/>
      <c r="D77" s="1"/>
      <c r="E77" s="188"/>
      <c r="F77" s="1"/>
      <c r="G77" s="1"/>
      <c r="H77" s="1"/>
      <c r="I77" s="1"/>
      <c r="J77" s="1"/>
      <c r="K77" s="188"/>
      <c r="L77" s="1"/>
      <c r="M77" s="1"/>
      <c r="N77" s="1"/>
      <c r="O77" s="1"/>
      <c r="P77" s="1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</row>
    <row r="78">
      <c r="A78" s="1"/>
      <c r="B78" s="1"/>
      <c r="C78" s="189"/>
      <c r="D78" s="1"/>
      <c r="E78" s="188"/>
      <c r="F78" s="1"/>
      <c r="G78" s="1"/>
      <c r="H78" s="1"/>
      <c r="I78" s="1"/>
      <c r="J78" s="1"/>
      <c r="K78" s="188"/>
      <c r="L78" s="1"/>
      <c r="M78" s="1"/>
      <c r="N78" s="1"/>
      <c r="O78" s="1"/>
      <c r="P78" s="1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</row>
    <row r="79">
      <c r="A79" s="1"/>
      <c r="B79" s="1"/>
      <c r="C79" s="18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</row>
    <row r="80">
      <c r="A80" s="1"/>
      <c r="B80" s="1"/>
      <c r="C80" s="1"/>
      <c r="D80" s="1"/>
      <c r="E80" s="188"/>
      <c r="F80" s="1"/>
      <c r="G80" s="1"/>
      <c r="H80" s="1"/>
      <c r="I80" s="1"/>
      <c r="J80" s="1"/>
      <c r="K80" s="188"/>
      <c r="L80" s="1"/>
      <c r="M80" s="1"/>
      <c r="N80" s="1"/>
      <c r="O80" s="1"/>
      <c r="P80" s="1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  <row r="81">
      <c r="A81" s="1"/>
      <c r="B81" s="1"/>
      <c r="C81" s="1"/>
      <c r="D81" s="1"/>
      <c r="E81" s="188"/>
      <c r="F81" s="1"/>
      <c r="G81" s="1"/>
      <c r="H81" s="1"/>
      <c r="I81" s="1"/>
      <c r="J81" s="1"/>
      <c r="K81" s="188"/>
      <c r="L81" s="1"/>
      <c r="M81" s="1"/>
      <c r="N81" s="1"/>
      <c r="O81" s="1"/>
      <c r="P81" s="1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</row>
    <row r="82">
      <c r="A82" s="1"/>
      <c r="B82" s="1"/>
      <c r="C82" s="189"/>
      <c r="D82" s="1"/>
      <c r="E82" s="188"/>
      <c r="F82" s="1"/>
      <c r="G82" s="1"/>
      <c r="H82" s="1"/>
      <c r="I82" s="1"/>
      <c r="J82" s="1"/>
      <c r="K82" s="188"/>
      <c r="L82" s="1"/>
      <c r="M82" s="1"/>
      <c r="N82" s="1"/>
      <c r="O82" s="1"/>
      <c r="P82" s="1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</row>
    <row r="83">
      <c r="A83" s="1"/>
      <c r="B83" s="1"/>
      <c r="C83" s="189"/>
      <c r="D83" s="1"/>
      <c r="E83" s="188"/>
      <c r="F83" s="1"/>
      <c r="G83" s="1"/>
      <c r="H83" s="1"/>
      <c r="I83" s="1"/>
      <c r="J83" s="1"/>
      <c r="K83" s="188"/>
      <c r="L83" s="1"/>
      <c r="M83" s="1"/>
      <c r="N83" s="1"/>
      <c r="O83" s="1"/>
      <c r="P83" s="1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</row>
    <row r="84">
      <c r="A84" s="1"/>
      <c r="B84" s="1"/>
      <c r="C84" s="18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</row>
    <row r="85">
      <c r="A85" s="1"/>
      <c r="B85" s="1"/>
      <c r="C85" s="189"/>
      <c r="D85" s="1"/>
      <c r="E85" s="188"/>
      <c r="F85" s="1"/>
      <c r="G85" s="1"/>
      <c r="H85" s="1"/>
      <c r="I85" s="1"/>
      <c r="J85" s="1"/>
      <c r="K85" s="188"/>
      <c r="L85" s="1"/>
      <c r="M85" s="1"/>
      <c r="N85" s="1"/>
      <c r="O85" s="1"/>
      <c r="P85" s="1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</row>
    <row r="86">
      <c r="A86" s="1"/>
      <c r="B86" s="1"/>
      <c r="C86" s="189"/>
      <c r="D86" s="1"/>
      <c r="E86" s="1"/>
      <c r="F86" s="1"/>
      <c r="G86" s="1"/>
      <c r="H86" s="1"/>
      <c r="I86" s="1"/>
      <c r="J86" s="1"/>
      <c r="K86" s="188"/>
      <c r="L86" s="1"/>
      <c r="M86" s="1"/>
      <c r="N86" s="1"/>
      <c r="O86" s="1"/>
      <c r="P86" s="1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</row>
    <row r="87">
      <c r="A87" s="1"/>
      <c r="B87" s="1"/>
      <c r="C87" s="189"/>
      <c r="D87" s="1"/>
      <c r="E87" s="1"/>
      <c r="F87" s="1"/>
      <c r="G87" s="1"/>
      <c r="H87" s="1"/>
      <c r="I87" s="1"/>
      <c r="J87" s="1"/>
      <c r="K87" s="188"/>
      <c r="L87" s="1"/>
      <c r="M87" s="1"/>
      <c r="N87" s="1"/>
      <c r="O87" s="1"/>
      <c r="P87" s="1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</row>
    <row r="88">
      <c r="A88" s="1"/>
      <c r="B88" s="1"/>
      <c r="C88" s="189"/>
      <c r="D88" s="1"/>
      <c r="E88" s="1"/>
      <c r="F88" s="1"/>
      <c r="G88" s="1"/>
      <c r="H88" s="1"/>
      <c r="I88" s="1"/>
      <c r="J88" s="1"/>
      <c r="K88" s="188"/>
      <c r="L88" s="1"/>
      <c r="M88" s="1"/>
      <c r="N88" s="1"/>
      <c r="O88" s="1"/>
      <c r="P88" s="1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</row>
    <row r="89">
      <c r="A89" s="1"/>
      <c r="B89" s="1"/>
      <c r="C89" s="189"/>
      <c r="D89" s="1"/>
      <c r="E89" s="188"/>
      <c r="F89" s="1"/>
      <c r="G89" s="1"/>
      <c r="H89" s="1"/>
      <c r="I89" s="1"/>
      <c r="J89" s="1"/>
      <c r="K89" s="188"/>
      <c r="L89" s="1"/>
      <c r="M89" s="1"/>
      <c r="N89" s="1"/>
      <c r="O89" s="1"/>
      <c r="P89" s="1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</row>
    <row r="90">
      <c r="A90" s="1"/>
      <c r="B90" s="1"/>
      <c r="C90" s="189"/>
      <c r="D90" s="1"/>
      <c r="E90" s="188"/>
      <c r="F90" s="1"/>
      <c r="G90" s="1"/>
      <c r="H90" s="1"/>
      <c r="I90" s="1"/>
      <c r="J90" s="1"/>
      <c r="K90" s="188"/>
      <c r="L90" s="1"/>
      <c r="M90" s="1"/>
      <c r="N90" s="1"/>
      <c r="O90" s="1"/>
      <c r="P90" s="1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</row>
    <row r="91">
      <c r="A91" s="1"/>
      <c r="B91" s="189"/>
      <c r="C91" s="189"/>
      <c r="D91" s="1"/>
      <c r="E91" s="1"/>
      <c r="F91" s="1"/>
      <c r="G91" s="1"/>
      <c r="H91" s="1"/>
      <c r="I91" s="1"/>
      <c r="J91" s="1"/>
      <c r="K91" s="188"/>
      <c r="L91" s="1"/>
      <c r="M91" s="1"/>
      <c r="N91" s="1"/>
      <c r="O91" s="1"/>
      <c r="P91" s="1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</row>
    <row r="92">
      <c r="A92" s="1"/>
      <c r="B92" s="1"/>
      <c r="C92" s="189"/>
      <c r="D92" s="1"/>
      <c r="E92" s="1"/>
      <c r="F92" s="1"/>
      <c r="G92" s="1"/>
      <c r="H92" s="1"/>
      <c r="I92" s="1"/>
      <c r="J92" s="1"/>
      <c r="K92" s="188"/>
      <c r="L92" s="1"/>
      <c r="M92" s="1"/>
      <c r="N92" s="1"/>
      <c r="O92" s="1"/>
      <c r="P92" s="1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</row>
    <row r="93">
      <c r="A93" s="1"/>
      <c r="B93" s="1"/>
      <c r="C93" s="189"/>
      <c r="D93" s="1"/>
      <c r="E93" s="188"/>
      <c r="F93" s="1"/>
      <c r="G93" s="1"/>
      <c r="H93" s="1"/>
      <c r="I93" s="1"/>
      <c r="J93" s="1"/>
      <c r="K93" s="188"/>
      <c r="L93" s="1"/>
      <c r="M93" s="1"/>
      <c r="N93" s="1"/>
      <c r="O93" s="1"/>
      <c r="P93" s="1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</row>
    <row r="94">
      <c r="A94" s="1"/>
      <c r="B94" s="1"/>
      <c r="C94" s="189"/>
      <c r="D94" s="1"/>
      <c r="E94" s="188"/>
      <c r="F94" s="1"/>
      <c r="G94" s="1"/>
      <c r="H94" s="1"/>
      <c r="I94" s="1"/>
      <c r="J94" s="1"/>
      <c r="K94" s="188"/>
      <c r="L94" s="1"/>
      <c r="M94" s="1"/>
      <c r="N94" s="1"/>
      <c r="O94" s="1"/>
      <c r="P94" s="1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</row>
    <row r="95">
      <c r="A95" s="1"/>
      <c r="B95" s="1"/>
      <c r="C95" s="189"/>
      <c r="D95" s="1"/>
      <c r="E95" s="188"/>
      <c r="F95" s="1"/>
      <c r="G95" s="1"/>
      <c r="H95" s="1"/>
      <c r="I95" s="1"/>
      <c r="J95" s="1"/>
      <c r="K95" s="188"/>
      <c r="L95" s="1"/>
      <c r="M95" s="1"/>
      <c r="N95" s="1"/>
      <c r="O95" s="1"/>
      <c r="P95" s="1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</row>
    <row r="96">
      <c r="A96" s="1"/>
      <c r="B96" s="1"/>
      <c r="C96" s="189"/>
      <c r="D96" s="1"/>
      <c r="E96" s="1"/>
      <c r="F96" s="1"/>
      <c r="G96" s="1"/>
      <c r="H96" s="1"/>
      <c r="I96" s="1"/>
      <c r="J96" s="1"/>
      <c r="K96" s="188"/>
      <c r="L96" s="1"/>
      <c r="M96" s="1"/>
      <c r="N96" s="1"/>
      <c r="O96" s="1"/>
      <c r="P96" s="1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</row>
    <row r="97">
      <c r="A97" s="1"/>
      <c r="B97" s="189"/>
      <c r="C97" s="189"/>
      <c r="D97" s="1"/>
      <c r="E97" s="188"/>
      <c r="F97" s="1"/>
      <c r="G97" s="1"/>
      <c r="H97" s="1"/>
      <c r="I97" s="1"/>
      <c r="J97" s="1"/>
      <c r="K97" s="188"/>
      <c r="L97" s="1"/>
      <c r="M97" s="1"/>
      <c r="N97" s="1"/>
      <c r="O97" s="1"/>
      <c r="P97" s="1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88"/>
      <c r="L98" s="1"/>
      <c r="M98" s="1"/>
      <c r="N98" s="1"/>
      <c r="O98" s="1"/>
      <c r="P98" s="1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</row>
    <row r="99">
      <c r="A99" s="1"/>
      <c r="B99" s="1"/>
      <c r="C99" s="189"/>
      <c r="D99" s="1"/>
      <c r="E99" s="1"/>
      <c r="F99" s="1"/>
      <c r="G99" s="1"/>
      <c r="H99" s="1"/>
      <c r="I99" s="1"/>
      <c r="J99" s="1"/>
      <c r="K99" s="188"/>
      <c r="L99" s="1"/>
      <c r="M99" s="1"/>
      <c r="N99" s="1"/>
      <c r="O99" s="1"/>
      <c r="P99" s="1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</row>
    <row r="100">
      <c r="A100" s="1"/>
      <c r="B100" s="1"/>
      <c r="C100" s="189"/>
      <c r="D100" s="1"/>
      <c r="E100" s="1"/>
      <c r="F100" s="1"/>
      <c r="G100" s="1"/>
      <c r="H100" s="1"/>
      <c r="I100" s="1"/>
      <c r="J100" s="1"/>
      <c r="K100" s="188"/>
      <c r="L100" s="1"/>
      <c r="M100" s="1"/>
      <c r="N100" s="1"/>
      <c r="O100" s="1"/>
      <c r="P100" s="1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</row>
    <row r="101">
      <c r="A101" s="1"/>
      <c r="B101" s="1"/>
      <c r="C101" s="1"/>
      <c r="D101" s="1"/>
      <c r="E101" s="188"/>
      <c r="F101" s="1"/>
      <c r="G101" s="1"/>
      <c r="H101" s="1"/>
      <c r="I101" s="1"/>
      <c r="J101" s="1"/>
      <c r="K101" s="188"/>
      <c r="L101" s="1"/>
      <c r="M101" s="1"/>
      <c r="N101" s="1"/>
      <c r="O101" s="1"/>
      <c r="P101" s="1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</row>
    <row r="102">
      <c r="A102" s="1"/>
      <c r="B102" s="1"/>
      <c r="C102" s="189"/>
      <c r="D102" s="1"/>
      <c r="E102" s="1"/>
      <c r="F102" s="1"/>
      <c r="G102" s="1"/>
      <c r="H102" s="1"/>
      <c r="I102" s="1"/>
      <c r="J102" s="1"/>
      <c r="K102" s="188"/>
      <c r="L102" s="1"/>
      <c r="M102" s="1"/>
      <c r="N102" s="1"/>
      <c r="O102" s="1"/>
      <c r="P102" s="1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</row>
    <row r="103">
      <c r="A103" s="1"/>
      <c r="B103" s="189"/>
      <c r="C103" s="18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88"/>
      <c r="L104" s="1"/>
      <c r="M104" s="1"/>
      <c r="N104" s="1"/>
      <c r="O104" s="1"/>
      <c r="P104" s="1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88"/>
      <c r="L105" s="1"/>
      <c r="M105" s="1"/>
      <c r="N105" s="1"/>
      <c r="O105" s="1"/>
      <c r="P105" s="1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</row>
    <row r="106">
      <c r="A106" s="1"/>
      <c r="B106" s="1"/>
      <c r="C106" s="189"/>
      <c r="D106" s="1"/>
      <c r="E106" s="188"/>
      <c r="F106" s="1"/>
      <c r="G106" s="1"/>
      <c r="H106" s="1"/>
      <c r="I106" s="1"/>
      <c r="J106" s="1"/>
      <c r="K106" s="188"/>
      <c r="L106" s="1"/>
      <c r="M106" s="1"/>
      <c r="N106" s="1"/>
      <c r="O106" s="1"/>
      <c r="P106" s="1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</row>
    <row r="107">
      <c r="A107" s="1"/>
      <c r="B107" s="1"/>
      <c r="C107" s="1"/>
      <c r="D107" s="1"/>
      <c r="E107" s="188"/>
      <c r="F107" s="1"/>
      <c r="G107" s="1"/>
      <c r="H107" s="1"/>
      <c r="I107" s="1"/>
      <c r="J107" s="1"/>
      <c r="K107" s="188"/>
      <c r="L107" s="1"/>
      <c r="M107" s="1"/>
      <c r="N107" s="1"/>
      <c r="O107" s="1"/>
      <c r="P107" s="1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</row>
    <row r="108">
      <c r="A108" s="1"/>
      <c r="B108" s="189"/>
      <c r="C108" s="189"/>
      <c r="D108" s="1"/>
      <c r="E108" s="1"/>
      <c r="F108" s="1"/>
      <c r="G108" s="1"/>
      <c r="H108" s="1"/>
      <c r="I108" s="1"/>
      <c r="J108" s="1"/>
      <c r="K108" s="188"/>
      <c r="L108" s="1"/>
      <c r="M108" s="1"/>
      <c r="N108" s="1"/>
      <c r="O108" s="1"/>
      <c r="P108" s="1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</row>
    <row r="109">
      <c r="A109" s="1"/>
      <c r="B109" s="1"/>
      <c r="C109" s="18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</row>
    <row r="110">
      <c r="A110" s="1"/>
      <c r="B110" s="1"/>
      <c r="C110" s="18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</row>
    <row r="111">
      <c r="A111" s="1"/>
      <c r="B111" s="1"/>
      <c r="C111" s="189"/>
      <c r="D111" s="1"/>
      <c r="E111" s="188"/>
      <c r="F111" s="1"/>
      <c r="G111" s="1"/>
      <c r="H111" s="1"/>
      <c r="I111" s="1"/>
      <c r="J111" s="1"/>
      <c r="K111" s="188"/>
      <c r="L111" s="1"/>
      <c r="M111" s="1"/>
      <c r="N111" s="1"/>
      <c r="O111" s="1"/>
      <c r="P111" s="1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</row>
    <row r="112">
      <c r="A112" s="1"/>
      <c r="B112" s="1"/>
      <c r="C112" s="189"/>
      <c r="D112" s="1"/>
      <c r="E112" s="188"/>
      <c r="F112" s="1"/>
      <c r="G112" s="1"/>
      <c r="H112" s="1"/>
      <c r="I112" s="1"/>
      <c r="J112" s="1"/>
      <c r="K112" s="188"/>
      <c r="L112" s="1"/>
      <c r="M112" s="1"/>
      <c r="N112" s="1"/>
      <c r="O112" s="1"/>
      <c r="P112" s="1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</row>
    <row r="113">
      <c r="A113" s="1"/>
      <c r="B113" s="1"/>
      <c r="C113" s="189"/>
      <c r="D113" s="1"/>
      <c r="E113" s="1"/>
      <c r="F113" s="1"/>
      <c r="G113" s="1"/>
      <c r="H113" s="1"/>
      <c r="I113" s="1"/>
      <c r="J113" s="1"/>
      <c r="K113" s="188"/>
      <c r="L113" s="1"/>
      <c r="M113" s="1"/>
      <c r="N113" s="1"/>
      <c r="O113" s="1"/>
      <c r="P113" s="1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</row>
    <row r="114">
      <c r="A114" s="1"/>
      <c r="B114" s="1"/>
      <c r="C114" s="189"/>
      <c r="D114" s="1"/>
      <c r="E114" s="1"/>
      <c r="F114" s="1"/>
      <c r="G114" s="1"/>
      <c r="H114" s="1"/>
      <c r="I114" s="1"/>
      <c r="J114" s="1"/>
      <c r="K114" s="188"/>
      <c r="L114" s="1"/>
      <c r="M114" s="1"/>
      <c r="N114" s="1"/>
      <c r="O114" s="1"/>
      <c r="P114" s="1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</row>
    <row r="115">
      <c r="A115" s="1"/>
      <c r="B115" s="1"/>
      <c r="C115" s="189"/>
      <c r="D115" s="1"/>
      <c r="E115" s="188"/>
      <c r="F115" s="1"/>
      <c r="G115" s="1"/>
      <c r="H115" s="1"/>
      <c r="I115" s="1"/>
      <c r="J115" s="1"/>
      <c r="K115" s="188"/>
      <c r="L115" s="1"/>
      <c r="M115" s="1"/>
      <c r="N115" s="1"/>
      <c r="O115" s="1"/>
      <c r="P115" s="1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</row>
    <row r="116">
      <c r="A116" s="1"/>
      <c r="B116" s="1"/>
      <c r="C116" s="18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</row>
    <row r="117">
      <c r="A117" s="1"/>
      <c r="B117" s="1"/>
      <c r="C117" s="189"/>
      <c r="D117" s="1"/>
      <c r="E117" s="188"/>
      <c r="F117" s="1"/>
      <c r="G117" s="1"/>
      <c r="H117" s="1"/>
      <c r="I117" s="1"/>
      <c r="J117" s="1"/>
      <c r="K117" s="188"/>
      <c r="L117" s="1"/>
      <c r="M117" s="1"/>
      <c r="N117" s="1"/>
      <c r="O117" s="1"/>
      <c r="P117" s="1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</row>
    <row r="118">
      <c r="A118" s="1"/>
      <c r="B118" s="1"/>
      <c r="C118" s="189"/>
      <c r="D118" s="1"/>
      <c r="E118" s="188"/>
      <c r="F118" s="1"/>
      <c r="G118" s="1"/>
      <c r="H118" s="1"/>
      <c r="I118" s="1"/>
      <c r="J118" s="1"/>
      <c r="K118" s="188"/>
      <c r="L118" s="1"/>
      <c r="M118" s="1"/>
      <c r="N118" s="1"/>
      <c r="O118" s="1"/>
      <c r="P118" s="1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</row>
    <row r="119">
      <c r="A119" s="1"/>
      <c r="B119" s="1"/>
      <c r="C119" s="189"/>
      <c r="D119" s="1"/>
      <c r="E119" s="188"/>
      <c r="F119" s="1"/>
      <c r="G119" s="1"/>
      <c r="H119" s="1"/>
      <c r="I119" s="1"/>
      <c r="J119" s="1"/>
      <c r="K119" s="188"/>
      <c r="L119" s="1"/>
      <c r="M119" s="1"/>
      <c r="N119" s="1"/>
      <c r="O119" s="1"/>
      <c r="P119" s="1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</row>
    <row r="120">
      <c r="A120" s="1"/>
      <c r="B120" s="1"/>
      <c r="C120" s="18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</row>
    <row r="121">
      <c r="A121" s="1"/>
      <c r="B121" s="189"/>
      <c r="C121" s="189"/>
      <c r="D121" s="1"/>
      <c r="E121" s="1"/>
      <c r="F121" s="1"/>
      <c r="G121" s="1"/>
      <c r="H121" s="1"/>
      <c r="I121" s="1"/>
      <c r="J121" s="1"/>
      <c r="K121" s="188"/>
      <c r="L121" s="1"/>
      <c r="M121" s="1"/>
      <c r="N121" s="1"/>
      <c r="O121" s="1"/>
      <c r="P121" s="1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</row>
    <row r="122">
      <c r="A122" s="1"/>
      <c r="B122" s="1"/>
      <c r="C122" s="1"/>
      <c r="D122" s="1"/>
      <c r="E122" s="188"/>
      <c r="F122" s="1"/>
      <c r="G122" s="1"/>
      <c r="H122" s="1"/>
      <c r="I122" s="1"/>
      <c r="J122" s="1"/>
      <c r="K122" s="188"/>
      <c r="L122" s="1"/>
      <c r="M122" s="1"/>
      <c r="N122" s="1"/>
      <c r="O122" s="1"/>
      <c r="P122" s="1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</row>
    <row r="123">
      <c r="A123" s="1"/>
      <c r="B123" s="1"/>
      <c r="C123" s="1"/>
      <c r="D123" s="1"/>
      <c r="E123" s="188"/>
      <c r="F123" s="1"/>
      <c r="G123" s="1"/>
      <c r="H123" s="1"/>
      <c r="I123" s="1"/>
      <c r="J123" s="1"/>
      <c r="K123" s="188"/>
      <c r="L123" s="1"/>
      <c r="M123" s="1"/>
      <c r="N123" s="1"/>
      <c r="O123" s="1"/>
      <c r="P123" s="1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</row>
    <row r="124">
      <c r="A124" s="1"/>
      <c r="B124" s="1"/>
      <c r="C124" s="1"/>
      <c r="D124" s="1"/>
      <c r="E124" s="188"/>
      <c r="F124" s="1"/>
      <c r="G124" s="1"/>
      <c r="H124" s="1"/>
      <c r="I124" s="1"/>
      <c r="J124" s="1"/>
      <c r="K124" s="188"/>
      <c r="L124" s="1"/>
      <c r="M124" s="1"/>
      <c r="N124" s="1"/>
      <c r="O124" s="1"/>
      <c r="P124" s="1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</row>
    <row r="125">
      <c r="A125" s="1"/>
      <c r="B125" s="1"/>
      <c r="C125" s="189"/>
      <c r="D125" s="1"/>
      <c r="E125" s="1"/>
      <c r="F125" s="1"/>
      <c r="G125" s="1"/>
      <c r="H125" s="1"/>
      <c r="I125" s="1"/>
      <c r="J125" s="1"/>
      <c r="K125" s="188"/>
      <c r="L125" s="1"/>
      <c r="M125" s="1"/>
      <c r="N125" s="1"/>
      <c r="O125" s="1"/>
      <c r="P125" s="1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</row>
    <row r="126">
      <c r="A126" s="1"/>
      <c r="B126" s="1"/>
      <c r="C126" s="1"/>
      <c r="D126" s="1"/>
      <c r="E126" s="188"/>
      <c r="F126" s="1"/>
      <c r="G126" s="1"/>
      <c r="H126" s="1"/>
      <c r="I126" s="1"/>
      <c r="J126" s="1"/>
      <c r="K126" s="188"/>
      <c r="L126" s="1"/>
      <c r="M126" s="1"/>
      <c r="N126" s="1"/>
      <c r="O126" s="1"/>
      <c r="P126" s="1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</row>
    <row r="127">
      <c r="A127" s="1"/>
      <c r="B127" s="1"/>
      <c r="C127" s="1"/>
      <c r="D127" s="1"/>
      <c r="E127" s="188"/>
      <c r="F127" s="1"/>
      <c r="G127" s="1"/>
      <c r="H127" s="1"/>
      <c r="I127" s="1"/>
      <c r="J127" s="1"/>
      <c r="K127" s="188"/>
      <c r="L127" s="1"/>
      <c r="M127" s="1"/>
      <c r="N127" s="1"/>
      <c r="O127" s="1"/>
      <c r="P127" s="1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</row>
    <row r="128">
      <c r="A128" s="1"/>
      <c r="B128" s="189"/>
      <c r="C128" s="189"/>
      <c r="D128" s="1"/>
      <c r="E128" s="188"/>
      <c r="F128" s="1"/>
      <c r="G128" s="1"/>
      <c r="H128" s="1"/>
      <c r="I128" s="1"/>
      <c r="J128" s="1"/>
      <c r="K128" s="188"/>
      <c r="L128" s="1"/>
      <c r="M128" s="1"/>
      <c r="N128" s="1"/>
      <c r="O128" s="1"/>
      <c r="P128" s="1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</row>
    <row r="129">
      <c r="A129" s="1"/>
      <c r="B129" s="1"/>
      <c r="C129" s="189"/>
      <c r="D129" s="1"/>
      <c r="E129" s="188"/>
      <c r="F129" s="1"/>
      <c r="G129" s="1"/>
      <c r="H129" s="1"/>
      <c r="I129" s="1"/>
      <c r="J129" s="1"/>
      <c r="K129" s="188"/>
      <c r="L129" s="1"/>
      <c r="M129" s="1"/>
      <c r="N129" s="1"/>
      <c r="O129" s="1"/>
      <c r="P129" s="1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</row>
    <row r="130">
      <c r="A130" s="1"/>
      <c r="B130" s="189"/>
      <c r="C130" s="189"/>
      <c r="D130" s="1"/>
      <c r="E130" s="188"/>
      <c r="F130" s="1"/>
      <c r="G130" s="1"/>
      <c r="H130" s="1"/>
      <c r="I130" s="1"/>
      <c r="J130" s="1"/>
      <c r="K130" s="188"/>
      <c r="L130" s="1"/>
      <c r="M130" s="1"/>
      <c r="N130" s="1"/>
      <c r="O130" s="1"/>
      <c r="P130" s="1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</row>
    <row r="131">
      <c r="A131" s="1"/>
      <c r="B131" s="18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</row>
    <row r="132">
      <c r="A132" s="1"/>
      <c r="B132" s="1"/>
      <c r="C132" s="1"/>
      <c r="D132" s="1"/>
      <c r="E132" s="188"/>
      <c r="F132" s="1"/>
      <c r="G132" s="1"/>
      <c r="H132" s="1"/>
      <c r="I132" s="1"/>
      <c r="J132" s="1"/>
      <c r="K132" s="188"/>
      <c r="L132" s="1"/>
      <c r="M132" s="1"/>
      <c r="N132" s="1"/>
      <c r="O132" s="1"/>
      <c r="P132" s="1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</row>
    <row r="133">
      <c r="A133" s="1"/>
      <c r="B133" s="1"/>
      <c r="C133" s="18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</row>
    <row r="135">
      <c r="A135" s="1"/>
      <c r="B135" s="1"/>
      <c r="C135" s="1"/>
      <c r="D135" s="1"/>
      <c r="E135" s="188"/>
      <c r="F135" s="1"/>
      <c r="G135" s="1"/>
      <c r="H135" s="1"/>
      <c r="I135" s="1"/>
      <c r="J135" s="1"/>
      <c r="K135" s="188"/>
      <c r="L135" s="1"/>
      <c r="M135" s="1"/>
      <c r="N135" s="1"/>
      <c r="O135" s="1"/>
      <c r="P135" s="1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</row>
    <row r="136">
      <c r="A136" s="1"/>
      <c r="B136" s="1"/>
      <c r="C136" s="18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88"/>
      <c r="L137" s="1"/>
      <c r="M137" s="1"/>
      <c r="N137" s="1"/>
      <c r="O137" s="1"/>
      <c r="P137" s="1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</row>
    <row r="138">
      <c r="A138" s="1"/>
      <c r="B138" s="189"/>
      <c r="C138" s="189"/>
      <c r="D138" s="1"/>
      <c r="E138" s="1"/>
      <c r="F138" s="1"/>
      <c r="G138" s="1"/>
      <c r="H138" s="1"/>
      <c r="I138" s="1"/>
      <c r="J138" s="1"/>
      <c r="K138" s="188"/>
      <c r="L138" s="1"/>
      <c r="M138" s="1"/>
      <c r="N138" s="1"/>
      <c r="O138" s="1"/>
      <c r="P138" s="1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</row>
    <row r="139">
      <c r="A139" s="1"/>
      <c r="B139" s="189"/>
      <c r="C139" s="189"/>
      <c r="D139" s="1"/>
      <c r="E139" s="188"/>
      <c r="F139" s="1"/>
      <c r="G139" s="1"/>
      <c r="H139" s="1"/>
      <c r="I139" s="1"/>
      <c r="J139" s="1"/>
      <c r="K139" s="188"/>
      <c r="L139" s="1"/>
      <c r="M139" s="1"/>
      <c r="N139" s="1"/>
      <c r="O139" s="1"/>
      <c r="P139" s="1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</row>
    <row r="141">
      <c r="A141" s="188"/>
      <c r="B141" s="188"/>
      <c r="C141" s="190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</row>
    <row r="142">
      <c r="A142" s="188"/>
      <c r="B142" s="188"/>
      <c r="C142" s="190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</row>
    <row r="143">
      <c r="A143" s="188"/>
      <c r="B143" s="188"/>
      <c r="C143" s="190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</row>
    <row r="144">
      <c r="A144" s="188"/>
      <c r="B144" s="188"/>
      <c r="C144" s="190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</row>
    <row r="145">
      <c r="A145" s="188"/>
      <c r="B145" s="188"/>
      <c r="C145" s="190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</row>
    <row r="146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</row>
    <row r="147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</row>
    <row r="148">
      <c r="A148" s="188"/>
      <c r="B148" s="188"/>
      <c r="C148" s="190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</row>
    <row r="149">
      <c r="A149" s="188"/>
      <c r="B149" s="188"/>
      <c r="C149" s="190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</row>
    <row r="150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</row>
    <row r="151">
      <c r="A151" s="188"/>
      <c r="B151" s="188"/>
      <c r="C151" s="190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</row>
    <row r="152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</row>
    <row r="153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</row>
    <row r="154">
      <c r="A154" s="188"/>
      <c r="B154" s="188"/>
      <c r="C154" s="190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</row>
    <row r="155">
      <c r="A155" s="188"/>
      <c r="B155" s="188"/>
      <c r="C155" s="190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</row>
    <row r="156">
      <c r="A156" s="188"/>
      <c r="B156" s="190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</row>
    <row r="157">
      <c r="A157" s="188"/>
      <c r="B157" s="188"/>
      <c r="C157" s="190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</row>
    <row r="158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</row>
    <row r="159">
      <c r="A159" s="188"/>
      <c r="B159" s="188"/>
      <c r="C159" s="190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</row>
    <row r="160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</row>
    <row r="16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</row>
    <row r="162">
      <c r="A162" s="188"/>
      <c r="B162" s="188"/>
      <c r="C162" s="190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</row>
    <row r="163">
      <c r="A163" s="188"/>
      <c r="B163" s="188"/>
      <c r="C163" s="190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</row>
    <row r="164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</row>
    <row r="165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</row>
    <row r="166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</row>
    <row r="167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</row>
    <row r="168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</row>
    <row r="169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</row>
    <row r="170">
      <c r="A170" s="188"/>
      <c r="B170" s="188"/>
      <c r="C170" s="190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88"/>
      <c r="AW170" s="188"/>
      <c r="AX170" s="188"/>
      <c r="AY170" s="188"/>
      <c r="AZ170" s="188"/>
      <c r="BA170" s="188"/>
      <c r="BB170" s="188"/>
      <c r="BC170" s="188"/>
    </row>
    <row r="17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188"/>
    </row>
    <row r="172">
      <c r="A172" s="188"/>
      <c r="B172" s="188"/>
      <c r="C172" s="190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</row>
    <row r="173">
      <c r="A173" s="188"/>
      <c r="B173" s="188"/>
      <c r="C173" s="190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</row>
    <row r="174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</row>
    <row r="175">
      <c r="A175" s="188"/>
      <c r="B175" s="188"/>
      <c r="C175" s="190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</row>
    <row r="176">
      <c r="A176" s="188"/>
      <c r="B176" s="190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</row>
    <row r="177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</row>
    <row r="178">
      <c r="A178" s="188"/>
      <c r="B178" s="188"/>
      <c r="C178" s="190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</row>
    <row r="179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</row>
    <row r="180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88"/>
      <c r="BC180" s="188"/>
    </row>
    <row r="181">
      <c r="A181" s="188"/>
      <c r="B181" s="188"/>
      <c r="C181" s="190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/>
      <c r="AX181" s="188"/>
      <c r="AY181" s="188"/>
      <c r="AZ181" s="188"/>
      <c r="BA181" s="188"/>
      <c r="BB181" s="188"/>
      <c r="BC181" s="188"/>
    </row>
    <row r="182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</row>
    <row r="183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</row>
    <row r="184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</row>
    <row r="185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</row>
    <row r="186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</row>
    <row r="187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</row>
    <row r="188">
      <c r="A188" s="188"/>
      <c r="B188" s="190"/>
      <c r="C188" s="190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</row>
    <row r="189">
      <c r="A189" s="188"/>
      <c r="B189" s="188"/>
      <c r="C189" s="190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</row>
    <row r="190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  <c r="AV190" s="188"/>
      <c r="AW190" s="188"/>
      <c r="AX190" s="188"/>
      <c r="AY190" s="188"/>
      <c r="AZ190" s="188"/>
      <c r="BA190" s="188"/>
      <c r="BB190" s="188"/>
      <c r="BC190" s="188"/>
    </row>
    <row r="191">
      <c r="A191" s="188"/>
      <c r="B191" s="188"/>
      <c r="C191" s="190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  <c r="AX191" s="188"/>
      <c r="AY191" s="188"/>
      <c r="AZ191" s="188"/>
      <c r="BA191" s="188"/>
      <c r="BB191" s="188"/>
      <c r="BC191" s="188"/>
    </row>
    <row r="192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</row>
    <row r="193">
      <c r="A193" s="188"/>
      <c r="B193" s="188"/>
      <c r="C193" s="190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</row>
    <row r="194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</row>
    <row r="195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</row>
    <row r="196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</row>
    <row r="197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</row>
    <row r="198">
      <c r="A198" s="188"/>
      <c r="B198" s="188"/>
      <c r="C198" s="190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</row>
    <row r="199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</row>
    <row r="200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188"/>
      <c r="AU200" s="188"/>
      <c r="AV200" s="188"/>
      <c r="AW200" s="188"/>
      <c r="AX200" s="188"/>
      <c r="AY200" s="188"/>
      <c r="AZ200" s="188"/>
      <c r="BA200" s="188"/>
      <c r="BB200" s="188"/>
      <c r="BC200" s="188"/>
    </row>
    <row r="20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</row>
    <row r="202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</row>
    <row r="216">
      <c r="A216" s="188"/>
      <c r="B216" s="188"/>
      <c r="C216" s="190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</row>
    <row r="217">
      <c r="A217" s="188"/>
      <c r="B217" s="188"/>
      <c r="C217" s="190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</row>
    <row r="218">
      <c r="A218" s="188"/>
      <c r="B218" s="188"/>
      <c r="C218" s="190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  <c r="AV220" s="188"/>
      <c r="AW220" s="188"/>
      <c r="AX220" s="188"/>
      <c r="AY220" s="188"/>
      <c r="AZ220" s="188"/>
      <c r="BA220" s="188"/>
      <c r="BB220" s="188"/>
      <c r="BC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  <c r="AV222" s="188"/>
      <c r="AW222" s="188"/>
      <c r="AX222" s="188"/>
      <c r="AY222" s="188"/>
      <c r="AZ222" s="188"/>
      <c r="BA222" s="188"/>
      <c r="BB222" s="188"/>
      <c r="BC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88"/>
      <c r="AW223" s="188"/>
      <c r="AX223" s="188"/>
      <c r="AY223" s="188"/>
      <c r="AZ223" s="188"/>
      <c r="BA223" s="188"/>
      <c r="BB223" s="188"/>
      <c r="BC223" s="188"/>
    </row>
    <row r="224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88"/>
      <c r="AW230" s="188"/>
      <c r="AX230" s="188"/>
      <c r="AY230" s="188"/>
      <c r="AZ230" s="188"/>
      <c r="BA230" s="188"/>
      <c r="BB230" s="188"/>
      <c r="BC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  <c r="AV231" s="188"/>
      <c r="AW231" s="188"/>
      <c r="AX231" s="188"/>
      <c r="AY231" s="188"/>
      <c r="AZ231" s="188"/>
      <c r="BA231" s="188"/>
      <c r="BB231" s="188"/>
      <c r="BC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88"/>
      <c r="AW232" s="188"/>
      <c r="AX232" s="188"/>
      <c r="AY232" s="188"/>
      <c r="AZ232" s="188"/>
      <c r="BA232" s="188"/>
      <c r="BB232" s="188"/>
      <c r="BC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  <c r="AV233" s="188"/>
      <c r="AW233" s="188"/>
      <c r="AX233" s="188"/>
      <c r="AY233" s="188"/>
      <c r="AZ233" s="188"/>
      <c r="BA233" s="188"/>
      <c r="BB233" s="188"/>
      <c r="BC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88"/>
      <c r="AW234" s="188"/>
      <c r="AX234" s="188"/>
      <c r="AY234" s="188"/>
      <c r="AZ234" s="188"/>
      <c r="BA234" s="188"/>
      <c r="BB234" s="188"/>
      <c r="BC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88"/>
      <c r="AW236" s="188"/>
      <c r="AX236" s="188"/>
      <c r="AY236" s="188"/>
      <c r="AZ236" s="188"/>
      <c r="BA236" s="188"/>
      <c r="BB236" s="188"/>
      <c r="BC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</row>
    <row r="241">
      <c r="A241" s="188"/>
      <c r="B241" s="190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  <c r="AV243" s="188"/>
      <c r="AW243" s="188"/>
      <c r="AX243" s="188"/>
      <c r="AY243" s="188"/>
      <c r="AZ243" s="188"/>
      <c r="BA243" s="188"/>
      <c r="BB243" s="188"/>
      <c r="BC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88"/>
      <c r="AW244" s="188"/>
      <c r="AX244" s="188"/>
      <c r="AY244" s="188"/>
      <c r="AZ244" s="188"/>
      <c r="BA244" s="188"/>
      <c r="BB244" s="188"/>
      <c r="BC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  <c r="AV245" s="188"/>
      <c r="AW245" s="188"/>
      <c r="AX245" s="188"/>
      <c r="AY245" s="188"/>
      <c r="AZ245" s="188"/>
      <c r="BA245" s="188"/>
      <c r="BB245" s="188"/>
      <c r="BC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/>
      <c r="AY246" s="188"/>
      <c r="AZ246" s="188"/>
      <c r="BA246" s="188"/>
      <c r="BB246" s="188"/>
      <c r="BC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  <c r="AV247" s="188"/>
      <c r="AW247" s="188"/>
      <c r="AX247" s="188"/>
      <c r="AY247" s="188"/>
      <c r="AZ247" s="188"/>
      <c r="BA247" s="188"/>
      <c r="BB247" s="188"/>
      <c r="BC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88"/>
      <c r="AW248" s="188"/>
      <c r="AX248" s="188"/>
      <c r="AY248" s="188"/>
      <c r="AZ248" s="188"/>
      <c r="BA248" s="188"/>
      <c r="BB248" s="188"/>
      <c r="BC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  <c r="AV249" s="188"/>
      <c r="AW249" s="188"/>
      <c r="AX249" s="188"/>
      <c r="AY249" s="188"/>
      <c r="AZ249" s="188"/>
      <c r="BA249" s="188"/>
      <c r="BB249" s="188"/>
      <c r="BC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88"/>
      <c r="AW250" s="188"/>
      <c r="AX250" s="188"/>
      <c r="AY250" s="188"/>
      <c r="AZ250" s="188"/>
      <c r="BA250" s="188"/>
      <c r="BB250" s="188"/>
      <c r="BC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  <c r="AV251" s="188"/>
      <c r="AW251" s="188"/>
      <c r="AX251" s="188"/>
      <c r="AY251" s="188"/>
      <c r="AZ251" s="188"/>
      <c r="BA251" s="188"/>
      <c r="BB251" s="188"/>
      <c r="BC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88"/>
      <c r="AW252" s="188"/>
      <c r="AX252" s="188"/>
      <c r="AY252" s="188"/>
      <c r="AZ252" s="188"/>
      <c r="BA252" s="188"/>
      <c r="BB252" s="188"/>
      <c r="BC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  <c r="AV253" s="188"/>
      <c r="AW253" s="188"/>
      <c r="AX253" s="188"/>
      <c r="AY253" s="188"/>
      <c r="AZ253" s="188"/>
      <c r="BA253" s="188"/>
      <c r="BB253" s="188"/>
      <c r="BC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  <c r="AV254" s="188"/>
      <c r="AW254" s="188"/>
      <c r="AX254" s="188"/>
      <c r="AY254" s="188"/>
      <c r="AZ254" s="188"/>
      <c r="BA254" s="188"/>
      <c r="BB254" s="188"/>
      <c r="BC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  <c r="AR255" s="188"/>
      <c r="AS255" s="188"/>
      <c r="AT255" s="188"/>
      <c r="AU255" s="188"/>
      <c r="AV255" s="188"/>
      <c r="AW255" s="188"/>
      <c r="AX255" s="188"/>
      <c r="AY255" s="188"/>
      <c r="AZ255" s="188"/>
      <c r="BA255" s="188"/>
      <c r="BB255" s="188"/>
      <c r="BC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S256" s="188"/>
      <c r="T256" s="188"/>
      <c r="U256" s="188"/>
      <c r="V256" s="188"/>
      <c r="W256" s="188"/>
      <c r="X256" s="188"/>
      <c r="Y256" s="188"/>
      <c r="Z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88"/>
      <c r="AW256" s="188"/>
      <c r="AX256" s="188"/>
      <c r="AY256" s="188"/>
      <c r="AZ256" s="188"/>
      <c r="BA256" s="188"/>
      <c r="BB256" s="188"/>
      <c r="BC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  <c r="AV257" s="188"/>
      <c r="AW257" s="188"/>
      <c r="AX257" s="188"/>
      <c r="AY257" s="188"/>
      <c r="AZ257" s="188"/>
      <c r="BA257" s="188"/>
      <c r="BB257" s="188"/>
      <c r="BC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88"/>
      <c r="AW258" s="188"/>
      <c r="AX258" s="188"/>
      <c r="AY258" s="188"/>
      <c r="AZ258" s="188"/>
      <c r="BA258" s="188"/>
      <c r="BB258" s="188"/>
      <c r="BC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  <c r="AP259" s="188"/>
      <c r="AQ259" s="188"/>
      <c r="AR259" s="188"/>
      <c r="AS259" s="188"/>
      <c r="AT259" s="188"/>
      <c r="AU259" s="188"/>
      <c r="AV259" s="188"/>
      <c r="AW259" s="188"/>
      <c r="AX259" s="188"/>
      <c r="AY259" s="188"/>
      <c r="AZ259" s="188"/>
      <c r="BA259" s="188"/>
      <c r="BB259" s="188"/>
      <c r="BC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  <c r="AP260" s="188"/>
      <c r="AQ260" s="188"/>
      <c r="AR260" s="188"/>
      <c r="AS260" s="188"/>
      <c r="AT260" s="188"/>
      <c r="AU260" s="188"/>
      <c r="AV260" s="188"/>
      <c r="AW260" s="188"/>
      <c r="AX260" s="188"/>
      <c r="AY260" s="188"/>
      <c r="AZ260" s="188"/>
      <c r="BA260" s="188"/>
      <c r="BB260" s="188"/>
      <c r="BC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  <c r="AP261" s="188"/>
      <c r="AQ261" s="188"/>
      <c r="AR261" s="188"/>
      <c r="AS261" s="188"/>
      <c r="AT261" s="188"/>
      <c r="AU261" s="188"/>
      <c r="AV261" s="188"/>
      <c r="AW261" s="188"/>
      <c r="AX261" s="188"/>
      <c r="AY261" s="188"/>
      <c r="AZ261" s="188"/>
      <c r="BA261" s="188"/>
      <c r="BB261" s="188"/>
      <c r="BC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  <c r="AP262" s="188"/>
      <c r="AQ262" s="188"/>
      <c r="AR262" s="188"/>
      <c r="AS262" s="188"/>
      <c r="AT262" s="188"/>
      <c r="AU262" s="188"/>
      <c r="AV262" s="188"/>
      <c r="AW262" s="188"/>
      <c r="AX262" s="188"/>
      <c r="AY262" s="188"/>
      <c r="AZ262" s="188"/>
      <c r="BA262" s="188"/>
      <c r="BB262" s="188"/>
      <c r="BC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  <c r="AP263" s="188"/>
      <c r="AQ263" s="188"/>
      <c r="AR263" s="188"/>
      <c r="AS263" s="188"/>
      <c r="AT263" s="188"/>
      <c r="AU263" s="188"/>
      <c r="AV263" s="188"/>
      <c r="AW263" s="188"/>
      <c r="AX263" s="188"/>
      <c r="AY263" s="188"/>
      <c r="AZ263" s="188"/>
      <c r="BA263" s="188"/>
      <c r="BB263" s="188"/>
      <c r="BC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  <c r="AR264" s="188"/>
      <c r="AS264" s="188"/>
      <c r="AT264" s="188"/>
      <c r="AU264" s="188"/>
      <c r="AV264" s="188"/>
      <c r="AW264" s="188"/>
      <c r="AX264" s="188"/>
      <c r="AY264" s="188"/>
      <c r="AZ264" s="188"/>
      <c r="BA264" s="188"/>
      <c r="BB264" s="188"/>
      <c r="BC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  <c r="AP265" s="188"/>
      <c r="AQ265" s="188"/>
      <c r="AR265" s="188"/>
      <c r="AS265" s="188"/>
      <c r="AT265" s="188"/>
      <c r="AU265" s="188"/>
      <c r="AV265" s="188"/>
      <c r="AW265" s="188"/>
      <c r="AX265" s="188"/>
      <c r="AY265" s="188"/>
      <c r="AZ265" s="188"/>
      <c r="BA265" s="188"/>
      <c r="BB265" s="188"/>
      <c r="BC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  <c r="AP266" s="188"/>
      <c r="AQ266" s="188"/>
      <c r="AR266" s="188"/>
      <c r="AS266" s="188"/>
      <c r="AT266" s="188"/>
      <c r="AU266" s="188"/>
      <c r="AV266" s="188"/>
      <c r="AW266" s="188"/>
      <c r="AX266" s="188"/>
      <c r="AY266" s="188"/>
      <c r="AZ266" s="188"/>
      <c r="BA266" s="188"/>
      <c r="BB266" s="188"/>
      <c r="BC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88"/>
      <c r="AW267" s="188"/>
      <c r="AX267" s="188"/>
      <c r="AY267" s="188"/>
      <c r="AZ267" s="188"/>
      <c r="BA267" s="188"/>
      <c r="BB267" s="188"/>
      <c r="BC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88"/>
      <c r="AW268" s="188"/>
      <c r="AX268" s="188"/>
      <c r="AY268" s="188"/>
      <c r="AZ268" s="188"/>
      <c r="BA268" s="188"/>
      <c r="BB268" s="188"/>
      <c r="BC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88"/>
      <c r="AW269" s="188"/>
      <c r="AX269" s="188"/>
      <c r="AY269" s="188"/>
      <c r="AZ269" s="188"/>
      <c r="BA269" s="188"/>
      <c r="BB269" s="188"/>
      <c r="BC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88"/>
      <c r="AW270" s="188"/>
      <c r="AX270" s="188"/>
      <c r="AY270" s="188"/>
      <c r="AZ270" s="188"/>
      <c r="BA270" s="188"/>
      <c r="BB270" s="188"/>
      <c r="BC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  <c r="AU271" s="188"/>
      <c r="AV271" s="188"/>
      <c r="AW271" s="188"/>
      <c r="AX271" s="188"/>
      <c r="AY271" s="188"/>
      <c r="AZ271" s="188"/>
      <c r="BA271" s="188"/>
      <c r="BB271" s="188"/>
      <c r="BC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  <c r="AR272" s="188"/>
      <c r="AS272" s="188"/>
      <c r="AT272" s="188"/>
      <c r="AU272" s="188"/>
      <c r="AV272" s="188"/>
      <c r="AW272" s="188"/>
      <c r="AX272" s="188"/>
      <c r="AY272" s="188"/>
      <c r="AZ272" s="188"/>
      <c r="BA272" s="188"/>
      <c r="BB272" s="188"/>
      <c r="BC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88"/>
      <c r="AW273" s="188"/>
      <c r="AX273" s="188"/>
      <c r="AY273" s="188"/>
      <c r="AZ273" s="188"/>
      <c r="BA273" s="188"/>
      <c r="BB273" s="188"/>
      <c r="BC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88"/>
      <c r="AW274" s="188"/>
      <c r="AX274" s="188"/>
      <c r="AY274" s="188"/>
      <c r="AZ274" s="188"/>
      <c r="BA274" s="188"/>
      <c r="BB274" s="188"/>
      <c r="BC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88"/>
      <c r="AW275" s="188"/>
      <c r="AX275" s="188"/>
      <c r="AY275" s="188"/>
      <c r="AZ275" s="188"/>
      <c r="BA275" s="188"/>
      <c r="BB275" s="188"/>
      <c r="BC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88"/>
      <c r="AW276" s="188"/>
      <c r="AX276" s="188"/>
      <c r="AY276" s="188"/>
      <c r="AZ276" s="188"/>
      <c r="BA276" s="188"/>
      <c r="BB276" s="188"/>
      <c r="BC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88"/>
      <c r="AW277" s="188"/>
      <c r="AX277" s="188"/>
      <c r="AY277" s="188"/>
      <c r="AZ277" s="188"/>
      <c r="BA277" s="188"/>
      <c r="BB277" s="188"/>
      <c r="BC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  <c r="AR278" s="188"/>
      <c r="AS278" s="188"/>
      <c r="AT278" s="188"/>
      <c r="AU278" s="188"/>
      <c r="AV278" s="188"/>
      <c r="AW278" s="188"/>
      <c r="AX278" s="188"/>
      <c r="AY278" s="188"/>
      <c r="AZ278" s="188"/>
      <c r="BA278" s="188"/>
      <c r="BB278" s="188"/>
      <c r="BC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  <c r="AR279" s="188"/>
      <c r="AS279" s="188"/>
      <c r="AT279" s="188"/>
      <c r="AU279" s="188"/>
      <c r="AV279" s="188"/>
      <c r="AW279" s="188"/>
      <c r="AX279" s="188"/>
      <c r="AY279" s="188"/>
      <c r="AZ279" s="188"/>
      <c r="BA279" s="188"/>
      <c r="BB279" s="188"/>
      <c r="BC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88"/>
      <c r="AW280" s="188"/>
      <c r="AX280" s="188"/>
      <c r="AY280" s="188"/>
      <c r="AZ280" s="188"/>
      <c r="BA280" s="188"/>
      <c r="BB280" s="188"/>
      <c r="BC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88"/>
      <c r="AW281" s="188"/>
      <c r="AX281" s="188"/>
      <c r="AY281" s="188"/>
      <c r="AZ281" s="188"/>
      <c r="BA281" s="188"/>
      <c r="BB281" s="188"/>
      <c r="BC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  <c r="AR282" s="188"/>
      <c r="AS282" s="188"/>
      <c r="AT282" s="188"/>
      <c r="AU282" s="188"/>
      <c r="AV282" s="188"/>
      <c r="AW282" s="188"/>
      <c r="AX282" s="188"/>
      <c r="AY282" s="188"/>
      <c r="AZ282" s="188"/>
      <c r="BA282" s="188"/>
      <c r="BB282" s="188"/>
      <c r="BC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s="188"/>
      <c r="AV283" s="188"/>
      <c r="AW283" s="188"/>
      <c r="AX283" s="188"/>
      <c r="AY283" s="188"/>
      <c r="AZ283" s="188"/>
      <c r="BA283" s="188"/>
      <c r="BB283" s="188"/>
      <c r="BC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  <c r="AR284" s="188"/>
      <c r="AS284" s="188"/>
      <c r="AT284" s="188"/>
      <c r="AU284" s="188"/>
      <c r="AV284" s="188"/>
      <c r="AW284" s="188"/>
      <c r="AX284" s="188"/>
      <c r="AY284" s="188"/>
      <c r="AZ284" s="188"/>
      <c r="BA284" s="188"/>
      <c r="BB284" s="188"/>
      <c r="BC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88"/>
      <c r="AW285" s="188"/>
      <c r="AX285" s="188"/>
      <c r="AY285" s="188"/>
      <c r="AZ285" s="188"/>
      <c r="BA285" s="188"/>
      <c r="BB285" s="188"/>
      <c r="BC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  <c r="AR286" s="188"/>
      <c r="AS286" s="188"/>
      <c r="AT286" s="188"/>
      <c r="AU286" s="188"/>
      <c r="AV286" s="188"/>
      <c r="AW286" s="188"/>
      <c r="AX286" s="188"/>
      <c r="AY286" s="188"/>
      <c r="AZ286" s="188"/>
      <c r="BA286" s="188"/>
      <c r="BB286" s="188"/>
      <c r="BC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88"/>
      <c r="AW287" s="188"/>
      <c r="AX287" s="188"/>
      <c r="AY287" s="188"/>
      <c r="AZ287" s="188"/>
      <c r="BA287" s="188"/>
      <c r="BB287" s="188"/>
      <c r="BC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s="188"/>
      <c r="AV288" s="188"/>
      <c r="AW288" s="188"/>
      <c r="AX288" s="188"/>
      <c r="AY288" s="188"/>
      <c r="AZ288" s="188"/>
      <c r="BA288" s="188"/>
      <c r="BB288" s="188"/>
      <c r="BC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88"/>
      <c r="AU289" s="188"/>
      <c r="AV289" s="188"/>
      <c r="AW289" s="188"/>
      <c r="AX289" s="188"/>
      <c r="AY289" s="188"/>
      <c r="AZ289" s="188"/>
      <c r="BA289" s="188"/>
      <c r="BB289" s="188"/>
      <c r="BC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88"/>
      <c r="AW290" s="188"/>
      <c r="AX290" s="188"/>
      <c r="AY290" s="188"/>
      <c r="AZ290" s="188"/>
      <c r="BA290" s="188"/>
      <c r="BB290" s="188"/>
      <c r="BC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88"/>
      <c r="AW291" s="188"/>
      <c r="AX291" s="188"/>
      <c r="AY291" s="188"/>
      <c r="AZ291" s="188"/>
      <c r="BA291" s="188"/>
      <c r="BB291" s="188"/>
      <c r="BC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88"/>
      <c r="AW292" s="188"/>
      <c r="AX292" s="188"/>
      <c r="AY292" s="188"/>
      <c r="AZ292" s="188"/>
      <c r="BA292" s="188"/>
      <c r="BB292" s="188"/>
      <c r="BC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88"/>
      <c r="AW293" s="188"/>
      <c r="AX293" s="188"/>
      <c r="AY293" s="188"/>
      <c r="AZ293" s="188"/>
      <c r="BA293" s="188"/>
      <c r="BB293" s="188"/>
      <c r="BC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88"/>
      <c r="AW294" s="188"/>
      <c r="AX294" s="188"/>
      <c r="AY294" s="188"/>
      <c r="AZ294" s="188"/>
      <c r="BA294" s="188"/>
      <c r="BB294" s="188"/>
      <c r="BC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  <c r="AR295" s="188"/>
      <c r="AS295" s="188"/>
      <c r="AT295" s="188"/>
      <c r="AU295" s="188"/>
      <c r="AV295" s="188"/>
      <c r="AW295" s="188"/>
      <c r="AX295" s="188"/>
      <c r="AY295" s="188"/>
      <c r="AZ295" s="188"/>
      <c r="BA295" s="188"/>
      <c r="BB295" s="188"/>
      <c r="BC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88"/>
      <c r="AW296" s="188"/>
      <c r="AX296" s="188"/>
      <c r="AY296" s="188"/>
      <c r="AZ296" s="188"/>
      <c r="BA296" s="188"/>
      <c r="BB296" s="188"/>
      <c r="BC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88"/>
      <c r="AW297" s="188"/>
      <c r="AX297" s="188"/>
      <c r="AY297" s="188"/>
      <c r="AZ297" s="188"/>
      <c r="BA297" s="188"/>
      <c r="BB297" s="188"/>
      <c r="BC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  <c r="AR298" s="188"/>
      <c r="AS298" s="188"/>
      <c r="AT298" s="188"/>
      <c r="AU298" s="188"/>
      <c r="AV298" s="188"/>
      <c r="AW298" s="188"/>
      <c r="AX298" s="188"/>
      <c r="AY298" s="188"/>
      <c r="AZ298" s="188"/>
      <c r="BA298" s="188"/>
      <c r="BB298" s="188"/>
      <c r="BC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88"/>
      <c r="AW299" s="188"/>
      <c r="AX299" s="188"/>
      <c r="AY299" s="188"/>
      <c r="AZ299" s="188"/>
      <c r="BA299" s="188"/>
      <c r="BB299" s="188"/>
      <c r="BC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88"/>
      <c r="AW300" s="188"/>
      <c r="AX300" s="188"/>
      <c r="AY300" s="188"/>
      <c r="AZ300" s="188"/>
      <c r="BA300" s="188"/>
      <c r="BB300" s="188"/>
      <c r="BC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88"/>
      <c r="AW301" s="188"/>
      <c r="AX301" s="188"/>
      <c r="AY301" s="188"/>
      <c r="AZ301" s="188"/>
      <c r="BA301" s="188"/>
      <c r="BB301" s="188"/>
      <c r="BC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88"/>
      <c r="AW302" s="188"/>
      <c r="AX302" s="188"/>
      <c r="AY302" s="188"/>
      <c r="AZ302" s="188"/>
      <c r="BA302" s="188"/>
      <c r="BB302" s="188"/>
      <c r="BC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88"/>
      <c r="AW303" s="188"/>
      <c r="AX303" s="188"/>
      <c r="AY303" s="188"/>
      <c r="AZ303" s="188"/>
      <c r="BA303" s="188"/>
      <c r="BB303" s="188"/>
      <c r="BC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8"/>
      <c r="AZ304" s="188"/>
      <c r="BA304" s="188"/>
      <c r="BB304" s="188"/>
      <c r="BC304" s="188"/>
    </row>
    <row r="305">
      <c r="A305" s="188"/>
      <c r="B305" s="188"/>
      <c r="C305" s="190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8"/>
      <c r="AZ305" s="188"/>
      <c r="BA305" s="188"/>
      <c r="BB305" s="188"/>
      <c r="BC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8"/>
      <c r="AZ306" s="188"/>
      <c r="BA306" s="188"/>
      <c r="BB306" s="188"/>
      <c r="BC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88"/>
      <c r="AW307" s="188"/>
      <c r="AX307" s="188"/>
      <c r="AY307" s="188"/>
      <c r="AZ307" s="188"/>
      <c r="BA307" s="188"/>
      <c r="BB307" s="188"/>
      <c r="BC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88"/>
      <c r="AW308" s="188"/>
      <c r="AX308" s="188"/>
      <c r="AY308" s="188"/>
      <c r="AZ308" s="188"/>
      <c r="BA308" s="188"/>
      <c r="BB308" s="188"/>
      <c r="BC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88"/>
      <c r="AW309" s="188"/>
      <c r="AX309" s="188"/>
      <c r="AY309" s="188"/>
      <c r="AZ309" s="188"/>
      <c r="BA309" s="188"/>
      <c r="BB309" s="188"/>
      <c r="BC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88"/>
      <c r="AW310" s="188"/>
      <c r="AX310" s="188"/>
      <c r="AY310" s="188"/>
      <c r="AZ310" s="188"/>
      <c r="BA310" s="188"/>
      <c r="BB310" s="188"/>
      <c r="BC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88"/>
      <c r="AW311" s="188"/>
      <c r="AX311" s="188"/>
      <c r="AY311" s="188"/>
      <c r="AZ311" s="188"/>
      <c r="BA311" s="188"/>
      <c r="BB311" s="188"/>
      <c r="BC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88"/>
      <c r="AW312" s="188"/>
      <c r="AX312" s="188"/>
      <c r="AY312" s="188"/>
      <c r="AZ312" s="188"/>
      <c r="BA312" s="188"/>
      <c r="BB312" s="188"/>
      <c r="BC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88"/>
      <c r="AW313" s="188"/>
      <c r="AX313" s="188"/>
      <c r="AY313" s="188"/>
      <c r="AZ313" s="188"/>
      <c r="BA313" s="188"/>
      <c r="BB313" s="188"/>
      <c r="BC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88"/>
      <c r="AW314" s="188"/>
      <c r="AX314" s="188"/>
      <c r="AY314" s="188"/>
      <c r="AZ314" s="188"/>
      <c r="BA314" s="188"/>
      <c r="BB314" s="188"/>
      <c r="BC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88"/>
      <c r="AW315" s="188"/>
      <c r="AX315" s="188"/>
      <c r="AY315" s="188"/>
      <c r="AZ315" s="188"/>
      <c r="BA315" s="188"/>
      <c r="BB315" s="188"/>
      <c r="BC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88"/>
      <c r="AW316" s="188"/>
      <c r="AX316" s="188"/>
      <c r="AY316" s="188"/>
      <c r="AZ316" s="188"/>
      <c r="BA316" s="188"/>
      <c r="BB316" s="188"/>
      <c r="BC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  <c r="AP317" s="188"/>
      <c r="AQ317" s="188"/>
      <c r="AR317" s="188"/>
      <c r="AS317" s="188"/>
      <c r="AT317" s="188"/>
      <c r="AU317" s="188"/>
      <c r="AV317" s="188"/>
      <c r="AW317" s="188"/>
      <c r="AX317" s="188"/>
      <c r="AY317" s="188"/>
      <c r="AZ317" s="188"/>
      <c r="BA317" s="188"/>
      <c r="BB317" s="188"/>
      <c r="BC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  <c r="AP318" s="188"/>
      <c r="AQ318" s="188"/>
      <c r="AR318" s="188"/>
      <c r="AS318" s="188"/>
      <c r="AT318" s="188"/>
      <c r="AU318" s="188"/>
      <c r="AV318" s="188"/>
      <c r="AW318" s="188"/>
      <c r="AX318" s="188"/>
      <c r="AY318" s="188"/>
      <c r="AZ318" s="188"/>
      <c r="BA318" s="188"/>
      <c r="BB318" s="188"/>
      <c r="BC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88"/>
      <c r="AW319" s="188"/>
      <c r="AX319" s="188"/>
      <c r="AY319" s="188"/>
      <c r="AZ319" s="188"/>
      <c r="BA319" s="188"/>
      <c r="BB319" s="188"/>
      <c r="BC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  <c r="AV320" s="188"/>
      <c r="AW320" s="188"/>
      <c r="AX320" s="188"/>
      <c r="AY320" s="188"/>
      <c r="AZ320" s="188"/>
      <c r="BA320" s="188"/>
      <c r="BB320" s="188"/>
      <c r="BC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  <c r="AP321" s="188"/>
      <c r="AQ321" s="188"/>
      <c r="AR321" s="188"/>
      <c r="AS321" s="188"/>
      <c r="AT321" s="188"/>
      <c r="AU321" s="188"/>
      <c r="AV321" s="188"/>
      <c r="AW321" s="188"/>
      <c r="AX321" s="188"/>
      <c r="AY321" s="188"/>
      <c r="AZ321" s="188"/>
      <c r="BA321" s="188"/>
      <c r="BB321" s="188"/>
      <c r="BC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88"/>
      <c r="AU322" s="188"/>
      <c r="AV322" s="188"/>
      <c r="AW322" s="188"/>
      <c r="AX322" s="188"/>
      <c r="AY322" s="188"/>
      <c r="AZ322" s="188"/>
      <c r="BA322" s="188"/>
      <c r="BB322" s="188"/>
      <c r="BC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  <c r="AR323" s="188"/>
      <c r="AS323" s="188"/>
      <c r="AT323" s="188"/>
      <c r="AU323" s="188"/>
      <c r="AV323" s="188"/>
      <c r="AW323" s="188"/>
      <c r="AX323" s="188"/>
      <c r="AY323" s="188"/>
      <c r="AZ323" s="188"/>
      <c r="BA323" s="188"/>
      <c r="BB323" s="188"/>
      <c r="BC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  <c r="AR324" s="188"/>
      <c r="AS324" s="188"/>
      <c r="AT324" s="188"/>
      <c r="AU324" s="188"/>
      <c r="AV324" s="188"/>
      <c r="AW324" s="188"/>
      <c r="AX324" s="188"/>
      <c r="AY324" s="188"/>
      <c r="AZ324" s="188"/>
      <c r="BA324" s="188"/>
      <c r="BB324" s="188"/>
      <c r="BC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  <c r="AR325" s="188"/>
      <c r="AS325" s="188"/>
      <c r="AT325" s="188"/>
      <c r="AU325" s="188"/>
      <c r="AV325" s="188"/>
      <c r="AW325" s="188"/>
      <c r="AX325" s="188"/>
      <c r="AY325" s="188"/>
      <c r="AZ325" s="188"/>
      <c r="BA325" s="188"/>
      <c r="BB325" s="188"/>
      <c r="BC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  <c r="AR326" s="188"/>
      <c r="AS326" s="188"/>
      <c r="AT326" s="188"/>
      <c r="AU326" s="188"/>
      <c r="AV326" s="188"/>
      <c r="AW326" s="188"/>
      <c r="AX326" s="188"/>
      <c r="AY326" s="188"/>
      <c r="AZ326" s="188"/>
      <c r="BA326" s="188"/>
      <c r="BB326" s="188"/>
      <c r="BC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  <c r="AR327" s="188"/>
      <c r="AS327" s="188"/>
      <c r="AT327" s="188"/>
      <c r="AU327" s="188"/>
      <c r="AV327" s="188"/>
      <c r="AW327" s="188"/>
      <c r="AX327" s="188"/>
      <c r="AY327" s="188"/>
      <c r="AZ327" s="188"/>
      <c r="BA327" s="188"/>
      <c r="BB327" s="188"/>
      <c r="BC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S328" s="188"/>
      <c r="T328" s="188"/>
      <c r="U328" s="188"/>
      <c r="V328" s="188"/>
      <c r="W328" s="188"/>
      <c r="X328" s="188"/>
      <c r="Y328" s="188"/>
      <c r="Z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  <c r="AR328" s="188"/>
      <c r="AS328" s="188"/>
      <c r="AT328" s="188"/>
      <c r="AU328" s="188"/>
      <c r="AV328" s="188"/>
      <c r="AW328" s="188"/>
      <c r="AX328" s="188"/>
      <c r="AY328" s="188"/>
      <c r="AZ328" s="188"/>
      <c r="BA328" s="188"/>
      <c r="BB328" s="188"/>
      <c r="BC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  <c r="AR329" s="188"/>
      <c r="AS329" s="188"/>
      <c r="AT329" s="188"/>
      <c r="AU329" s="188"/>
      <c r="AV329" s="188"/>
      <c r="AW329" s="188"/>
      <c r="AX329" s="188"/>
      <c r="AY329" s="188"/>
      <c r="AZ329" s="188"/>
      <c r="BA329" s="188"/>
      <c r="BB329" s="188"/>
      <c r="BC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  <c r="AR330" s="188"/>
      <c r="AS330" s="188"/>
      <c r="AT330" s="188"/>
      <c r="AU330" s="188"/>
      <c r="AV330" s="188"/>
      <c r="AW330" s="188"/>
      <c r="AX330" s="188"/>
      <c r="AY330" s="188"/>
      <c r="AZ330" s="188"/>
      <c r="BA330" s="188"/>
      <c r="BB330" s="188"/>
      <c r="BC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88"/>
      <c r="AW331" s="188"/>
      <c r="AX331" s="188"/>
      <c r="AY331" s="188"/>
      <c r="AZ331" s="188"/>
      <c r="BA331" s="188"/>
      <c r="BB331" s="188"/>
      <c r="BC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88"/>
      <c r="AW332" s="188"/>
      <c r="AX332" s="188"/>
      <c r="AY332" s="188"/>
      <c r="AZ332" s="188"/>
      <c r="BA332" s="188"/>
      <c r="BB332" s="188"/>
      <c r="BC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88"/>
      <c r="AU333" s="188"/>
      <c r="AV333" s="188"/>
      <c r="AW333" s="188"/>
      <c r="AX333" s="188"/>
      <c r="AY333" s="188"/>
      <c r="AZ333" s="188"/>
      <c r="BA333" s="188"/>
      <c r="BB333" s="188"/>
      <c r="BC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  <c r="AU334" s="188"/>
      <c r="AV334" s="188"/>
      <c r="AW334" s="188"/>
      <c r="AX334" s="188"/>
      <c r="AY334" s="188"/>
      <c r="AZ334" s="188"/>
      <c r="BA334" s="188"/>
      <c r="BB334" s="188"/>
      <c r="BC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88"/>
      <c r="AW335" s="188"/>
      <c r="AX335" s="188"/>
      <c r="AY335" s="188"/>
      <c r="AZ335" s="188"/>
      <c r="BA335" s="188"/>
      <c r="BB335" s="188"/>
      <c r="BC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88"/>
      <c r="AW336" s="188"/>
      <c r="AX336" s="188"/>
      <c r="AY336" s="188"/>
      <c r="AZ336" s="188"/>
      <c r="BA336" s="188"/>
      <c r="BB336" s="188"/>
      <c r="BC336" s="188"/>
    </row>
    <row r="337">
      <c r="A337" s="188"/>
      <c r="B337" s="188"/>
      <c r="C337" s="190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  <c r="AR337" s="188"/>
      <c r="AS337" s="188"/>
      <c r="AT337" s="188"/>
      <c r="AU337" s="188"/>
      <c r="AV337" s="188"/>
      <c r="AW337" s="188"/>
      <c r="AX337" s="188"/>
      <c r="AY337" s="188"/>
      <c r="AZ337" s="188"/>
      <c r="BA337" s="188"/>
      <c r="BB337" s="188"/>
      <c r="BC337" s="188"/>
    </row>
    <row r="338">
      <c r="A338" s="188"/>
      <c r="B338" s="188"/>
      <c r="C338" s="190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88"/>
      <c r="AW338" s="188"/>
      <c r="AX338" s="188"/>
      <c r="AY338" s="188"/>
      <c r="AZ338" s="188"/>
      <c r="BA338" s="188"/>
      <c r="BB338" s="188"/>
      <c r="BC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88"/>
      <c r="AW339" s="188"/>
      <c r="AX339" s="188"/>
      <c r="AY339" s="188"/>
      <c r="AZ339" s="188"/>
      <c r="BA339" s="188"/>
      <c r="BB339" s="188"/>
      <c r="BC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  <c r="AR340" s="188"/>
      <c r="AS340" s="188"/>
      <c r="AT340" s="188"/>
      <c r="AU340" s="188"/>
      <c r="AV340" s="188"/>
      <c r="AW340" s="188"/>
      <c r="AX340" s="188"/>
      <c r="AY340" s="188"/>
      <c r="AZ340" s="188"/>
      <c r="BA340" s="188"/>
      <c r="BB340" s="188"/>
      <c r="BC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  <c r="AR341" s="188"/>
      <c r="AS341" s="188"/>
      <c r="AT341" s="188"/>
      <c r="AU341" s="188"/>
      <c r="AV341" s="188"/>
      <c r="AW341" s="188"/>
      <c r="AX341" s="188"/>
      <c r="AY341" s="188"/>
      <c r="AZ341" s="188"/>
      <c r="BA341" s="188"/>
      <c r="BB341" s="188"/>
      <c r="BC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88"/>
      <c r="AW342" s="188"/>
      <c r="AX342" s="188"/>
      <c r="AY342" s="188"/>
      <c r="AZ342" s="188"/>
      <c r="BA342" s="188"/>
      <c r="BB342" s="188"/>
      <c r="BC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  <c r="AR343" s="188"/>
      <c r="AS343" s="188"/>
      <c r="AT343" s="188"/>
      <c r="AU343" s="188"/>
      <c r="AV343" s="188"/>
      <c r="AW343" s="188"/>
      <c r="AX343" s="188"/>
      <c r="AY343" s="188"/>
      <c r="AZ343" s="188"/>
      <c r="BA343" s="188"/>
      <c r="BB343" s="188"/>
      <c r="BC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  <c r="AR344" s="188"/>
      <c r="AS344" s="188"/>
      <c r="AT344" s="188"/>
      <c r="AU344" s="188"/>
      <c r="AV344" s="188"/>
      <c r="AW344" s="188"/>
      <c r="AX344" s="188"/>
      <c r="AY344" s="188"/>
      <c r="AZ344" s="188"/>
      <c r="BA344" s="188"/>
      <c r="BB344" s="188"/>
      <c r="BC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  <c r="AP345" s="188"/>
      <c r="AQ345" s="188"/>
      <c r="AR345" s="188"/>
      <c r="AS345" s="188"/>
      <c r="AT345" s="188"/>
      <c r="AU345" s="188"/>
      <c r="AV345" s="188"/>
      <c r="AW345" s="188"/>
      <c r="AX345" s="188"/>
      <c r="AY345" s="188"/>
      <c r="AZ345" s="188"/>
      <c r="BA345" s="188"/>
      <c r="BB345" s="188"/>
      <c r="BC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  <c r="AR346" s="188"/>
      <c r="AS346" s="188"/>
      <c r="AT346" s="188"/>
      <c r="AU346" s="188"/>
      <c r="AV346" s="188"/>
      <c r="AW346" s="188"/>
      <c r="AX346" s="188"/>
      <c r="AY346" s="188"/>
      <c r="AZ346" s="188"/>
      <c r="BA346" s="188"/>
      <c r="BB346" s="188"/>
      <c r="BC346" s="188"/>
    </row>
    <row r="347">
      <c r="A347" s="188"/>
      <c r="B347" s="188"/>
      <c r="C347" s="190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  <c r="AR347" s="188"/>
      <c r="AS347" s="188"/>
      <c r="AT347" s="188"/>
      <c r="AU347" s="188"/>
      <c r="AV347" s="188"/>
      <c r="AW347" s="188"/>
      <c r="AX347" s="188"/>
      <c r="AY347" s="188"/>
      <c r="AZ347" s="188"/>
      <c r="BA347" s="188"/>
      <c r="BB347" s="188"/>
      <c r="BC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  <c r="AP348" s="188"/>
      <c r="AQ348" s="188"/>
      <c r="AR348" s="188"/>
      <c r="AS348" s="188"/>
      <c r="AT348" s="188"/>
      <c r="AU348" s="188"/>
      <c r="AV348" s="188"/>
      <c r="AW348" s="188"/>
      <c r="AX348" s="188"/>
      <c r="AY348" s="188"/>
      <c r="AZ348" s="188"/>
      <c r="BA348" s="188"/>
      <c r="BB348" s="188"/>
      <c r="BC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S349" s="188"/>
      <c r="T349" s="188"/>
      <c r="U349" s="188"/>
      <c r="V349" s="188"/>
      <c r="W349" s="188"/>
      <c r="X349" s="188"/>
      <c r="Y349" s="188"/>
      <c r="Z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  <c r="AR349" s="188"/>
      <c r="AS349" s="188"/>
      <c r="AT349" s="188"/>
      <c r="AU349" s="188"/>
      <c r="AV349" s="188"/>
      <c r="AW349" s="188"/>
      <c r="AX349" s="188"/>
      <c r="AY349" s="188"/>
      <c r="AZ349" s="188"/>
      <c r="BA349" s="188"/>
      <c r="BB349" s="188"/>
      <c r="BC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S350" s="188"/>
      <c r="T350" s="188"/>
      <c r="U350" s="188"/>
      <c r="V350" s="188"/>
      <c r="W350" s="188"/>
      <c r="X350" s="188"/>
      <c r="Y350" s="188"/>
      <c r="Z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  <c r="AR350" s="188"/>
      <c r="AS350" s="188"/>
      <c r="AT350" s="188"/>
      <c r="AU350" s="188"/>
      <c r="AV350" s="188"/>
      <c r="AW350" s="188"/>
      <c r="AX350" s="188"/>
      <c r="AY350" s="188"/>
      <c r="AZ350" s="188"/>
      <c r="BA350" s="188"/>
      <c r="BB350" s="188"/>
      <c r="BC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  <c r="AV351" s="188"/>
      <c r="AW351" s="188"/>
      <c r="AX351" s="188"/>
      <c r="AY351" s="188"/>
      <c r="AZ351" s="188"/>
      <c r="BA351" s="188"/>
      <c r="BB351" s="188"/>
      <c r="BC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  <c r="AR352" s="188"/>
      <c r="AS352" s="188"/>
      <c r="AT352" s="188"/>
      <c r="AU352" s="188"/>
      <c r="AV352" s="188"/>
      <c r="AW352" s="188"/>
      <c r="AX352" s="188"/>
      <c r="AY352" s="188"/>
      <c r="AZ352" s="188"/>
      <c r="BA352" s="188"/>
      <c r="BB352" s="188"/>
      <c r="BC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S353" s="188"/>
      <c r="T353" s="188"/>
      <c r="U353" s="188"/>
      <c r="V353" s="188"/>
      <c r="W353" s="188"/>
      <c r="X353" s="188"/>
      <c r="Y353" s="188"/>
      <c r="Z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88"/>
      <c r="AW353" s="188"/>
      <c r="AX353" s="188"/>
      <c r="AY353" s="188"/>
      <c r="AZ353" s="188"/>
      <c r="BA353" s="188"/>
      <c r="BB353" s="188"/>
      <c r="BC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88"/>
      <c r="AW354" s="188"/>
      <c r="AX354" s="188"/>
      <c r="AY354" s="188"/>
      <c r="AZ354" s="188"/>
      <c r="BA354" s="188"/>
      <c r="BB354" s="188"/>
      <c r="BC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88"/>
      <c r="AU355" s="188"/>
      <c r="AV355" s="188"/>
      <c r="AW355" s="188"/>
      <c r="AX355" s="188"/>
      <c r="AY355" s="188"/>
      <c r="AZ355" s="188"/>
      <c r="BA355" s="188"/>
      <c r="BB355" s="188"/>
      <c r="BC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S356" s="188"/>
      <c r="T356" s="188"/>
      <c r="U356" s="188"/>
      <c r="V356" s="188"/>
      <c r="W356" s="188"/>
      <c r="X356" s="188"/>
      <c r="Y356" s="188"/>
      <c r="Z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  <c r="AP356" s="188"/>
      <c r="AQ356" s="188"/>
      <c r="AR356" s="188"/>
      <c r="AS356" s="188"/>
      <c r="AT356" s="188"/>
      <c r="AU356" s="188"/>
      <c r="AV356" s="188"/>
      <c r="AW356" s="188"/>
      <c r="AX356" s="188"/>
      <c r="AY356" s="188"/>
      <c r="AZ356" s="188"/>
      <c r="BA356" s="188"/>
      <c r="BB356" s="188"/>
      <c r="BC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  <c r="AP357" s="188"/>
      <c r="AQ357" s="188"/>
      <c r="AR357" s="188"/>
      <c r="AS357" s="188"/>
      <c r="AT357" s="188"/>
      <c r="AU357" s="188"/>
      <c r="AV357" s="188"/>
      <c r="AW357" s="188"/>
      <c r="AX357" s="188"/>
      <c r="AY357" s="188"/>
      <c r="AZ357" s="188"/>
      <c r="BA357" s="188"/>
      <c r="BB357" s="188"/>
      <c r="BC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88"/>
      <c r="AW358" s="188"/>
      <c r="AX358" s="188"/>
      <c r="AY358" s="188"/>
      <c r="AZ358" s="188"/>
      <c r="BA358" s="188"/>
      <c r="BB358" s="188"/>
      <c r="BC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88"/>
      <c r="AW359" s="188"/>
      <c r="AX359" s="188"/>
      <c r="AY359" s="188"/>
      <c r="AZ359" s="188"/>
      <c r="BA359" s="188"/>
      <c r="BB359" s="188"/>
      <c r="BC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  <c r="AP360" s="188"/>
      <c r="AQ360" s="188"/>
      <c r="AR360" s="188"/>
      <c r="AS360" s="188"/>
      <c r="AT360" s="188"/>
      <c r="AU360" s="188"/>
      <c r="AV360" s="188"/>
      <c r="AW360" s="188"/>
      <c r="AX360" s="188"/>
      <c r="AY360" s="188"/>
      <c r="AZ360" s="188"/>
      <c r="BA360" s="188"/>
      <c r="BB360" s="188"/>
      <c r="BC360" s="188"/>
    </row>
    <row r="361">
      <c r="A361" s="188"/>
      <c r="B361" s="188"/>
      <c r="C361" s="190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S361" s="188"/>
      <c r="T361" s="188"/>
      <c r="U361" s="188"/>
      <c r="V361" s="188"/>
      <c r="W361" s="188"/>
      <c r="X361" s="188"/>
      <c r="Y361" s="188"/>
      <c r="Z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  <c r="AR361" s="188"/>
      <c r="AS361" s="188"/>
      <c r="AT361" s="188"/>
      <c r="AU361" s="188"/>
      <c r="AV361" s="188"/>
      <c r="AW361" s="188"/>
      <c r="AX361" s="188"/>
      <c r="AY361" s="188"/>
      <c r="AZ361" s="188"/>
      <c r="BA361" s="188"/>
      <c r="BB361" s="188"/>
      <c r="BC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  <c r="AR362" s="188"/>
      <c r="AS362" s="188"/>
      <c r="AT362" s="188"/>
      <c r="AU362" s="188"/>
      <c r="AV362" s="188"/>
      <c r="AW362" s="188"/>
      <c r="AX362" s="188"/>
      <c r="AY362" s="188"/>
      <c r="AZ362" s="188"/>
      <c r="BA362" s="188"/>
      <c r="BB362" s="188"/>
      <c r="BC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  <c r="AR363" s="188"/>
      <c r="AS363" s="188"/>
      <c r="AT363" s="188"/>
      <c r="AU363" s="188"/>
      <c r="AV363" s="188"/>
      <c r="AW363" s="188"/>
      <c r="AX363" s="188"/>
      <c r="AY363" s="188"/>
      <c r="AZ363" s="188"/>
      <c r="BA363" s="188"/>
      <c r="BB363" s="188"/>
      <c r="BC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  <c r="AR364" s="188"/>
      <c r="AS364" s="188"/>
      <c r="AT364" s="188"/>
      <c r="AU364" s="188"/>
      <c r="AV364" s="188"/>
      <c r="AW364" s="188"/>
      <c r="AX364" s="188"/>
      <c r="AY364" s="188"/>
      <c r="AZ364" s="188"/>
      <c r="BA364" s="188"/>
      <c r="BB364" s="188"/>
      <c r="BC364" s="188"/>
    </row>
    <row r="365">
      <c r="A365" s="188"/>
      <c r="B365" s="188"/>
      <c r="C365" s="190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  <c r="AR365" s="188"/>
      <c r="AS365" s="188"/>
      <c r="AT365" s="188"/>
      <c r="AU365" s="188"/>
      <c r="AV365" s="188"/>
      <c r="AW365" s="188"/>
      <c r="AX365" s="188"/>
      <c r="AY365" s="188"/>
      <c r="AZ365" s="188"/>
      <c r="BA365" s="188"/>
      <c r="BB365" s="188"/>
      <c r="BC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88"/>
      <c r="AU366" s="188"/>
      <c r="AV366" s="188"/>
      <c r="AW366" s="188"/>
      <c r="AX366" s="188"/>
      <c r="AY366" s="188"/>
      <c r="AZ366" s="188"/>
      <c r="BA366" s="188"/>
      <c r="BB366" s="188"/>
      <c r="BC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S367" s="188"/>
      <c r="T367" s="188"/>
      <c r="U367" s="188"/>
      <c r="V367" s="188"/>
      <c r="W367" s="188"/>
      <c r="X367" s="188"/>
      <c r="Y367" s="188"/>
      <c r="Z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  <c r="AR367" s="188"/>
      <c r="AS367" s="188"/>
      <c r="AT367" s="188"/>
      <c r="AU367" s="188"/>
      <c r="AV367" s="188"/>
      <c r="AW367" s="188"/>
      <c r="AX367" s="188"/>
      <c r="AY367" s="188"/>
      <c r="AZ367" s="188"/>
      <c r="BA367" s="188"/>
      <c r="BB367" s="188"/>
      <c r="BC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  <c r="AR368" s="188"/>
      <c r="AS368" s="188"/>
      <c r="AT368" s="188"/>
      <c r="AU368" s="188"/>
      <c r="AV368" s="188"/>
      <c r="AW368" s="188"/>
      <c r="AX368" s="188"/>
      <c r="AY368" s="188"/>
      <c r="AZ368" s="188"/>
      <c r="BA368" s="188"/>
      <c r="BB368" s="188"/>
      <c r="BC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  <c r="AR369" s="188"/>
      <c r="AS369" s="188"/>
      <c r="AT369" s="188"/>
      <c r="AU369" s="188"/>
      <c r="AV369" s="188"/>
      <c r="AW369" s="188"/>
      <c r="AX369" s="188"/>
      <c r="AY369" s="188"/>
      <c r="AZ369" s="188"/>
      <c r="BA369" s="188"/>
      <c r="BB369" s="188"/>
      <c r="BC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  <c r="AP370" s="188"/>
      <c r="AQ370" s="188"/>
      <c r="AR370" s="188"/>
      <c r="AS370" s="188"/>
      <c r="AT370" s="188"/>
      <c r="AU370" s="188"/>
      <c r="AV370" s="188"/>
      <c r="AW370" s="188"/>
      <c r="AX370" s="188"/>
      <c r="AY370" s="188"/>
      <c r="AZ370" s="188"/>
      <c r="BA370" s="188"/>
      <c r="BB370" s="188"/>
      <c r="BC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S371" s="188"/>
      <c r="T371" s="188"/>
      <c r="U371" s="188"/>
      <c r="V371" s="188"/>
      <c r="W371" s="188"/>
      <c r="X371" s="188"/>
      <c r="Y371" s="188"/>
      <c r="Z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  <c r="AP371" s="188"/>
      <c r="AQ371" s="188"/>
      <c r="AR371" s="188"/>
      <c r="AS371" s="188"/>
      <c r="AT371" s="188"/>
      <c r="AU371" s="188"/>
      <c r="AV371" s="188"/>
      <c r="AW371" s="188"/>
      <c r="AX371" s="188"/>
      <c r="AY371" s="188"/>
      <c r="AZ371" s="188"/>
      <c r="BA371" s="188"/>
      <c r="BB371" s="188"/>
      <c r="BC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  <c r="AR372" s="188"/>
      <c r="AS372" s="188"/>
      <c r="AT372" s="188"/>
      <c r="AU372" s="188"/>
      <c r="AV372" s="188"/>
      <c r="AW372" s="188"/>
      <c r="AX372" s="188"/>
      <c r="AY372" s="188"/>
      <c r="AZ372" s="188"/>
      <c r="BA372" s="188"/>
      <c r="BB372" s="188"/>
      <c r="BC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  <c r="AR373" s="188"/>
      <c r="AS373" s="188"/>
      <c r="AT373" s="188"/>
      <c r="AU373" s="188"/>
      <c r="AV373" s="188"/>
      <c r="AW373" s="188"/>
      <c r="AX373" s="188"/>
      <c r="AY373" s="188"/>
      <c r="AZ373" s="188"/>
      <c r="BA373" s="188"/>
      <c r="BB373" s="188"/>
      <c r="BC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  <c r="AP374" s="188"/>
      <c r="AQ374" s="188"/>
      <c r="AR374" s="188"/>
      <c r="AS374" s="188"/>
      <c r="AT374" s="188"/>
      <c r="AU374" s="188"/>
      <c r="AV374" s="188"/>
      <c r="AW374" s="188"/>
      <c r="AX374" s="188"/>
      <c r="AY374" s="188"/>
      <c r="AZ374" s="188"/>
      <c r="BA374" s="188"/>
      <c r="BB374" s="188"/>
      <c r="BC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S375" s="188"/>
      <c r="T375" s="188"/>
      <c r="U375" s="188"/>
      <c r="V375" s="188"/>
      <c r="W375" s="188"/>
      <c r="X375" s="188"/>
      <c r="Y375" s="188"/>
      <c r="Z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  <c r="AR375" s="188"/>
      <c r="AS375" s="188"/>
      <c r="AT375" s="188"/>
      <c r="AU375" s="188"/>
      <c r="AV375" s="188"/>
      <c r="AW375" s="188"/>
      <c r="AX375" s="188"/>
      <c r="AY375" s="188"/>
      <c r="AZ375" s="188"/>
      <c r="BA375" s="188"/>
      <c r="BB375" s="188"/>
      <c r="BC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  <c r="AP376" s="188"/>
      <c r="AQ376" s="188"/>
      <c r="AR376" s="188"/>
      <c r="AS376" s="188"/>
      <c r="AT376" s="188"/>
      <c r="AU376" s="188"/>
      <c r="AV376" s="188"/>
      <c r="AW376" s="188"/>
      <c r="AX376" s="188"/>
      <c r="AY376" s="188"/>
      <c r="AZ376" s="188"/>
      <c r="BA376" s="188"/>
      <c r="BB376" s="188"/>
      <c r="BC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S377" s="188"/>
      <c r="T377" s="188"/>
      <c r="U377" s="188"/>
      <c r="V377" s="188"/>
      <c r="W377" s="188"/>
      <c r="X377" s="188"/>
      <c r="Y377" s="188"/>
      <c r="Z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  <c r="AP377" s="188"/>
      <c r="AQ377" s="188"/>
      <c r="AR377" s="188"/>
      <c r="AS377" s="188"/>
      <c r="AT377" s="188"/>
      <c r="AU377" s="188"/>
      <c r="AV377" s="188"/>
      <c r="AW377" s="188"/>
      <c r="AX377" s="188"/>
      <c r="AY377" s="188"/>
      <c r="AZ377" s="188"/>
      <c r="BA377" s="188"/>
      <c r="BB377" s="188"/>
      <c r="BC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  <c r="AP378" s="188"/>
      <c r="AQ378" s="188"/>
      <c r="AR378" s="188"/>
      <c r="AS378" s="188"/>
      <c r="AT378" s="188"/>
      <c r="AU378" s="188"/>
      <c r="AV378" s="188"/>
      <c r="AW378" s="188"/>
      <c r="AX378" s="188"/>
      <c r="AY378" s="188"/>
      <c r="AZ378" s="188"/>
      <c r="BA378" s="188"/>
      <c r="BB378" s="188"/>
      <c r="BC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  <c r="AP379" s="188"/>
      <c r="AQ379" s="188"/>
      <c r="AR379" s="188"/>
      <c r="AS379" s="188"/>
      <c r="AT379" s="188"/>
      <c r="AU379" s="188"/>
      <c r="AV379" s="188"/>
      <c r="AW379" s="188"/>
      <c r="AX379" s="188"/>
      <c r="AY379" s="188"/>
      <c r="AZ379" s="188"/>
      <c r="BA379" s="188"/>
      <c r="BB379" s="188"/>
      <c r="BC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  <c r="AP380" s="188"/>
      <c r="AQ380" s="188"/>
      <c r="AR380" s="188"/>
      <c r="AS380" s="188"/>
      <c r="AT380" s="188"/>
      <c r="AU380" s="188"/>
      <c r="AV380" s="188"/>
      <c r="AW380" s="188"/>
      <c r="AX380" s="188"/>
      <c r="AY380" s="188"/>
      <c r="AZ380" s="188"/>
      <c r="BA380" s="188"/>
      <c r="BB380" s="188"/>
      <c r="BC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  <c r="AP381" s="188"/>
      <c r="AQ381" s="188"/>
      <c r="AR381" s="188"/>
      <c r="AS381" s="188"/>
      <c r="AT381" s="188"/>
      <c r="AU381" s="188"/>
      <c r="AV381" s="188"/>
      <c r="AW381" s="188"/>
      <c r="AX381" s="188"/>
      <c r="AY381" s="188"/>
      <c r="AZ381" s="188"/>
      <c r="BA381" s="188"/>
      <c r="BB381" s="188"/>
      <c r="BC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  <c r="AP382" s="188"/>
      <c r="AQ382" s="188"/>
      <c r="AR382" s="188"/>
      <c r="AS382" s="188"/>
      <c r="AT382" s="188"/>
      <c r="AU382" s="188"/>
      <c r="AV382" s="188"/>
      <c r="AW382" s="188"/>
      <c r="AX382" s="188"/>
      <c r="AY382" s="188"/>
      <c r="AZ382" s="188"/>
      <c r="BA382" s="188"/>
      <c r="BB382" s="188"/>
      <c r="BC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O383" s="188"/>
      <c r="P383" s="188"/>
      <c r="Q383" s="188"/>
      <c r="S383" s="188"/>
      <c r="T383" s="188"/>
      <c r="U383" s="188"/>
      <c r="V383" s="188"/>
      <c r="W383" s="188"/>
      <c r="X383" s="188"/>
      <c r="Y383" s="188"/>
      <c r="Z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  <c r="AP383" s="188"/>
      <c r="AQ383" s="188"/>
      <c r="AR383" s="188"/>
      <c r="AS383" s="188"/>
      <c r="AT383" s="188"/>
      <c r="AU383" s="188"/>
      <c r="AV383" s="188"/>
      <c r="AW383" s="188"/>
      <c r="AX383" s="188"/>
      <c r="AY383" s="188"/>
      <c r="AZ383" s="188"/>
      <c r="BA383" s="188"/>
      <c r="BB383" s="188"/>
      <c r="BC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O384" s="188"/>
      <c r="P384" s="188"/>
      <c r="Q384" s="188"/>
      <c r="S384" s="188"/>
      <c r="T384" s="188"/>
      <c r="U384" s="188"/>
      <c r="V384" s="188"/>
      <c r="W384" s="188"/>
      <c r="X384" s="188"/>
      <c r="Y384" s="188"/>
      <c r="Z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  <c r="AP384" s="188"/>
      <c r="AQ384" s="188"/>
      <c r="AR384" s="188"/>
      <c r="AS384" s="188"/>
      <c r="AT384" s="188"/>
      <c r="AU384" s="188"/>
      <c r="AV384" s="188"/>
      <c r="AW384" s="188"/>
      <c r="AX384" s="188"/>
      <c r="AY384" s="188"/>
      <c r="AZ384" s="188"/>
      <c r="BA384" s="188"/>
      <c r="BB384" s="188"/>
      <c r="BC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  <c r="AP385" s="188"/>
      <c r="AQ385" s="188"/>
      <c r="AR385" s="188"/>
      <c r="AS385" s="188"/>
      <c r="AT385" s="188"/>
      <c r="AU385" s="188"/>
      <c r="AV385" s="188"/>
      <c r="AW385" s="188"/>
      <c r="AX385" s="188"/>
      <c r="AY385" s="188"/>
      <c r="AZ385" s="188"/>
      <c r="BA385" s="188"/>
      <c r="BB385" s="188"/>
      <c r="BC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  <c r="AR386" s="188"/>
      <c r="AS386" s="188"/>
      <c r="AT386" s="188"/>
      <c r="AU386" s="188"/>
      <c r="AV386" s="188"/>
      <c r="AW386" s="188"/>
      <c r="AX386" s="188"/>
      <c r="AY386" s="188"/>
      <c r="AZ386" s="188"/>
      <c r="BA386" s="188"/>
      <c r="BB386" s="188"/>
      <c r="BC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S387" s="188"/>
      <c r="T387" s="188"/>
      <c r="U387" s="188"/>
      <c r="V387" s="188"/>
      <c r="W387" s="188"/>
      <c r="X387" s="188"/>
      <c r="Y387" s="188"/>
      <c r="Z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  <c r="AR387" s="188"/>
      <c r="AS387" s="188"/>
      <c r="AT387" s="188"/>
      <c r="AU387" s="188"/>
      <c r="AV387" s="188"/>
      <c r="AW387" s="188"/>
      <c r="AX387" s="188"/>
      <c r="AY387" s="188"/>
      <c r="AZ387" s="188"/>
      <c r="BA387" s="188"/>
      <c r="BB387" s="188"/>
      <c r="BC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S388" s="188"/>
      <c r="T388" s="188"/>
      <c r="U388" s="188"/>
      <c r="V388" s="188"/>
      <c r="W388" s="188"/>
      <c r="X388" s="188"/>
      <c r="Y388" s="188"/>
      <c r="Z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  <c r="AP388" s="188"/>
      <c r="AQ388" s="188"/>
      <c r="AR388" s="188"/>
      <c r="AS388" s="188"/>
      <c r="AT388" s="188"/>
      <c r="AU388" s="188"/>
      <c r="AV388" s="188"/>
      <c r="AW388" s="188"/>
      <c r="AX388" s="188"/>
      <c r="AY388" s="188"/>
      <c r="AZ388" s="188"/>
      <c r="BA388" s="188"/>
      <c r="BB388" s="188"/>
      <c r="BC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  <c r="AR389" s="188"/>
      <c r="AS389" s="188"/>
      <c r="AT389" s="188"/>
      <c r="AU389" s="188"/>
      <c r="AV389" s="188"/>
      <c r="AW389" s="188"/>
      <c r="AX389" s="188"/>
      <c r="AY389" s="188"/>
      <c r="AZ389" s="188"/>
      <c r="BA389" s="188"/>
      <c r="BB389" s="188"/>
      <c r="BC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S390" s="188"/>
      <c r="T390" s="188"/>
      <c r="U390" s="188"/>
      <c r="V390" s="188"/>
      <c r="W390" s="188"/>
      <c r="X390" s="188"/>
      <c r="Y390" s="188"/>
      <c r="Z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  <c r="AR390" s="188"/>
      <c r="AS390" s="188"/>
      <c r="AT390" s="188"/>
      <c r="AU390" s="188"/>
      <c r="AV390" s="188"/>
      <c r="AW390" s="188"/>
      <c r="AX390" s="188"/>
      <c r="AY390" s="188"/>
      <c r="AZ390" s="188"/>
      <c r="BA390" s="188"/>
      <c r="BB390" s="188"/>
      <c r="BC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  <c r="AR391" s="188"/>
      <c r="AS391" s="188"/>
      <c r="AT391" s="188"/>
      <c r="AU391" s="188"/>
      <c r="AV391" s="188"/>
      <c r="AW391" s="188"/>
      <c r="AX391" s="188"/>
      <c r="AY391" s="188"/>
      <c r="AZ391" s="188"/>
      <c r="BA391" s="188"/>
      <c r="BB391" s="188"/>
      <c r="BC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  <c r="AR392" s="188"/>
      <c r="AS392" s="188"/>
      <c r="AT392" s="188"/>
      <c r="AU392" s="188"/>
      <c r="AV392" s="188"/>
      <c r="AW392" s="188"/>
      <c r="AX392" s="188"/>
      <c r="AY392" s="188"/>
      <c r="AZ392" s="188"/>
      <c r="BA392" s="188"/>
      <c r="BB392" s="188"/>
      <c r="BC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  <c r="AR393" s="188"/>
      <c r="AS393" s="188"/>
      <c r="AT393" s="188"/>
      <c r="AU393" s="188"/>
      <c r="AV393" s="188"/>
      <c r="AW393" s="188"/>
      <c r="AX393" s="188"/>
      <c r="AY393" s="188"/>
      <c r="AZ393" s="188"/>
      <c r="BA393" s="188"/>
      <c r="BB393" s="188"/>
      <c r="BC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  <c r="AR394" s="188"/>
      <c r="AS394" s="188"/>
      <c r="AT394" s="188"/>
      <c r="AU394" s="188"/>
      <c r="AV394" s="188"/>
      <c r="AW394" s="188"/>
      <c r="AX394" s="188"/>
      <c r="AY394" s="188"/>
      <c r="AZ394" s="188"/>
      <c r="BA394" s="188"/>
      <c r="BB394" s="188"/>
      <c r="BC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  <c r="AP395" s="188"/>
      <c r="AQ395" s="188"/>
      <c r="AR395" s="188"/>
      <c r="AS395" s="188"/>
      <c r="AT395" s="188"/>
      <c r="AU395" s="188"/>
      <c r="AV395" s="188"/>
      <c r="AW395" s="188"/>
      <c r="AX395" s="188"/>
      <c r="AY395" s="188"/>
      <c r="AZ395" s="188"/>
      <c r="BA395" s="188"/>
      <c r="BB395" s="188"/>
      <c r="BC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  <c r="AP396" s="188"/>
      <c r="AQ396" s="188"/>
      <c r="AR396" s="188"/>
      <c r="AS396" s="188"/>
      <c r="AT396" s="188"/>
      <c r="AU396" s="188"/>
      <c r="AV396" s="188"/>
      <c r="AW396" s="188"/>
      <c r="AX396" s="188"/>
      <c r="AY396" s="188"/>
      <c r="AZ396" s="188"/>
      <c r="BA396" s="188"/>
      <c r="BB396" s="188"/>
      <c r="BC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  <c r="AR397" s="188"/>
      <c r="AS397" s="188"/>
      <c r="AT397" s="188"/>
      <c r="AU397" s="188"/>
      <c r="AV397" s="188"/>
      <c r="AW397" s="188"/>
      <c r="AX397" s="188"/>
      <c r="AY397" s="188"/>
      <c r="AZ397" s="188"/>
      <c r="BA397" s="188"/>
      <c r="BB397" s="188"/>
      <c r="BC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  <c r="AR398" s="188"/>
      <c r="AS398" s="188"/>
      <c r="AT398" s="188"/>
      <c r="AU398" s="188"/>
      <c r="AV398" s="188"/>
      <c r="AW398" s="188"/>
      <c r="AX398" s="188"/>
      <c r="AY398" s="188"/>
      <c r="AZ398" s="188"/>
      <c r="BA398" s="188"/>
      <c r="BB398" s="188"/>
      <c r="BC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  <c r="AP399" s="188"/>
      <c r="AQ399" s="188"/>
      <c r="AR399" s="188"/>
      <c r="AS399" s="188"/>
      <c r="AT399" s="188"/>
      <c r="AU399" s="188"/>
      <c r="AV399" s="188"/>
      <c r="AW399" s="188"/>
      <c r="AX399" s="188"/>
      <c r="AY399" s="188"/>
      <c r="AZ399" s="188"/>
      <c r="BA399" s="188"/>
      <c r="BB399" s="188"/>
      <c r="BC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S400" s="188"/>
      <c r="T400" s="188"/>
      <c r="U400" s="188"/>
      <c r="V400" s="188"/>
      <c r="W400" s="188"/>
      <c r="X400" s="188"/>
      <c r="Y400" s="188"/>
      <c r="Z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  <c r="AR400" s="188"/>
      <c r="AS400" s="188"/>
      <c r="AT400" s="188"/>
      <c r="AU400" s="188"/>
      <c r="AV400" s="188"/>
      <c r="AW400" s="188"/>
      <c r="AX400" s="188"/>
      <c r="AY400" s="188"/>
      <c r="AZ400" s="188"/>
      <c r="BA400" s="188"/>
      <c r="BB400" s="188"/>
      <c r="BC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O401" s="188"/>
      <c r="P401" s="188"/>
      <c r="Q401" s="188"/>
      <c r="S401" s="188"/>
      <c r="T401" s="188"/>
      <c r="U401" s="188"/>
      <c r="V401" s="188"/>
      <c r="W401" s="188"/>
      <c r="X401" s="188"/>
      <c r="Y401" s="188"/>
      <c r="Z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  <c r="AR401" s="188"/>
      <c r="AS401" s="188"/>
      <c r="AT401" s="188"/>
      <c r="AU401" s="188"/>
      <c r="AV401" s="188"/>
      <c r="AW401" s="188"/>
      <c r="AX401" s="188"/>
      <c r="AY401" s="188"/>
      <c r="AZ401" s="188"/>
      <c r="BA401" s="188"/>
      <c r="BB401" s="188"/>
      <c r="BC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  <c r="AR402" s="188"/>
      <c r="AS402" s="188"/>
      <c r="AT402" s="188"/>
      <c r="AU402" s="188"/>
      <c r="AV402" s="188"/>
      <c r="AW402" s="188"/>
      <c r="AX402" s="188"/>
      <c r="AY402" s="188"/>
      <c r="AZ402" s="188"/>
      <c r="BA402" s="188"/>
      <c r="BB402" s="188"/>
      <c r="BC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  <c r="AR403" s="188"/>
      <c r="AS403" s="188"/>
      <c r="AT403" s="188"/>
      <c r="AU403" s="188"/>
      <c r="AV403" s="188"/>
      <c r="AW403" s="188"/>
      <c r="AX403" s="188"/>
      <c r="AY403" s="188"/>
      <c r="AZ403" s="188"/>
      <c r="BA403" s="188"/>
      <c r="BB403" s="188"/>
      <c r="BC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S404" s="188"/>
      <c r="T404" s="188"/>
      <c r="U404" s="188"/>
      <c r="V404" s="188"/>
      <c r="W404" s="188"/>
      <c r="X404" s="188"/>
      <c r="Y404" s="188"/>
      <c r="Z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  <c r="AR404" s="188"/>
      <c r="AS404" s="188"/>
      <c r="AT404" s="188"/>
      <c r="AU404" s="188"/>
      <c r="AV404" s="188"/>
      <c r="AW404" s="188"/>
      <c r="AX404" s="188"/>
      <c r="AY404" s="188"/>
      <c r="AZ404" s="188"/>
      <c r="BA404" s="188"/>
      <c r="BB404" s="188"/>
      <c r="BC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S405" s="188"/>
      <c r="T405" s="188"/>
      <c r="U405" s="188"/>
      <c r="V405" s="188"/>
      <c r="W405" s="188"/>
      <c r="X405" s="188"/>
      <c r="Y405" s="188"/>
      <c r="Z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  <c r="AR405" s="188"/>
      <c r="AS405" s="188"/>
      <c r="AT405" s="188"/>
      <c r="AU405" s="188"/>
      <c r="AV405" s="188"/>
      <c r="AW405" s="188"/>
      <c r="AX405" s="188"/>
      <c r="AY405" s="188"/>
      <c r="AZ405" s="188"/>
      <c r="BA405" s="188"/>
      <c r="BB405" s="188"/>
      <c r="BC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8"/>
      <c r="AZ406" s="188"/>
      <c r="BA406" s="188"/>
      <c r="BB406" s="188"/>
      <c r="BC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8"/>
      <c r="AZ407" s="188"/>
      <c r="BA407" s="188"/>
      <c r="BB407" s="188"/>
      <c r="BC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S408" s="188"/>
      <c r="T408" s="188"/>
      <c r="U408" s="188"/>
      <c r="V408" s="188"/>
      <c r="W408" s="188"/>
      <c r="X408" s="188"/>
      <c r="Y408" s="188"/>
      <c r="Z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  <c r="AP408" s="188"/>
      <c r="AQ408" s="188"/>
      <c r="AR408" s="188"/>
      <c r="AS408" s="188"/>
      <c r="AT408" s="188"/>
      <c r="AU408" s="188"/>
      <c r="AV408" s="188"/>
      <c r="AW408" s="188"/>
      <c r="AX408" s="188"/>
      <c r="AY408" s="188"/>
      <c r="AZ408" s="188"/>
      <c r="BA408" s="188"/>
      <c r="BB408" s="188"/>
      <c r="BC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O409" s="188"/>
      <c r="P409" s="188"/>
      <c r="Q409" s="188"/>
      <c r="S409" s="188"/>
      <c r="T409" s="188"/>
      <c r="U409" s="188"/>
      <c r="V409" s="188"/>
      <c r="W409" s="188"/>
      <c r="X409" s="188"/>
      <c r="Y409" s="188"/>
      <c r="Z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  <c r="AR409" s="188"/>
      <c r="AS409" s="188"/>
      <c r="AT409" s="188"/>
      <c r="AU409" s="188"/>
      <c r="AV409" s="188"/>
      <c r="AW409" s="188"/>
      <c r="AX409" s="188"/>
      <c r="AY409" s="188"/>
      <c r="AZ409" s="188"/>
      <c r="BA409" s="188"/>
      <c r="BB409" s="188"/>
      <c r="BC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  <c r="AP410" s="188"/>
      <c r="AQ410" s="188"/>
      <c r="AR410" s="188"/>
      <c r="AS410" s="188"/>
      <c r="AT410" s="188"/>
      <c r="AU410" s="188"/>
      <c r="AV410" s="188"/>
      <c r="AW410" s="188"/>
      <c r="AX410" s="188"/>
      <c r="AY410" s="188"/>
      <c r="AZ410" s="188"/>
      <c r="BA410" s="188"/>
      <c r="BB410" s="188"/>
      <c r="BC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O411" s="188"/>
      <c r="P411" s="188"/>
      <c r="Q411" s="188"/>
      <c r="S411" s="188"/>
      <c r="T411" s="188"/>
      <c r="U411" s="188"/>
      <c r="V411" s="188"/>
      <c r="W411" s="188"/>
      <c r="X411" s="188"/>
      <c r="Y411" s="188"/>
      <c r="Z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  <c r="AP411" s="188"/>
      <c r="AQ411" s="188"/>
      <c r="AR411" s="188"/>
      <c r="AS411" s="188"/>
      <c r="AT411" s="188"/>
      <c r="AU411" s="188"/>
      <c r="AV411" s="188"/>
      <c r="AW411" s="188"/>
      <c r="AX411" s="188"/>
      <c r="AY411" s="188"/>
      <c r="AZ411" s="188"/>
      <c r="BA411" s="188"/>
      <c r="BB411" s="188"/>
      <c r="BC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O412" s="188"/>
      <c r="P412" s="188"/>
      <c r="Q412" s="188"/>
      <c r="S412" s="188"/>
      <c r="T412" s="188"/>
      <c r="U412" s="188"/>
      <c r="V412" s="188"/>
      <c r="W412" s="188"/>
      <c r="X412" s="188"/>
      <c r="Y412" s="188"/>
      <c r="Z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  <c r="AU412" s="188"/>
      <c r="AV412" s="188"/>
      <c r="AW412" s="188"/>
      <c r="AX412" s="188"/>
      <c r="AY412" s="188"/>
      <c r="AZ412" s="188"/>
      <c r="BA412" s="188"/>
      <c r="BB412" s="188"/>
      <c r="BC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O413" s="188"/>
      <c r="P413" s="188"/>
      <c r="Q413" s="188"/>
      <c r="S413" s="188"/>
      <c r="T413" s="188"/>
      <c r="U413" s="188"/>
      <c r="V413" s="188"/>
      <c r="W413" s="188"/>
      <c r="X413" s="188"/>
      <c r="Y413" s="188"/>
      <c r="Z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  <c r="AP413" s="188"/>
      <c r="AQ413" s="188"/>
      <c r="AR413" s="188"/>
      <c r="AS413" s="188"/>
      <c r="AT413" s="188"/>
      <c r="AU413" s="188"/>
      <c r="AV413" s="188"/>
      <c r="AW413" s="188"/>
      <c r="AX413" s="188"/>
      <c r="AY413" s="188"/>
      <c r="AZ413" s="188"/>
      <c r="BA413" s="188"/>
      <c r="BB413" s="188"/>
      <c r="BC413" s="188"/>
    </row>
    <row r="414">
      <c r="A414" s="188"/>
      <c r="B414" s="188"/>
      <c r="C414" s="190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O414" s="188"/>
      <c r="P414" s="188"/>
      <c r="Q414" s="188"/>
      <c r="S414" s="188"/>
      <c r="T414" s="188"/>
      <c r="U414" s="188"/>
      <c r="V414" s="188"/>
      <c r="W414" s="188"/>
      <c r="X414" s="188"/>
      <c r="Y414" s="188"/>
      <c r="Z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  <c r="AP414" s="188"/>
      <c r="AQ414" s="188"/>
      <c r="AR414" s="188"/>
      <c r="AS414" s="188"/>
      <c r="AT414" s="188"/>
      <c r="AU414" s="188"/>
      <c r="AV414" s="188"/>
      <c r="AW414" s="188"/>
      <c r="AX414" s="188"/>
      <c r="AY414" s="188"/>
      <c r="AZ414" s="188"/>
      <c r="BA414" s="188"/>
      <c r="BB414" s="188"/>
      <c r="BC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O415" s="188"/>
      <c r="P415" s="188"/>
      <c r="Q415" s="188"/>
      <c r="S415" s="188"/>
      <c r="T415" s="188"/>
      <c r="U415" s="188"/>
      <c r="V415" s="188"/>
      <c r="W415" s="188"/>
      <c r="X415" s="188"/>
      <c r="Y415" s="188"/>
      <c r="Z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  <c r="AP415" s="188"/>
      <c r="AQ415" s="188"/>
      <c r="AR415" s="188"/>
      <c r="AS415" s="188"/>
      <c r="AT415" s="188"/>
      <c r="AU415" s="188"/>
      <c r="AV415" s="188"/>
      <c r="AW415" s="188"/>
      <c r="AX415" s="188"/>
      <c r="AY415" s="188"/>
      <c r="AZ415" s="188"/>
      <c r="BA415" s="188"/>
      <c r="BB415" s="188"/>
      <c r="BC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  <c r="AP416" s="188"/>
      <c r="AQ416" s="188"/>
      <c r="AR416" s="188"/>
      <c r="AS416" s="188"/>
      <c r="AT416" s="188"/>
      <c r="AU416" s="188"/>
      <c r="AV416" s="188"/>
      <c r="AW416" s="188"/>
      <c r="AX416" s="188"/>
      <c r="AY416" s="188"/>
      <c r="AZ416" s="188"/>
      <c r="BA416" s="188"/>
      <c r="BB416" s="188"/>
      <c r="BC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  <c r="AP417" s="188"/>
      <c r="AQ417" s="188"/>
      <c r="AR417" s="188"/>
      <c r="AS417" s="188"/>
      <c r="AT417" s="188"/>
      <c r="AU417" s="188"/>
      <c r="AV417" s="188"/>
      <c r="AW417" s="188"/>
      <c r="AX417" s="188"/>
      <c r="AY417" s="188"/>
      <c r="AZ417" s="188"/>
      <c r="BA417" s="188"/>
      <c r="BB417" s="188"/>
      <c r="BC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  <c r="AP418" s="188"/>
      <c r="AQ418" s="188"/>
      <c r="AR418" s="188"/>
      <c r="AS418" s="188"/>
      <c r="AT418" s="188"/>
      <c r="AU418" s="188"/>
      <c r="AV418" s="188"/>
      <c r="AW418" s="188"/>
      <c r="AX418" s="188"/>
      <c r="AY418" s="188"/>
      <c r="AZ418" s="188"/>
      <c r="BA418" s="188"/>
      <c r="BB418" s="188"/>
      <c r="BC418" s="188"/>
    </row>
    <row r="419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  <c r="AP419" s="188"/>
      <c r="AQ419" s="188"/>
      <c r="AR419" s="188"/>
      <c r="AS419" s="188"/>
      <c r="AT419" s="188"/>
      <c r="AU419" s="188"/>
      <c r="AV419" s="188"/>
      <c r="AW419" s="188"/>
      <c r="AX419" s="188"/>
      <c r="AY419" s="188"/>
      <c r="AZ419" s="188"/>
      <c r="BA419" s="188"/>
      <c r="BB419" s="188"/>
      <c r="BC419" s="188"/>
    </row>
    <row r="420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  <c r="AP420" s="188"/>
      <c r="AQ420" s="188"/>
      <c r="AR420" s="188"/>
      <c r="AS420" s="188"/>
      <c r="AT420" s="188"/>
      <c r="AU420" s="188"/>
      <c r="AV420" s="188"/>
      <c r="AW420" s="188"/>
      <c r="AX420" s="188"/>
      <c r="AY420" s="188"/>
      <c r="AZ420" s="188"/>
      <c r="BA420" s="188"/>
      <c r="BB420" s="188"/>
      <c r="BC420" s="188"/>
    </row>
    <row r="42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  <c r="AP421" s="188"/>
      <c r="AQ421" s="188"/>
      <c r="AR421" s="188"/>
      <c r="AS421" s="188"/>
      <c r="AT421" s="188"/>
      <c r="AU421" s="188"/>
      <c r="AV421" s="188"/>
      <c r="AW421" s="188"/>
      <c r="AX421" s="188"/>
      <c r="AY421" s="188"/>
      <c r="AZ421" s="188"/>
      <c r="BA421" s="188"/>
      <c r="BB421" s="188"/>
      <c r="BC421" s="188"/>
    </row>
    <row r="422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  <c r="AP422" s="188"/>
      <c r="AQ422" s="188"/>
      <c r="AR422" s="188"/>
      <c r="AS422" s="188"/>
      <c r="AT422" s="188"/>
      <c r="AU422" s="188"/>
      <c r="AV422" s="188"/>
      <c r="AW422" s="188"/>
      <c r="AX422" s="188"/>
      <c r="AY422" s="188"/>
      <c r="AZ422" s="188"/>
      <c r="BA422" s="188"/>
      <c r="BB422" s="188"/>
      <c r="BC422" s="188"/>
    </row>
    <row r="423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  <c r="AP423" s="188"/>
      <c r="AQ423" s="188"/>
      <c r="AR423" s="188"/>
      <c r="AS423" s="188"/>
      <c r="AT423" s="188"/>
      <c r="AU423" s="188"/>
      <c r="AV423" s="188"/>
      <c r="AW423" s="188"/>
      <c r="AX423" s="188"/>
      <c r="AY423" s="188"/>
      <c r="AZ423" s="188"/>
      <c r="BA423" s="188"/>
      <c r="BB423" s="188"/>
      <c r="BC423" s="188"/>
    </row>
    <row r="424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  <c r="AR424" s="188"/>
      <c r="AS424" s="188"/>
      <c r="AT424" s="188"/>
      <c r="AU424" s="188"/>
      <c r="AV424" s="188"/>
      <c r="AW424" s="188"/>
      <c r="AX424" s="188"/>
      <c r="AY424" s="188"/>
      <c r="AZ424" s="188"/>
      <c r="BA424" s="188"/>
      <c r="BB424" s="188"/>
      <c r="BC424" s="188"/>
    </row>
    <row r="425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  <c r="AP425" s="188"/>
      <c r="AQ425" s="188"/>
      <c r="AR425" s="188"/>
      <c r="AS425" s="188"/>
      <c r="AT425" s="188"/>
      <c r="AU425" s="188"/>
      <c r="AV425" s="188"/>
      <c r="AW425" s="188"/>
      <c r="AX425" s="188"/>
      <c r="AY425" s="188"/>
      <c r="AZ425" s="188"/>
      <c r="BA425" s="188"/>
      <c r="BB425" s="188"/>
      <c r="BC425" s="188"/>
    </row>
    <row r="426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  <c r="AP426" s="188"/>
      <c r="AQ426" s="188"/>
      <c r="AR426" s="188"/>
      <c r="AS426" s="188"/>
      <c r="AT426" s="188"/>
      <c r="AU426" s="188"/>
      <c r="AV426" s="188"/>
      <c r="AW426" s="188"/>
      <c r="AX426" s="188"/>
      <c r="AY426" s="188"/>
      <c r="AZ426" s="188"/>
      <c r="BA426" s="188"/>
      <c r="BB426" s="188"/>
      <c r="BC426" s="188"/>
    </row>
    <row r="427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  <c r="AP427" s="188"/>
      <c r="AQ427" s="188"/>
      <c r="AR427" s="188"/>
      <c r="AS427" s="188"/>
      <c r="AT427" s="188"/>
      <c r="AU427" s="188"/>
      <c r="AV427" s="188"/>
      <c r="AW427" s="188"/>
      <c r="AX427" s="188"/>
      <c r="AY427" s="188"/>
      <c r="AZ427" s="188"/>
      <c r="BA427" s="188"/>
      <c r="BB427" s="188"/>
      <c r="BC427" s="188"/>
    </row>
    <row r="428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  <c r="AP428" s="188"/>
      <c r="AQ428" s="188"/>
      <c r="AR428" s="188"/>
      <c r="AS428" s="188"/>
      <c r="AT428" s="188"/>
      <c r="AU428" s="188"/>
      <c r="AV428" s="188"/>
      <c r="AW428" s="188"/>
      <c r="AX428" s="188"/>
      <c r="AY428" s="188"/>
      <c r="AZ428" s="188"/>
      <c r="BA428" s="188"/>
      <c r="BB428" s="188"/>
      <c r="BC428" s="188"/>
    </row>
    <row r="429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  <c r="AP429" s="188"/>
      <c r="AQ429" s="188"/>
      <c r="AR429" s="188"/>
      <c r="AS429" s="188"/>
      <c r="AT429" s="188"/>
      <c r="AU429" s="188"/>
      <c r="AV429" s="188"/>
      <c r="AW429" s="188"/>
      <c r="AX429" s="188"/>
      <c r="AY429" s="188"/>
      <c r="AZ429" s="188"/>
      <c r="BA429" s="188"/>
      <c r="BB429" s="188"/>
      <c r="BC429" s="188"/>
    </row>
    <row r="430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  <c r="AP430" s="188"/>
      <c r="AQ430" s="188"/>
      <c r="AR430" s="188"/>
      <c r="AS430" s="188"/>
      <c r="AT430" s="188"/>
      <c r="AU430" s="188"/>
      <c r="AV430" s="188"/>
      <c r="AW430" s="188"/>
      <c r="AX430" s="188"/>
      <c r="AY430" s="188"/>
      <c r="AZ430" s="188"/>
      <c r="BA430" s="188"/>
      <c r="BB430" s="188"/>
      <c r="BC430" s="188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  <c r="AP431" s="188"/>
      <c r="AQ431" s="188"/>
      <c r="AR431" s="188"/>
      <c r="AS431" s="188"/>
      <c r="AT431" s="188"/>
      <c r="AU431" s="188"/>
      <c r="AV431" s="188"/>
      <c r="AW431" s="188"/>
      <c r="AX431" s="188"/>
      <c r="AY431" s="188"/>
      <c r="AZ431" s="188"/>
      <c r="BA431" s="188"/>
      <c r="BB431" s="188"/>
      <c r="BC431" s="188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  <c r="AP432" s="188"/>
      <c r="AQ432" s="188"/>
      <c r="AR432" s="188"/>
      <c r="AS432" s="188"/>
      <c r="AT432" s="188"/>
      <c r="AU432" s="188"/>
      <c r="AV432" s="188"/>
      <c r="AW432" s="188"/>
      <c r="AX432" s="188"/>
      <c r="AY432" s="188"/>
      <c r="AZ432" s="188"/>
      <c r="BA432" s="188"/>
      <c r="BB432" s="188"/>
      <c r="BC432" s="188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  <c r="AP433" s="188"/>
      <c r="AQ433" s="188"/>
      <c r="AR433" s="188"/>
      <c r="AS433" s="188"/>
      <c r="AT433" s="188"/>
      <c r="AU433" s="188"/>
      <c r="AV433" s="188"/>
      <c r="AW433" s="188"/>
      <c r="AX433" s="188"/>
      <c r="AY433" s="188"/>
      <c r="AZ433" s="188"/>
      <c r="BA433" s="188"/>
      <c r="BB433" s="188"/>
      <c r="BC433" s="188"/>
    </row>
    <row r="434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  <c r="AP434" s="188"/>
      <c r="AQ434" s="188"/>
      <c r="AR434" s="188"/>
      <c r="AS434" s="188"/>
      <c r="AT434" s="188"/>
      <c r="AU434" s="188"/>
      <c r="AV434" s="188"/>
      <c r="AW434" s="188"/>
      <c r="AX434" s="188"/>
      <c r="AY434" s="188"/>
      <c r="AZ434" s="188"/>
      <c r="BA434" s="188"/>
      <c r="BB434" s="188"/>
      <c r="BC434" s="188"/>
    </row>
    <row r="435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  <c r="AP435" s="188"/>
      <c r="AQ435" s="188"/>
      <c r="AR435" s="188"/>
      <c r="AS435" s="188"/>
      <c r="AT435" s="188"/>
      <c r="AU435" s="188"/>
      <c r="AV435" s="188"/>
      <c r="AW435" s="188"/>
      <c r="AX435" s="188"/>
      <c r="AY435" s="188"/>
      <c r="AZ435" s="188"/>
      <c r="BA435" s="188"/>
      <c r="BB435" s="188"/>
      <c r="BC435" s="188"/>
    </row>
    <row r="436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  <c r="AP436" s="188"/>
      <c r="AQ436" s="188"/>
      <c r="AR436" s="188"/>
      <c r="AS436" s="188"/>
      <c r="AT436" s="188"/>
      <c r="AU436" s="188"/>
      <c r="AV436" s="188"/>
      <c r="AW436" s="188"/>
      <c r="AX436" s="188"/>
      <c r="AY436" s="188"/>
      <c r="AZ436" s="188"/>
      <c r="BA436" s="188"/>
      <c r="BB436" s="188"/>
      <c r="BC436" s="188"/>
    </row>
    <row r="437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  <c r="AP437" s="188"/>
      <c r="AQ437" s="188"/>
      <c r="AR437" s="188"/>
      <c r="AS437" s="188"/>
      <c r="AT437" s="188"/>
      <c r="AU437" s="188"/>
      <c r="AV437" s="188"/>
      <c r="AW437" s="188"/>
      <c r="AX437" s="188"/>
      <c r="AY437" s="188"/>
      <c r="AZ437" s="188"/>
      <c r="BA437" s="188"/>
      <c r="BB437" s="188"/>
      <c r="BC437" s="188"/>
    </row>
    <row r="438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  <c r="AP438" s="188"/>
      <c r="AQ438" s="188"/>
      <c r="AR438" s="188"/>
      <c r="AS438" s="188"/>
      <c r="AT438" s="188"/>
      <c r="AU438" s="188"/>
      <c r="AV438" s="188"/>
      <c r="AW438" s="188"/>
      <c r="AX438" s="188"/>
      <c r="AY438" s="188"/>
      <c r="AZ438" s="188"/>
      <c r="BA438" s="188"/>
      <c r="BB438" s="188"/>
      <c r="BC438" s="188"/>
    </row>
    <row r="439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  <c r="AP439" s="188"/>
      <c r="AQ439" s="188"/>
      <c r="AR439" s="188"/>
      <c r="AS439" s="188"/>
      <c r="AT439" s="188"/>
      <c r="AU439" s="188"/>
      <c r="AV439" s="188"/>
      <c r="AW439" s="188"/>
      <c r="AX439" s="188"/>
      <c r="AY439" s="188"/>
      <c r="AZ439" s="188"/>
      <c r="BA439" s="188"/>
      <c r="BB439" s="188"/>
      <c r="BC439" s="188"/>
    </row>
    <row r="440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  <c r="AP440" s="188"/>
      <c r="AQ440" s="188"/>
      <c r="AR440" s="188"/>
      <c r="AS440" s="188"/>
      <c r="AT440" s="188"/>
      <c r="AU440" s="188"/>
      <c r="AV440" s="188"/>
      <c r="AW440" s="188"/>
      <c r="AX440" s="188"/>
      <c r="AY440" s="188"/>
      <c r="AZ440" s="188"/>
      <c r="BA440" s="188"/>
      <c r="BB440" s="188"/>
      <c r="BC440" s="188"/>
    </row>
    <row r="44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  <c r="AP441" s="188"/>
      <c r="AQ441" s="188"/>
      <c r="AR441" s="188"/>
      <c r="AS441" s="188"/>
      <c r="AT441" s="188"/>
      <c r="AU441" s="188"/>
      <c r="AV441" s="188"/>
      <c r="AW441" s="188"/>
      <c r="AX441" s="188"/>
      <c r="AY441" s="188"/>
      <c r="AZ441" s="188"/>
      <c r="BA441" s="188"/>
      <c r="BB441" s="188"/>
      <c r="BC441" s="188"/>
    </row>
    <row r="442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  <c r="AP442" s="188"/>
      <c r="AQ442" s="188"/>
      <c r="AR442" s="188"/>
      <c r="AS442" s="188"/>
      <c r="AT442" s="188"/>
      <c r="AU442" s="188"/>
      <c r="AV442" s="188"/>
      <c r="AW442" s="188"/>
      <c r="AX442" s="188"/>
      <c r="AY442" s="188"/>
      <c r="AZ442" s="188"/>
      <c r="BA442" s="188"/>
      <c r="BB442" s="188"/>
      <c r="BC442" s="188"/>
    </row>
    <row r="443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  <c r="AP443" s="188"/>
      <c r="AQ443" s="188"/>
      <c r="AR443" s="188"/>
      <c r="AS443" s="188"/>
      <c r="AT443" s="188"/>
      <c r="AU443" s="188"/>
      <c r="AV443" s="188"/>
      <c r="AW443" s="188"/>
      <c r="AX443" s="188"/>
      <c r="AY443" s="188"/>
      <c r="AZ443" s="188"/>
      <c r="BA443" s="188"/>
      <c r="BB443" s="188"/>
      <c r="BC443" s="188"/>
    </row>
    <row r="444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  <c r="AP444" s="188"/>
      <c r="AQ444" s="188"/>
      <c r="AR444" s="188"/>
      <c r="AS444" s="188"/>
      <c r="AT444" s="188"/>
      <c r="AU444" s="188"/>
      <c r="AV444" s="188"/>
      <c r="AW444" s="188"/>
      <c r="AX444" s="188"/>
      <c r="AY444" s="188"/>
      <c r="AZ444" s="188"/>
      <c r="BA444" s="188"/>
      <c r="BB444" s="188"/>
      <c r="BC444" s="188"/>
    </row>
    <row r="445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  <c r="AP445" s="188"/>
      <c r="AQ445" s="188"/>
      <c r="AR445" s="188"/>
      <c r="AS445" s="188"/>
      <c r="AT445" s="188"/>
      <c r="AU445" s="188"/>
      <c r="AV445" s="188"/>
      <c r="AW445" s="188"/>
      <c r="AX445" s="188"/>
      <c r="AY445" s="188"/>
      <c r="AZ445" s="188"/>
      <c r="BA445" s="188"/>
      <c r="BB445" s="188"/>
      <c r="BC445" s="188"/>
    </row>
    <row r="446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  <c r="AP446" s="188"/>
      <c r="AQ446" s="188"/>
      <c r="AR446" s="188"/>
      <c r="AS446" s="188"/>
      <c r="AT446" s="188"/>
      <c r="AU446" s="188"/>
      <c r="AV446" s="188"/>
      <c r="AW446" s="188"/>
      <c r="AX446" s="188"/>
      <c r="AY446" s="188"/>
      <c r="AZ446" s="188"/>
      <c r="BA446" s="188"/>
      <c r="BB446" s="188"/>
      <c r="BC446" s="188"/>
    </row>
    <row r="447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  <c r="AP447" s="188"/>
      <c r="AQ447" s="188"/>
      <c r="AR447" s="188"/>
      <c r="AS447" s="188"/>
      <c r="AT447" s="188"/>
      <c r="AU447" s="188"/>
      <c r="AV447" s="188"/>
      <c r="AW447" s="188"/>
      <c r="AX447" s="188"/>
      <c r="AY447" s="188"/>
      <c r="AZ447" s="188"/>
      <c r="BA447" s="188"/>
      <c r="BB447" s="188"/>
      <c r="BC447" s="188"/>
    </row>
    <row r="448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  <c r="AP448" s="188"/>
      <c r="AQ448" s="188"/>
      <c r="AR448" s="188"/>
      <c r="AS448" s="188"/>
      <c r="AT448" s="188"/>
      <c r="AU448" s="188"/>
      <c r="AV448" s="188"/>
      <c r="AW448" s="188"/>
      <c r="AX448" s="188"/>
      <c r="AY448" s="188"/>
      <c r="AZ448" s="188"/>
      <c r="BA448" s="188"/>
      <c r="BB448" s="188"/>
      <c r="BC448" s="188"/>
    </row>
    <row r="449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  <c r="AP449" s="188"/>
      <c r="AQ449" s="188"/>
      <c r="AR449" s="188"/>
      <c r="AS449" s="188"/>
      <c r="AT449" s="188"/>
      <c r="AU449" s="188"/>
      <c r="AV449" s="188"/>
      <c r="AW449" s="188"/>
      <c r="AX449" s="188"/>
      <c r="AY449" s="188"/>
      <c r="AZ449" s="188"/>
      <c r="BA449" s="188"/>
      <c r="BB449" s="188"/>
      <c r="BC449" s="188"/>
    </row>
    <row r="450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  <c r="AP450" s="188"/>
      <c r="AQ450" s="188"/>
      <c r="AR450" s="188"/>
      <c r="AS450" s="188"/>
      <c r="AT450" s="188"/>
      <c r="AU450" s="188"/>
      <c r="AV450" s="188"/>
      <c r="AW450" s="188"/>
      <c r="AX450" s="188"/>
      <c r="AY450" s="188"/>
      <c r="AZ450" s="188"/>
      <c r="BA450" s="188"/>
      <c r="BB450" s="188"/>
      <c r="BC450" s="188"/>
    </row>
    <row r="45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  <c r="AR451" s="188"/>
      <c r="AS451" s="188"/>
      <c r="AT451" s="188"/>
      <c r="AU451" s="188"/>
      <c r="AV451" s="188"/>
      <c r="AW451" s="188"/>
      <c r="AX451" s="188"/>
      <c r="AY451" s="188"/>
      <c r="AZ451" s="188"/>
      <c r="BA451" s="188"/>
      <c r="BB451" s="188"/>
      <c r="BC451" s="188"/>
    </row>
    <row r="452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  <c r="AP452" s="188"/>
      <c r="AQ452" s="188"/>
      <c r="AR452" s="188"/>
      <c r="AS452" s="188"/>
      <c r="AT452" s="188"/>
      <c r="AU452" s="188"/>
      <c r="AV452" s="188"/>
      <c r="AW452" s="188"/>
      <c r="AX452" s="188"/>
      <c r="AY452" s="188"/>
      <c r="AZ452" s="188"/>
      <c r="BA452" s="188"/>
      <c r="BB452" s="188"/>
      <c r="BC452" s="188"/>
    </row>
    <row r="453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  <c r="AP453" s="188"/>
      <c r="AQ453" s="188"/>
      <c r="AR453" s="188"/>
      <c r="AS453" s="188"/>
      <c r="AT453" s="188"/>
      <c r="AU453" s="188"/>
      <c r="AV453" s="188"/>
      <c r="AW453" s="188"/>
      <c r="AX453" s="188"/>
      <c r="AY453" s="188"/>
      <c r="AZ453" s="188"/>
      <c r="BA453" s="188"/>
      <c r="BB453" s="188"/>
      <c r="BC453" s="188"/>
    </row>
    <row r="454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  <c r="AP454" s="188"/>
      <c r="AQ454" s="188"/>
      <c r="AR454" s="188"/>
      <c r="AS454" s="188"/>
      <c r="AT454" s="188"/>
      <c r="AU454" s="188"/>
      <c r="AV454" s="188"/>
      <c r="AW454" s="188"/>
      <c r="AX454" s="188"/>
      <c r="AY454" s="188"/>
      <c r="AZ454" s="188"/>
      <c r="BA454" s="188"/>
      <c r="BB454" s="188"/>
      <c r="BC454" s="188"/>
    </row>
    <row r="455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  <c r="AP455" s="188"/>
      <c r="AQ455" s="188"/>
      <c r="AR455" s="188"/>
      <c r="AS455" s="188"/>
      <c r="AT455" s="188"/>
      <c r="AU455" s="188"/>
      <c r="AV455" s="188"/>
      <c r="AW455" s="188"/>
      <c r="AX455" s="188"/>
      <c r="AY455" s="188"/>
      <c r="AZ455" s="188"/>
      <c r="BA455" s="188"/>
      <c r="BB455" s="188"/>
      <c r="BC455" s="188"/>
    </row>
    <row r="456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  <c r="AP456" s="188"/>
      <c r="AQ456" s="188"/>
      <c r="AR456" s="188"/>
      <c r="AS456" s="188"/>
      <c r="AT456" s="188"/>
      <c r="AU456" s="188"/>
      <c r="AV456" s="188"/>
      <c r="AW456" s="188"/>
      <c r="AX456" s="188"/>
      <c r="AY456" s="188"/>
      <c r="AZ456" s="188"/>
      <c r="BA456" s="188"/>
      <c r="BB456" s="188"/>
      <c r="BC456" s="188"/>
    </row>
    <row r="457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  <c r="AP457" s="188"/>
      <c r="AQ457" s="188"/>
      <c r="AR457" s="188"/>
      <c r="AS457" s="188"/>
      <c r="AT457" s="188"/>
      <c r="AU457" s="188"/>
      <c r="AV457" s="188"/>
      <c r="AW457" s="188"/>
      <c r="AX457" s="188"/>
      <c r="AY457" s="188"/>
      <c r="AZ457" s="188"/>
      <c r="BA457" s="188"/>
      <c r="BB457" s="188"/>
      <c r="BC457" s="188"/>
    </row>
    <row r="458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  <c r="AP458" s="188"/>
      <c r="AQ458" s="188"/>
      <c r="AR458" s="188"/>
      <c r="AS458" s="188"/>
      <c r="AT458" s="188"/>
      <c r="AU458" s="188"/>
      <c r="AV458" s="188"/>
      <c r="AW458" s="188"/>
      <c r="AX458" s="188"/>
      <c r="AY458" s="188"/>
      <c r="AZ458" s="188"/>
      <c r="BA458" s="188"/>
      <c r="BB458" s="188"/>
      <c r="BC458" s="188"/>
    </row>
    <row r="459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  <c r="AP459" s="188"/>
      <c r="AQ459" s="188"/>
      <c r="AR459" s="188"/>
      <c r="AS459" s="188"/>
      <c r="AT459" s="188"/>
      <c r="AU459" s="188"/>
      <c r="AV459" s="188"/>
      <c r="AW459" s="188"/>
      <c r="AX459" s="188"/>
      <c r="AY459" s="188"/>
      <c r="AZ459" s="188"/>
      <c r="BA459" s="188"/>
      <c r="BB459" s="188"/>
      <c r="BC459" s="188"/>
    </row>
    <row r="460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  <c r="AP460" s="188"/>
      <c r="AQ460" s="188"/>
      <c r="AR460" s="188"/>
      <c r="AS460" s="188"/>
      <c r="AT460" s="188"/>
      <c r="AU460" s="188"/>
      <c r="AV460" s="188"/>
      <c r="AW460" s="188"/>
      <c r="AX460" s="188"/>
      <c r="AY460" s="188"/>
      <c r="AZ460" s="188"/>
      <c r="BA460" s="188"/>
      <c r="BB460" s="188"/>
      <c r="BC460" s="188"/>
    </row>
    <row r="46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  <c r="AP461" s="188"/>
      <c r="AQ461" s="188"/>
      <c r="AR461" s="188"/>
      <c r="AS461" s="188"/>
      <c r="AT461" s="188"/>
      <c r="AU461" s="188"/>
      <c r="AV461" s="188"/>
      <c r="AW461" s="188"/>
      <c r="AX461" s="188"/>
      <c r="AY461" s="188"/>
      <c r="AZ461" s="188"/>
      <c r="BA461" s="188"/>
      <c r="BB461" s="188"/>
      <c r="BC461" s="188"/>
    </row>
    <row r="462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  <c r="AP462" s="188"/>
      <c r="AQ462" s="188"/>
      <c r="AR462" s="188"/>
      <c r="AS462" s="188"/>
      <c r="AT462" s="188"/>
      <c r="AU462" s="188"/>
      <c r="AV462" s="188"/>
      <c r="AW462" s="188"/>
      <c r="AX462" s="188"/>
      <c r="AY462" s="188"/>
      <c r="AZ462" s="188"/>
      <c r="BA462" s="188"/>
      <c r="BB462" s="188"/>
      <c r="BC462" s="188"/>
    </row>
    <row r="463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  <c r="AP463" s="188"/>
      <c r="AQ463" s="188"/>
      <c r="AR463" s="188"/>
      <c r="AS463" s="188"/>
      <c r="AT463" s="188"/>
      <c r="AU463" s="188"/>
      <c r="AV463" s="188"/>
      <c r="AW463" s="188"/>
      <c r="AX463" s="188"/>
      <c r="AY463" s="188"/>
      <c r="AZ463" s="188"/>
      <c r="BA463" s="188"/>
      <c r="BB463" s="188"/>
      <c r="BC463" s="188"/>
    </row>
    <row r="464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  <c r="AP464" s="188"/>
      <c r="AQ464" s="188"/>
      <c r="AR464" s="188"/>
      <c r="AS464" s="188"/>
      <c r="AT464" s="188"/>
      <c r="AU464" s="188"/>
      <c r="AV464" s="188"/>
      <c r="AW464" s="188"/>
      <c r="AX464" s="188"/>
      <c r="AY464" s="188"/>
      <c r="AZ464" s="188"/>
      <c r="BA464" s="188"/>
      <c r="BB464" s="188"/>
      <c r="BC464" s="188"/>
    </row>
    <row r="465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  <c r="AP465" s="188"/>
      <c r="AQ465" s="188"/>
      <c r="AR465" s="188"/>
      <c r="AS465" s="188"/>
      <c r="AT465" s="188"/>
      <c r="AU465" s="188"/>
      <c r="AV465" s="188"/>
      <c r="AW465" s="188"/>
      <c r="AX465" s="188"/>
      <c r="AY465" s="188"/>
      <c r="AZ465" s="188"/>
      <c r="BA465" s="188"/>
      <c r="BB465" s="188"/>
      <c r="BC465" s="188"/>
    </row>
    <row r="466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  <c r="AP466" s="188"/>
      <c r="AQ466" s="188"/>
      <c r="AR466" s="188"/>
      <c r="AS466" s="188"/>
      <c r="AT466" s="188"/>
      <c r="AU466" s="188"/>
      <c r="AV466" s="188"/>
      <c r="AW466" s="188"/>
      <c r="AX466" s="188"/>
      <c r="AY466" s="188"/>
      <c r="AZ466" s="188"/>
      <c r="BA466" s="188"/>
      <c r="BB466" s="188"/>
      <c r="BC466" s="188"/>
    </row>
    <row r="467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  <c r="AP467" s="188"/>
      <c r="AQ467" s="188"/>
      <c r="AR467" s="188"/>
      <c r="AS467" s="188"/>
      <c r="AT467" s="188"/>
      <c r="AU467" s="188"/>
      <c r="AV467" s="188"/>
      <c r="AW467" s="188"/>
      <c r="AX467" s="188"/>
      <c r="AY467" s="188"/>
      <c r="AZ467" s="188"/>
      <c r="BA467" s="188"/>
      <c r="BB467" s="188"/>
      <c r="BC467" s="188"/>
    </row>
    <row r="468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  <c r="AP468" s="188"/>
      <c r="AQ468" s="188"/>
      <c r="AR468" s="188"/>
      <c r="AS468" s="188"/>
      <c r="AT468" s="188"/>
      <c r="AU468" s="188"/>
      <c r="AV468" s="188"/>
      <c r="AW468" s="188"/>
      <c r="AX468" s="188"/>
      <c r="AY468" s="188"/>
      <c r="AZ468" s="188"/>
      <c r="BA468" s="188"/>
      <c r="BB468" s="188"/>
      <c r="BC468" s="188"/>
    </row>
    <row r="469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  <c r="AP469" s="188"/>
      <c r="AQ469" s="188"/>
      <c r="AR469" s="188"/>
      <c r="AS469" s="188"/>
      <c r="AT469" s="188"/>
      <c r="AU469" s="188"/>
      <c r="AV469" s="188"/>
      <c r="AW469" s="188"/>
      <c r="AX469" s="188"/>
      <c r="AY469" s="188"/>
      <c r="AZ469" s="188"/>
      <c r="BA469" s="188"/>
      <c r="BB469" s="188"/>
      <c r="BC469" s="188"/>
    </row>
    <row r="470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  <c r="AP470" s="188"/>
      <c r="AQ470" s="188"/>
      <c r="AR470" s="188"/>
      <c r="AS470" s="188"/>
      <c r="AT470" s="188"/>
      <c r="AU470" s="188"/>
      <c r="AV470" s="188"/>
      <c r="AW470" s="188"/>
      <c r="AX470" s="188"/>
      <c r="AY470" s="188"/>
      <c r="AZ470" s="188"/>
      <c r="BA470" s="188"/>
      <c r="BB470" s="188"/>
      <c r="BC470" s="188"/>
    </row>
    <row r="47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  <c r="AP471" s="188"/>
      <c r="AQ471" s="188"/>
      <c r="AR471" s="188"/>
      <c r="AS471" s="188"/>
      <c r="AT471" s="188"/>
      <c r="AU471" s="188"/>
      <c r="AV471" s="188"/>
      <c r="AW471" s="188"/>
      <c r="AX471" s="188"/>
      <c r="AY471" s="188"/>
      <c r="AZ471" s="188"/>
      <c r="BA471" s="188"/>
      <c r="BB471" s="188"/>
      <c r="BC471" s="188"/>
    </row>
    <row r="472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  <c r="AR472" s="188"/>
      <c r="AS472" s="188"/>
      <c r="AT472" s="188"/>
      <c r="AU472" s="188"/>
      <c r="AV472" s="188"/>
      <c r="AW472" s="188"/>
      <c r="AX472" s="188"/>
      <c r="AY472" s="188"/>
      <c r="AZ472" s="188"/>
      <c r="BA472" s="188"/>
      <c r="BB472" s="188"/>
      <c r="BC472" s="188"/>
    </row>
    <row r="473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  <c r="AP473" s="188"/>
      <c r="AQ473" s="188"/>
      <c r="AR473" s="188"/>
      <c r="AS473" s="188"/>
      <c r="AT473" s="188"/>
      <c r="AU473" s="188"/>
      <c r="AV473" s="188"/>
      <c r="AW473" s="188"/>
      <c r="AX473" s="188"/>
      <c r="AY473" s="188"/>
      <c r="AZ473" s="188"/>
      <c r="BA473" s="188"/>
      <c r="BB473" s="188"/>
      <c r="BC473" s="188"/>
    </row>
    <row r="474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  <c r="AP474" s="188"/>
      <c r="AQ474" s="188"/>
      <c r="AR474" s="188"/>
      <c r="AS474" s="188"/>
      <c r="AT474" s="188"/>
      <c r="AU474" s="188"/>
      <c r="AV474" s="188"/>
      <c r="AW474" s="188"/>
      <c r="AX474" s="188"/>
      <c r="AY474" s="188"/>
      <c r="AZ474" s="188"/>
      <c r="BA474" s="188"/>
      <c r="BB474" s="188"/>
      <c r="BC474" s="188"/>
    </row>
    <row r="475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  <c r="AP475" s="188"/>
      <c r="AQ475" s="188"/>
      <c r="AR475" s="188"/>
      <c r="AS475" s="188"/>
      <c r="AT475" s="188"/>
      <c r="AU475" s="188"/>
      <c r="AV475" s="188"/>
      <c r="AW475" s="188"/>
      <c r="AX475" s="188"/>
      <c r="AY475" s="188"/>
      <c r="AZ475" s="188"/>
      <c r="BA475" s="188"/>
      <c r="BB475" s="188"/>
      <c r="BC475" s="188"/>
    </row>
    <row r="476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  <c r="AP476" s="188"/>
      <c r="AQ476" s="188"/>
      <c r="AR476" s="188"/>
      <c r="AS476" s="188"/>
      <c r="AT476" s="188"/>
      <c r="AU476" s="188"/>
      <c r="AV476" s="188"/>
      <c r="AW476" s="188"/>
      <c r="AX476" s="188"/>
      <c r="AY476" s="188"/>
      <c r="AZ476" s="188"/>
      <c r="BA476" s="188"/>
      <c r="BB476" s="188"/>
      <c r="BC476" s="188"/>
    </row>
    <row r="477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  <c r="AP477" s="188"/>
      <c r="AQ477" s="188"/>
      <c r="AR477" s="188"/>
      <c r="AS477" s="188"/>
      <c r="AT477" s="188"/>
      <c r="AU477" s="188"/>
      <c r="AV477" s="188"/>
      <c r="AW477" s="188"/>
      <c r="AX477" s="188"/>
      <c r="AY477" s="188"/>
      <c r="AZ477" s="188"/>
      <c r="BA477" s="188"/>
      <c r="BB477" s="188"/>
      <c r="BC477" s="188"/>
    </row>
    <row r="478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  <c r="AP478" s="188"/>
      <c r="AQ478" s="188"/>
      <c r="AR478" s="188"/>
      <c r="AS478" s="188"/>
      <c r="AT478" s="188"/>
      <c r="AU478" s="188"/>
      <c r="AV478" s="188"/>
      <c r="AW478" s="188"/>
      <c r="AX478" s="188"/>
      <c r="AY478" s="188"/>
      <c r="AZ478" s="188"/>
      <c r="BA478" s="188"/>
      <c r="BB478" s="188"/>
      <c r="BC478" s="188"/>
    </row>
    <row r="479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  <c r="AP479" s="188"/>
      <c r="AQ479" s="188"/>
      <c r="AR479" s="188"/>
      <c r="AS479" s="188"/>
      <c r="AT479" s="188"/>
      <c r="AU479" s="188"/>
      <c r="AV479" s="188"/>
      <c r="AW479" s="188"/>
      <c r="AX479" s="188"/>
      <c r="AY479" s="188"/>
      <c r="AZ479" s="188"/>
      <c r="BA479" s="188"/>
      <c r="BB479" s="188"/>
      <c r="BC479" s="188"/>
    </row>
    <row r="480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  <c r="AP480" s="188"/>
      <c r="AQ480" s="188"/>
      <c r="AR480" s="188"/>
      <c r="AS480" s="188"/>
      <c r="AT480" s="188"/>
      <c r="AU480" s="188"/>
      <c r="AV480" s="188"/>
      <c r="AW480" s="188"/>
      <c r="AX480" s="188"/>
      <c r="AY480" s="188"/>
      <c r="AZ480" s="188"/>
      <c r="BA480" s="188"/>
      <c r="BB480" s="188"/>
      <c r="BC480" s="188"/>
    </row>
    <row r="48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  <c r="AP481" s="188"/>
      <c r="AQ481" s="188"/>
      <c r="AR481" s="188"/>
      <c r="AS481" s="188"/>
      <c r="AT481" s="188"/>
      <c r="AU481" s="188"/>
      <c r="AV481" s="188"/>
      <c r="AW481" s="188"/>
      <c r="AX481" s="188"/>
      <c r="AY481" s="188"/>
      <c r="AZ481" s="188"/>
      <c r="BA481" s="188"/>
      <c r="BB481" s="188"/>
      <c r="BC481" s="188"/>
    </row>
    <row r="482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  <c r="AP482" s="188"/>
      <c r="AQ482" s="188"/>
      <c r="AR482" s="188"/>
      <c r="AS482" s="188"/>
      <c r="AT482" s="188"/>
      <c r="AU482" s="188"/>
      <c r="AV482" s="188"/>
      <c r="AW482" s="188"/>
      <c r="AX482" s="188"/>
      <c r="AY482" s="188"/>
      <c r="AZ482" s="188"/>
      <c r="BA482" s="188"/>
      <c r="BB482" s="188"/>
      <c r="BC482" s="188"/>
    </row>
    <row r="483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  <c r="AP483" s="188"/>
      <c r="AQ483" s="188"/>
      <c r="AR483" s="188"/>
      <c r="AS483" s="188"/>
      <c r="AT483" s="188"/>
      <c r="AU483" s="188"/>
      <c r="AV483" s="188"/>
      <c r="AW483" s="188"/>
      <c r="AX483" s="188"/>
      <c r="AY483" s="188"/>
      <c r="AZ483" s="188"/>
      <c r="BA483" s="188"/>
      <c r="BB483" s="188"/>
      <c r="BC483" s="188"/>
    </row>
    <row r="484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  <c r="AP484" s="188"/>
      <c r="AQ484" s="188"/>
      <c r="AR484" s="188"/>
      <c r="AS484" s="188"/>
      <c r="AT484" s="188"/>
      <c r="AU484" s="188"/>
      <c r="AV484" s="188"/>
      <c r="AW484" s="188"/>
      <c r="AX484" s="188"/>
      <c r="AY484" s="188"/>
      <c r="AZ484" s="188"/>
      <c r="BA484" s="188"/>
      <c r="BB484" s="188"/>
      <c r="BC484" s="188"/>
    </row>
    <row r="485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  <c r="AP485" s="188"/>
      <c r="AQ485" s="188"/>
      <c r="AR485" s="188"/>
      <c r="AS485" s="188"/>
      <c r="AT485" s="188"/>
      <c r="AU485" s="188"/>
      <c r="AV485" s="188"/>
      <c r="AW485" s="188"/>
      <c r="AX485" s="188"/>
      <c r="AY485" s="188"/>
      <c r="AZ485" s="188"/>
      <c r="BA485" s="188"/>
      <c r="BB485" s="188"/>
      <c r="BC485" s="188"/>
    </row>
    <row r="486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  <c r="AP486" s="188"/>
      <c r="AQ486" s="188"/>
      <c r="AR486" s="188"/>
      <c r="AS486" s="188"/>
      <c r="AT486" s="188"/>
      <c r="AU486" s="188"/>
      <c r="AV486" s="188"/>
      <c r="AW486" s="188"/>
      <c r="AX486" s="188"/>
      <c r="AY486" s="188"/>
      <c r="AZ486" s="188"/>
      <c r="BA486" s="188"/>
      <c r="BB486" s="188"/>
      <c r="BC486" s="188"/>
    </row>
    <row r="487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  <c r="AP487" s="188"/>
      <c r="AQ487" s="188"/>
      <c r="AR487" s="188"/>
      <c r="AS487" s="188"/>
      <c r="AT487" s="188"/>
      <c r="AU487" s="188"/>
      <c r="AV487" s="188"/>
      <c r="AW487" s="188"/>
      <c r="AX487" s="188"/>
      <c r="AY487" s="188"/>
      <c r="AZ487" s="188"/>
      <c r="BA487" s="188"/>
      <c r="BB487" s="188"/>
      <c r="BC487" s="188"/>
    </row>
    <row r="488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  <c r="AP488" s="188"/>
      <c r="AQ488" s="188"/>
      <c r="AR488" s="188"/>
      <c r="AS488" s="188"/>
      <c r="AT488" s="188"/>
      <c r="AU488" s="188"/>
      <c r="AV488" s="188"/>
      <c r="AW488" s="188"/>
      <c r="AX488" s="188"/>
      <c r="AY488" s="188"/>
      <c r="AZ488" s="188"/>
      <c r="BA488" s="188"/>
      <c r="BB488" s="188"/>
      <c r="BC488" s="188"/>
    </row>
    <row r="489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  <c r="AP489" s="188"/>
      <c r="AQ489" s="188"/>
      <c r="AR489" s="188"/>
      <c r="AS489" s="188"/>
      <c r="AT489" s="188"/>
      <c r="AU489" s="188"/>
      <c r="AV489" s="188"/>
      <c r="AW489" s="188"/>
      <c r="AX489" s="188"/>
      <c r="AY489" s="188"/>
      <c r="AZ489" s="188"/>
      <c r="BA489" s="188"/>
      <c r="BB489" s="188"/>
      <c r="BC489" s="188"/>
    </row>
    <row r="490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  <c r="AR490" s="188"/>
      <c r="AS490" s="188"/>
      <c r="AT490" s="188"/>
      <c r="AU490" s="188"/>
      <c r="AV490" s="188"/>
      <c r="AW490" s="188"/>
      <c r="AX490" s="188"/>
      <c r="AY490" s="188"/>
      <c r="AZ490" s="188"/>
      <c r="BA490" s="188"/>
      <c r="BB490" s="188"/>
      <c r="BC490" s="188"/>
    </row>
    <row r="49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  <c r="AR491" s="188"/>
      <c r="AS491" s="188"/>
      <c r="AT491" s="188"/>
      <c r="AU491" s="188"/>
      <c r="AV491" s="188"/>
      <c r="AW491" s="188"/>
      <c r="AX491" s="188"/>
      <c r="AY491" s="188"/>
      <c r="AZ491" s="188"/>
      <c r="BA491" s="188"/>
      <c r="BB491" s="188"/>
      <c r="BC491" s="188"/>
    </row>
    <row r="492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  <c r="AP492" s="188"/>
      <c r="AQ492" s="188"/>
      <c r="AR492" s="188"/>
      <c r="AS492" s="188"/>
      <c r="AT492" s="188"/>
      <c r="AU492" s="188"/>
      <c r="AV492" s="188"/>
      <c r="AW492" s="188"/>
      <c r="AX492" s="188"/>
      <c r="AY492" s="188"/>
      <c r="AZ492" s="188"/>
      <c r="BA492" s="188"/>
      <c r="BB492" s="188"/>
      <c r="BC492" s="188"/>
    </row>
    <row r="493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  <c r="AP493" s="188"/>
      <c r="AQ493" s="188"/>
      <c r="AR493" s="188"/>
      <c r="AS493" s="188"/>
      <c r="AT493" s="188"/>
      <c r="AU493" s="188"/>
      <c r="AV493" s="188"/>
      <c r="AW493" s="188"/>
      <c r="AX493" s="188"/>
      <c r="AY493" s="188"/>
      <c r="AZ493" s="188"/>
      <c r="BA493" s="188"/>
      <c r="BB493" s="188"/>
      <c r="BC493" s="188"/>
    </row>
    <row r="494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  <c r="AP494" s="188"/>
      <c r="AQ494" s="188"/>
      <c r="AR494" s="188"/>
      <c r="AS494" s="188"/>
      <c r="AT494" s="188"/>
      <c r="AU494" s="188"/>
      <c r="AV494" s="188"/>
      <c r="AW494" s="188"/>
      <c r="AX494" s="188"/>
      <c r="AY494" s="188"/>
      <c r="AZ494" s="188"/>
      <c r="BA494" s="188"/>
      <c r="BB494" s="188"/>
      <c r="BC494" s="188"/>
    </row>
    <row r="495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  <c r="AP495" s="188"/>
      <c r="AQ495" s="188"/>
      <c r="AR495" s="188"/>
      <c r="AS495" s="188"/>
      <c r="AT495" s="188"/>
      <c r="AU495" s="188"/>
      <c r="AV495" s="188"/>
      <c r="AW495" s="188"/>
      <c r="AX495" s="188"/>
      <c r="AY495" s="188"/>
      <c r="AZ495" s="188"/>
      <c r="BA495" s="188"/>
      <c r="BB495" s="188"/>
      <c r="BC495" s="188"/>
    </row>
    <row r="496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  <c r="AP496" s="188"/>
      <c r="AQ496" s="188"/>
      <c r="AR496" s="188"/>
      <c r="AS496" s="188"/>
      <c r="AT496" s="188"/>
      <c r="AU496" s="188"/>
      <c r="AV496" s="188"/>
      <c r="AW496" s="188"/>
      <c r="AX496" s="188"/>
      <c r="AY496" s="188"/>
      <c r="AZ496" s="188"/>
      <c r="BA496" s="188"/>
      <c r="BB496" s="188"/>
      <c r="BC496" s="188"/>
    </row>
    <row r="497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  <c r="AP497" s="188"/>
      <c r="AQ497" s="188"/>
      <c r="AR497" s="188"/>
      <c r="AS497" s="188"/>
      <c r="AT497" s="188"/>
      <c r="AU497" s="188"/>
      <c r="AV497" s="188"/>
      <c r="AW497" s="188"/>
      <c r="AX497" s="188"/>
      <c r="AY497" s="188"/>
      <c r="AZ497" s="188"/>
      <c r="BA497" s="188"/>
      <c r="BB497" s="188"/>
      <c r="BC497" s="188"/>
    </row>
    <row r="498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  <c r="AP498" s="188"/>
      <c r="AQ498" s="188"/>
      <c r="AR498" s="188"/>
      <c r="AS498" s="188"/>
      <c r="AT498" s="188"/>
      <c r="AU498" s="188"/>
      <c r="AV498" s="188"/>
      <c r="AW498" s="188"/>
      <c r="AX498" s="188"/>
      <c r="AY498" s="188"/>
      <c r="AZ498" s="188"/>
      <c r="BA498" s="188"/>
      <c r="BB498" s="188"/>
      <c r="BC498" s="188"/>
    </row>
    <row r="499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  <c r="AP499" s="188"/>
      <c r="AQ499" s="188"/>
      <c r="AR499" s="188"/>
      <c r="AS499" s="188"/>
      <c r="AT499" s="188"/>
      <c r="AU499" s="188"/>
      <c r="AV499" s="188"/>
      <c r="AW499" s="188"/>
      <c r="AX499" s="188"/>
      <c r="AY499" s="188"/>
      <c r="AZ499" s="188"/>
      <c r="BA499" s="188"/>
      <c r="BB499" s="188"/>
      <c r="BC499" s="188"/>
    </row>
    <row r="500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  <c r="AP500" s="188"/>
      <c r="AQ500" s="188"/>
      <c r="AR500" s="188"/>
      <c r="AS500" s="188"/>
      <c r="AT500" s="188"/>
      <c r="AU500" s="188"/>
      <c r="AV500" s="188"/>
      <c r="AW500" s="188"/>
      <c r="AX500" s="188"/>
      <c r="AY500" s="188"/>
      <c r="AZ500" s="188"/>
      <c r="BA500" s="188"/>
      <c r="BB500" s="188"/>
      <c r="BC500" s="188"/>
    </row>
    <row r="50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  <c r="AP501" s="188"/>
      <c r="AQ501" s="188"/>
      <c r="AR501" s="188"/>
      <c r="AS501" s="188"/>
      <c r="AT501" s="188"/>
      <c r="AU501" s="188"/>
      <c r="AV501" s="188"/>
      <c r="AW501" s="188"/>
      <c r="AX501" s="188"/>
      <c r="AY501" s="188"/>
      <c r="AZ501" s="188"/>
      <c r="BA501" s="188"/>
      <c r="BB501" s="188"/>
      <c r="BC501" s="188"/>
    </row>
    <row r="502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  <c r="AR502" s="188"/>
      <c r="AS502" s="188"/>
      <c r="AT502" s="188"/>
      <c r="AU502" s="188"/>
      <c r="AV502" s="188"/>
      <c r="AW502" s="188"/>
      <c r="AX502" s="188"/>
      <c r="AY502" s="188"/>
      <c r="AZ502" s="188"/>
      <c r="BA502" s="188"/>
      <c r="BB502" s="188"/>
      <c r="BC502" s="188"/>
    </row>
    <row r="503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  <c r="AP503" s="188"/>
      <c r="AQ503" s="188"/>
      <c r="AR503" s="188"/>
      <c r="AS503" s="188"/>
      <c r="AT503" s="188"/>
      <c r="AU503" s="188"/>
      <c r="AV503" s="188"/>
      <c r="AW503" s="188"/>
      <c r="AX503" s="188"/>
      <c r="AY503" s="188"/>
      <c r="AZ503" s="188"/>
      <c r="BA503" s="188"/>
      <c r="BB503" s="188"/>
      <c r="BC503" s="188"/>
    </row>
    <row r="504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  <c r="AP504" s="188"/>
      <c r="AQ504" s="188"/>
      <c r="AR504" s="188"/>
      <c r="AS504" s="188"/>
      <c r="AT504" s="188"/>
      <c r="AU504" s="188"/>
      <c r="AV504" s="188"/>
      <c r="AW504" s="188"/>
      <c r="AX504" s="188"/>
      <c r="AY504" s="188"/>
      <c r="AZ504" s="188"/>
      <c r="BA504" s="188"/>
      <c r="BB504" s="188"/>
      <c r="BC504" s="188"/>
    </row>
    <row r="505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  <c r="AP505" s="188"/>
      <c r="AQ505" s="188"/>
      <c r="AR505" s="188"/>
      <c r="AS505" s="188"/>
      <c r="AT505" s="188"/>
      <c r="AU505" s="188"/>
      <c r="AV505" s="188"/>
      <c r="AW505" s="188"/>
      <c r="AX505" s="188"/>
      <c r="AY505" s="188"/>
      <c r="AZ505" s="188"/>
      <c r="BA505" s="188"/>
      <c r="BB505" s="188"/>
      <c r="BC505" s="188"/>
    </row>
    <row r="506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8"/>
      <c r="AZ506" s="188"/>
      <c r="BA506" s="188"/>
      <c r="BB506" s="188"/>
      <c r="BC506" s="188"/>
    </row>
    <row r="507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8"/>
      <c r="AZ507" s="188"/>
      <c r="BA507" s="188"/>
      <c r="BB507" s="188"/>
      <c r="BC507" s="188"/>
    </row>
    <row r="508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8"/>
      <c r="AZ508" s="188"/>
      <c r="BA508" s="188"/>
      <c r="BB508" s="188"/>
      <c r="BC508" s="188"/>
    </row>
    <row r="509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8"/>
      <c r="AZ509" s="188"/>
      <c r="BA509" s="188"/>
      <c r="BB509" s="188"/>
      <c r="BC509" s="188"/>
    </row>
    <row r="510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8"/>
      <c r="AZ510" s="188"/>
      <c r="BA510" s="188"/>
      <c r="BB510" s="188"/>
      <c r="BC510" s="188"/>
    </row>
    <row r="51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8"/>
      <c r="AZ511" s="188"/>
      <c r="BA511" s="188"/>
      <c r="BB511" s="188"/>
      <c r="BC511" s="188"/>
    </row>
    <row r="512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8"/>
      <c r="AZ512" s="188"/>
      <c r="BA512" s="188"/>
      <c r="BB512" s="188"/>
      <c r="BC512" s="188"/>
    </row>
    <row r="513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8"/>
      <c r="AZ513" s="188"/>
      <c r="BA513" s="188"/>
      <c r="BB513" s="188"/>
      <c r="BC513" s="188"/>
    </row>
    <row r="514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8"/>
      <c r="AZ514" s="188"/>
      <c r="BA514" s="188"/>
      <c r="BB514" s="188"/>
      <c r="BC514" s="188"/>
    </row>
    <row r="515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8"/>
      <c r="AZ515" s="188"/>
      <c r="BA515" s="188"/>
      <c r="BB515" s="188"/>
      <c r="BC515" s="188"/>
    </row>
    <row r="516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8"/>
      <c r="AZ516" s="188"/>
      <c r="BA516" s="188"/>
      <c r="BB516" s="188"/>
      <c r="BC516" s="188"/>
    </row>
    <row r="517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8"/>
      <c r="AZ517" s="188"/>
      <c r="BA517" s="188"/>
      <c r="BB517" s="188"/>
      <c r="BC517" s="188"/>
    </row>
    <row r="518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8"/>
      <c r="AZ518" s="188"/>
      <c r="BA518" s="188"/>
      <c r="BB518" s="188"/>
      <c r="BC518" s="188"/>
    </row>
    <row r="519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8"/>
      <c r="AZ519" s="188"/>
      <c r="BA519" s="188"/>
      <c r="BB519" s="188"/>
      <c r="BC519" s="188"/>
    </row>
    <row r="520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8"/>
      <c r="AZ520" s="188"/>
      <c r="BA520" s="188"/>
      <c r="BB520" s="188"/>
      <c r="BC520" s="188"/>
    </row>
    <row r="52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8"/>
      <c r="AZ521" s="188"/>
      <c r="BA521" s="188"/>
      <c r="BB521" s="188"/>
      <c r="BC521" s="188"/>
    </row>
    <row r="522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8"/>
      <c r="AZ522" s="188"/>
      <c r="BA522" s="188"/>
      <c r="BB522" s="188"/>
      <c r="BC522" s="188"/>
    </row>
    <row r="523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8"/>
      <c r="AZ523" s="188"/>
      <c r="BA523" s="188"/>
      <c r="BB523" s="188"/>
      <c r="BC523" s="188"/>
    </row>
    <row r="524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8"/>
      <c r="AZ524" s="188"/>
      <c r="BA524" s="188"/>
      <c r="BB524" s="188"/>
      <c r="BC524" s="188"/>
    </row>
    <row r="525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8"/>
      <c r="AZ525" s="188"/>
      <c r="BA525" s="188"/>
      <c r="BB525" s="188"/>
      <c r="BC525" s="188"/>
    </row>
    <row r="526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8"/>
      <c r="AZ526" s="188"/>
      <c r="BA526" s="188"/>
      <c r="BB526" s="188"/>
      <c r="BC526" s="188"/>
    </row>
    <row r="527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8"/>
      <c r="AZ527" s="188"/>
      <c r="BA527" s="188"/>
      <c r="BB527" s="188"/>
      <c r="BC527" s="188"/>
    </row>
    <row r="528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8"/>
      <c r="AZ528" s="188"/>
      <c r="BA528" s="188"/>
      <c r="BB528" s="188"/>
      <c r="BC528" s="188"/>
    </row>
    <row r="529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8"/>
      <c r="AZ529" s="188"/>
      <c r="BA529" s="188"/>
      <c r="BB529" s="188"/>
      <c r="BC529" s="188"/>
    </row>
    <row r="530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8"/>
      <c r="AZ530" s="188"/>
      <c r="BA530" s="188"/>
      <c r="BB530" s="188"/>
      <c r="BC530" s="188"/>
    </row>
    <row r="53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8"/>
      <c r="AZ531" s="188"/>
      <c r="BA531" s="188"/>
      <c r="BB531" s="188"/>
      <c r="BC531" s="188"/>
    </row>
    <row r="532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8"/>
      <c r="AZ532" s="188"/>
      <c r="BA532" s="188"/>
      <c r="BB532" s="188"/>
      <c r="BC532" s="188"/>
    </row>
    <row r="533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8"/>
      <c r="AZ533" s="188"/>
      <c r="BA533" s="188"/>
      <c r="BB533" s="188"/>
      <c r="BC533" s="188"/>
    </row>
    <row r="534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8"/>
      <c r="AZ534" s="188"/>
      <c r="BA534" s="188"/>
      <c r="BB534" s="188"/>
      <c r="BC534" s="188"/>
    </row>
    <row r="53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8"/>
      <c r="AZ535" s="188"/>
      <c r="BA535" s="188"/>
      <c r="BB535" s="188"/>
      <c r="BC535" s="188"/>
    </row>
    <row r="536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8"/>
      <c r="AZ536" s="188"/>
      <c r="BA536" s="188"/>
      <c r="BB536" s="188"/>
      <c r="BC536" s="188"/>
    </row>
    <row r="537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8"/>
      <c r="AZ537" s="188"/>
      <c r="BA537" s="188"/>
      <c r="BB537" s="188"/>
      <c r="BC537" s="188"/>
    </row>
    <row r="538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8"/>
      <c r="AZ538" s="188"/>
      <c r="BA538" s="188"/>
      <c r="BB538" s="188"/>
      <c r="BC538" s="188"/>
    </row>
    <row r="539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8"/>
      <c r="AZ539" s="188"/>
      <c r="BA539" s="188"/>
      <c r="BB539" s="188"/>
      <c r="BC539" s="188"/>
    </row>
    <row r="540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8"/>
      <c r="AZ540" s="188"/>
      <c r="BA540" s="188"/>
      <c r="BB540" s="188"/>
      <c r="BC540" s="188"/>
    </row>
    <row r="54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8"/>
      <c r="AZ541" s="188"/>
      <c r="BA541" s="188"/>
      <c r="BB541" s="188"/>
      <c r="BC541" s="188"/>
    </row>
    <row r="542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8"/>
      <c r="AZ542" s="188"/>
      <c r="BA542" s="188"/>
      <c r="BB542" s="188"/>
      <c r="BC542" s="188"/>
    </row>
    <row r="543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8"/>
      <c r="AZ543" s="188"/>
      <c r="BA543" s="188"/>
      <c r="BB543" s="188"/>
      <c r="BC543" s="188"/>
    </row>
    <row r="544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8"/>
      <c r="AZ544" s="188"/>
      <c r="BA544" s="188"/>
      <c r="BB544" s="188"/>
      <c r="BC544" s="188"/>
    </row>
    <row r="54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8"/>
      <c r="AZ545" s="188"/>
      <c r="BA545" s="188"/>
      <c r="BB545" s="188"/>
      <c r="BC545" s="188"/>
    </row>
    <row r="546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8"/>
      <c r="AZ546" s="188"/>
      <c r="BA546" s="188"/>
      <c r="BB546" s="188"/>
      <c r="BC546" s="188"/>
    </row>
    <row r="547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8"/>
      <c r="AZ547" s="188"/>
      <c r="BA547" s="188"/>
      <c r="BB547" s="188"/>
      <c r="BC547" s="188"/>
    </row>
    <row r="548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8"/>
      <c r="AZ548" s="188"/>
      <c r="BA548" s="188"/>
      <c r="BB548" s="188"/>
      <c r="BC548" s="188"/>
    </row>
    <row r="549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8"/>
      <c r="AZ549" s="188"/>
      <c r="BA549" s="188"/>
      <c r="BB549" s="188"/>
      <c r="BC549" s="188"/>
    </row>
    <row r="550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8"/>
      <c r="AZ550" s="188"/>
      <c r="BA550" s="188"/>
      <c r="BB550" s="188"/>
      <c r="BC550" s="188"/>
    </row>
    <row r="55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8"/>
      <c r="AZ551" s="188"/>
      <c r="BA551" s="188"/>
      <c r="BB551" s="188"/>
      <c r="BC551" s="188"/>
    </row>
    <row r="552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8"/>
      <c r="AZ552" s="188"/>
      <c r="BA552" s="188"/>
      <c r="BB552" s="188"/>
      <c r="BC552" s="188"/>
    </row>
    <row r="553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8"/>
      <c r="AZ553" s="188"/>
      <c r="BA553" s="188"/>
      <c r="BB553" s="188"/>
      <c r="BC553" s="188"/>
    </row>
    <row r="554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8"/>
      <c r="AZ554" s="188"/>
      <c r="BA554" s="188"/>
      <c r="BB554" s="188"/>
      <c r="BC554" s="188"/>
    </row>
    <row r="55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8"/>
      <c r="AZ555" s="188"/>
      <c r="BA555" s="188"/>
      <c r="BB555" s="188"/>
      <c r="BC555" s="188"/>
    </row>
    <row r="556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8"/>
      <c r="AZ556" s="188"/>
      <c r="BA556" s="188"/>
      <c r="BB556" s="188"/>
      <c r="BC556" s="188"/>
    </row>
    <row r="557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8"/>
      <c r="AZ557" s="188"/>
      <c r="BA557" s="188"/>
      <c r="BB557" s="188"/>
      <c r="BC557" s="188"/>
    </row>
    <row r="558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8"/>
      <c r="AZ558" s="188"/>
      <c r="BA558" s="188"/>
      <c r="BB558" s="188"/>
      <c r="BC558" s="188"/>
    </row>
    <row r="559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8"/>
      <c r="AZ559" s="188"/>
      <c r="BA559" s="188"/>
      <c r="BB559" s="188"/>
      <c r="BC559" s="188"/>
    </row>
    <row r="560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8"/>
      <c r="AZ560" s="188"/>
      <c r="BA560" s="188"/>
      <c r="BB560" s="188"/>
      <c r="BC560" s="188"/>
    </row>
    <row r="56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8"/>
      <c r="AZ561" s="188"/>
      <c r="BA561" s="188"/>
      <c r="BB561" s="188"/>
      <c r="BC561" s="188"/>
    </row>
    <row r="562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8"/>
      <c r="AZ562" s="188"/>
      <c r="BA562" s="188"/>
      <c r="BB562" s="188"/>
      <c r="BC562" s="188"/>
    </row>
    <row r="563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8"/>
      <c r="AZ563" s="188"/>
      <c r="BA563" s="188"/>
      <c r="BB563" s="188"/>
      <c r="BC563" s="188"/>
    </row>
    <row r="564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8"/>
      <c r="AZ564" s="188"/>
      <c r="BA564" s="188"/>
      <c r="BB564" s="188"/>
      <c r="BC564" s="188"/>
    </row>
    <row r="565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8"/>
      <c r="AZ565" s="188"/>
      <c r="BA565" s="188"/>
      <c r="BB565" s="188"/>
      <c r="BC565" s="188"/>
    </row>
    <row r="566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8"/>
      <c r="AZ566" s="188"/>
      <c r="BA566" s="188"/>
      <c r="BB566" s="188"/>
      <c r="BC566" s="188"/>
    </row>
    <row r="567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8"/>
      <c r="AZ567" s="188"/>
      <c r="BA567" s="188"/>
      <c r="BB567" s="188"/>
      <c r="BC567" s="188"/>
    </row>
    <row r="568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8"/>
      <c r="AZ568" s="188"/>
      <c r="BA568" s="188"/>
      <c r="BB568" s="188"/>
      <c r="BC568" s="188"/>
    </row>
    <row r="569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8"/>
      <c r="AZ569" s="188"/>
      <c r="BA569" s="188"/>
      <c r="BB569" s="188"/>
      <c r="BC569" s="188"/>
    </row>
    <row r="570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8"/>
      <c r="AZ570" s="188"/>
      <c r="BA570" s="188"/>
      <c r="BB570" s="188"/>
      <c r="BC570" s="188"/>
    </row>
    <row r="57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8"/>
      <c r="AZ571" s="188"/>
      <c r="BA571" s="188"/>
      <c r="BB571" s="188"/>
      <c r="BC571" s="188"/>
    </row>
    <row r="572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8"/>
      <c r="AZ572" s="188"/>
      <c r="BA572" s="188"/>
      <c r="BB572" s="188"/>
      <c r="BC572" s="188"/>
    </row>
    <row r="573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8"/>
      <c r="AZ573" s="188"/>
      <c r="BA573" s="188"/>
      <c r="BB573" s="188"/>
      <c r="BC573" s="188"/>
    </row>
    <row r="574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8"/>
      <c r="AZ574" s="188"/>
      <c r="BA574" s="188"/>
      <c r="BB574" s="188"/>
      <c r="BC574" s="188"/>
    </row>
    <row r="575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8"/>
      <c r="AZ575" s="188"/>
      <c r="BA575" s="188"/>
      <c r="BB575" s="188"/>
      <c r="BC575" s="188"/>
    </row>
    <row r="576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8"/>
      <c r="AZ576" s="188"/>
      <c r="BA576" s="188"/>
      <c r="BB576" s="188"/>
      <c r="BC576" s="188"/>
    </row>
    <row r="577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8"/>
      <c r="AZ577" s="188"/>
      <c r="BA577" s="188"/>
      <c r="BB577" s="188"/>
      <c r="BC577" s="188"/>
    </row>
    <row r="578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8"/>
      <c r="AZ578" s="188"/>
      <c r="BA578" s="188"/>
      <c r="BB578" s="188"/>
      <c r="BC578" s="188"/>
    </row>
    <row r="579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8"/>
      <c r="AZ579" s="188"/>
      <c r="BA579" s="188"/>
      <c r="BB579" s="188"/>
      <c r="BC579" s="188"/>
    </row>
    <row r="580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8"/>
      <c r="AZ580" s="188"/>
      <c r="BA580" s="188"/>
      <c r="BB580" s="188"/>
      <c r="BC580" s="188"/>
    </row>
    <row r="58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8"/>
      <c r="AZ581" s="188"/>
      <c r="BA581" s="188"/>
      <c r="BB581" s="188"/>
      <c r="BC581" s="188"/>
    </row>
    <row r="582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8"/>
      <c r="AZ582" s="188"/>
      <c r="BA582" s="188"/>
      <c r="BB582" s="188"/>
      <c r="BC582" s="188"/>
    </row>
    <row r="583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8"/>
      <c r="AZ583" s="188"/>
      <c r="BA583" s="188"/>
      <c r="BB583" s="188"/>
      <c r="BC583" s="188"/>
    </row>
    <row r="584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8"/>
      <c r="AZ584" s="188"/>
      <c r="BA584" s="188"/>
      <c r="BB584" s="188"/>
      <c r="BC584" s="188"/>
    </row>
    <row r="585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8"/>
      <c r="AZ585" s="188"/>
      <c r="BA585" s="188"/>
      <c r="BB585" s="188"/>
      <c r="BC585" s="188"/>
    </row>
    <row r="586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8"/>
      <c r="AZ586" s="188"/>
      <c r="BA586" s="188"/>
      <c r="BB586" s="188"/>
      <c r="BC586" s="188"/>
    </row>
    <row r="587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8"/>
      <c r="AZ587" s="188"/>
      <c r="BA587" s="188"/>
      <c r="BB587" s="188"/>
      <c r="BC587" s="188"/>
    </row>
    <row r="588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8"/>
      <c r="AZ588" s="188"/>
      <c r="BA588" s="188"/>
      <c r="BB588" s="188"/>
      <c r="BC588" s="188"/>
    </row>
    <row r="589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8"/>
      <c r="AZ589" s="188"/>
      <c r="BA589" s="188"/>
      <c r="BB589" s="188"/>
      <c r="BC589" s="188"/>
    </row>
    <row r="590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8"/>
      <c r="AZ590" s="188"/>
      <c r="BA590" s="188"/>
      <c r="BB590" s="188"/>
      <c r="BC590" s="188"/>
    </row>
    <row r="59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8"/>
      <c r="AZ591" s="188"/>
      <c r="BA591" s="188"/>
      <c r="BB591" s="188"/>
      <c r="BC591" s="188"/>
    </row>
    <row r="592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8"/>
      <c r="AZ592" s="188"/>
      <c r="BA592" s="188"/>
      <c r="BB592" s="188"/>
      <c r="BC592" s="188"/>
    </row>
    <row r="593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8"/>
      <c r="AZ593" s="188"/>
      <c r="BA593" s="188"/>
      <c r="BB593" s="188"/>
      <c r="BC593" s="188"/>
    </row>
    <row r="594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8"/>
      <c r="AZ594" s="188"/>
      <c r="BA594" s="188"/>
      <c r="BB594" s="188"/>
      <c r="BC594" s="188"/>
    </row>
    <row r="595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8"/>
      <c r="AZ595" s="188"/>
      <c r="BA595" s="188"/>
      <c r="BB595" s="188"/>
      <c r="BC595" s="188"/>
    </row>
    <row r="596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8"/>
      <c r="AZ596" s="188"/>
      <c r="BA596" s="188"/>
      <c r="BB596" s="188"/>
      <c r="BC596" s="188"/>
    </row>
    <row r="597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8"/>
      <c r="AZ597" s="188"/>
      <c r="BA597" s="188"/>
      <c r="BB597" s="188"/>
      <c r="BC597" s="188"/>
    </row>
    <row r="598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8"/>
      <c r="AZ598" s="188"/>
      <c r="BA598" s="188"/>
      <c r="BB598" s="188"/>
      <c r="BC598" s="188"/>
    </row>
    <row r="599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8"/>
      <c r="AZ599" s="188"/>
      <c r="BA599" s="188"/>
      <c r="BB599" s="188"/>
      <c r="BC599" s="188"/>
    </row>
    <row r="600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8"/>
      <c r="AZ600" s="188"/>
      <c r="BA600" s="188"/>
      <c r="BB600" s="188"/>
      <c r="BC600" s="188"/>
    </row>
    <row r="60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8"/>
      <c r="AZ601" s="188"/>
      <c r="BA601" s="188"/>
      <c r="BB601" s="188"/>
      <c r="BC601" s="188"/>
    </row>
    <row r="602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8"/>
      <c r="AZ602" s="188"/>
      <c r="BA602" s="188"/>
      <c r="BB602" s="188"/>
      <c r="BC602" s="188"/>
    </row>
    <row r="603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8"/>
      <c r="AZ603" s="188"/>
      <c r="BA603" s="188"/>
      <c r="BB603" s="188"/>
      <c r="BC603" s="188"/>
    </row>
    <row r="604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8"/>
      <c r="AZ604" s="188"/>
      <c r="BA604" s="188"/>
      <c r="BB604" s="188"/>
      <c r="BC604" s="188"/>
    </row>
    <row r="605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8"/>
      <c r="AZ605" s="188"/>
      <c r="BA605" s="188"/>
      <c r="BB605" s="188"/>
      <c r="BC605" s="188"/>
    </row>
    <row r="606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8"/>
      <c r="AZ606" s="188"/>
      <c r="BA606" s="188"/>
      <c r="BB606" s="188"/>
      <c r="BC606" s="188"/>
    </row>
    <row r="607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8"/>
      <c r="AZ607" s="188"/>
      <c r="BA607" s="188"/>
      <c r="BB607" s="188"/>
      <c r="BC607" s="188"/>
    </row>
    <row r="608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8"/>
      <c r="AZ608" s="188"/>
      <c r="BA608" s="188"/>
      <c r="BB608" s="188"/>
      <c r="BC608" s="188"/>
    </row>
    <row r="609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8"/>
      <c r="AZ609" s="188"/>
      <c r="BA609" s="188"/>
      <c r="BB609" s="188"/>
      <c r="BC609" s="188"/>
    </row>
    <row r="610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8"/>
      <c r="AZ610" s="188"/>
      <c r="BA610" s="188"/>
      <c r="BB610" s="188"/>
      <c r="BC610" s="188"/>
    </row>
    <row r="61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8"/>
      <c r="AZ611" s="188"/>
      <c r="BA611" s="188"/>
      <c r="BB611" s="188"/>
      <c r="BC611" s="188"/>
    </row>
    <row r="612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8"/>
      <c r="AZ612" s="188"/>
      <c r="BA612" s="188"/>
      <c r="BB612" s="188"/>
      <c r="BC612" s="188"/>
    </row>
    <row r="613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8"/>
      <c r="AZ613" s="188"/>
      <c r="BA613" s="188"/>
      <c r="BB613" s="188"/>
      <c r="BC613" s="188"/>
    </row>
    <row r="614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8"/>
      <c r="AZ614" s="188"/>
      <c r="BA614" s="188"/>
      <c r="BB614" s="188"/>
      <c r="BC614" s="188"/>
    </row>
    <row r="615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8"/>
      <c r="AZ615" s="188"/>
      <c r="BA615" s="188"/>
      <c r="BB615" s="188"/>
      <c r="BC615" s="188"/>
    </row>
    <row r="616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8"/>
      <c r="AZ616" s="188"/>
      <c r="BA616" s="188"/>
      <c r="BB616" s="188"/>
      <c r="BC616" s="188"/>
    </row>
    <row r="617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8"/>
      <c r="AZ617" s="188"/>
      <c r="BA617" s="188"/>
      <c r="BB617" s="188"/>
      <c r="BC617" s="188"/>
    </row>
    <row r="618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8"/>
      <c r="AZ618" s="188"/>
      <c r="BA618" s="188"/>
      <c r="BB618" s="188"/>
      <c r="BC618" s="188"/>
    </row>
    <row r="619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8"/>
      <c r="AZ619" s="188"/>
      <c r="BA619" s="188"/>
      <c r="BB619" s="188"/>
      <c r="BC619" s="188"/>
    </row>
    <row r="620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8"/>
      <c r="AZ620" s="188"/>
      <c r="BA620" s="188"/>
      <c r="BB620" s="188"/>
      <c r="BC620" s="188"/>
    </row>
    <row r="62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8"/>
      <c r="AZ621" s="188"/>
      <c r="BA621" s="188"/>
      <c r="BB621" s="188"/>
      <c r="BC621" s="188"/>
    </row>
    <row r="622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8"/>
      <c r="AZ622" s="188"/>
      <c r="BA622" s="188"/>
      <c r="BB622" s="188"/>
      <c r="BC622" s="188"/>
    </row>
    <row r="623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8"/>
      <c r="AZ623" s="188"/>
      <c r="BA623" s="188"/>
      <c r="BB623" s="188"/>
      <c r="BC623" s="188"/>
    </row>
    <row r="624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8"/>
      <c r="AZ624" s="188"/>
      <c r="BA624" s="188"/>
      <c r="BB624" s="188"/>
      <c r="BC624" s="188"/>
    </row>
    <row r="625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8"/>
      <c r="AZ625" s="188"/>
      <c r="BA625" s="188"/>
      <c r="BB625" s="188"/>
      <c r="BC625" s="188"/>
    </row>
    <row r="626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8"/>
      <c r="AZ626" s="188"/>
      <c r="BA626" s="188"/>
      <c r="BB626" s="188"/>
      <c r="BC626" s="188"/>
    </row>
    <row r="627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8"/>
      <c r="AZ627" s="188"/>
      <c r="BA627" s="188"/>
      <c r="BB627" s="188"/>
      <c r="BC627" s="188"/>
    </row>
    <row r="628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8"/>
      <c r="AZ628" s="188"/>
      <c r="BA628" s="188"/>
      <c r="BB628" s="188"/>
      <c r="BC628" s="188"/>
    </row>
    <row r="629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8"/>
      <c r="AZ629" s="188"/>
      <c r="BA629" s="188"/>
      <c r="BB629" s="188"/>
      <c r="BC629" s="188"/>
    </row>
    <row r="630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8"/>
      <c r="AZ630" s="188"/>
      <c r="BA630" s="188"/>
      <c r="BB630" s="188"/>
      <c r="BC630" s="188"/>
    </row>
    <row r="63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8"/>
      <c r="AZ631" s="188"/>
      <c r="BA631" s="188"/>
      <c r="BB631" s="188"/>
      <c r="BC631" s="188"/>
    </row>
    <row r="632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8"/>
      <c r="AZ632" s="188"/>
      <c r="BA632" s="188"/>
      <c r="BB632" s="188"/>
      <c r="BC632" s="188"/>
    </row>
    <row r="633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8"/>
      <c r="AZ633" s="188"/>
      <c r="BA633" s="188"/>
      <c r="BB633" s="188"/>
      <c r="BC633" s="188"/>
    </row>
    <row r="634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8"/>
      <c r="AZ634" s="188"/>
      <c r="BA634" s="188"/>
      <c r="BB634" s="188"/>
      <c r="BC634" s="188"/>
    </row>
    <row r="635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8"/>
      <c r="AZ635" s="188"/>
      <c r="BA635" s="188"/>
      <c r="BB635" s="188"/>
      <c r="BC635" s="188"/>
    </row>
    <row r="636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8"/>
      <c r="AZ636" s="188"/>
      <c r="BA636" s="188"/>
      <c r="BB636" s="188"/>
      <c r="BC636" s="188"/>
    </row>
    <row r="637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8"/>
      <c r="AZ637" s="188"/>
      <c r="BA637" s="188"/>
      <c r="BB637" s="188"/>
      <c r="BC637" s="188"/>
    </row>
    <row r="638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8"/>
      <c r="AZ638" s="188"/>
      <c r="BA638" s="188"/>
      <c r="BB638" s="188"/>
      <c r="BC638" s="188"/>
    </row>
    <row r="639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8"/>
      <c r="AZ639" s="188"/>
      <c r="BA639" s="188"/>
      <c r="BB639" s="188"/>
      <c r="BC639" s="188"/>
    </row>
    <row r="640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8"/>
      <c r="AZ640" s="188"/>
      <c r="BA640" s="188"/>
      <c r="BB640" s="188"/>
      <c r="BC640" s="188"/>
    </row>
    <row r="64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8"/>
      <c r="AZ641" s="188"/>
      <c r="BA641" s="188"/>
      <c r="BB641" s="188"/>
      <c r="BC641" s="188"/>
    </row>
    <row r="642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8"/>
      <c r="AZ642" s="188"/>
      <c r="BA642" s="188"/>
      <c r="BB642" s="188"/>
      <c r="BC642" s="188"/>
    </row>
    <row r="643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8"/>
      <c r="AZ643" s="188"/>
      <c r="BA643" s="188"/>
      <c r="BB643" s="188"/>
      <c r="BC643" s="188"/>
    </row>
    <row r="644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8"/>
      <c r="AZ644" s="188"/>
      <c r="BA644" s="188"/>
      <c r="BB644" s="188"/>
      <c r="BC644" s="188"/>
    </row>
    <row r="645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8"/>
      <c r="AZ645" s="188"/>
      <c r="BA645" s="188"/>
      <c r="BB645" s="188"/>
      <c r="BC645" s="188"/>
    </row>
    <row r="646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8"/>
      <c r="AZ646" s="188"/>
      <c r="BA646" s="188"/>
      <c r="BB646" s="188"/>
      <c r="BC646" s="188"/>
    </row>
    <row r="647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8"/>
      <c r="AZ647" s="188"/>
      <c r="BA647" s="188"/>
      <c r="BB647" s="188"/>
      <c r="BC647" s="188"/>
    </row>
    <row r="648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8"/>
      <c r="AZ648" s="188"/>
      <c r="BA648" s="188"/>
      <c r="BB648" s="188"/>
      <c r="BC648" s="188"/>
    </row>
    <row r="649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8"/>
      <c r="AZ649" s="188"/>
      <c r="BA649" s="188"/>
      <c r="BB649" s="188"/>
      <c r="BC649" s="188"/>
    </row>
    <row r="650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8"/>
      <c r="AZ650" s="188"/>
      <c r="BA650" s="188"/>
      <c r="BB650" s="188"/>
      <c r="BC650" s="188"/>
    </row>
    <row r="65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8"/>
      <c r="AZ651" s="188"/>
      <c r="BA651" s="188"/>
      <c r="BB651" s="188"/>
      <c r="BC651" s="188"/>
    </row>
    <row r="652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8"/>
      <c r="AZ652" s="188"/>
      <c r="BA652" s="188"/>
      <c r="BB652" s="188"/>
      <c r="BC652" s="188"/>
    </row>
    <row r="653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8"/>
      <c r="AZ653" s="188"/>
      <c r="BA653" s="188"/>
      <c r="BB653" s="188"/>
      <c r="BC653" s="188"/>
    </row>
    <row r="654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8"/>
      <c r="AZ654" s="188"/>
      <c r="BA654" s="188"/>
      <c r="BB654" s="188"/>
      <c r="BC654" s="188"/>
    </row>
    <row r="655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8"/>
      <c r="AZ655" s="188"/>
      <c r="BA655" s="188"/>
      <c r="BB655" s="188"/>
      <c r="BC655" s="188"/>
    </row>
    <row r="656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8"/>
      <c r="AZ656" s="188"/>
      <c r="BA656" s="188"/>
      <c r="BB656" s="188"/>
      <c r="BC656" s="188"/>
    </row>
    <row r="657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8"/>
      <c r="AZ657" s="188"/>
      <c r="BA657" s="188"/>
      <c r="BB657" s="188"/>
      <c r="BC657" s="188"/>
    </row>
    <row r="658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8"/>
      <c r="AZ658" s="188"/>
      <c r="BA658" s="188"/>
      <c r="BB658" s="188"/>
      <c r="BC658" s="188"/>
    </row>
    <row r="659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8"/>
      <c r="AZ659" s="188"/>
      <c r="BA659" s="188"/>
      <c r="BB659" s="188"/>
      <c r="BC659" s="188"/>
    </row>
    <row r="660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8"/>
      <c r="AZ660" s="188"/>
      <c r="BA660" s="188"/>
      <c r="BB660" s="188"/>
      <c r="BC660" s="188"/>
    </row>
    <row r="66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8"/>
      <c r="AZ661" s="188"/>
      <c r="BA661" s="188"/>
      <c r="BB661" s="188"/>
      <c r="BC661" s="188"/>
    </row>
    <row r="662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8"/>
      <c r="AZ662" s="188"/>
      <c r="BA662" s="188"/>
      <c r="BB662" s="188"/>
      <c r="BC662" s="188"/>
    </row>
    <row r="663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8"/>
      <c r="AZ663" s="188"/>
      <c r="BA663" s="188"/>
      <c r="BB663" s="188"/>
      <c r="BC663" s="188"/>
    </row>
    <row r="664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8"/>
      <c r="AZ664" s="188"/>
      <c r="BA664" s="188"/>
      <c r="BB664" s="188"/>
      <c r="BC664" s="188"/>
    </row>
    <row r="665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8"/>
      <c r="AZ665" s="188"/>
      <c r="BA665" s="188"/>
      <c r="BB665" s="188"/>
      <c r="BC665" s="188"/>
    </row>
    <row r="666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8"/>
      <c r="AZ666" s="188"/>
      <c r="BA666" s="188"/>
      <c r="BB666" s="188"/>
      <c r="BC666" s="188"/>
    </row>
    <row r="667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8"/>
      <c r="AZ667" s="188"/>
      <c r="BA667" s="188"/>
      <c r="BB667" s="188"/>
      <c r="BC667" s="188"/>
    </row>
    <row r="668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8"/>
      <c r="AZ668" s="188"/>
      <c r="BA668" s="188"/>
      <c r="BB668" s="188"/>
      <c r="BC668" s="188"/>
    </row>
    <row r="669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8"/>
      <c r="AZ669" s="188"/>
      <c r="BA669" s="188"/>
      <c r="BB669" s="188"/>
      <c r="BC669" s="188"/>
    </row>
    <row r="670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8"/>
      <c r="AZ670" s="188"/>
      <c r="BA670" s="188"/>
      <c r="BB670" s="188"/>
      <c r="BC670" s="188"/>
    </row>
    <row r="67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8"/>
      <c r="AZ671" s="188"/>
      <c r="BA671" s="188"/>
      <c r="BB671" s="188"/>
      <c r="BC671" s="188"/>
    </row>
    <row r="672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8"/>
      <c r="AZ672" s="188"/>
      <c r="BA672" s="188"/>
      <c r="BB672" s="188"/>
      <c r="BC672" s="188"/>
    </row>
    <row r="673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8"/>
      <c r="AZ673" s="188"/>
      <c r="BA673" s="188"/>
      <c r="BB673" s="188"/>
      <c r="BC673" s="188"/>
    </row>
    <row r="674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8"/>
      <c r="AZ674" s="188"/>
      <c r="BA674" s="188"/>
      <c r="BB674" s="188"/>
      <c r="BC674" s="188"/>
    </row>
    <row r="675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8"/>
      <c r="AZ675" s="188"/>
      <c r="BA675" s="188"/>
      <c r="BB675" s="188"/>
      <c r="BC675" s="188"/>
    </row>
    <row r="676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8"/>
      <c r="AZ676" s="188"/>
      <c r="BA676" s="188"/>
      <c r="BB676" s="188"/>
      <c r="BC676" s="188"/>
    </row>
    <row r="677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8"/>
      <c r="AZ677" s="188"/>
      <c r="BA677" s="188"/>
      <c r="BB677" s="188"/>
      <c r="BC677" s="188"/>
    </row>
    <row r="678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8"/>
      <c r="AZ678" s="188"/>
      <c r="BA678" s="188"/>
      <c r="BB678" s="188"/>
      <c r="BC678" s="188"/>
    </row>
    <row r="679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8"/>
      <c r="AZ679" s="188"/>
      <c r="BA679" s="188"/>
      <c r="BB679" s="188"/>
      <c r="BC679" s="188"/>
    </row>
    <row r="680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8"/>
      <c r="AZ680" s="188"/>
      <c r="BA680" s="188"/>
      <c r="BB680" s="188"/>
      <c r="BC680" s="188"/>
    </row>
    <row r="68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8"/>
      <c r="AZ681" s="188"/>
      <c r="BA681" s="188"/>
      <c r="BB681" s="188"/>
      <c r="BC681" s="188"/>
    </row>
    <row r="682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8"/>
      <c r="AZ682" s="188"/>
      <c r="BA682" s="188"/>
      <c r="BB682" s="188"/>
      <c r="BC682" s="188"/>
    </row>
    <row r="683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8"/>
      <c r="AZ683" s="188"/>
      <c r="BA683" s="188"/>
      <c r="BB683" s="188"/>
      <c r="BC683" s="188"/>
    </row>
    <row r="684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8"/>
      <c r="AZ684" s="188"/>
      <c r="BA684" s="188"/>
      <c r="BB684" s="188"/>
      <c r="BC684" s="188"/>
    </row>
    <row r="685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8"/>
      <c r="AZ685" s="188"/>
      <c r="BA685" s="188"/>
      <c r="BB685" s="188"/>
      <c r="BC685" s="188"/>
    </row>
    <row r="686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8"/>
      <c r="AZ686" s="188"/>
      <c r="BA686" s="188"/>
      <c r="BB686" s="188"/>
      <c r="BC686" s="188"/>
    </row>
    <row r="687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8"/>
      <c r="AZ687" s="188"/>
      <c r="BA687" s="188"/>
      <c r="BB687" s="188"/>
      <c r="BC687" s="188"/>
    </row>
    <row r="688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8"/>
      <c r="AZ688" s="188"/>
      <c r="BA688" s="188"/>
      <c r="BB688" s="188"/>
      <c r="BC688" s="188"/>
    </row>
    <row r="689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8"/>
      <c r="AZ689" s="188"/>
      <c r="BA689" s="188"/>
      <c r="BB689" s="188"/>
      <c r="BC689" s="188"/>
    </row>
    <row r="690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8"/>
      <c r="AZ690" s="188"/>
      <c r="BA690" s="188"/>
      <c r="BB690" s="188"/>
      <c r="BC690" s="188"/>
    </row>
    <row r="69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8"/>
      <c r="AZ691" s="188"/>
      <c r="BA691" s="188"/>
      <c r="BB691" s="188"/>
      <c r="BC691" s="188"/>
    </row>
    <row r="692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8"/>
      <c r="AZ692" s="188"/>
      <c r="BA692" s="188"/>
      <c r="BB692" s="188"/>
      <c r="BC692" s="188"/>
    </row>
    <row r="693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8"/>
      <c r="AZ693" s="188"/>
      <c r="BA693" s="188"/>
      <c r="BB693" s="188"/>
      <c r="BC693" s="188"/>
    </row>
    <row r="694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8"/>
      <c r="AZ694" s="188"/>
      <c r="BA694" s="188"/>
      <c r="BB694" s="188"/>
      <c r="BC694" s="188"/>
    </row>
    <row r="695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8"/>
      <c r="AZ695" s="188"/>
      <c r="BA695" s="188"/>
      <c r="BB695" s="188"/>
      <c r="BC695" s="188"/>
    </row>
    <row r="696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8"/>
      <c r="AZ696" s="188"/>
      <c r="BA696" s="188"/>
      <c r="BB696" s="188"/>
      <c r="BC696" s="188"/>
    </row>
    <row r="697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8"/>
      <c r="AZ697" s="188"/>
      <c r="BA697" s="188"/>
      <c r="BB697" s="188"/>
      <c r="BC697" s="188"/>
    </row>
    <row r="698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8"/>
      <c r="AZ698" s="188"/>
      <c r="BA698" s="188"/>
      <c r="BB698" s="188"/>
      <c r="BC698" s="188"/>
    </row>
    <row r="699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8"/>
      <c r="AZ699" s="188"/>
      <c r="BA699" s="188"/>
      <c r="BB699" s="188"/>
      <c r="BC699" s="188"/>
    </row>
    <row r="700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8"/>
      <c r="AZ700" s="188"/>
      <c r="BA700" s="188"/>
      <c r="BB700" s="188"/>
      <c r="BC700" s="188"/>
    </row>
    <row r="70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8"/>
      <c r="AZ701" s="188"/>
      <c r="BA701" s="188"/>
      <c r="BB701" s="188"/>
      <c r="BC701" s="188"/>
    </row>
    <row r="702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8"/>
      <c r="AZ702" s="188"/>
      <c r="BA702" s="188"/>
      <c r="BB702" s="188"/>
      <c r="BC702" s="188"/>
    </row>
    <row r="703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8"/>
      <c r="AZ703" s="188"/>
      <c r="BA703" s="188"/>
      <c r="BB703" s="188"/>
      <c r="BC703" s="188"/>
    </row>
    <row r="704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8"/>
      <c r="AZ704" s="188"/>
      <c r="BA704" s="188"/>
      <c r="BB704" s="188"/>
      <c r="BC704" s="188"/>
    </row>
    <row r="705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8"/>
      <c r="AZ705" s="188"/>
      <c r="BA705" s="188"/>
      <c r="BB705" s="188"/>
      <c r="BC705" s="188"/>
    </row>
    <row r="706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  <c r="AP706" s="188"/>
      <c r="AQ706" s="188"/>
      <c r="AR706" s="188"/>
      <c r="AS706" s="188"/>
      <c r="AT706" s="188"/>
      <c r="AU706" s="188"/>
      <c r="AV706" s="188"/>
      <c r="AW706" s="188"/>
      <c r="AX706" s="188"/>
      <c r="AY706" s="188"/>
      <c r="AZ706" s="188"/>
      <c r="BA706" s="188"/>
      <c r="BB706" s="188"/>
      <c r="BC706" s="188"/>
    </row>
    <row r="707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  <c r="AP707" s="188"/>
      <c r="AQ707" s="188"/>
      <c r="AR707" s="188"/>
      <c r="AS707" s="188"/>
      <c r="AT707" s="188"/>
      <c r="AU707" s="188"/>
      <c r="AV707" s="188"/>
      <c r="AW707" s="188"/>
      <c r="AX707" s="188"/>
      <c r="AY707" s="188"/>
      <c r="AZ707" s="188"/>
      <c r="BA707" s="188"/>
      <c r="BB707" s="188"/>
      <c r="BC707" s="188"/>
    </row>
    <row r="708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  <c r="AP708" s="188"/>
      <c r="AQ708" s="188"/>
      <c r="AR708" s="188"/>
      <c r="AS708" s="188"/>
      <c r="AT708" s="188"/>
      <c r="AU708" s="188"/>
      <c r="AV708" s="188"/>
      <c r="AW708" s="188"/>
      <c r="AX708" s="188"/>
      <c r="AY708" s="188"/>
      <c r="AZ708" s="188"/>
      <c r="BA708" s="188"/>
      <c r="BB708" s="188"/>
      <c r="BC708" s="188"/>
    </row>
    <row r="709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  <c r="AP709" s="188"/>
      <c r="AQ709" s="188"/>
      <c r="AR709" s="188"/>
      <c r="AS709" s="188"/>
      <c r="AT709" s="188"/>
      <c r="AU709" s="188"/>
      <c r="AV709" s="188"/>
      <c r="AW709" s="188"/>
      <c r="AX709" s="188"/>
      <c r="AY709" s="188"/>
      <c r="AZ709" s="188"/>
      <c r="BA709" s="188"/>
      <c r="BB709" s="188"/>
      <c r="BC709" s="188"/>
    </row>
    <row r="710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  <c r="AP710" s="188"/>
      <c r="AQ710" s="188"/>
      <c r="AR710" s="188"/>
      <c r="AS710" s="188"/>
      <c r="AT710" s="188"/>
      <c r="AU710" s="188"/>
      <c r="AV710" s="188"/>
      <c r="AW710" s="188"/>
      <c r="AX710" s="188"/>
      <c r="AY710" s="188"/>
      <c r="AZ710" s="188"/>
      <c r="BA710" s="188"/>
      <c r="BB710" s="188"/>
      <c r="BC710" s="188"/>
    </row>
    <row r="71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  <c r="AR711" s="188"/>
      <c r="AS711" s="188"/>
      <c r="AT711" s="188"/>
      <c r="AU711" s="188"/>
      <c r="AV711" s="188"/>
      <c r="AW711" s="188"/>
      <c r="AX711" s="188"/>
      <c r="AY711" s="188"/>
      <c r="AZ711" s="188"/>
      <c r="BA711" s="188"/>
      <c r="BB711" s="188"/>
      <c r="BC711" s="188"/>
    </row>
    <row r="712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  <c r="AP712" s="188"/>
      <c r="AQ712" s="188"/>
      <c r="AR712" s="188"/>
      <c r="AS712" s="188"/>
      <c r="AT712" s="188"/>
      <c r="AU712" s="188"/>
      <c r="AV712" s="188"/>
      <c r="AW712" s="188"/>
      <c r="AX712" s="188"/>
      <c r="AY712" s="188"/>
      <c r="AZ712" s="188"/>
      <c r="BA712" s="188"/>
      <c r="BB712" s="188"/>
      <c r="BC712" s="188"/>
    </row>
    <row r="713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  <c r="AP713" s="188"/>
      <c r="AQ713" s="188"/>
      <c r="AR713" s="188"/>
      <c r="AS713" s="188"/>
      <c r="AT713" s="188"/>
      <c r="AU713" s="188"/>
      <c r="AV713" s="188"/>
      <c r="AW713" s="188"/>
      <c r="AX713" s="188"/>
      <c r="AY713" s="188"/>
      <c r="AZ713" s="188"/>
      <c r="BA713" s="188"/>
      <c r="BB713" s="188"/>
      <c r="BC713" s="188"/>
    </row>
    <row r="714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  <c r="AR714" s="188"/>
      <c r="AS714" s="188"/>
      <c r="AT714" s="188"/>
      <c r="AU714" s="188"/>
      <c r="AV714" s="188"/>
      <c r="AW714" s="188"/>
      <c r="AX714" s="188"/>
      <c r="AY714" s="188"/>
      <c r="AZ714" s="188"/>
      <c r="BA714" s="188"/>
      <c r="BB714" s="188"/>
      <c r="BC714" s="188"/>
    </row>
    <row r="715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  <c r="AR715" s="188"/>
      <c r="AS715" s="188"/>
      <c r="AT715" s="188"/>
      <c r="AU715" s="188"/>
      <c r="AV715" s="188"/>
      <c r="AW715" s="188"/>
      <c r="AX715" s="188"/>
      <c r="AY715" s="188"/>
      <c r="AZ715" s="188"/>
      <c r="BA715" s="188"/>
      <c r="BB715" s="188"/>
      <c r="BC715" s="188"/>
    </row>
    <row r="716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  <c r="AR716" s="188"/>
      <c r="AS716" s="188"/>
      <c r="AT716" s="188"/>
      <c r="AU716" s="188"/>
      <c r="AV716" s="188"/>
      <c r="AW716" s="188"/>
      <c r="AX716" s="188"/>
      <c r="AY716" s="188"/>
      <c r="AZ716" s="188"/>
      <c r="BA716" s="188"/>
      <c r="BB716" s="188"/>
      <c r="BC716" s="188"/>
    </row>
    <row r="717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  <c r="AR717" s="188"/>
      <c r="AS717" s="188"/>
      <c r="AT717" s="188"/>
      <c r="AU717" s="188"/>
      <c r="AV717" s="188"/>
      <c r="AW717" s="188"/>
      <c r="AX717" s="188"/>
      <c r="AY717" s="188"/>
      <c r="AZ717" s="188"/>
      <c r="BA717" s="188"/>
      <c r="BB717" s="188"/>
      <c r="BC717" s="188"/>
    </row>
    <row r="718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  <c r="AR718" s="188"/>
      <c r="AS718" s="188"/>
      <c r="AT718" s="188"/>
      <c r="AU718" s="188"/>
      <c r="AV718" s="188"/>
      <c r="AW718" s="188"/>
      <c r="AX718" s="188"/>
      <c r="AY718" s="188"/>
      <c r="AZ718" s="188"/>
      <c r="BA718" s="188"/>
      <c r="BB718" s="188"/>
      <c r="BC718" s="188"/>
    </row>
    <row r="719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  <c r="AV719" s="188"/>
      <c r="AW719" s="188"/>
      <c r="AX719" s="188"/>
      <c r="AY719" s="188"/>
      <c r="AZ719" s="188"/>
      <c r="BA719" s="188"/>
      <c r="BB719" s="188"/>
      <c r="BC719" s="188"/>
    </row>
    <row r="720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  <c r="AR720" s="188"/>
      <c r="AS720" s="188"/>
      <c r="AT720" s="188"/>
      <c r="AU720" s="188"/>
      <c r="AV720" s="188"/>
      <c r="AW720" s="188"/>
      <c r="AX720" s="188"/>
      <c r="AY720" s="188"/>
      <c r="AZ720" s="188"/>
      <c r="BA720" s="188"/>
      <c r="BB720" s="188"/>
      <c r="BC720" s="188"/>
    </row>
    <row r="72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8"/>
      <c r="AT721" s="188"/>
      <c r="AU721" s="188"/>
      <c r="AV721" s="188"/>
      <c r="AW721" s="188"/>
      <c r="AX721" s="188"/>
      <c r="AY721" s="188"/>
      <c r="AZ721" s="188"/>
      <c r="BA721" s="188"/>
      <c r="BB721" s="188"/>
      <c r="BC721" s="188"/>
    </row>
    <row r="722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  <c r="AR722" s="188"/>
      <c r="AS722" s="188"/>
      <c r="AT722" s="188"/>
      <c r="AU722" s="188"/>
      <c r="AV722" s="188"/>
      <c r="AW722" s="188"/>
      <c r="AX722" s="188"/>
      <c r="AY722" s="188"/>
      <c r="AZ722" s="188"/>
      <c r="BA722" s="188"/>
      <c r="BB722" s="188"/>
      <c r="BC722" s="188"/>
    </row>
    <row r="723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  <c r="AR723" s="188"/>
      <c r="AS723" s="188"/>
      <c r="AT723" s="188"/>
      <c r="AU723" s="188"/>
      <c r="AV723" s="188"/>
      <c r="AW723" s="188"/>
      <c r="AX723" s="188"/>
      <c r="AY723" s="188"/>
      <c r="AZ723" s="188"/>
      <c r="BA723" s="188"/>
      <c r="BB723" s="188"/>
      <c r="BC723" s="188"/>
    </row>
    <row r="724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  <c r="AR724" s="188"/>
      <c r="AS724" s="188"/>
      <c r="AT724" s="188"/>
      <c r="AU724" s="188"/>
      <c r="AV724" s="188"/>
      <c r="AW724" s="188"/>
      <c r="AX724" s="188"/>
      <c r="AY724" s="188"/>
      <c r="AZ724" s="188"/>
      <c r="BA724" s="188"/>
      <c r="BB724" s="188"/>
      <c r="BC724" s="188"/>
    </row>
    <row r="725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  <c r="AR725" s="188"/>
      <c r="AS725" s="188"/>
      <c r="AT725" s="188"/>
      <c r="AU725" s="188"/>
      <c r="AV725" s="188"/>
      <c r="AW725" s="188"/>
      <c r="AX725" s="188"/>
      <c r="AY725" s="188"/>
      <c r="AZ725" s="188"/>
      <c r="BA725" s="188"/>
      <c r="BB725" s="188"/>
      <c r="BC725" s="188"/>
    </row>
    <row r="726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  <c r="AR726" s="188"/>
      <c r="AS726" s="188"/>
      <c r="AT726" s="188"/>
      <c r="AU726" s="188"/>
      <c r="AV726" s="188"/>
      <c r="AW726" s="188"/>
      <c r="AX726" s="188"/>
      <c r="AY726" s="188"/>
      <c r="AZ726" s="188"/>
      <c r="BA726" s="188"/>
      <c r="BB726" s="188"/>
      <c r="BC726" s="188"/>
    </row>
    <row r="727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  <c r="AR727" s="188"/>
      <c r="AS727" s="188"/>
      <c r="AT727" s="188"/>
      <c r="AU727" s="188"/>
      <c r="AV727" s="188"/>
      <c r="AW727" s="188"/>
      <c r="AX727" s="188"/>
      <c r="AY727" s="188"/>
      <c r="AZ727" s="188"/>
      <c r="BA727" s="188"/>
      <c r="BB727" s="188"/>
      <c r="BC727" s="188"/>
    </row>
    <row r="728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  <c r="AR728" s="188"/>
      <c r="AS728" s="188"/>
      <c r="AT728" s="188"/>
      <c r="AU728" s="188"/>
      <c r="AV728" s="188"/>
      <c r="AW728" s="188"/>
      <c r="AX728" s="188"/>
      <c r="AY728" s="188"/>
      <c r="AZ728" s="188"/>
      <c r="BA728" s="188"/>
      <c r="BB728" s="188"/>
      <c r="BC728" s="188"/>
    </row>
    <row r="729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  <c r="AR729" s="188"/>
      <c r="AS729" s="188"/>
      <c r="AT729" s="188"/>
      <c r="AU729" s="188"/>
      <c r="AV729" s="188"/>
      <c r="AW729" s="188"/>
      <c r="AX729" s="188"/>
      <c r="AY729" s="188"/>
      <c r="AZ729" s="188"/>
      <c r="BA729" s="188"/>
      <c r="BB729" s="188"/>
      <c r="BC729" s="188"/>
    </row>
    <row r="730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  <c r="AR730" s="188"/>
      <c r="AS730" s="188"/>
      <c r="AT730" s="188"/>
      <c r="AU730" s="188"/>
      <c r="AV730" s="188"/>
      <c r="AW730" s="188"/>
      <c r="AX730" s="188"/>
      <c r="AY730" s="188"/>
      <c r="AZ730" s="188"/>
      <c r="BA730" s="188"/>
      <c r="BB730" s="188"/>
      <c r="BC730" s="188"/>
    </row>
    <row r="73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  <c r="AR731" s="188"/>
      <c r="AS731" s="188"/>
      <c r="AT731" s="188"/>
      <c r="AU731" s="188"/>
      <c r="AV731" s="188"/>
      <c r="AW731" s="188"/>
      <c r="AX731" s="188"/>
      <c r="AY731" s="188"/>
      <c r="AZ731" s="188"/>
      <c r="BA731" s="188"/>
      <c r="BB731" s="188"/>
      <c r="BC731" s="188"/>
    </row>
    <row r="732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  <c r="AP732" s="188"/>
      <c r="AQ732" s="188"/>
      <c r="AR732" s="188"/>
      <c r="AS732" s="188"/>
      <c r="AT732" s="188"/>
      <c r="AU732" s="188"/>
      <c r="AV732" s="188"/>
      <c r="AW732" s="188"/>
      <c r="AX732" s="188"/>
      <c r="AY732" s="188"/>
      <c r="AZ732" s="188"/>
      <c r="BA732" s="188"/>
      <c r="BB732" s="188"/>
      <c r="BC732" s="188"/>
    </row>
    <row r="733">
      <c r="A733" s="188"/>
      <c r="B733" s="188"/>
      <c r="C733" s="190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  <c r="AP733" s="188"/>
      <c r="AQ733" s="188"/>
      <c r="AR733" s="188"/>
      <c r="AS733" s="188"/>
      <c r="AT733" s="188"/>
      <c r="AU733" s="188"/>
      <c r="AV733" s="188"/>
      <c r="AW733" s="188"/>
      <c r="AX733" s="188"/>
      <c r="AY733" s="188"/>
      <c r="AZ733" s="188"/>
      <c r="BA733" s="188"/>
      <c r="BB733" s="188"/>
      <c r="BC733" s="188"/>
    </row>
    <row r="734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  <c r="AP734" s="188"/>
      <c r="AQ734" s="188"/>
      <c r="AR734" s="188"/>
      <c r="AS734" s="188"/>
      <c r="AT734" s="188"/>
      <c r="AU734" s="188"/>
      <c r="AV734" s="188"/>
      <c r="AW734" s="188"/>
      <c r="AX734" s="188"/>
      <c r="AY734" s="188"/>
      <c r="AZ734" s="188"/>
      <c r="BA734" s="188"/>
      <c r="BB734" s="188"/>
      <c r="BC734" s="188"/>
    </row>
    <row r="735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  <c r="AP735" s="188"/>
      <c r="AQ735" s="188"/>
      <c r="AR735" s="188"/>
      <c r="AS735" s="188"/>
      <c r="AT735" s="188"/>
      <c r="AU735" s="188"/>
      <c r="AV735" s="188"/>
      <c r="AW735" s="188"/>
      <c r="AX735" s="188"/>
      <c r="AY735" s="188"/>
      <c r="AZ735" s="188"/>
      <c r="BA735" s="188"/>
      <c r="BB735" s="188"/>
      <c r="BC735" s="188"/>
    </row>
    <row r="736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  <c r="AP736" s="188"/>
      <c r="AQ736" s="188"/>
      <c r="AR736" s="188"/>
      <c r="AS736" s="188"/>
      <c r="AT736" s="188"/>
      <c r="AU736" s="188"/>
      <c r="AV736" s="188"/>
      <c r="AW736" s="188"/>
      <c r="AX736" s="188"/>
      <c r="AY736" s="188"/>
      <c r="AZ736" s="188"/>
      <c r="BA736" s="188"/>
      <c r="BB736" s="188"/>
      <c r="BC736" s="188"/>
    </row>
    <row r="737">
      <c r="A737" s="188"/>
      <c r="B737" s="188"/>
      <c r="C737" s="190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  <c r="AP737" s="188"/>
      <c r="AQ737" s="188"/>
      <c r="AR737" s="188"/>
      <c r="AS737" s="188"/>
      <c r="AT737" s="188"/>
      <c r="AU737" s="188"/>
      <c r="AV737" s="188"/>
      <c r="AW737" s="188"/>
      <c r="AX737" s="188"/>
      <c r="AY737" s="188"/>
      <c r="AZ737" s="188"/>
      <c r="BA737" s="188"/>
      <c r="BB737" s="188"/>
      <c r="BC737" s="188"/>
    </row>
    <row r="738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  <c r="AP738" s="188"/>
      <c r="AQ738" s="188"/>
      <c r="AR738" s="188"/>
      <c r="AS738" s="188"/>
      <c r="AT738" s="188"/>
      <c r="AU738" s="188"/>
      <c r="AV738" s="188"/>
      <c r="AW738" s="188"/>
      <c r="AX738" s="188"/>
      <c r="AY738" s="188"/>
      <c r="AZ738" s="188"/>
      <c r="BA738" s="188"/>
      <c r="BB738" s="188"/>
      <c r="BC738" s="188"/>
    </row>
    <row r="739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  <c r="AP739" s="188"/>
      <c r="AQ739" s="188"/>
      <c r="AR739" s="188"/>
      <c r="AS739" s="188"/>
      <c r="AT739" s="188"/>
      <c r="AU739" s="188"/>
      <c r="AV739" s="188"/>
      <c r="AW739" s="188"/>
      <c r="AX739" s="188"/>
      <c r="AY739" s="188"/>
      <c r="AZ739" s="188"/>
      <c r="BA739" s="188"/>
      <c r="BB739" s="188"/>
      <c r="BC739" s="188"/>
    </row>
    <row r="740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  <c r="AP740" s="188"/>
      <c r="AQ740" s="188"/>
      <c r="AR740" s="188"/>
      <c r="AS740" s="188"/>
      <c r="AT740" s="188"/>
      <c r="AU740" s="188"/>
      <c r="AV740" s="188"/>
      <c r="AW740" s="188"/>
      <c r="AX740" s="188"/>
      <c r="AY740" s="188"/>
      <c r="AZ740" s="188"/>
      <c r="BA740" s="188"/>
      <c r="BB740" s="188"/>
      <c r="BC740" s="188"/>
    </row>
    <row r="74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  <c r="AP741" s="188"/>
      <c r="AQ741" s="188"/>
      <c r="AR741" s="188"/>
      <c r="AS741" s="188"/>
      <c r="AT741" s="188"/>
      <c r="AU741" s="188"/>
      <c r="AV741" s="188"/>
      <c r="AW741" s="188"/>
      <c r="AX741" s="188"/>
      <c r="AY741" s="188"/>
      <c r="AZ741" s="188"/>
      <c r="BA741" s="188"/>
      <c r="BB741" s="188"/>
      <c r="BC741" s="188"/>
    </row>
    <row r="742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  <c r="AP742" s="188"/>
      <c r="AQ742" s="188"/>
      <c r="AR742" s="188"/>
      <c r="AS742" s="188"/>
      <c r="AT742" s="188"/>
      <c r="AU742" s="188"/>
      <c r="AV742" s="188"/>
      <c r="AW742" s="188"/>
      <c r="AX742" s="188"/>
      <c r="AY742" s="188"/>
      <c r="AZ742" s="188"/>
      <c r="BA742" s="188"/>
      <c r="BB742" s="188"/>
      <c r="BC742" s="188"/>
    </row>
    <row r="743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  <c r="AP743" s="188"/>
      <c r="AQ743" s="188"/>
      <c r="AR743" s="188"/>
      <c r="AS743" s="188"/>
      <c r="AT743" s="188"/>
      <c r="AU743" s="188"/>
      <c r="AV743" s="188"/>
      <c r="AW743" s="188"/>
      <c r="AX743" s="188"/>
      <c r="AY743" s="188"/>
      <c r="AZ743" s="188"/>
      <c r="BA743" s="188"/>
      <c r="BB743" s="188"/>
      <c r="BC743" s="188"/>
    </row>
    <row r="744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  <c r="AP744" s="188"/>
      <c r="AQ744" s="188"/>
      <c r="AR744" s="188"/>
      <c r="AS744" s="188"/>
      <c r="AT744" s="188"/>
      <c r="AU744" s="188"/>
      <c r="AV744" s="188"/>
      <c r="AW744" s="188"/>
      <c r="AX744" s="188"/>
      <c r="AY744" s="188"/>
      <c r="AZ744" s="188"/>
      <c r="BA744" s="188"/>
      <c r="BB744" s="188"/>
      <c r="BC744" s="188"/>
    </row>
    <row r="745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  <c r="AP745" s="188"/>
      <c r="AQ745" s="188"/>
      <c r="AR745" s="188"/>
      <c r="AS745" s="188"/>
      <c r="AT745" s="188"/>
      <c r="AU745" s="188"/>
      <c r="AV745" s="188"/>
      <c r="AW745" s="188"/>
      <c r="AX745" s="188"/>
      <c r="AY745" s="188"/>
      <c r="AZ745" s="188"/>
      <c r="BA745" s="188"/>
      <c r="BB745" s="188"/>
      <c r="BC745" s="188"/>
    </row>
    <row r="746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  <c r="AP746" s="188"/>
      <c r="AQ746" s="188"/>
      <c r="AR746" s="188"/>
      <c r="AS746" s="188"/>
      <c r="AT746" s="188"/>
      <c r="AU746" s="188"/>
      <c r="AV746" s="188"/>
      <c r="AW746" s="188"/>
      <c r="AX746" s="188"/>
      <c r="AY746" s="188"/>
      <c r="AZ746" s="188"/>
      <c r="BA746" s="188"/>
      <c r="BB746" s="188"/>
      <c r="BC746" s="188"/>
    </row>
    <row r="747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  <c r="AP747" s="188"/>
      <c r="AQ747" s="188"/>
      <c r="AR747" s="188"/>
      <c r="AS747" s="188"/>
      <c r="AT747" s="188"/>
      <c r="AU747" s="188"/>
      <c r="AV747" s="188"/>
      <c r="AW747" s="188"/>
      <c r="AX747" s="188"/>
      <c r="AY747" s="188"/>
      <c r="AZ747" s="188"/>
      <c r="BA747" s="188"/>
      <c r="BB747" s="188"/>
      <c r="BC747" s="188"/>
    </row>
    <row r="748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  <c r="AP748" s="188"/>
      <c r="AQ748" s="188"/>
      <c r="AR748" s="188"/>
      <c r="AS748" s="188"/>
      <c r="AT748" s="188"/>
      <c r="AU748" s="188"/>
      <c r="AV748" s="188"/>
      <c r="AW748" s="188"/>
      <c r="AX748" s="188"/>
      <c r="AY748" s="188"/>
      <c r="AZ748" s="188"/>
      <c r="BA748" s="188"/>
      <c r="BB748" s="188"/>
      <c r="BC748" s="188"/>
    </row>
    <row r="749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  <c r="AP749" s="188"/>
      <c r="AQ749" s="188"/>
      <c r="AR749" s="188"/>
      <c r="AS749" s="188"/>
      <c r="AT749" s="188"/>
      <c r="AU749" s="188"/>
      <c r="AV749" s="188"/>
      <c r="AW749" s="188"/>
      <c r="AX749" s="188"/>
      <c r="AY749" s="188"/>
      <c r="AZ749" s="188"/>
      <c r="BA749" s="188"/>
      <c r="BB749" s="188"/>
      <c r="BC749" s="188"/>
    </row>
    <row r="750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  <c r="AP750" s="188"/>
      <c r="AQ750" s="188"/>
      <c r="AR750" s="188"/>
      <c r="AS750" s="188"/>
      <c r="AT750" s="188"/>
      <c r="AU750" s="188"/>
      <c r="AV750" s="188"/>
      <c r="AW750" s="188"/>
      <c r="AX750" s="188"/>
      <c r="AY750" s="188"/>
      <c r="AZ750" s="188"/>
      <c r="BA750" s="188"/>
      <c r="BB750" s="188"/>
      <c r="BC750" s="188"/>
    </row>
    <row r="75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  <c r="AP751" s="188"/>
      <c r="AQ751" s="188"/>
      <c r="AR751" s="188"/>
      <c r="AS751" s="188"/>
      <c r="AT751" s="188"/>
      <c r="AU751" s="188"/>
      <c r="AV751" s="188"/>
      <c r="AW751" s="188"/>
      <c r="AX751" s="188"/>
      <c r="AY751" s="188"/>
      <c r="AZ751" s="188"/>
      <c r="BA751" s="188"/>
      <c r="BB751" s="188"/>
      <c r="BC751" s="188"/>
    </row>
    <row r="752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  <c r="AP752" s="188"/>
      <c r="AQ752" s="188"/>
      <c r="AR752" s="188"/>
      <c r="AS752" s="188"/>
      <c r="AT752" s="188"/>
      <c r="AU752" s="188"/>
      <c r="AV752" s="188"/>
      <c r="AW752" s="188"/>
      <c r="AX752" s="188"/>
      <c r="AY752" s="188"/>
      <c r="AZ752" s="188"/>
      <c r="BA752" s="188"/>
      <c r="BB752" s="188"/>
      <c r="BC752" s="188"/>
    </row>
    <row r="753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  <c r="AP753" s="188"/>
      <c r="AQ753" s="188"/>
      <c r="AR753" s="188"/>
      <c r="AS753" s="188"/>
      <c r="AT753" s="188"/>
      <c r="AU753" s="188"/>
      <c r="AV753" s="188"/>
      <c r="AW753" s="188"/>
      <c r="AX753" s="188"/>
      <c r="AY753" s="188"/>
      <c r="AZ753" s="188"/>
      <c r="BA753" s="188"/>
      <c r="BB753" s="188"/>
      <c r="BC753" s="188"/>
    </row>
    <row r="754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  <c r="AP754" s="188"/>
      <c r="AQ754" s="188"/>
      <c r="AR754" s="188"/>
      <c r="AS754" s="188"/>
      <c r="AT754" s="188"/>
      <c r="AU754" s="188"/>
      <c r="AV754" s="188"/>
      <c r="AW754" s="188"/>
      <c r="AX754" s="188"/>
      <c r="AY754" s="188"/>
      <c r="AZ754" s="188"/>
      <c r="BA754" s="188"/>
      <c r="BB754" s="188"/>
      <c r="BC754" s="188"/>
    </row>
    <row r="755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  <c r="AP755" s="188"/>
      <c r="AQ755" s="188"/>
      <c r="AR755" s="188"/>
      <c r="AS755" s="188"/>
      <c r="AT755" s="188"/>
      <c r="AU755" s="188"/>
      <c r="AV755" s="188"/>
      <c r="AW755" s="188"/>
      <c r="AX755" s="188"/>
      <c r="AY755" s="188"/>
      <c r="AZ755" s="188"/>
      <c r="BA755" s="188"/>
      <c r="BB755" s="188"/>
      <c r="BC755" s="188"/>
    </row>
    <row r="756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  <c r="AP756" s="188"/>
      <c r="AQ756" s="188"/>
      <c r="AR756" s="188"/>
      <c r="AS756" s="188"/>
      <c r="AT756" s="188"/>
      <c r="AU756" s="188"/>
      <c r="AV756" s="188"/>
      <c r="AW756" s="188"/>
      <c r="AX756" s="188"/>
      <c r="AY756" s="188"/>
      <c r="AZ756" s="188"/>
      <c r="BA756" s="188"/>
      <c r="BB756" s="188"/>
      <c r="BC756" s="188"/>
    </row>
    <row r="757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  <c r="AP757" s="188"/>
      <c r="AQ757" s="188"/>
      <c r="AR757" s="188"/>
      <c r="AS757" s="188"/>
      <c r="AT757" s="188"/>
      <c r="AU757" s="188"/>
      <c r="AV757" s="188"/>
      <c r="AW757" s="188"/>
      <c r="AX757" s="188"/>
      <c r="AY757" s="188"/>
      <c r="AZ757" s="188"/>
      <c r="BA757" s="188"/>
      <c r="BB757" s="188"/>
      <c r="BC757" s="188"/>
    </row>
    <row r="758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  <c r="AP758" s="188"/>
      <c r="AQ758" s="188"/>
      <c r="AR758" s="188"/>
      <c r="AS758" s="188"/>
      <c r="AT758" s="188"/>
      <c r="AU758" s="188"/>
      <c r="AV758" s="188"/>
      <c r="AW758" s="188"/>
      <c r="AX758" s="188"/>
      <c r="AY758" s="188"/>
      <c r="AZ758" s="188"/>
      <c r="BA758" s="188"/>
      <c r="BB758" s="188"/>
      <c r="BC758" s="188"/>
    </row>
    <row r="759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  <c r="AP759" s="188"/>
      <c r="AQ759" s="188"/>
      <c r="AR759" s="188"/>
      <c r="AS759" s="188"/>
      <c r="AT759" s="188"/>
      <c r="AU759" s="188"/>
      <c r="AV759" s="188"/>
      <c r="AW759" s="188"/>
      <c r="AX759" s="188"/>
      <c r="AY759" s="188"/>
      <c r="AZ759" s="188"/>
      <c r="BA759" s="188"/>
      <c r="BB759" s="188"/>
      <c r="BC759" s="188"/>
    </row>
    <row r="760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  <c r="AP760" s="188"/>
      <c r="AQ760" s="188"/>
      <c r="AR760" s="188"/>
      <c r="AS760" s="188"/>
      <c r="AT760" s="188"/>
      <c r="AU760" s="188"/>
      <c r="AV760" s="188"/>
      <c r="AW760" s="188"/>
      <c r="AX760" s="188"/>
      <c r="AY760" s="188"/>
      <c r="AZ760" s="188"/>
      <c r="BA760" s="188"/>
      <c r="BB760" s="188"/>
      <c r="BC760" s="188"/>
    </row>
    <row r="76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  <c r="AP761" s="188"/>
      <c r="AQ761" s="188"/>
      <c r="AR761" s="188"/>
      <c r="AS761" s="188"/>
      <c r="AT761" s="188"/>
      <c r="AU761" s="188"/>
      <c r="AV761" s="188"/>
      <c r="AW761" s="188"/>
      <c r="AX761" s="188"/>
      <c r="AY761" s="188"/>
      <c r="AZ761" s="188"/>
      <c r="BA761" s="188"/>
      <c r="BB761" s="188"/>
      <c r="BC761" s="188"/>
    </row>
    <row r="762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  <c r="AP762" s="188"/>
      <c r="AQ762" s="188"/>
      <c r="AR762" s="188"/>
      <c r="AS762" s="188"/>
      <c r="AT762" s="188"/>
      <c r="AU762" s="188"/>
      <c r="AV762" s="188"/>
      <c r="AW762" s="188"/>
      <c r="AX762" s="188"/>
      <c r="AY762" s="188"/>
      <c r="AZ762" s="188"/>
      <c r="BA762" s="188"/>
      <c r="BB762" s="188"/>
      <c r="BC762" s="188"/>
    </row>
    <row r="763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  <c r="AP763" s="188"/>
      <c r="AQ763" s="188"/>
      <c r="AR763" s="188"/>
      <c r="AS763" s="188"/>
      <c r="AT763" s="188"/>
      <c r="AU763" s="188"/>
      <c r="AV763" s="188"/>
      <c r="AW763" s="188"/>
      <c r="AX763" s="188"/>
      <c r="AY763" s="188"/>
      <c r="AZ763" s="188"/>
      <c r="BA763" s="188"/>
      <c r="BB763" s="188"/>
      <c r="BC763" s="188"/>
    </row>
    <row r="764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  <c r="AP764" s="188"/>
      <c r="AQ764" s="188"/>
      <c r="AR764" s="188"/>
      <c r="AS764" s="188"/>
      <c r="AT764" s="188"/>
      <c r="AU764" s="188"/>
      <c r="AV764" s="188"/>
      <c r="AW764" s="188"/>
      <c r="AX764" s="188"/>
      <c r="AY764" s="188"/>
      <c r="AZ764" s="188"/>
      <c r="BA764" s="188"/>
      <c r="BB764" s="188"/>
      <c r="BC764" s="188"/>
    </row>
    <row r="765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  <c r="AP765" s="188"/>
      <c r="AQ765" s="188"/>
      <c r="AR765" s="188"/>
      <c r="AS765" s="188"/>
      <c r="AT765" s="188"/>
      <c r="AU765" s="188"/>
      <c r="AV765" s="188"/>
      <c r="AW765" s="188"/>
      <c r="AX765" s="188"/>
      <c r="AY765" s="188"/>
      <c r="AZ765" s="188"/>
      <c r="BA765" s="188"/>
      <c r="BB765" s="188"/>
      <c r="BC765" s="188"/>
    </row>
    <row r="766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  <c r="AP766" s="188"/>
      <c r="AQ766" s="188"/>
      <c r="AR766" s="188"/>
      <c r="AS766" s="188"/>
      <c r="AT766" s="188"/>
      <c r="AU766" s="188"/>
      <c r="AV766" s="188"/>
      <c r="AW766" s="188"/>
      <c r="AX766" s="188"/>
      <c r="AY766" s="188"/>
      <c r="AZ766" s="188"/>
      <c r="BA766" s="188"/>
      <c r="BB766" s="188"/>
      <c r="BC766" s="188"/>
    </row>
    <row r="767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  <c r="AR767" s="188"/>
      <c r="AS767" s="188"/>
      <c r="AT767" s="188"/>
      <c r="AU767" s="188"/>
      <c r="AV767" s="188"/>
      <c r="AW767" s="188"/>
      <c r="AX767" s="188"/>
      <c r="AY767" s="188"/>
      <c r="AZ767" s="188"/>
      <c r="BA767" s="188"/>
      <c r="BB767" s="188"/>
      <c r="BC767" s="188"/>
    </row>
    <row r="768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  <c r="AR768" s="188"/>
      <c r="AS768" s="188"/>
      <c r="AT768" s="188"/>
      <c r="AU768" s="188"/>
      <c r="AV768" s="188"/>
      <c r="AW768" s="188"/>
      <c r="AX768" s="188"/>
      <c r="AY768" s="188"/>
      <c r="AZ768" s="188"/>
      <c r="BA768" s="188"/>
      <c r="BB768" s="188"/>
      <c r="BC768" s="188"/>
    </row>
    <row r="769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  <c r="AR769" s="188"/>
      <c r="AS769" s="188"/>
      <c r="AT769" s="188"/>
      <c r="AU769" s="188"/>
      <c r="AV769" s="188"/>
      <c r="AW769" s="188"/>
      <c r="AX769" s="188"/>
      <c r="AY769" s="188"/>
      <c r="AZ769" s="188"/>
      <c r="BA769" s="188"/>
      <c r="BB769" s="188"/>
      <c r="BC769" s="188"/>
    </row>
    <row r="770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  <c r="AR770" s="188"/>
      <c r="AS770" s="188"/>
      <c r="AT770" s="188"/>
      <c r="AU770" s="188"/>
      <c r="AV770" s="188"/>
      <c r="AW770" s="188"/>
      <c r="AX770" s="188"/>
      <c r="AY770" s="188"/>
      <c r="AZ770" s="188"/>
      <c r="BA770" s="188"/>
      <c r="BB770" s="188"/>
      <c r="BC770" s="188"/>
    </row>
    <row r="77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  <c r="AR771" s="188"/>
      <c r="AS771" s="188"/>
      <c r="AT771" s="188"/>
      <c r="AU771" s="188"/>
      <c r="AV771" s="188"/>
      <c r="AW771" s="188"/>
      <c r="AX771" s="188"/>
      <c r="AY771" s="188"/>
      <c r="AZ771" s="188"/>
      <c r="BA771" s="188"/>
      <c r="BB771" s="188"/>
      <c r="BC771" s="188"/>
    </row>
    <row r="772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  <c r="AR772" s="188"/>
      <c r="AS772" s="188"/>
      <c r="AT772" s="188"/>
      <c r="AU772" s="188"/>
      <c r="AV772" s="188"/>
      <c r="AW772" s="188"/>
      <c r="AX772" s="188"/>
      <c r="AY772" s="188"/>
      <c r="AZ772" s="188"/>
      <c r="BA772" s="188"/>
      <c r="BB772" s="188"/>
      <c r="BC772" s="188"/>
    </row>
    <row r="773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  <c r="AR773" s="188"/>
      <c r="AS773" s="188"/>
      <c r="AT773" s="188"/>
      <c r="AU773" s="188"/>
      <c r="AV773" s="188"/>
      <c r="AW773" s="188"/>
      <c r="AX773" s="188"/>
      <c r="AY773" s="188"/>
      <c r="AZ773" s="188"/>
      <c r="BA773" s="188"/>
      <c r="BB773" s="188"/>
      <c r="BC773" s="188"/>
    </row>
    <row r="774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  <c r="AR774" s="188"/>
      <c r="AS774" s="188"/>
      <c r="AT774" s="188"/>
      <c r="AU774" s="188"/>
      <c r="AV774" s="188"/>
      <c r="AW774" s="188"/>
      <c r="AX774" s="188"/>
      <c r="AY774" s="188"/>
      <c r="AZ774" s="188"/>
      <c r="BA774" s="188"/>
      <c r="BB774" s="188"/>
      <c r="BC774" s="188"/>
    </row>
    <row r="775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  <c r="AR775" s="188"/>
      <c r="AS775" s="188"/>
      <c r="AT775" s="188"/>
      <c r="AU775" s="188"/>
      <c r="AV775" s="188"/>
      <c r="AW775" s="188"/>
      <c r="AX775" s="188"/>
      <c r="AY775" s="188"/>
      <c r="AZ775" s="188"/>
      <c r="BA775" s="188"/>
      <c r="BB775" s="188"/>
      <c r="BC775" s="188"/>
    </row>
    <row r="776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  <c r="AU776" s="188"/>
      <c r="AV776" s="188"/>
      <c r="AW776" s="188"/>
      <c r="AX776" s="188"/>
      <c r="AY776" s="188"/>
      <c r="AZ776" s="188"/>
      <c r="BA776" s="188"/>
      <c r="BB776" s="188"/>
      <c r="BC776" s="188"/>
    </row>
    <row r="777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  <c r="AR777" s="188"/>
      <c r="AS777" s="188"/>
      <c r="AT777" s="188"/>
      <c r="AU777" s="188"/>
      <c r="AV777" s="188"/>
      <c r="AW777" s="188"/>
      <c r="AX777" s="188"/>
      <c r="AY777" s="188"/>
      <c r="AZ777" s="188"/>
      <c r="BA777" s="188"/>
      <c r="BB777" s="188"/>
      <c r="BC777" s="188"/>
    </row>
    <row r="778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  <c r="AR778" s="188"/>
      <c r="AS778" s="188"/>
      <c r="AT778" s="188"/>
      <c r="AU778" s="188"/>
      <c r="AV778" s="188"/>
      <c r="AW778" s="188"/>
      <c r="AX778" s="188"/>
      <c r="AY778" s="188"/>
      <c r="AZ778" s="188"/>
      <c r="BA778" s="188"/>
      <c r="BB778" s="188"/>
      <c r="BC778" s="188"/>
    </row>
    <row r="779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  <c r="AP779" s="188"/>
      <c r="AQ779" s="188"/>
      <c r="AR779" s="188"/>
      <c r="AS779" s="188"/>
      <c r="AT779" s="188"/>
      <c r="AU779" s="188"/>
      <c r="AV779" s="188"/>
      <c r="AW779" s="188"/>
      <c r="AX779" s="188"/>
      <c r="AY779" s="188"/>
      <c r="AZ779" s="188"/>
      <c r="BA779" s="188"/>
      <c r="BB779" s="188"/>
      <c r="BC779" s="188"/>
    </row>
    <row r="780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  <c r="AP780" s="188"/>
      <c r="AQ780" s="188"/>
      <c r="AR780" s="188"/>
      <c r="AS780" s="188"/>
      <c r="AT780" s="188"/>
      <c r="AU780" s="188"/>
      <c r="AV780" s="188"/>
      <c r="AW780" s="188"/>
      <c r="AX780" s="188"/>
      <c r="AY780" s="188"/>
      <c r="AZ780" s="188"/>
      <c r="BA780" s="188"/>
      <c r="BB780" s="188"/>
      <c r="BC780" s="188"/>
    </row>
    <row r="78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  <c r="AP781" s="188"/>
      <c r="AQ781" s="188"/>
      <c r="AR781" s="188"/>
      <c r="AS781" s="188"/>
      <c r="AT781" s="188"/>
      <c r="AU781" s="188"/>
      <c r="AV781" s="188"/>
      <c r="AW781" s="188"/>
      <c r="AX781" s="188"/>
      <c r="AY781" s="188"/>
      <c r="AZ781" s="188"/>
      <c r="BA781" s="188"/>
      <c r="BB781" s="188"/>
      <c r="BC781" s="188"/>
    </row>
    <row r="782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  <c r="AP782" s="188"/>
      <c r="AQ782" s="188"/>
      <c r="AR782" s="188"/>
      <c r="AS782" s="188"/>
      <c r="AT782" s="188"/>
      <c r="AU782" s="188"/>
      <c r="AV782" s="188"/>
      <c r="AW782" s="188"/>
      <c r="AX782" s="188"/>
      <c r="AY782" s="188"/>
      <c r="AZ782" s="188"/>
      <c r="BA782" s="188"/>
      <c r="BB782" s="188"/>
      <c r="BC782" s="188"/>
    </row>
    <row r="783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  <c r="AP783" s="188"/>
      <c r="AQ783" s="188"/>
      <c r="AR783" s="188"/>
      <c r="AS783" s="188"/>
      <c r="AT783" s="188"/>
      <c r="AU783" s="188"/>
      <c r="AV783" s="188"/>
      <c r="AW783" s="188"/>
      <c r="AX783" s="188"/>
      <c r="AY783" s="188"/>
      <c r="AZ783" s="188"/>
      <c r="BA783" s="188"/>
      <c r="BB783" s="188"/>
      <c r="BC783" s="188"/>
    </row>
    <row r="784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  <c r="AP784" s="188"/>
      <c r="AQ784" s="188"/>
      <c r="AR784" s="188"/>
      <c r="AS784" s="188"/>
      <c r="AT784" s="188"/>
      <c r="AU784" s="188"/>
      <c r="AV784" s="188"/>
      <c r="AW784" s="188"/>
      <c r="AX784" s="188"/>
      <c r="AY784" s="188"/>
      <c r="AZ784" s="188"/>
      <c r="BA784" s="188"/>
      <c r="BB784" s="188"/>
      <c r="BC784" s="188"/>
    </row>
    <row r="785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  <c r="AP785" s="188"/>
      <c r="AQ785" s="188"/>
      <c r="AR785" s="188"/>
      <c r="AS785" s="188"/>
      <c r="AT785" s="188"/>
      <c r="AU785" s="188"/>
      <c r="AV785" s="188"/>
      <c r="AW785" s="188"/>
      <c r="AX785" s="188"/>
      <c r="AY785" s="188"/>
      <c r="AZ785" s="188"/>
      <c r="BA785" s="188"/>
      <c r="BB785" s="188"/>
      <c r="BC785" s="188"/>
    </row>
    <row r="786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  <c r="AP786" s="188"/>
      <c r="AQ786" s="188"/>
      <c r="AR786" s="188"/>
      <c r="AS786" s="188"/>
      <c r="AT786" s="188"/>
      <c r="AU786" s="188"/>
      <c r="AV786" s="188"/>
      <c r="AW786" s="188"/>
      <c r="AX786" s="188"/>
      <c r="AY786" s="188"/>
      <c r="AZ786" s="188"/>
      <c r="BA786" s="188"/>
      <c r="BB786" s="188"/>
      <c r="BC786" s="188"/>
    </row>
    <row r="787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  <c r="AP787" s="188"/>
      <c r="AQ787" s="188"/>
      <c r="AR787" s="188"/>
      <c r="AS787" s="188"/>
      <c r="AT787" s="188"/>
      <c r="AU787" s="188"/>
      <c r="AV787" s="188"/>
      <c r="AW787" s="188"/>
      <c r="AX787" s="188"/>
      <c r="AY787" s="188"/>
      <c r="AZ787" s="188"/>
      <c r="BA787" s="188"/>
      <c r="BB787" s="188"/>
      <c r="BC787" s="188"/>
    </row>
    <row r="788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  <c r="AP788" s="188"/>
      <c r="AQ788" s="188"/>
      <c r="AR788" s="188"/>
      <c r="AS788" s="188"/>
      <c r="AT788" s="188"/>
      <c r="AU788" s="188"/>
      <c r="AV788" s="188"/>
      <c r="AW788" s="188"/>
      <c r="AX788" s="188"/>
      <c r="AY788" s="188"/>
      <c r="AZ788" s="188"/>
      <c r="BA788" s="188"/>
      <c r="BB788" s="188"/>
      <c r="BC788" s="188"/>
    </row>
    <row r="789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  <c r="AP789" s="188"/>
      <c r="AQ789" s="188"/>
      <c r="AR789" s="188"/>
      <c r="AS789" s="188"/>
      <c r="AT789" s="188"/>
      <c r="AU789" s="188"/>
      <c r="AV789" s="188"/>
      <c r="AW789" s="188"/>
      <c r="AX789" s="188"/>
      <c r="AY789" s="188"/>
      <c r="AZ789" s="188"/>
      <c r="BA789" s="188"/>
      <c r="BB789" s="188"/>
      <c r="BC789" s="188"/>
    </row>
    <row r="790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  <c r="AP790" s="188"/>
      <c r="AQ790" s="188"/>
      <c r="AR790" s="188"/>
      <c r="AS790" s="188"/>
      <c r="AT790" s="188"/>
      <c r="AU790" s="188"/>
      <c r="AV790" s="188"/>
      <c r="AW790" s="188"/>
      <c r="AX790" s="188"/>
      <c r="AY790" s="188"/>
      <c r="AZ790" s="188"/>
      <c r="BA790" s="188"/>
      <c r="BB790" s="188"/>
      <c r="BC790" s="188"/>
    </row>
    <row r="79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  <c r="AP791" s="188"/>
      <c r="AQ791" s="188"/>
      <c r="AR791" s="188"/>
      <c r="AS791" s="188"/>
      <c r="AT791" s="188"/>
      <c r="AU791" s="188"/>
      <c r="AV791" s="188"/>
      <c r="AW791" s="188"/>
      <c r="AX791" s="188"/>
      <c r="AY791" s="188"/>
      <c r="AZ791" s="188"/>
      <c r="BA791" s="188"/>
      <c r="BB791" s="188"/>
      <c r="BC791" s="188"/>
    </row>
    <row r="792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  <c r="AR792" s="188"/>
      <c r="AS792" s="188"/>
      <c r="AT792" s="188"/>
      <c r="AU792" s="188"/>
      <c r="AV792" s="188"/>
      <c r="AW792" s="188"/>
      <c r="AX792" s="188"/>
      <c r="AY792" s="188"/>
      <c r="AZ792" s="188"/>
      <c r="BA792" s="188"/>
      <c r="BB792" s="188"/>
      <c r="BC792" s="188"/>
    </row>
    <row r="793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  <c r="AP793" s="188"/>
      <c r="AQ793" s="188"/>
      <c r="AR793" s="188"/>
      <c r="AS793" s="188"/>
      <c r="AT793" s="188"/>
      <c r="AU793" s="188"/>
      <c r="AV793" s="188"/>
      <c r="AW793" s="188"/>
      <c r="AX793" s="188"/>
      <c r="AY793" s="188"/>
      <c r="AZ793" s="188"/>
      <c r="BA793" s="188"/>
      <c r="BB793" s="188"/>
      <c r="BC793" s="188"/>
    </row>
    <row r="794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  <c r="AP794" s="188"/>
      <c r="AQ794" s="188"/>
      <c r="AR794" s="188"/>
      <c r="AS794" s="188"/>
      <c r="AT794" s="188"/>
      <c r="AU794" s="188"/>
      <c r="AV794" s="188"/>
      <c r="AW794" s="188"/>
      <c r="AX794" s="188"/>
      <c r="AY794" s="188"/>
      <c r="AZ794" s="188"/>
      <c r="BA794" s="188"/>
      <c r="BB794" s="188"/>
      <c r="BC794" s="188"/>
    </row>
    <row r="795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  <c r="AP795" s="188"/>
      <c r="AQ795" s="188"/>
      <c r="AR795" s="188"/>
      <c r="AS795" s="188"/>
      <c r="AT795" s="188"/>
      <c r="AU795" s="188"/>
      <c r="AV795" s="188"/>
      <c r="AW795" s="188"/>
      <c r="AX795" s="188"/>
      <c r="AY795" s="188"/>
      <c r="AZ795" s="188"/>
      <c r="BA795" s="188"/>
      <c r="BB795" s="188"/>
      <c r="BC795" s="188"/>
    </row>
    <row r="796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  <c r="AP796" s="188"/>
      <c r="AQ796" s="188"/>
      <c r="AR796" s="188"/>
      <c r="AS796" s="188"/>
      <c r="AT796" s="188"/>
      <c r="AU796" s="188"/>
      <c r="AV796" s="188"/>
      <c r="AW796" s="188"/>
      <c r="AX796" s="188"/>
      <c r="AY796" s="188"/>
      <c r="AZ796" s="188"/>
      <c r="BA796" s="188"/>
      <c r="BB796" s="188"/>
      <c r="BC796" s="188"/>
    </row>
    <row r="797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  <c r="AP797" s="188"/>
      <c r="AQ797" s="188"/>
      <c r="AR797" s="188"/>
      <c r="AS797" s="188"/>
      <c r="AT797" s="188"/>
      <c r="AU797" s="188"/>
      <c r="AV797" s="188"/>
      <c r="AW797" s="188"/>
      <c r="AX797" s="188"/>
      <c r="AY797" s="188"/>
      <c r="AZ797" s="188"/>
      <c r="BA797" s="188"/>
      <c r="BB797" s="188"/>
      <c r="BC797" s="188"/>
    </row>
    <row r="798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  <c r="AP798" s="188"/>
      <c r="AQ798" s="188"/>
      <c r="AR798" s="188"/>
      <c r="AS798" s="188"/>
      <c r="AT798" s="188"/>
      <c r="AU798" s="188"/>
      <c r="AV798" s="188"/>
      <c r="AW798" s="188"/>
      <c r="AX798" s="188"/>
      <c r="AY798" s="188"/>
      <c r="AZ798" s="188"/>
      <c r="BA798" s="188"/>
      <c r="BB798" s="188"/>
      <c r="BC798" s="188"/>
    </row>
    <row r="799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  <c r="AP799" s="188"/>
      <c r="AQ799" s="188"/>
      <c r="AR799" s="188"/>
      <c r="AS799" s="188"/>
      <c r="AT799" s="188"/>
      <c r="AU799" s="188"/>
      <c r="AV799" s="188"/>
      <c r="AW799" s="188"/>
      <c r="AX799" s="188"/>
      <c r="AY799" s="188"/>
      <c r="AZ799" s="188"/>
      <c r="BA799" s="188"/>
      <c r="BB799" s="188"/>
      <c r="BC799" s="188"/>
    </row>
    <row r="800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  <c r="AR800" s="188"/>
      <c r="AS800" s="188"/>
      <c r="AT800" s="188"/>
      <c r="AU800" s="188"/>
      <c r="AV800" s="188"/>
      <c r="AW800" s="188"/>
      <c r="AX800" s="188"/>
      <c r="AY800" s="188"/>
      <c r="AZ800" s="188"/>
      <c r="BA800" s="188"/>
      <c r="BB800" s="188"/>
      <c r="BC800" s="188"/>
    </row>
    <row r="80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  <c r="AR801" s="188"/>
      <c r="AS801" s="188"/>
      <c r="AT801" s="188"/>
      <c r="AU801" s="188"/>
      <c r="AV801" s="188"/>
      <c r="AW801" s="188"/>
      <c r="AX801" s="188"/>
      <c r="AY801" s="188"/>
      <c r="AZ801" s="188"/>
      <c r="BA801" s="188"/>
      <c r="BB801" s="188"/>
      <c r="BC801" s="188"/>
    </row>
    <row r="802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  <c r="AU802" s="188"/>
      <c r="AV802" s="188"/>
      <c r="AW802" s="188"/>
      <c r="AX802" s="188"/>
      <c r="AY802" s="188"/>
      <c r="AZ802" s="188"/>
      <c r="BA802" s="188"/>
      <c r="BB802" s="188"/>
      <c r="BC802" s="188"/>
    </row>
    <row r="803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  <c r="AP803" s="188"/>
      <c r="AQ803" s="188"/>
      <c r="AR803" s="188"/>
      <c r="AS803" s="188"/>
      <c r="AT803" s="188"/>
      <c r="AU803" s="188"/>
      <c r="AV803" s="188"/>
      <c r="AW803" s="188"/>
      <c r="AX803" s="188"/>
      <c r="AY803" s="188"/>
      <c r="AZ803" s="188"/>
      <c r="BA803" s="188"/>
      <c r="BB803" s="188"/>
      <c r="BC803" s="188"/>
    </row>
    <row r="804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  <c r="AP804" s="188"/>
      <c r="AQ804" s="188"/>
      <c r="AR804" s="188"/>
      <c r="AS804" s="188"/>
      <c r="AT804" s="188"/>
      <c r="AU804" s="188"/>
      <c r="AV804" s="188"/>
      <c r="AW804" s="188"/>
      <c r="AX804" s="188"/>
      <c r="AY804" s="188"/>
      <c r="AZ804" s="188"/>
      <c r="BA804" s="188"/>
      <c r="BB804" s="188"/>
      <c r="BC804" s="188"/>
    </row>
    <row r="805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  <c r="AP805" s="188"/>
      <c r="AQ805" s="188"/>
      <c r="AR805" s="188"/>
      <c r="AS805" s="188"/>
      <c r="AT805" s="188"/>
      <c r="AU805" s="188"/>
      <c r="AV805" s="188"/>
      <c r="AW805" s="188"/>
      <c r="AX805" s="188"/>
      <c r="AY805" s="188"/>
      <c r="AZ805" s="188"/>
      <c r="BA805" s="188"/>
      <c r="BB805" s="188"/>
      <c r="BC805" s="188"/>
    </row>
    <row r="806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  <c r="AP806" s="188"/>
      <c r="AQ806" s="188"/>
      <c r="AR806" s="188"/>
      <c r="AS806" s="188"/>
      <c r="AT806" s="188"/>
      <c r="AU806" s="188"/>
      <c r="AV806" s="188"/>
      <c r="AW806" s="188"/>
      <c r="AX806" s="188"/>
      <c r="AY806" s="188"/>
      <c r="AZ806" s="188"/>
      <c r="BA806" s="188"/>
      <c r="BB806" s="188"/>
      <c r="BC806" s="188"/>
    </row>
    <row r="807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  <c r="AP807" s="188"/>
      <c r="AQ807" s="188"/>
      <c r="AR807" s="188"/>
      <c r="AS807" s="188"/>
      <c r="AT807" s="188"/>
      <c r="AU807" s="188"/>
      <c r="AV807" s="188"/>
      <c r="AW807" s="188"/>
      <c r="AX807" s="188"/>
      <c r="AY807" s="188"/>
      <c r="AZ807" s="188"/>
      <c r="BA807" s="188"/>
      <c r="BB807" s="188"/>
      <c r="BC807" s="188"/>
    </row>
    <row r="808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  <c r="AP808" s="188"/>
      <c r="AQ808" s="188"/>
      <c r="AR808" s="188"/>
      <c r="AS808" s="188"/>
      <c r="AT808" s="188"/>
      <c r="AU808" s="188"/>
      <c r="AV808" s="188"/>
      <c r="AW808" s="188"/>
      <c r="AX808" s="188"/>
      <c r="AY808" s="188"/>
      <c r="AZ808" s="188"/>
      <c r="BA808" s="188"/>
      <c r="BB808" s="188"/>
      <c r="BC808" s="188"/>
    </row>
    <row r="809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  <c r="AP809" s="188"/>
      <c r="AQ809" s="188"/>
      <c r="AR809" s="188"/>
      <c r="AS809" s="188"/>
      <c r="AT809" s="188"/>
      <c r="AU809" s="188"/>
      <c r="AV809" s="188"/>
      <c r="AW809" s="188"/>
      <c r="AX809" s="188"/>
      <c r="AY809" s="188"/>
      <c r="AZ809" s="188"/>
      <c r="BA809" s="188"/>
      <c r="BB809" s="188"/>
      <c r="BC809" s="188"/>
    </row>
    <row r="810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  <c r="AP810" s="188"/>
      <c r="AQ810" s="188"/>
      <c r="AR810" s="188"/>
      <c r="AS810" s="188"/>
      <c r="AT810" s="188"/>
      <c r="AU810" s="188"/>
      <c r="AV810" s="188"/>
      <c r="AW810" s="188"/>
      <c r="AX810" s="188"/>
      <c r="AY810" s="188"/>
      <c r="AZ810" s="188"/>
      <c r="BA810" s="188"/>
      <c r="BB810" s="188"/>
      <c r="BC810" s="188"/>
    </row>
    <row r="81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  <c r="AP811" s="188"/>
      <c r="AQ811" s="188"/>
      <c r="AR811" s="188"/>
      <c r="AS811" s="188"/>
      <c r="AT811" s="188"/>
      <c r="AU811" s="188"/>
      <c r="AV811" s="188"/>
      <c r="AW811" s="188"/>
      <c r="AX811" s="188"/>
      <c r="AY811" s="188"/>
      <c r="AZ811" s="188"/>
      <c r="BA811" s="188"/>
      <c r="BB811" s="188"/>
      <c r="BC811" s="188"/>
    </row>
    <row r="812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  <c r="AP812" s="188"/>
      <c r="AQ812" s="188"/>
      <c r="AR812" s="188"/>
      <c r="AS812" s="188"/>
      <c r="AT812" s="188"/>
      <c r="AU812" s="188"/>
      <c r="AV812" s="188"/>
      <c r="AW812" s="188"/>
      <c r="AX812" s="188"/>
      <c r="AY812" s="188"/>
      <c r="AZ812" s="188"/>
      <c r="BA812" s="188"/>
      <c r="BB812" s="188"/>
      <c r="BC812" s="188"/>
    </row>
    <row r="813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  <c r="AP813" s="188"/>
      <c r="AQ813" s="188"/>
      <c r="AR813" s="188"/>
      <c r="AS813" s="188"/>
      <c r="AT813" s="188"/>
      <c r="AU813" s="188"/>
      <c r="AV813" s="188"/>
      <c r="AW813" s="188"/>
      <c r="AX813" s="188"/>
      <c r="AY813" s="188"/>
      <c r="AZ813" s="188"/>
      <c r="BA813" s="188"/>
      <c r="BB813" s="188"/>
      <c r="BC813" s="188"/>
    </row>
    <row r="814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  <c r="AP814" s="188"/>
      <c r="AQ814" s="188"/>
      <c r="AR814" s="188"/>
      <c r="AS814" s="188"/>
      <c r="AT814" s="188"/>
      <c r="AU814" s="188"/>
      <c r="AV814" s="188"/>
      <c r="AW814" s="188"/>
      <c r="AX814" s="188"/>
      <c r="AY814" s="188"/>
      <c r="AZ814" s="188"/>
      <c r="BA814" s="188"/>
      <c r="BB814" s="188"/>
      <c r="BC814" s="188"/>
    </row>
    <row r="815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  <c r="AP815" s="188"/>
      <c r="AQ815" s="188"/>
      <c r="AR815" s="188"/>
      <c r="AS815" s="188"/>
      <c r="AT815" s="188"/>
      <c r="AU815" s="188"/>
      <c r="AV815" s="188"/>
      <c r="AW815" s="188"/>
      <c r="AX815" s="188"/>
      <c r="AY815" s="188"/>
      <c r="AZ815" s="188"/>
      <c r="BA815" s="188"/>
      <c r="BB815" s="188"/>
      <c r="BC815" s="188"/>
    </row>
    <row r="816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  <c r="AP816" s="188"/>
      <c r="AQ816" s="188"/>
      <c r="AR816" s="188"/>
      <c r="AS816" s="188"/>
      <c r="AT816" s="188"/>
      <c r="AU816" s="188"/>
      <c r="AV816" s="188"/>
      <c r="AW816" s="188"/>
      <c r="AX816" s="188"/>
      <c r="AY816" s="188"/>
      <c r="AZ816" s="188"/>
      <c r="BA816" s="188"/>
      <c r="BB816" s="188"/>
      <c r="BC816" s="188"/>
    </row>
    <row r="817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  <c r="AP817" s="188"/>
      <c r="AQ817" s="188"/>
      <c r="AR817" s="188"/>
      <c r="AS817" s="188"/>
      <c r="AT817" s="188"/>
      <c r="AU817" s="188"/>
      <c r="AV817" s="188"/>
      <c r="AW817" s="188"/>
      <c r="AX817" s="188"/>
      <c r="AY817" s="188"/>
      <c r="AZ817" s="188"/>
      <c r="BA817" s="188"/>
      <c r="BB817" s="188"/>
      <c r="BC817" s="188"/>
    </row>
    <row r="818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  <c r="AP818" s="188"/>
      <c r="AQ818" s="188"/>
      <c r="AR818" s="188"/>
      <c r="AS818" s="188"/>
      <c r="AT818" s="188"/>
      <c r="AU818" s="188"/>
      <c r="AV818" s="188"/>
      <c r="AW818" s="188"/>
      <c r="AX818" s="188"/>
      <c r="AY818" s="188"/>
      <c r="AZ818" s="188"/>
      <c r="BA818" s="188"/>
      <c r="BB818" s="188"/>
      <c r="BC818" s="188"/>
    </row>
    <row r="819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  <c r="AP819" s="188"/>
      <c r="AQ819" s="188"/>
      <c r="AR819" s="188"/>
      <c r="AS819" s="188"/>
      <c r="AT819" s="188"/>
      <c r="AU819" s="188"/>
      <c r="AV819" s="188"/>
      <c r="AW819" s="188"/>
      <c r="AX819" s="188"/>
      <c r="AY819" s="188"/>
      <c r="AZ819" s="188"/>
      <c r="BA819" s="188"/>
      <c r="BB819" s="188"/>
      <c r="BC819" s="188"/>
    </row>
    <row r="820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  <c r="AP820" s="188"/>
      <c r="AQ820" s="188"/>
      <c r="AR820" s="188"/>
      <c r="AS820" s="188"/>
      <c r="AT820" s="188"/>
      <c r="AU820" s="188"/>
      <c r="AV820" s="188"/>
      <c r="AW820" s="188"/>
      <c r="AX820" s="188"/>
      <c r="AY820" s="188"/>
      <c r="AZ820" s="188"/>
      <c r="BA820" s="188"/>
      <c r="BB820" s="188"/>
      <c r="BC820" s="188"/>
    </row>
    <row r="82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  <c r="AP821" s="188"/>
      <c r="AQ821" s="188"/>
      <c r="AR821" s="188"/>
      <c r="AS821" s="188"/>
      <c r="AT821" s="188"/>
      <c r="AU821" s="188"/>
      <c r="AV821" s="188"/>
      <c r="AW821" s="188"/>
      <c r="AX821" s="188"/>
      <c r="AY821" s="188"/>
      <c r="AZ821" s="188"/>
      <c r="BA821" s="188"/>
      <c r="BB821" s="188"/>
      <c r="BC821" s="188"/>
    </row>
    <row r="822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  <c r="AP822" s="188"/>
      <c r="AQ822" s="188"/>
      <c r="AR822" s="188"/>
      <c r="AS822" s="188"/>
      <c r="AT822" s="188"/>
      <c r="AU822" s="188"/>
      <c r="AV822" s="188"/>
      <c r="AW822" s="188"/>
      <c r="AX822" s="188"/>
      <c r="AY822" s="188"/>
      <c r="AZ822" s="188"/>
      <c r="BA822" s="188"/>
      <c r="BB822" s="188"/>
      <c r="BC822" s="188"/>
    </row>
    <row r="823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  <c r="AP823" s="188"/>
      <c r="AQ823" s="188"/>
      <c r="AR823" s="188"/>
      <c r="AS823" s="188"/>
      <c r="AT823" s="188"/>
      <c r="AU823" s="188"/>
      <c r="AV823" s="188"/>
      <c r="AW823" s="188"/>
      <c r="AX823" s="188"/>
      <c r="AY823" s="188"/>
      <c r="AZ823" s="188"/>
      <c r="BA823" s="188"/>
      <c r="BB823" s="188"/>
      <c r="BC823" s="188"/>
    </row>
    <row r="824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  <c r="AP824" s="188"/>
      <c r="AQ824" s="188"/>
      <c r="AR824" s="188"/>
      <c r="AS824" s="188"/>
      <c r="AT824" s="188"/>
      <c r="AU824" s="188"/>
      <c r="AV824" s="188"/>
      <c r="AW824" s="188"/>
      <c r="AX824" s="188"/>
      <c r="AY824" s="188"/>
      <c r="AZ824" s="188"/>
      <c r="BA824" s="188"/>
      <c r="BB824" s="188"/>
      <c r="BC824" s="188"/>
    </row>
    <row r="825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  <c r="AP825" s="188"/>
      <c r="AQ825" s="188"/>
      <c r="AR825" s="188"/>
      <c r="AS825" s="188"/>
      <c r="AT825" s="188"/>
      <c r="AU825" s="188"/>
      <c r="AV825" s="188"/>
      <c r="AW825" s="188"/>
      <c r="AX825" s="188"/>
      <c r="AY825" s="188"/>
      <c r="AZ825" s="188"/>
      <c r="BA825" s="188"/>
      <c r="BB825" s="188"/>
      <c r="BC825" s="188"/>
    </row>
    <row r="826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  <c r="AP826" s="188"/>
      <c r="AQ826" s="188"/>
      <c r="AR826" s="188"/>
      <c r="AS826" s="188"/>
      <c r="AT826" s="188"/>
      <c r="AU826" s="188"/>
      <c r="AV826" s="188"/>
      <c r="AW826" s="188"/>
      <c r="AX826" s="188"/>
      <c r="AY826" s="188"/>
      <c r="AZ826" s="188"/>
      <c r="BA826" s="188"/>
      <c r="BB826" s="188"/>
      <c r="BC826" s="188"/>
    </row>
    <row r="827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  <c r="AP827" s="188"/>
      <c r="AQ827" s="188"/>
      <c r="AR827" s="188"/>
      <c r="AS827" s="188"/>
      <c r="AT827" s="188"/>
      <c r="AU827" s="188"/>
      <c r="AV827" s="188"/>
      <c r="AW827" s="188"/>
      <c r="AX827" s="188"/>
      <c r="AY827" s="188"/>
      <c r="AZ827" s="188"/>
      <c r="BA827" s="188"/>
      <c r="BB827" s="188"/>
      <c r="BC827" s="188"/>
    </row>
    <row r="828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  <c r="AP828" s="188"/>
      <c r="AQ828" s="188"/>
      <c r="AR828" s="188"/>
      <c r="AS828" s="188"/>
      <c r="AT828" s="188"/>
      <c r="AU828" s="188"/>
      <c r="AV828" s="188"/>
      <c r="AW828" s="188"/>
      <c r="AX828" s="188"/>
      <c r="AY828" s="188"/>
      <c r="AZ828" s="188"/>
      <c r="BA828" s="188"/>
      <c r="BB828" s="188"/>
      <c r="BC828" s="188"/>
    </row>
    <row r="829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  <c r="AP829" s="188"/>
      <c r="AQ829" s="188"/>
      <c r="AR829" s="188"/>
      <c r="AS829" s="188"/>
      <c r="AT829" s="188"/>
      <c r="AU829" s="188"/>
      <c r="AV829" s="188"/>
      <c r="AW829" s="188"/>
      <c r="AX829" s="188"/>
      <c r="AY829" s="188"/>
      <c r="AZ829" s="188"/>
      <c r="BA829" s="188"/>
      <c r="BB829" s="188"/>
      <c r="BC829" s="188"/>
    </row>
    <row r="830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  <c r="AP830" s="188"/>
      <c r="AQ830" s="188"/>
      <c r="AR830" s="188"/>
      <c r="AS830" s="188"/>
      <c r="AT830" s="188"/>
      <c r="AU830" s="188"/>
      <c r="AV830" s="188"/>
      <c r="AW830" s="188"/>
      <c r="AX830" s="188"/>
      <c r="AY830" s="188"/>
      <c r="AZ830" s="188"/>
      <c r="BA830" s="188"/>
      <c r="BB830" s="188"/>
      <c r="BC830" s="188"/>
    </row>
    <row r="83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  <c r="AP831" s="188"/>
      <c r="AQ831" s="188"/>
      <c r="AR831" s="188"/>
      <c r="AS831" s="188"/>
      <c r="AT831" s="188"/>
      <c r="AU831" s="188"/>
      <c r="AV831" s="188"/>
      <c r="AW831" s="188"/>
      <c r="AX831" s="188"/>
      <c r="AY831" s="188"/>
      <c r="AZ831" s="188"/>
      <c r="BA831" s="188"/>
      <c r="BB831" s="188"/>
      <c r="BC831" s="188"/>
    </row>
    <row r="832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  <c r="AP832" s="188"/>
      <c r="AQ832" s="188"/>
      <c r="AR832" s="188"/>
      <c r="AS832" s="188"/>
      <c r="AT832" s="188"/>
      <c r="AU832" s="188"/>
      <c r="AV832" s="188"/>
      <c r="AW832" s="188"/>
      <c r="AX832" s="188"/>
      <c r="AY832" s="188"/>
      <c r="AZ832" s="188"/>
      <c r="BA832" s="188"/>
      <c r="BB832" s="188"/>
      <c r="BC832" s="188"/>
    </row>
    <row r="833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  <c r="AP833" s="188"/>
      <c r="AQ833" s="188"/>
      <c r="AR833" s="188"/>
      <c r="AS833" s="188"/>
      <c r="AT833" s="188"/>
      <c r="AU833" s="188"/>
      <c r="AV833" s="188"/>
      <c r="AW833" s="188"/>
      <c r="AX833" s="188"/>
      <c r="AY833" s="188"/>
      <c r="AZ833" s="188"/>
      <c r="BA833" s="188"/>
      <c r="BB833" s="188"/>
      <c r="BC833" s="188"/>
    </row>
    <row r="834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  <c r="AP834" s="188"/>
      <c r="AQ834" s="188"/>
      <c r="AR834" s="188"/>
      <c r="AS834" s="188"/>
      <c r="AT834" s="188"/>
      <c r="AU834" s="188"/>
      <c r="AV834" s="188"/>
      <c r="AW834" s="188"/>
      <c r="AX834" s="188"/>
      <c r="AY834" s="188"/>
      <c r="AZ834" s="188"/>
      <c r="BA834" s="188"/>
      <c r="BB834" s="188"/>
      <c r="BC834" s="188"/>
    </row>
    <row r="835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  <c r="AP835" s="188"/>
      <c r="AQ835" s="188"/>
      <c r="AR835" s="188"/>
      <c r="AS835" s="188"/>
      <c r="AT835" s="188"/>
      <c r="AU835" s="188"/>
      <c r="AV835" s="188"/>
      <c r="AW835" s="188"/>
      <c r="AX835" s="188"/>
      <c r="AY835" s="188"/>
      <c r="AZ835" s="188"/>
      <c r="BA835" s="188"/>
      <c r="BB835" s="188"/>
      <c r="BC835" s="188"/>
    </row>
    <row r="836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  <c r="AP836" s="188"/>
      <c r="AQ836" s="188"/>
      <c r="AR836" s="188"/>
      <c r="AS836" s="188"/>
      <c r="AT836" s="188"/>
      <c r="AU836" s="188"/>
      <c r="AV836" s="188"/>
      <c r="AW836" s="188"/>
      <c r="AX836" s="188"/>
      <c r="AY836" s="188"/>
      <c r="AZ836" s="188"/>
      <c r="BA836" s="188"/>
      <c r="BB836" s="188"/>
      <c r="BC836" s="188"/>
    </row>
    <row r="837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  <c r="AP837" s="188"/>
      <c r="AQ837" s="188"/>
      <c r="AR837" s="188"/>
      <c r="AS837" s="188"/>
      <c r="AT837" s="188"/>
      <c r="AU837" s="188"/>
      <c r="AV837" s="188"/>
      <c r="AW837" s="188"/>
      <c r="AX837" s="188"/>
      <c r="AY837" s="188"/>
      <c r="AZ837" s="188"/>
      <c r="BA837" s="188"/>
      <c r="BB837" s="188"/>
      <c r="BC837" s="188"/>
    </row>
    <row r="838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  <c r="AP838" s="188"/>
      <c r="AQ838" s="188"/>
      <c r="AR838" s="188"/>
      <c r="AS838" s="188"/>
      <c r="AT838" s="188"/>
      <c r="AU838" s="188"/>
      <c r="AV838" s="188"/>
      <c r="AW838" s="188"/>
      <c r="AX838" s="188"/>
      <c r="AY838" s="188"/>
      <c r="AZ838" s="188"/>
      <c r="BA838" s="188"/>
      <c r="BB838" s="188"/>
      <c r="BC838" s="188"/>
    </row>
    <row r="839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  <c r="AP839" s="188"/>
      <c r="AQ839" s="188"/>
      <c r="AR839" s="188"/>
      <c r="AS839" s="188"/>
      <c r="AT839" s="188"/>
      <c r="AU839" s="188"/>
      <c r="AV839" s="188"/>
      <c r="AW839" s="188"/>
      <c r="AX839" s="188"/>
      <c r="AY839" s="188"/>
      <c r="AZ839" s="188"/>
      <c r="BA839" s="188"/>
      <c r="BB839" s="188"/>
      <c r="BC839" s="188"/>
    </row>
    <row r="840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  <c r="AP840" s="188"/>
      <c r="AQ840" s="188"/>
      <c r="AR840" s="188"/>
      <c r="AS840" s="188"/>
      <c r="AT840" s="188"/>
      <c r="AU840" s="188"/>
      <c r="AV840" s="188"/>
      <c r="AW840" s="188"/>
      <c r="AX840" s="188"/>
      <c r="AY840" s="188"/>
      <c r="AZ840" s="188"/>
      <c r="BA840" s="188"/>
      <c r="BB840" s="188"/>
      <c r="BC840" s="188"/>
    </row>
    <row r="84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  <c r="AP841" s="188"/>
      <c r="AQ841" s="188"/>
      <c r="AR841" s="188"/>
      <c r="AS841" s="188"/>
      <c r="AT841" s="188"/>
      <c r="AU841" s="188"/>
      <c r="AV841" s="188"/>
      <c r="AW841" s="188"/>
      <c r="AX841" s="188"/>
      <c r="AY841" s="188"/>
      <c r="AZ841" s="188"/>
      <c r="BA841" s="188"/>
      <c r="BB841" s="188"/>
      <c r="BC841" s="188"/>
    </row>
    <row r="842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  <c r="AP842" s="188"/>
      <c r="AQ842" s="188"/>
      <c r="AR842" s="188"/>
      <c r="AS842" s="188"/>
      <c r="AT842" s="188"/>
      <c r="AU842" s="188"/>
      <c r="AV842" s="188"/>
      <c r="AW842" s="188"/>
      <c r="AX842" s="188"/>
      <c r="AY842" s="188"/>
      <c r="AZ842" s="188"/>
      <c r="BA842" s="188"/>
      <c r="BB842" s="188"/>
      <c r="BC842" s="188"/>
    </row>
    <row r="843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  <c r="AP843" s="188"/>
      <c r="AQ843" s="188"/>
      <c r="AR843" s="188"/>
      <c r="AS843" s="188"/>
      <c r="AT843" s="188"/>
      <c r="AU843" s="188"/>
      <c r="AV843" s="188"/>
      <c r="AW843" s="188"/>
      <c r="AX843" s="188"/>
      <c r="AY843" s="188"/>
      <c r="AZ843" s="188"/>
      <c r="BA843" s="188"/>
      <c r="BB843" s="188"/>
      <c r="BC843" s="188"/>
    </row>
    <row r="844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  <c r="AP844" s="188"/>
      <c r="AQ844" s="188"/>
      <c r="AR844" s="188"/>
      <c r="AS844" s="188"/>
      <c r="AT844" s="188"/>
      <c r="AU844" s="188"/>
      <c r="AV844" s="188"/>
      <c r="AW844" s="188"/>
      <c r="AX844" s="188"/>
      <c r="AY844" s="188"/>
      <c r="AZ844" s="188"/>
      <c r="BA844" s="188"/>
      <c r="BB844" s="188"/>
      <c r="BC844" s="188"/>
    </row>
    <row r="845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  <c r="AP845" s="188"/>
      <c r="AQ845" s="188"/>
      <c r="AR845" s="188"/>
      <c r="AS845" s="188"/>
      <c r="AT845" s="188"/>
      <c r="AU845" s="188"/>
      <c r="AV845" s="188"/>
      <c r="AW845" s="188"/>
      <c r="AX845" s="188"/>
      <c r="AY845" s="188"/>
      <c r="AZ845" s="188"/>
      <c r="BA845" s="188"/>
      <c r="BB845" s="188"/>
      <c r="BC845" s="188"/>
    </row>
    <row r="846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  <c r="AP846" s="188"/>
      <c r="AQ846" s="188"/>
      <c r="AR846" s="188"/>
      <c r="AS846" s="188"/>
      <c r="AT846" s="188"/>
      <c r="AU846" s="188"/>
      <c r="AV846" s="188"/>
      <c r="AW846" s="188"/>
      <c r="AX846" s="188"/>
      <c r="AY846" s="188"/>
      <c r="AZ846" s="188"/>
      <c r="BA846" s="188"/>
      <c r="BB846" s="188"/>
      <c r="BC846" s="188"/>
    </row>
    <row r="847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  <c r="AP847" s="188"/>
      <c r="AQ847" s="188"/>
      <c r="AR847" s="188"/>
      <c r="AS847" s="188"/>
      <c r="AT847" s="188"/>
      <c r="AU847" s="188"/>
      <c r="AV847" s="188"/>
      <c r="AW847" s="188"/>
      <c r="AX847" s="188"/>
      <c r="AY847" s="188"/>
      <c r="AZ847" s="188"/>
      <c r="BA847" s="188"/>
      <c r="BB847" s="188"/>
      <c r="BC847" s="188"/>
    </row>
    <row r="848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  <c r="AP848" s="188"/>
      <c r="AQ848" s="188"/>
      <c r="AR848" s="188"/>
      <c r="AS848" s="188"/>
      <c r="AT848" s="188"/>
      <c r="AU848" s="188"/>
      <c r="AV848" s="188"/>
      <c r="AW848" s="188"/>
      <c r="AX848" s="188"/>
      <c r="AY848" s="188"/>
      <c r="AZ848" s="188"/>
      <c r="BA848" s="188"/>
      <c r="BB848" s="188"/>
      <c r="BC848" s="188"/>
    </row>
    <row r="849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  <c r="AP849" s="188"/>
      <c r="AQ849" s="188"/>
      <c r="AR849" s="188"/>
      <c r="AS849" s="188"/>
      <c r="AT849" s="188"/>
      <c r="AU849" s="188"/>
      <c r="AV849" s="188"/>
      <c r="AW849" s="188"/>
      <c r="AX849" s="188"/>
      <c r="AY849" s="188"/>
      <c r="AZ849" s="188"/>
      <c r="BA849" s="188"/>
      <c r="BB849" s="188"/>
      <c r="BC849" s="188"/>
    </row>
    <row r="850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  <c r="AP850" s="188"/>
      <c r="AQ850" s="188"/>
      <c r="AR850" s="188"/>
      <c r="AS850" s="188"/>
      <c r="AT850" s="188"/>
      <c r="AU850" s="188"/>
      <c r="AV850" s="188"/>
      <c r="AW850" s="188"/>
      <c r="AX850" s="188"/>
      <c r="AY850" s="188"/>
      <c r="AZ850" s="188"/>
      <c r="BA850" s="188"/>
      <c r="BB850" s="188"/>
      <c r="BC850" s="188"/>
    </row>
    <row r="85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  <c r="AP851" s="188"/>
      <c r="AQ851" s="188"/>
      <c r="AR851" s="188"/>
      <c r="AS851" s="188"/>
      <c r="AT851" s="188"/>
      <c r="AU851" s="188"/>
      <c r="AV851" s="188"/>
      <c r="AW851" s="188"/>
      <c r="AX851" s="188"/>
      <c r="AY851" s="188"/>
      <c r="AZ851" s="188"/>
      <c r="BA851" s="188"/>
      <c r="BB851" s="188"/>
      <c r="BC851" s="188"/>
    </row>
    <row r="852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  <c r="AP852" s="188"/>
      <c r="AQ852" s="188"/>
      <c r="AR852" s="188"/>
      <c r="AS852" s="188"/>
      <c r="AT852" s="188"/>
      <c r="AU852" s="188"/>
      <c r="AV852" s="188"/>
      <c r="AW852" s="188"/>
      <c r="AX852" s="188"/>
      <c r="AY852" s="188"/>
      <c r="AZ852" s="188"/>
      <c r="BA852" s="188"/>
      <c r="BB852" s="188"/>
      <c r="BC852" s="188"/>
    </row>
    <row r="853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  <c r="AP853" s="188"/>
      <c r="AQ853" s="188"/>
      <c r="AR853" s="188"/>
      <c r="AS853" s="188"/>
      <c r="AT853" s="188"/>
      <c r="AU853" s="188"/>
      <c r="AV853" s="188"/>
      <c r="AW853" s="188"/>
      <c r="AX853" s="188"/>
      <c r="AY853" s="188"/>
      <c r="AZ853" s="188"/>
      <c r="BA853" s="188"/>
      <c r="BB853" s="188"/>
      <c r="BC853" s="188"/>
    </row>
    <row r="854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  <c r="AP854" s="188"/>
      <c r="AQ854" s="188"/>
      <c r="AR854" s="188"/>
      <c r="AS854" s="188"/>
      <c r="AT854" s="188"/>
      <c r="AU854" s="188"/>
      <c r="AV854" s="188"/>
      <c r="AW854" s="188"/>
      <c r="AX854" s="188"/>
      <c r="AY854" s="188"/>
      <c r="AZ854" s="188"/>
      <c r="BA854" s="188"/>
      <c r="BB854" s="188"/>
      <c r="BC854" s="188"/>
    </row>
    <row r="855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  <c r="AP855" s="188"/>
      <c r="AQ855" s="188"/>
      <c r="AR855" s="188"/>
      <c r="AS855" s="188"/>
      <c r="AT855" s="188"/>
      <c r="AU855" s="188"/>
      <c r="AV855" s="188"/>
      <c r="AW855" s="188"/>
      <c r="AX855" s="188"/>
      <c r="AY855" s="188"/>
      <c r="AZ855" s="188"/>
      <c r="BA855" s="188"/>
      <c r="BB855" s="188"/>
      <c r="BC855" s="188"/>
    </row>
    <row r="856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  <c r="AP856" s="188"/>
      <c r="AQ856" s="188"/>
      <c r="AR856" s="188"/>
      <c r="AS856" s="188"/>
      <c r="AT856" s="188"/>
      <c r="AU856" s="188"/>
      <c r="AV856" s="188"/>
      <c r="AW856" s="188"/>
      <c r="AX856" s="188"/>
      <c r="AY856" s="188"/>
      <c r="AZ856" s="188"/>
      <c r="BA856" s="188"/>
      <c r="BB856" s="188"/>
      <c r="BC856" s="188"/>
    </row>
    <row r="857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  <c r="AP857" s="188"/>
      <c r="AQ857" s="188"/>
      <c r="AR857" s="188"/>
      <c r="AS857" s="188"/>
      <c r="AT857" s="188"/>
      <c r="AU857" s="188"/>
      <c r="AV857" s="188"/>
      <c r="AW857" s="188"/>
      <c r="AX857" s="188"/>
      <c r="AY857" s="188"/>
      <c r="AZ857" s="188"/>
      <c r="BA857" s="188"/>
      <c r="BB857" s="188"/>
      <c r="BC857" s="188"/>
    </row>
    <row r="858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  <c r="AR858" s="188"/>
      <c r="AS858" s="188"/>
      <c r="AT858" s="188"/>
      <c r="AU858" s="188"/>
      <c r="AV858" s="188"/>
      <c r="AW858" s="188"/>
      <c r="AX858" s="188"/>
      <c r="AY858" s="188"/>
      <c r="AZ858" s="188"/>
      <c r="BA858" s="188"/>
      <c r="BB858" s="188"/>
      <c r="BC858" s="188"/>
    </row>
    <row r="859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  <c r="AR859" s="188"/>
      <c r="AS859" s="188"/>
      <c r="AT859" s="188"/>
      <c r="AU859" s="188"/>
      <c r="AV859" s="188"/>
      <c r="AW859" s="188"/>
      <c r="AX859" s="188"/>
      <c r="AY859" s="188"/>
      <c r="AZ859" s="188"/>
      <c r="BA859" s="188"/>
      <c r="BB859" s="188"/>
      <c r="BC859" s="188"/>
    </row>
    <row r="860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  <c r="AR860" s="188"/>
      <c r="AS860" s="188"/>
      <c r="AT860" s="188"/>
      <c r="AU860" s="188"/>
      <c r="AV860" s="188"/>
      <c r="AW860" s="188"/>
      <c r="AX860" s="188"/>
      <c r="AY860" s="188"/>
      <c r="AZ860" s="188"/>
      <c r="BA860" s="188"/>
      <c r="BB860" s="188"/>
      <c r="BC860" s="188"/>
    </row>
    <row r="86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  <c r="AR861" s="188"/>
      <c r="AS861" s="188"/>
      <c r="AT861" s="188"/>
      <c r="AU861" s="188"/>
      <c r="AV861" s="188"/>
      <c r="AW861" s="188"/>
      <c r="AX861" s="188"/>
      <c r="AY861" s="188"/>
      <c r="AZ861" s="188"/>
      <c r="BA861" s="188"/>
      <c r="BB861" s="188"/>
      <c r="BC861" s="188"/>
    </row>
    <row r="862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  <c r="AP862" s="188"/>
      <c r="AQ862" s="188"/>
      <c r="AR862" s="188"/>
      <c r="AS862" s="188"/>
      <c r="AT862" s="188"/>
      <c r="AU862" s="188"/>
      <c r="AV862" s="188"/>
      <c r="AW862" s="188"/>
      <c r="AX862" s="188"/>
      <c r="AY862" s="188"/>
      <c r="AZ862" s="188"/>
      <c r="BA862" s="188"/>
      <c r="BB862" s="188"/>
      <c r="BC862" s="188"/>
    </row>
    <row r="863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  <c r="AP863" s="188"/>
      <c r="AQ863" s="188"/>
      <c r="AR863" s="188"/>
      <c r="AS863" s="188"/>
      <c r="AT863" s="188"/>
      <c r="AU863" s="188"/>
      <c r="AV863" s="188"/>
      <c r="AW863" s="188"/>
      <c r="AX863" s="188"/>
      <c r="AY863" s="188"/>
      <c r="AZ863" s="188"/>
      <c r="BA863" s="188"/>
      <c r="BB863" s="188"/>
      <c r="BC863" s="188"/>
    </row>
    <row r="864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  <c r="AP864" s="188"/>
      <c r="AQ864" s="188"/>
      <c r="AR864" s="188"/>
      <c r="AS864" s="188"/>
      <c r="AT864" s="188"/>
      <c r="AU864" s="188"/>
      <c r="AV864" s="188"/>
      <c r="AW864" s="188"/>
      <c r="AX864" s="188"/>
      <c r="AY864" s="188"/>
      <c r="AZ864" s="188"/>
      <c r="BA864" s="188"/>
      <c r="BB864" s="188"/>
      <c r="BC864" s="188"/>
    </row>
    <row r="865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  <c r="AR865" s="188"/>
      <c r="AS865" s="188"/>
      <c r="AT865" s="188"/>
      <c r="AU865" s="188"/>
      <c r="AV865" s="188"/>
      <c r="AW865" s="188"/>
      <c r="AX865" s="188"/>
      <c r="AY865" s="188"/>
      <c r="AZ865" s="188"/>
      <c r="BA865" s="188"/>
      <c r="BB865" s="188"/>
      <c r="BC865" s="188"/>
    </row>
    <row r="866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  <c r="AP866" s="188"/>
      <c r="AQ866" s="188"/>
      <c r="AR866" s="188"/>
      <c r="AS866" s="188"/>
      <c r="AT866" s="188"/>
      <c r="AU866" s="188"/>
      <c r="AV866" s="188"/>
      <c r="AW866" s="188"/>
      <c r="AX866" s="188"/>
      <c r="AY866" s="188"/>
      <c r="AZ866" s="188"/>
      <c r="BA866" s="188"/>
      <c r="BB866" s="188"/>
      <c r="BC866" s="188"/>
    </row>
    <row r="867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  <c r="AP867" s="188"/>
      <c r="AQ867" s="188"/>
      <c r="AR867" s="188"/>
      <c r="AS867" s="188"/>
      <c r="AT867" s="188"/>
      <c r="AU867" s="188"/>
      <c r="AV867" s="188"/>
      <c r="AW867" s="188"/>
      <c r="AX867" s="188"/>
      <c r="AY867" s="188"/>
      <c r="AZ867" s="188"/>
      <c r="BA867" s="188"/>
      <c r="BB867" s="188"/>
      <c r="BC867" s="188"/>
    </row>
    <row r="868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  <c r="AP868" s="188"/>
      <c r="AQ868" s="188"/>
      <c r="AR868" s="188"/>
      <c r="AS868" s="188"/>
      <c r="AT868" s="188"/>
      <c r="AU868" s="188"/>
      <c r="AV868" s="188"/>
      <c r="AW868" s="188"/>
      <c r="AX868" s="188"/>
      <c r="AY868" s="188"/>
      <c r="AZ868" s="188"/>
      <c r="BA868" s="188"/>
      <c r="BB868" s="188"/>
      <c r="BC868" s="188"/>
    </row>
    <row r="869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  <c r="AP869" s="188"/>
      <c r="AQ869" s="188"/>
      <c r="AR869" s="188"/>
      <c r="AS869" s="188"/>
      <c r="AT869" s="188"/>
      <c r="AU869" s="188"/>
      <c r="AV869" s="188"/>
      <c r="AW869" s="188"/>
      <c r="AX869" s="188"/>
      <c r="AY869" s="188"/>
      <c r="AZ869" s="188"/>
      <c r="BA869" s="188"/>
      <c r="BB869" s="188"/>
      <c r="BC869" s="188"/>
    </row>
    <row r="870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  <c r="AP870" s="188"/>
      <c r="AQ870" s="188"/>
      <c r="AR870" s="188"/>
      <c r="AS870" s="188"/>
      <c r="AT870" s="188"/>
      <c r="AU870" s="188"/>
      <c r="AV870" s="188"/>
      <c r="AW870" s="188"/>
      <c r="AX870" s="188"/>
      <c r="AY870" s="188"/>
      <c r="AZ870" s="188"/>
      <c r="BA870" s="188"/>
      <c r="BB870" s="188"/>
      <c r="BC870" s="188"/>
    </row>
    <row r="87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  <c r="AP871" s="188"/>
      <c r="AQ871" s="188"/>
      <c r="AR871" s="188"/>
      <c r="AS871" s="188"/>
      <c r="AT871" s="188"/>
      <c r="AU871" s="188"/>
      <c r="AV871" s="188"/>
      <c r="AW871" s="188"/>
      <c r="AX871" s="188"/>
      <c r="AY871" s="188"/>
      <c r="AZ871" s="188"/>
      <c r="BA871" s="188"/>
      <c r="BB871" s="188"/>
      <c r="BC871" s="188"/>
    </row>
    <row r="872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  <c r="AP872" s="188"/>
      <c r="AQ872" s="188"/>
      <c r="AR872" s="188"/>
      <c r="AS872" s="188"/>
      <c r="AT872" s="188"/>
      <c r="AU872" s="188"/>
      <c r="AV872" s="188"/>
      <c r="AW872" s="188"/>
      <c r="AX872" s="188"/>
      <c r="AY872" s="188"/>
      <c r="AZ872" s="188"/>
      <c r="BA872" s="188"/>
      <c r="BB872" s="188"/>
      <c r="BC872" s="188"/>
    </row>
    <row r="873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  <c r="AP873" s="188"/>
      <c r="AQ873" s="188"/>
      <c r="AR873" s="188"/>
      <c r="AS873" s="188"/>
      <c r="AT873" s="188"/>
      <c r="AU873" s="188"/>
      <c r="AV873" s="188"/>
      <c r="AW873" s="188"/>
      <c r="AX873" s="188"/>
      <c r="AY873" s="188"/>
      <c r="AZ873" s="188"/>
      <c r="BA873" s="188"/>
      <c r="BB873" s="188"/>
      <c r="BC873" s="188"/>
    </row>
    <row r="874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  <c r="AU874" s="188"/>
      <c r="AV874" s="188"/>
      <c r="AW874" s="188"/>
      <c r="AX874" s="188"/>
      <c r="AY874" s="188"/>
      <c r="AZ874" s="188"/>
      <c r="BA874" s="188"/>
      <c r="BB874" s="188"/>
      <c r="BC874" s="188"/>
    </row>
    <row r="875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  <c r="AP875" s="188"/>
      <c r="AQ875" s="188"/>
      <c r="AR875" s="188"/>
      <c r="AS875" s="188"/>
      <c r="AT875" s="188"/>
      <c r="AU875" s="188"/>
      <c r="AV875" s="188"/>
      <c r="AW875" s="188"/>
      <c r="AX875" s="188"/>
      <c r="AY875" s="188"/>
      <c r="AZ875" s="188"/>
      <c r="BA875" s="188"/>
      <c r="BB875" s="188"/>
      <c r="BC875" s="188"/>
    </row>
    <row r="876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  <c r="AP876" s="188"/>
      <c r="AQ876" s="188"/>
      <c r="AR876" s="188"/>
      <c r="AS876" s="188"/>
      <c r="AT876" s="188"/>
      <c r="AU876" s="188"/>
      <c r="AV876" s="188"/>
      <c r="AW876" s="188"/>
      <c r="AX876" s="188"/>
      <c r="AY876" s="188"/>
      <c r="AZ876" s="188"/>
      <c r="BA876" s="188"/>
      <c r="BB876" s="188"/>
      <c r="BC876" s="188"/>
    </row>
    <row r="877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  <c r="AP877" s="188"/>
      <c r="AQ877" s="188"/>
      <c r="AR877" s="188"/>
      <c r="AS877" s="188"/>
      <c r="AT877" s="188"/>
      <c r="AU877" s="188"/>
      <c r="AV877" s="188"/>
      <c r="AW877" s="188"/>
      <c r="AX877" s="188"/>
      <c r="AY877" s="188"/>
      <c r="AZ877" s="188"/>
      <c r="BA877" s="188"/>
      <c r="BB877" s="188"/>
      <c r="BC877" s="188"/>
    </row>
    <row r="878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  <c r="AP878" s="188"/>
      <c r="AQ878" s="188"/>
      <c r="AR878" s="188"/>
      <c r="AS878" s="188"/>
      <c r="AT878" s="188"/>
      <c r="AU878" s="188"/>
      <c r="AV878" s="188"/>
      <c r="AW878" s="188"/>
      <c r="AX878" s="188"/>
      <c r="AY878" s="188"/>
      <c r="AZ878" s="188"/>
      <c r="BA878" s="188"/>
      <c r="BB878" s="188"/>
      <c r="BC878" s="188"/>
    </row>
    <row r="879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  <c r="AP879" s="188"/>
      <c r="AQ879" s="188"/>
      <c r="AR879" s="188"/>
      <c r="AS879" s="188"/>
      <c r="AT879" s="188"/>
      <c r="AU879" s="188"/>
      <c r="AV879" s="188"/>
      <c r="AW879" s="188"/>
      <c r="AX879" s="188"/>
      <c r="AY879" s="188"/>
      <c r="AZ879" s="188"/>
      <c r="BA879" s="188"/>
      <c r="BB879" s="188"/>
      <c r="BC879" s="188"/>
    </row>
    <row r="880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  <c r="AP880" s="188"/>
      <c r="AQ880" s="188"/>
      <c r="AR880" s="188"/>
      <c r="AS880" s="188"/>
      <c r="AT880" s="188"/>
      <c r="AU880" s="188"/>
      <c r="AV880" s="188"/>
      <c r="AW880" s="188"/>
      <c r="AX880" s="188"/>
      <c r="AY880" s="188"/>
      <c r="AZ880" s="188"/>
      <c r="BA880" s="188"/>
      <c r="BB880" s="188"/>
      <c r="BC880" s="188"/>
    </row>
    <row r="88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  <c r="AP881" s="188"/>
      <c r="AQ881" s="188"/>
      <c r="AR881" s="188"/>
      <c r="AS881" s="188"/>
      <c r="AT881" s="188"/>
      <c r="AU881" s="188"/>
      <c r="AV881" s="188"/>
      <c r="AW881" s="188"/>
      <c r="AX881" s="188"/>
      <c r="AY881" s="188"/>
      <c r="AZ881" s="188"/>
      <c r="BA881" s="188"/>
      <c r="BB881" s="188"/>
      <c r="BC881" s="188"/>
    </row>
    <row r="882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  <c r="AP882" s="188"/>
      <c r="AQ882" s="188"/>
      <c r="AR882" s="188"/>
      <c r="AS882" s="188"/>
      <c r="AT882" s="188"/>
      <c r="AU882" s="188"/>
      <c r="AV882" s="188"/>
      <c r="AW882" s="188"/>
      <c r="AX882" s="188"/>
      <c r="AY882" s="188"/>
      <c r="AZ882" s="188"/>
      <c r="BA882" s="188"/>
      <c r="BB882" s="188"/>
      <c r="BC882" s="188"/>
    </row>
    <row r="883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  <c r="AP883" s="188"/>
      <c r="AQ883" s="188"/>
      <c r="AR883" s="188"/>
      <c r="AS883" s="188"/>
      <c r="AT883" s="188"/>
      <c r="AU883" s="188"/>
      <c r="AV883" s="188"/>
      <c r="AW883" s="188"/>
      <c r="AX883" s="188"/>
      <c r="AY883" s="188"/>
      <c r="AZ883" s="188"/>
      <c r="BA883" s="188"/>
      <c r="BB883" s="188"/>
      <c r="BC883" s="188"/>
    </row>
    <row r="884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  <c r="AP884" s="188"/>
      <c r="AQ884" s="188"/>
      <c r="AR884" s="188"/>
      <c r="AS884" s="188"/>
      <c r="AT884" s="188"/>
      <c r="AU884" s="188"/>
      <c r="AV884" s="188"/>
      <c r="AW884" s="188"/>
      <c r="AX884" s="188"/>
      <c r="AY884" s="188"/>
      <c r="AZ884" s="188"/>
      <c r="BA884" s="188"/>
      <c r="BB884" s="188"/>
      <c r="BC884" s="188"/>
    </row>
    <row r="885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  <c r="AP885" s="188"/>
      <c r="AQ885" s="188"/>
      <c r="AR885" s="188"/>
      <c r="AS885" s="188"/>
      <c r="AT885" s="188"/>
      <c r="AU885" s="188"/>
      <c r="AV885" s="188"/>
      <c r="AW885" s="188"/>
      <c r="AX885" s="188"/>
      <c r="AY885" s="188"/>
      <c r="AZ885" s="188"/>
      <c r="BA885" s="188"/>
      <c r="BB885" s="188"/>
      <c r="BC885" s="188"/>
    </row>
    <row r="886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  <c r="AP886" s="188"/>
      <c r="AQ886" s="188"/>
      <c r="AR886" s="188"/>
      <c r="AS886" s="188"/>
      <c r="AT886" s="188"/>
      <c r="AU886" s="188"/>
      <c r="AV886" s="188"/>
      <c r="AW886" s="188"/>
      <c r="AX886" s="188"/>
      <c r="AY886" s="188"/>
      <c r="AZ886" s="188"/>
      <c r="BA886" s="188"/>
      <c r="BB886" s="188"/>
      <c r="BC886" s="188"/>
    </row>
    <row r="887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  <c r="AP887" s="188"/>
      <c r="AQ887" s="188"/>
      <c r="AR887" s="188"/>
      <c r="AS887" s="188"/>
      <c r="AT887" s="188"/>
      <c r="AU887" s="188"/>
      <c r="AV887" s="188"/>
      <c r="AW887" s="188"/>
      <c r="AX887" s="188"/>
      <c r="AY887" s="188"/>
      <c r="AZ887" s="188"/>
      <c r="BA887" s="188"/>
      <c r="BB887" s="188"/>
      <c r="BC887" s="188"/>
    </row>
    <row r="888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  <c r="AP888" s="188"/>
      <c r="AQ888" s="188"/>
      <c r="AR888" s="188"/>
      <c r="AS888" s="188"/>
      <c r="AT888" s="188"/>
      <c r="AU888" s="188"/>
      <c r="AV888" s="188"/>
      <c r="AW888" s="188"/>
      <c r="AX888" s="188"/>
      <c r="AY888" s="188"/>
      <c r="AZ888" s="188"/>
      <c r="BA888" s="188"/>
      <c r="BB888" s="188"/>
      <c r="BC888" s="188"/>
    </row>
    <row r="889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  <c r="AP889" s="188"/>
      <c r="AQ889" s="188"/>
      <c r="AR889" s="188"/>
      <c r="AS889" s="188"/>
      <c r="AT889" s="188"/>
      <c r="AU889" s="188"/>
      <c r="AV889" s="188"/>
      <c r="AW889" s="188"/>
      <c r="AX889" s="188"/>
      <c r="AY889" s="188"/>
      <c r="AZ889" s="188"/>
      <c r="BA889" s="188"/>
      <c r="BB889" s="188"/>
      <c r="BC889" s="188"/>
    </row>
    <row r="890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  <c r="AP890" s="188"/>
      <c r="AQ890" s="188"/>
      <c r="AR890" s="188"/>
      <c r="AS890" s="188"/>
      <c r="AT890" s="188"/>
      <c r="AU890" s="188"/>
      <c r="AV890" s="188"/>
      <c r="AW890" s="188"/>
      <c r="AX890" s="188"/>
      <c r="AY890" s="188"/>
      <c r="AZ890" s="188"/>
      <c r="BA890" s="188"/>
      <c r="BB890" s="188"/>
      <c r="BC890" s="188"/>
    </row>
    <row r="89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  <c r="AP891" s="188"/>
      <c r="AQ891" s="188"/>
      <c r="AR891" s="188"/>
      <c r="AS891" s="188"/>
      <c r="AT891" s="188"/>
      <c r="AU891" s="188"/>
      <c r="AV891" s="188"/>
      <c r="AW891" s="188"/>
      <c r="AX891" s="188"/>
      <c r="AY891" s="188"/>
      <c r="AZ891" s="188"/>
      <c r="BA891" s="188"/>
      <c r="BB891" s="188"/>
      <c r="BC891" s="188"/>
    </row>
    <row r="892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  <c r="AP892" s="188"/>
      <c r="AQ892" s="188"/>
      <c r="AR892" s="188"/>
      <c r="AS892" s="188"/>
      <c r="AT892" s="188"/>
      <c r="AU892" s="188"/>
      <c r="AV892" s="188"/>
      <c r="AW892" s="188"/>
      <c r="AX892" s="188"/>
      <c r="AY892" s="188"/>
      <c r="AZ892" s="188"/>
      <c r="BA892" s="188"/>
      <c r="BB892" s="188"/>
      <c r="BC892" s="188"/>
    </row>
    <row r="893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  <c r="AP893" s="188"/>
      <c r="AQ893" s="188"/>
      <c r="AR893" s="188"/>
      <c r="AS893" s="188"/>
      <c r="AT893" s="188"/>
      <c r="AU893" s="188"/>
      <c r="AV893" s="188"/>
      <c r="AW893" s="188"/>
      <c r="AX893" s="188"/>
      <c r="AY893" s="188"/>
      <c r="AZ893" s="188"/>
      <c r="BA893" s="188"/>
      <c r="BB893" s="188"/>
      <c r="BC893" s="188"/>
    </row>
    <row r="894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  <c r="AP894" s="188"/>
      <c r="AQ894" s="188"/>
      <c r="AR894" s="188"/>
      <c r="AS894" s="188"/>
      <c r="AT894" s="188"/>
      <c r="AU894" s="188"/>
      <c r="AV894" s="188"/>
      <c r="AW894" s="188"/>
      <c r="AX894" s="188"/>
      <c r="AY894" s="188"/>
      <c r="AZ894" s="188"/>
      <c r="BA894" s="188"/>
      <c r="BB894" s="188"/>
      <c r="BC894" s="188"/>
    </row>
    <row r="895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  <c r="AP895" s="188"/>
      <c r="AQ895" s="188"/>
      <c r="AR895" s="188"/>
      <c r="AS895" s="188"/>
      <c r="AT895" s="188"/>
      <c r="AU895" s="188"/>
      <c r="AV895" s="188"/>
      <c r="AW895" s="188"/>
      <c r="AX895" s="188"/>
      <c r="AY895" s="188"/>
      <c r="AZ895" s="188"/>
      <c r="BA895" s="188"/>
      <c r="BB895" s="188"/>
      <c r="BC895" s="188"/>
    </row>
    <row r="896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  <c r="AP896" s="188"/>
      <c r="AQ896" s="188"/>
      <c r="AR896" s="188"/>
      <c r="AS896" s="188"/>
      <c r="AT896" s="188"/>
      <c r="AU896" s="188"/>
      <c r="AV896" s="188"/>
      <c r="AW896" s="188"/>
      <c r="AX896" s="188"/>
      <c r="AY896" s="188"/>
      <c r="AZ896" s="188"/>
      <c r="BA896" s="188"/>
      <c r="BB896" s="188"/>
      <c r="BC896" s="188"/>
    </row>
    <row r="897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  <c r="AP897" s="188"/>
      <c r="AQ897" s="188"/>
      <c r="AR897" s="188"/>
      <c r="AS897" s="188"/>
      <c r="AT897" s="188"/>
      <c r="AU897" s="188"/>
      <c r="AV897" s="188"/>
      <c r="AW897" s="188"/>
      <c r="AX897" s="188"/>
      <c r="AY897" s="188"/>
      <c r="AZ897" s="188"/>
      <c r="BA897" s="188"/>
      <c r="BB897" s="188"/>
      <c r="BC897" s="188"/>
    </row>
    <row r="898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  <c r="AP898" s="188"/>
      <c r="AQ898" s="188"/>
      <c r="AR898" s="188"/>
      <c r="AS898" s="188"/>
      <c r="AT898" s="188"/>
      <c r="AU898" s="188"/>
      <c r="AV898" s="188"/>
      <c r="AW898" s="188"/>
      <c r="AX898" s="188"/>
      <c r="AY898" s="188"/>
      <c r="AZ898" s="188"/>
      <c r="BA898" s="188"/>
      <c r="BB898" s="188"/>
      <c r="BC898" s="188"/>
    </row>
    <row r="899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  <c r="AP899" s="188"/>
      <c r="AQ899" s="188"/>
      <c r="AR899" s="188"/>
      <c r="AS899" s="188"/>
      <c r="AT899" s="188"/>
      <c r="AU899" s="188"/>
      <c r="AV899" s="188"/>
      <c r="AW899" s="188"/>
      <c r="AX899" s="188"/>
      <c r="AY899" s="188"/>
      <c r="AZ899" s="188"/>
      <c r="BA899" s="188"/>
      <c r="BB899" s="188"/>
      <c r="BC899" s="188"/>
    </row>
    <row r="900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  <c r="AP900" s="188"/>
      <c r="AQ900" s="188"/>
      <c r="AR900" s="188"/>
      <c r="AS900" s="188"/>
      <c r="AT900" s="188"/>
      <c r="AU900" s="188"/>
      <c r="AV900" s="188"/>
      <c r="AW900" s="188"/>
      <c r="AX900" s="188"/>
      <c r="AY900" s="188"/>
      <c r="AZ900" s="188"/>
      <c r="BA900" s="188"/>
      <c r="BB900" s="188"/>
      <c r="BC900" s="188"/>
    </row>
    <row r="90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  <c r="AP901" s="188"/>
      <c r="AQ901" s="188"/>
      <c r="AR901" s="188"/>
      <c r="AS901" s="188"/>
      <c r="AT901" s="188"/>
      <c r="AU901" s="188"/>
      <c r="AV901" s="188"/>
      <c r="AW901" s="188"/>
      <c r="AX901" s="188"/>
      <c r="AY901" s="188"/>
      <c r="AZ901" s="188"/>
      <c r="BA901" s="188"/>
      <c r="BB901" s="188"/>
      <c r="BC901" s="188"/>
    </row>
    <row r="902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  <c r="AP902" s="188"/>
      <c r="AQ902" s="188"/>
      <c r="AR902" s="188"/>
      <c r="AS902" s="188"/>
      <c r="AT902" s="188"/>
      <c r="AU902" s="188"/>
      <c r="AV902" s="188"/>
      <c r="AW902" s="188"/>
      <c r="AX902" s="188"/>
      <c r="AY902" s="188"/>
      <c r="AZ902" s="188"/>
      <c r="BA902" s="188"/>
      <c r="BB902" s="188"/>
      <c r="BC902" s="188"/>
    </row>
    <row r="903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  <c r="AP903" s="188"/>
      <c r="AQ903" s="188"/>
      <c r="AR903" s="188"/>
      <c r="AS903" s="188"/>
      <c r="AT903" s="188"/>
      <c r="AU903" s="188"/>
      <c r="AV903" s="188"/>
      <c r="AW903" s="188"/>
      <c r="AX903" s="188"/>
      <c r="AY903" s="188"/>
      <c r="AZ903" s="188"/>
      <c r="BA903" s="188"/>
      <c r="BB903" s="188"/>
      <c r="BC903" s="188"/>
    </row>
    <row r="904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  <c r="AP904" s="188"/>
      <c r="AQ904" s="188"/>
      <c r="AR904" s="188"/>
      <c r="AS904" s="188"/>
      <c r="AT904" s="188"/>
      <c r="AU904" s="188"/>
      <c r="AV904" s="188"/>
      <c r="AW904" s="188"/>
      <c r="AX904" s="188"/>
      <c r="AY904" s="188"/>
      <c r="AZ904" s="188"/>
      <c r="BA904" s="188"/>
      <c r="BB904" s="188"/>
      <c r="BC904" s="188"/>
    </row>
    <row r="905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  <c r="AP905" s="188"/>
      <c r="AQ905" s="188"/>
      <c r="AR905" s="188"/>
      <c r="AS905" s="188"/>
      <c r="AT905" s="188"/>
      <c r="AU905" s="188"/>
      <c r="AV905" s="188"/>
      <c r="AW905" s="188"/>
      <c r="AX905" s="188"/>
      <c r="AY905" s="188"/>
      <c r="AZ905" s="188"/>
      <c r="BA905" s="188"/>
      <c r="BB905" s="188"/>
      <c r="BC905" s="188"/>
    </row>
    <row r="906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  <c r="AP906" s="188"/>
      <c r="AQ906" s="188"/>
      <c r="AR906" s="188"/>
      <c r="AS906" s="188"/>
      <c r="AT906" s="188"/>
      <c r="AU906" s="188"/>
      <c r="AV906" s="188"/>
      <c r="AW906" s="188"/>
      <c r="AX906" s="188"/>
      <c r="AY906" s="188"/>
      <c r="AZ906" s="188"/>
      <c r="BA906" s="188"/>
      <c r="BB906" s="188"/>
      <c r="BC906" s="188"/>
    </row>
    <row r="907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  <c r="AP907" s="188"/>
      <c r="AQ907" s="188"/>
      <c r="AR907" s="188"/>
      <c r="AS907" s="188"/>
      <c r="AT907" s="188"/>
      <c r="AU907" s="188"/>
      <c r="AV907" s="188"/>
      <c r="AW907" s="188"/>
      <c r="AX907" s="188"/>
      <c r="AY907" s="188"/>
      <c r="AZ907" s="188"/>
      <c r="BA907" s="188"/>
      <c r="BB907" s="188"/>
      <c r="BC907" s="188"/>
    </row>
    <row r="908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  <c r="AP908" s="188"/>
      <c r="AQ908" s="188"/>
      <c r="AR908" s="188"/>
      <c r="AS908" s="188"/>
      <c r="AT908" s="188"/>
      <c r="AU908" s="188"/>
      <c r="AV908" s="188"/>
      <c r="AW908" s="188"/>
      <c r="AX908" s="188"/>
      <c r="AY908" s="188"/>
      <c r="AZ908" s="188"/>
      <c r="BA908" s="188"/>
      <c r="BB908" s="188"/>
      <c r="BC908" s="188"/>
    </row>
    <row r="909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  <c r="AP909" s="188"/>
      <c r="AQ909" s="188"/>
      <c r="AR909" s="188"/>
      <c r="AS909" s="188"/>
      <c r="AT909" s="188"/>
      <c r="AU909" s="188"/>
      <c r="AV909" s="188"/>
      <c r="AW909" s="188"/>
      <c r="AX909" s="188"/>
      <c r="AY909" s="188"/>
      <c r="AZ909" s="188"/>
      <c r="BA909" s="188"/>
      <c r="BB909" s="188"/>
      <c r="BC909" s="188"/>
    </row>
    <row r="910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  <c r="AP910" s="188"/>
      <c r="AQ910" s="188"/>
      <c r="AR910" s="188"/>
      <c r="AS910" s="188"/>
      <c r="AT910" s="188"/>
      <c r="AU910" s="188"/>
      <c r="AV910" s="188"/>
      <c r="AW910" s="188"/>
      <c r="AX910" s="188"/>
      <c r="AY910" s="188"/>
      <c r="AZ910" s="188"/>
      <c r="BA910" s="188"/>
      <c r="BB910" s="188"/>
      <c r="BC910" s="188"/>
    </row>
    <row r="91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  <c r="AP911" s="188"/>
      <c r="AQ911" s="188"/>
      <c r="AR911" s="188"/>
      <c r="AS911" s="188"/>
      <c r="AT911" s="188"/>
      <c r="AU911" s="188"/>
      <c r="AV911" s="188"/>
      <c r="AW911" s="188"/>
      <c r="AX911" s="188"/>
      <c r="AY911" s="188"/>
      <c r="AZ911" s="188"/>
      <c r="BA911" s="188"/>
      <c r="BB911" s="188"/>
      <c r="BC911" s="188"/>
    </row>
    <row r="912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  <c r="AP912" s="188"/>
      <c r="AQ912" s="188"/>
      <c r="AR912" s="188"/>
      <c r="AS912" s="188"/>
      <c r="AT912" s="188"/>
      <c r="AU912" s="188"/>
      <c r="AV912" s="188"/>
      <c r="AW912" s="188"/>
      <c r="AX912" s="188"/>
      <c r="AY912" s="188"/>
      <c r="AZ912" s="188"/>
      <c r="BA912" s="188"/>
      <c r="BB912" s="188"/>
      <c r="BC912" s="188"/>
    </row>
    <row r="913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  <c r="AP913" s="188"/>
      <c r="AQ913" s="188"/>
      <c r="AR913" s="188"/>
      <c r="AS913" s="188"/>
      <c r="AT913" s="188"/>
      <c r="AU913" s="188"/>
      <c r="AV913" s="188"/>
      <c r="AW913" s="188"/>
      <c r="AX913" s="188"/>
      <c r="AY913" s="188"/>
      <c r="AZ913" s="188"/>
      <c r="BA913" s="188"/>
      <c r="BB913" s="188"/>
      <c r="BC913" s="188"/>
    </row>
    <row r="914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  <c r="AP914" s="188"/>
      <c r="AQ914" s="188"/>
      <c r="AR914" s="188"/>
      <c r="AS914" s="188"/>
      <c r="AT914" s="188"/>
      <c r="AU914" s="188"/>
      <c r="AV914" s="188"/>
      <c r="AW914" s="188"/>
      <c r="AX914" s="188"/>
      <c r="AY914" s="188"/>
      <c r="AZ914" s="188"/>
      <c r="BA914" s="188"/>
      <c r="BB914" s="188"/>
      <c r="BC914" s="188"/>
    </row>
    <row r="915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  <c r="AP915" s="188"/>
      <c r="AQ915" s="188"/>
      <c r="AR915" s="188"/>
      <c r="AS915" s="188"/>
      <c r="AT915" s="188"/>
      <c r="AU915" s="188"/>
      <c r="AV915" s="188"/>
      <c r="AW915" s="188"/>
      <c r="AX915" s="188"/>
      <c r="AY915" s="188"/>
      <c r="AZ915" s="188"/>
      <c r="BA915" s="188"/>
      <c r="BB915" s="188"/>
      <c r="BC915" s="188"/>
    </row>
    <row r="916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  <c r="AP916" s="188"/>
      <c r="AQ916" s="188"/>
      <c r="AR916" s="188"/>
      <c r="AS916" s="188"/>
      <c r="AT916" s="188"/>
      <c r="AU916" s="188"/>
      <c r="AV916" s="188"/>
      <c r="AW916" s="188"/>
      <c r="AX916" s="188"/>
      <c r="AY916" s="188"/>
      <c r="AZ916" s="188"/>
      <c r="BA916" s="188"/>
      <c r="BB916" s="188"/>
      <c r="BC916" s="188"/>
    </row>
    <row r="917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  <c r="AP917" s="188"/>
      <c r="AQ917" s="188"/>
      <c r="AR917" s="188"/>
      <c r="AS917" s="188"/>
      <c r="AT917" s="188"/>
      <c r="AU917" s="188"/>
      <c r="AV917" s="188"/>
      <c r="AW917" s="188"/>
      <c r="AX917" s="188"/>
      <c r="AY917" s="188"/>
      <c r="AZ917" s="188"/>
      <c r="BA917" s="188"/>
      <c r="BB917" s="188"/>
      <c r="BC917" s="188"/>
    </row>
    <row r="918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  <c r="AP918" s="188"/>
      <c r="AQ918" s="188"/>
      <c r="AR918" s="188"/>
      <c r="AS918" s="188"/>
      <c r="AT918" s="188"/>
      <c r="AU918" s="188"/>
      <c r="AV918" s="188"/>
      <c r="AW918" s="188"/>
      <c r="AX918" s="188"/>
      <c r="AY918" s="188"/>
      <c r="AZ918" s="188"/>
      <c r="BA918" s="188"/>
      <c r="BB918" s="188"/>
      <c r="BC918" s="188"/>
    </row>
    <row r="919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  <c r="AP919" s="188"/>
      <c r="AQ919" s="188"/>
      <c r="AR919" s="188"/>
      <c r="AS919" s="188"/>
      <c r="AT919" s="188"/>
      <c r="AU919" s="188"/>
      <c r="AV919" s="188"/>
      <c r="AW919" s="188"/>
      <c r="AX919" s="188"/>
      <c r="AY919" s="188"/>
      <c r="AZ919" s="188"/>
      <c r="BA919" s="188"/>
      <c r="BB919" s="188"/>
      <c r="BC919" s="188"/>
    </row>
    <row r="920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  <c r="AP920" s="188"/>
      <c r="AQ920" s="188"/>
      <c r="AR920" s="188"/>
      <c r="AS920" s="188"/>
      <c r="AT920" s="188"/>
      <c r="AU920" s="188"/>
      <c r="AV920" s="188"/>
      <c r="AW920" s="188"/>
      <c r="AX920" s="188"/>
      <c r="AY920" s="188"/>
      <c r="AZ920" s="188"/>
      <c r="BA920" s="188"/>
      <c r="BB920" s="188"/>
      <c r="BC920" s="188"/>
    </row>
    <row r="92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  <c r="AP921" s="188"/>
      <c r="AQ921" s="188"/>
      <c r="AR921" s="188"/>
      <c r="AS921" s="188"/>
      <c r="AT921" s="188"/>
      <c r="AU921" s="188"/>
      <c r="AV921" s="188"/>
      <c r="AW921" s="188"/>
      <c r="AX921" s="188"/>
      <c r="AY921" s="188"/>
      <c r="AZ921" s="188"/>
      <c r="BA921" s="188"/>
      <c r="BB921" s="188"/>
      <c r="BC921" s="188"/>
    </row>
    <row r="922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  <c r="AP922" s="188"/>
      <c r="AQ922" s="188"/>
      <c r="AR922" s="188"/>
      <c r="AS922" s="188"/>
      <c r="AT922" s="188"/>
      <c r="AU922" s="188"/>
      <c r="AV922" s="188"/>
      <c r="AW922" s="188"/>
      <c r="AX922" s="188"/>
      <c r="AY922" s="188"/>
      <c r="AZ922" s="188"/>
      <c r="BA922" s="188"/>
      <c r="BB922" s="188"/>
      <c r="BC922" s="188"/>
    </row>
    <row r="923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  <c r="AP923" s="188"/>
      <c r="AQ923" s="188"/>
      <c r="AR923" s="188"/>
      <c r="AS923" s="188"/>
      <c r="AT923" s="188"/>
      <c r="AU923" s="188"/>
      <c r="AV923" s="188"/>
      <c r="AW923" s="188"/>
      <c r="AX923" s="188"/>
      <c r="AY923" s="188"/>
      <c r="AZ923" s="188"/>
      <c r="BA923" s="188"/>
      <c r="BB923" s="188"/>
      <c r="BC923" s="188"/>
    </row>
    <row r="924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  <c r="AR924" s="188"/>
      <c r="AS924" s="188"/>
      <c r="AT924" s="188"/>
      <c r="AU924" s="188"/>
      <c r="AV924" s="188"/>
      <c r="AW924" s="188"/>
      <c r="AX924" s="188"/>
      <c r="AY924" s="188"/>
      <c r="AZ924" s="188"/>
      <c r="BA924" s="188"/>
      <c r="BB924" s="188"/>
      <c r="BC924" s="188"/>
    </row>
    <row r="925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  <c r="AP925" s="188"/>
      <c r="AQ925" s="188"/>
      <c r="AR925" s="188"/>
      <c r="AS925" s="188"/>
      <c r="AT925" s="188"/>
      <c r="AU925" s="188"/>
      <c r="AV925" s="188"/>
      <c r="AW925" s="188"/>
      <c r="AX925" s="188"/>
      <c r="AY925" s="188"/>
      <c r="AZ925" s="188"/>
      <c r="BA925" s="188"/>
      <c r="BB925" s="188"/>
      <c r="BC925" s="188"/>
    </row>
    <row r="926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  <c r="AP926" s="188"/>
      <c r="AQ926" s="188"/>
      <c r="AR926" s="188"/>
      <c r="AS926" s="188"/>
      <c r="AT926" s="188"/>
      <c r="AU926" s="188"/>
      <c r="AV926" s="188"/>
      <c r="AW926" s="188"/>
      <c r="AX926" s="188"/>
      <c r="AY926" s="188"/>
      <c r="AZ926" s="188"/>
      <c r="BA926" s="188"/>
      <c r="BB926" s="188"/>
      <c r="BC926" s="188"/>
    </row>
    <row r="927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  <c r="AP927" s="188"/>
      <c r="AQ927" s="188"/>
      <c r="AR927" s="188"/>
      <c r="AS927" s="188"/>
      <c r="AT927" s="188"/>
      <c r="AU927" s="188"/>
      <c r="AV927" s="188"/>
      <c r="AW927" s="188"/>
      <c r="AX927" s="188"/>
      <c r="AY927" s="188"/>
      <c r="AZ927" s="188"/>
      <c r="BA927" s="188"/>
      <c r="BB927" s="188"/>
      <c r="BC927" s="188"/>
    </row>
    <row r="928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  <c r="AP928" s="188"/>
      <c r="AQ928" s="188"/>
      <c r="AR928" s="188"/>
      <c r="AS928" s="188"/>
      <c r="AT928" s="188"/>
      <c r="AU928" s="188"/>
      <c r="AV928" s="188"/>
      <c r="AW928" s="188"/>
      <c r="AX928" s="188"/>
      <c r="AY928" s="188"/>
      <c r="AZ928" s="188"/>
      <c r="BA928" s="188"/>
      <c r="BB928" s="188"/>
      <c r="BC928" s="188"/>
    </row>
    <row r="929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  <c r="AP929" s="188"/>
      <c r="AQ929" s="188"/>
      <c r="AR929" s="188"/>
      <c r="AS929" s="188"/>
      <c r="AT929" s="188"/>
      <c r="AU929" s="188"/>
      <c r="AV929" s="188"/>
      <c r="AW929" s="188"/>
      <c r="AX929" s="188"/>
      <c r="AY929" s="188"/>
      <c r="AZ929" s="188"/>
      <c r="BA929" s="188"/>
      <c r="BB929" s="188"/>
      <c r="BC929" s="188"/>
    </row>
    <row r="930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  <c r="AP930" s="188"/>
      <c r="AQ930" s="188"/>
      <c r="AR930" s="188"/>
      <c r="AS930" s="188"/>
      <c r="AT930" s="188"/>
      <c r="AU930" s="188"/>
      <c r="AV930" s="188"/>
      <c r="AW930" s="188"/>
      <c r="AX930" s="188"/>
      <c r="AY930" s="188"/>
      <c r="AZ930" s="188"/>
      <c r="BA930" s="188"/>
      <c r="BB930" s="188"/>
      <c r="BC930" s="188"/>
    </row>
    <row r="93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  <c r="AP931" s="188"/>
      <c r="AQ931" s="188"/>
      <c r="AR931" s="188"/>
      <c r="AS931" s="188"/>
      <c r="AT931" s="188"/>
      <c r="AU931" s="188"/>
      <c r="AV931" s="188"/>
      <c r="AW931" s="188"/>
      <c r="AX931" s="188"/>
      <c r="AY931" s="188"/>
      <c r="AZ931" s="188"/>
      <c r="BA931" s="188"/>
      <c r="BB931" s="188"/>
      <c r="BC931" s="188"/>
    </row>
    <row r="932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  <c r="AP932" s="188"/>
      <c r="AQ932" s="188"/>
      <c r="AR932" s="188"/>
      <c r="AS932" s="188"/>
      <c r="AT932" s="188"/>
      <c r="AU932" s="188"/>
      <c r="AV932" s="188"/>
      <c r="AW932" s="188"/>
      <c r="AX932" s="188"/>
      <c r="AY932" s="188"/>
      <c r="AZ932" s="188"/>
      <c r="BA932" s="188"/>
      <c r="BB932" s="188"/>
      <c r="BC932" s="188"/>
    </row>
    <row r="933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  <c r="AP933" s="188"/>
      <c r="AQ933" s="188"/>
      <c r="AR933" s="188"/>
      <c r="AS933" s="188"/>
      <c r="AT933" s="188"/>
      <c r="AU933" s="188"/>
      <c r="AV933" s="188"/>
      <c r="AW933" s="188"/>
      <c r="AX933" s="188"/>
      <c r="AY933" s="188"/>
      <c r="AZ933" s="188"/>
      <c r="BA933" s="188"/>
      <c r="BB933" s="188"/>
      <c r="BC933" s="188"/>
    </row>
    <row r="934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  <c r="AP934" s="188"/>
      <c r="AQ934" s="188"/>
      <c r="AR934" s="188"/>
      <c r="AS934" s="188"/>
      <c r="AT934" s="188"/>
      <c r="AU934" s="188"/>
      <c r="AV934" s="188"/>
      <c r="AW934" s="188"/>
      <c r="AX934" s="188"/>
      <c r="AY934" s="188"/>
      <c r="AZ934" s="188"/>
      <c r="BA934" s="188"/>
      <c r="BB934" s="188"/>
      <c r="BC934" s="188"/>
    </row>
    <row r="935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  <c r="AP935" s="188"/>
      <c r="AQ935" s="188"/>
      <c r="AR935" s="188"/>
      <c r="AS935" s="188"/>
      <c r="AT935" s="188"/>
      <c r="AU935" s="188"/>
      <c r="AV935" s="188"/>
      <c r="AW935" s="188"/>
      <c r="AX935" s="188"/>
      <c r="AY935" s="188"/>
      <c r="AZ935" s="188"/>
      <c r="BA935" s="188"/>
      <c r="BB935" s="188"/>
      <c r="BC935" s="188"/>
    </row>
    <row r="936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  <c r="AP936" s="188"/>
      <c r="AQ936" s="188"/>
      <c r="AR936" s="188"/>
      <c r="AS936" s="188"/>
      <c r="AT936" s="188"/>
      <c r="AU936" s="188"/>
      <c r="AV936" s="188"/>
      <c r="AW936" s="188"/>
      <c r="AX936" s="188"/>
      <c r="AY936" s="188"/>
      <c r="AZ936" s="188"/>
      <c r="BA936" s="188"/>
      <c r="BB936" s="188"/>
      <c r="BC936" s="188"/>
    </row>
    <row r="937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  <c r="AP937" s="188"/>
      <c r="AQ937" s="188"/>
      <c r="AR937" s="188"/>
      <c r="AS937" s="188"/>
      <c r="AT937" s="188"/>
      <c r="AU937" s="188"/>
      <c r="AV937" s="188"/>
      <c r="AW937" s="188"/>
      <c r="AX937" s="188"/>
      <c r="AY937" s="188"/>
      <c r="AZ937" s="188"/>
      <c r="BA937" s="188"/>
      <c r="BB937" s="188"/>
      <c r="BC937" s="188"/>
    </row>
    <row r="938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  <c r="AP938" s="188"/>
      <c r="AQ938" s="188"/>
      <c r="AR938" s="188"/>
      <c r="AS938" s="188"/>
      <c r="AT938" s="188"/>
      <c r="AU938" s="188"/>
      <c r="AV938" s="188"/>
      <c r="AW938" s="188"/>
      <c r="AX938" s="188"/>
      <c r="AY938" s="188"/>
      <c r="AZ938" s="188"/>
      <c r="BA938" s="188"/>
      <c r="BB938" s="188"/>
      <c r="BC938" s="188"/>
    </row>
    <row r="939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  <c r="AP939" s="188"/>
      <c r="AQ939" s="188"/>
      <c r="AR939" s="188"/>
      <c r="AS939" s="188"/>
      <c r="AT939" s="188"/>
      <c r="AU939" s="188"/>
      <c r="AV939" s="188"/>
      <c r="AW939" s="188"/>
      <c r="AX939" s="188"/>
      <c r="AY939" s="188"/>
      <c r="AZ939" s="188"/>
      <c r="BA939" s="188"/>
      <c r="BB939" s="188"/>
      <c r="BC939" s="188"/>
    </row>
    <row r="940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  <c r="AP940" s="188"/>
      <c r="AQ940" s="188"/>
      <c r="AR940" s="188"/>
      <c r="AS940" s="188"/>
      <c r="AT940" s="188"/>
      <c r="AU940" s="188"/>
      <c r="AV940" s="188"/>
      <c r="AW940" s="188"/>
      <c r="AX940" s="188"/>
      <c r="AY940" s="188"/>
      <c r="AZ940" s="188"/>
      <c r="BA940" s="188"/>
      <c r="BB940" s="188"/>
      <c r="BC940" s="188"/>
    </row>
    <row r="94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  <c r="AP941" s="188"/>
      <c r="AQ941" s="188"/>
      <c r="AR941" s="188"/>
      <c r="AS941" s="188"/>
      <c r="AT941" s="188"/>
      <c r="AU941" s="188"/>
      <c r="AV941" s="188"/>
      <c r="AW941" s="188"/>
      <c r="AX941" s="188"/>
      <c r="AY941" s="188"/>
      <c r="AZ941" s="188"/>
      <c r="BA941" s="188"/>
      <c r="BB941" s="188"/>
      <c r="BC941" s="188"/>
    </row>
    <row r="942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  <c r="AP942" s="188"/>
      <c r="AQ942" s="188"/>
      <c r="AR942" s="188"/>
      <c r="AS942" s="188"/>
      <c r="AT942" s="188"/>
      <c r="AU942" s="188"/>
      <c r="AV942" s="188"/>
      <c r="AW942" s="188"/>
      <c r="AX942" s="188"/>
      <c r="AY942" s="188"/>
      <c r="AZ942" s="188"/>
      <c r="BA942" s="188"/>
      <c r="BB942" s="188"/>
      <c r="BC942" s="188"/>
    </row>
    <row r="943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  <c r="AP943" s="188"/>
      <c r="AQ943" s="188"/>
      <c r="AR943" s="188"/>
      <c r="AS943" s="188"/>
      <c r="AT943" s="188"/>
      <c r="AU943" s="188"/>
      <c r="AV943" s="188"/>
      <c r="AW943" s="188"/>
      <c r="AX943" s="188"/>
      <c r="AY943" s="188"/>
      <c r="AZ943" s="188"/>
      <c r="BA943" s="188"/>
      <c r="BB943" s="188"/>
      <c r="BC943" s="188"/>
    </row>
    <row r="944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  <c r="AP944" s="188"/>
      <c r="AQ944" s="188"/>
      <c r="AR944" s="188"/>
      <c r="AS944" s="188"/>
      <c r="AT944" s="188"/>
      <c r="AU944" s="188"/>
      <c r="AV944" s="188"/>
      <c r="AW944" s="188"/>
      <c r="AX944" s="188"/>
      <c r="AY944" s="188"/>
      <c r="AZ944" s="188"/>
      <c r="BA944" s="188"/>
      <c r="BB944" s="188"/>
      <c r="BC944" s="188"/>
    </row>
    <row r="945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  <c r="AP945" s="188"/>
      <c r="AQ945" s="188"/>
      <c r="AR945" s="188"/>
      <c r="AS945" s="188"/>
      <c r="AT945" s="188"/>
      <c r="AU945" s="188"/>
      <c r="AV945" s="188"/>
      <c r="AW945" s="188"/>
      <c r="AX945" s="188"/>
      <c r="AY945" s="188"/>
      <c r="AZ945" s="188"/>
      <c r="BA945" s="188"/>
      <c r="BB945" s="188"/>
      <c r="BC945" s="188"/>
    </row>
    <row r="946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  <c r="AP946" s="188"/>
      <c r="AQ946" s="188"/>
      <c r="AR946" s="188"/>
      <c r="AS946" s="188"/>
      <c r="AT946" s="188"/>
      <c r="AU946" s="188"/>
      <c r="AV946" s="188"/>
      <c r="AW946" s="188"/>
      <c r="AX946" s="188"/>
      <c r="AY946" s="188"/>
      <c r="AZ946" s="188"/>
      <c r="BA946" s="188"/>
      <c r="BB946" s="188"/>
      <c r="BC946" s="188"/>
    </row>
    <row r="947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  <c r="AP947" s="188"/>
      <c r="AQ947" s="188"/>
      <c r="AR947" s="188"/>
      <c r="AS947" s="188"/>
      <c r="AT947" s="188"/>
      <c r="AU947" s="188"/>
      <c r="AV947" s="188"/>
      <c r="AW947" s="188"/>
      <c r="AX947" s="188"/>
      <c r="AY947" s="188"/>
      <c r="AZ947" s="188"/>
      <c r="BA947" s="188"/>
      <c r="BB947" s="188"/>
      <c r="BC947" s="188"/>
    </row>
    <row r="948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  <c r="AP948" s="188"/>
      <c r="AQ948" s="188"/>
      <c r="AR948" s="188"/>
      <c r="AS948" s="188"/>
      <c r="AT948" s="188"/>
      <c r="AU948" s="188"/>
      <c r="AV948" s="188"/>
      <c r="AW948" s="188"/>
      <c r="AX948" s="188"/>
      <c r="AY948" s="188"/>
      <c r="AZ948" s="188"/>
      <c r="BA948" s="188"/>
      <c r="BB948" s="188"/>
      <c r="BC948" s="188"/>
    </row>
    <row r="949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  <c r="AP949" s="188"/>
      <c r="AQ949" s="188"/>
      <c r="AR949" s="188"/>
      <c r="AS949" s="188"/>
      <c r="AT949" s="188"/>
      <c r="AU949" s="188"/>
      <c r="AV949" s="188"/>
      <c r="AW949" s="188"/>
      <c r="AX949" s="188"/>
      <c r="AY949" s="188"/>
      <c r="AZ949" s="188"/>
      <c r="BA949" s="188"/>
      <c r="BB949" s="188"/>
      <c r="BC949" s="188"/>
    </row>
    <row r="950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  <c r="AJ950" s="188"/>
      <c r="AK950" s="188"/>
      <c r="AL950" s="188"/>
      <c r="AM950" s="188"/>
      <c r="AN950" s="188"/>
      <c r="AO950" s="188"/>
      <c r="AP950" s="188"/>
      <c r="AQ950" s="188"/>
      <c r="AR950" s="188"/>
      <c r="AS950" s="188"/>
      <c r="AT950" s="188"/>
      <c r="AU950" s="188"/>
      <c r="AV950" s="188"/>
      <c r="AW950" s="188"/>
      <c r="AX950" s="188"/>
      <c r="AY950" s="188"/>
      <c r="AZ950" s="188"/>
      <c r="BA950" s="188"/>
      <c r="BB950" s="188"/>
      <c r="BC950" s="188"/>
    </row>
    <row r="95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  <c r="AJ951" s="188"/>
      <c r="AK951" s="188"/>
      <c r="AL951" s="188"/>
      <c r="AM951" s="188"/>
      <c r="AN951" s="188"/>
      <c r="AO951" s="188"/>
      <c r="AP951" s="188"/>
      <c r="AQ951" s="188"/>
      <c r="AR951" s="188"/>
      <c r="AS951" s="188"/>
      <c r="AT951" s="188"/>
      <c r="AU951" s="188"/>
      <c r="AV951" s="188"/>
      <c r="AW951" s="188"/>
      <c r="AX951" s="188"/>
      <c r="AY951" s="188"/>
      <c r="AZ951" s="188"/>
      <c r="BA951" s="188"/>
      <c r="BB951" s="188"/>
      <c r="BC951" s="188"/>
    </row>
    <row r="952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  <c r="AJ952" s="188"/>
      <c r="AK952" s="188"/>
      <c r="AL952" s="188"/>
      <c r="AM952" s="188"/>
      <c r="AN952" s="188"/>
      <c r="AO952" s="188"/>
      <c r="AP952" s="188"/>
      <c r="AQ952" s="188"/>
      <c r="AR952" s="188"/>
      <c r="AS952" s="188"/>
      <c r="AT952" s="188"/>
      <c r="AU952" s="188"/>
      <c r="AV952" s="188"/>
      <c r="AW952" s="188"/>
      <c r="AX952" s="188"/>
      <c r="AY952" s="188"/>
      <c r="AZ952" s="188"/>
      <c r="BA952" s="188"/>
      <c r="BB952" s="188"/>
      <c r="BC952" s="188"/>
    </row>
    <row r="953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  <c r="AJ953" s="188"/>
      <c r="AK953" s="188"/>
      <c r="AL953" s="188"/>
      <c r="AM953" s="188"/>
      <c r="AN953" s="188"/>
      <c r="AO953" s="188"/>
      <c r="AP953" s="188"/>
      <c r="AQ953" s="188"/>
      <c r="AR953" s="188"/>
      <c r="AS953" s="188"/>
      <c r="AT953" s="188"/>
      <c r="AU953" s="188"/>
      <c r="AV953" s="188"/>
      <c r="AW953" s="188"/>
      <c r="AX953" s="188"/>
      <c r="AY953" s="188"/>
      <c r="AZ953" s="188"/>
      <c r="BA953" s="188"/>
      <c r="BB953" s="188"/>
      <c r="BC953" s="188"/>
    </row>
    <row r="954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  <c r="AJ954" s="188"/>
      <c r="AK954" s="188"/>
      <c r="AL954" s="188"/>
      <c r="AM954" s="188"/>
      <c r="AN954" s="188"/>
      <c r="AO954" s="188"/>
      <c r="AP954" s="188"/>
      <c r="AQ954" s="188"/>
      <c r="AR954" s="188"/>
      <c r="AS954" s="188"/>
      <c r="AT954" s="188"/>
      <c r="AU954" s="188"/>
      <c r="AV954" s="188"/>
      <c r="AW954" s="188"/>
      <c r="AX954" s="188"/>
      <c r="AY954" s="188"/>
      <c r="AZ954" s="188"/>
      <c r="BA954" s="188"/>
      <c r="BB954" s="188"/>
      <c r="BC954" s="188"/>
    </row>
    <row r="955">
      <c r="A955" s="188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  <c r="AH955" s="188"/>
      <c r="AI955" s="188"/>
      <c r="AJ955" s="188"/>
      <c r="AK955" s="188"/>
      <c r="AL955" s="188"/>
      <c r="AM955" s="188"/>
      <c r="AN955" s="188"/>
      <c r="AO955" s="188"/>
      <c r="AP955" s="188"/>
      <c r="AQ955" s="188"/>
      <c r="AR955" s="188"/>
      <c r="AS955" s="188"/>
      <c r="AT955" s="188"/>
      <c r="AU955" s="188"/>
      <c r="AV955" s="188"/>
      <c r="AW955" s="188"/>
      <c r="AX955" s="188"/>
      <c r="AY955" s="188"/>
      <c r="AZ955" s="188"/>
      <c r="BA955" s="188"/>
      <c r="BB955" s="188"/>
      <c r="BC955" s="188"/>
    </row>
    <row r="956">
      <c r="A956" s="188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  <c r="AJ956" s="188"/>
      <c r="AK956" s="188"/>
      <c r="AL956" s="188"/>
      <c r="AM956" s="188"/>
      <c r="AN956" s="188"/>
      <c r="AO956" s="188"/>
      <c r="AP956" s="188"/>
      <c r="AQ956" s="188"/>
      <c r="AR956" s="188"/>
      <c r="AS956" s="188"/>
      <c r="AT956" s="188"/>
      <c r="AU956" s="188"/>
      <c r="AV956" s="188"/>
      <c r="AW956" s="188"/>
      <c r="AX956" s="188"/>
      <c r="AY956" s="188"/>
      <c r="AZ956" s="188"/>
      <c r="BA956" s="188"/>
      <c r="BB956" s="188"/>
      <c r="BC956" s="188"/>
    </row>
    <row r="957">
      <c r="A957" s="188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  <c r="AJ957" s="188"/>
      <c r="AK957" s="188"/>
      <c r="AL957" s="188"/>
      <c r="AM957" s="188"/>
      <c r="AN957" s="188"/>
      <c r="AO957" s="188"/>
      <c r="AP957" s="188"/>
      <c r="AQ957" s="188"/>
      <c r="AR957" s="188"/>
      <c r="AS957" s="188"/>
      <c r="AT957" s="188"/>
      <c r="AU957" s="188"/>
      <c r="AV957" s="188"/>
      <c r="AW957" s="188"/>
      <c r="AX957" s="188"/>
      <c r="AY957" s="188"/>
      <c r="AZ957" s="188"/>
      <c r="BA957" s="188"/>
      <c r="BB957" s="188"/>
      <c r="BC957" s="188"/>
    </row>
    <row r="958">
      <c r="A958" s="188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  <c r="AJ958" s="188"/>
      <c r="AK958" s="188"/>
      <c r="AL958" s="188"/>
      <c r="AM958" s="188"/>
      <c r="AN958" s="188"/>
      <c r="AO958" s="188"/>
      <c r="AP958" s="188"/>
      <c r="AQ958" s="188"/>
      <c r="AR958" s="188"/>
      <c r="AS958" s="188"/>
      <c r="AT958" s="188"/>
      <c r="AU958" s="188"/>
      <c r="AV958" s="188"/>
      <c r="AW958" s="188"/>
      <c r="AX958" s="188"/>
      <c r="AY958" s="188"/>
      <c r="AZ958" s="188"/>
      <c r="BA958" s="188"/>
      <c r="BB958" s="188"/>
      <c r="BC958" s="188"/>
    </row>
    <row r="959">
      <c r="A959" s="188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  <c r="AJ959" s="188"/>
      <c r="AK959" s="188"/>
      <c r="AL959" s="188"/>
      <c r="AM959" s="188"/>
      <c r="AN959" s="188"/>
      <c r="AO959" s="188"/>
      <c r="AP959" s="188"/>
      <c r="AQ959" s="188"/>
      <c r="AR959" s="188"/>
      <c r="AS959" s="188"/>
      <c r="AT959" s="188"/>
      <c r="AU959" s="188"/>
      <c r="AV959" s="188"/>
      <c r="AW959" s="188"/>
      <c r="AX959" s="188"/>
      <c r="AY959" s="188"/>
      <c r="AZ959" s="188"/>
      <c r="BA959" s="188"/>
      <c r="BB959" s="188"/>
      <c r="BC959" s="188"/>
    </row>
    <row r="960">
      <c r="A960" s="188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  <c r="AJ960" s="188"/>
      <c r="AK960" s="188"/>
      <c r="AL960" s="188"/>
      <c r="AM960" s="188"/>
      <c r="AN960" s="188"/>
      <c r="AO960" s="188"/>
      <c r="AP960" s="188"/>
      <c r="AQ960" s="188"/>
      <c r="AR960" s="188"/>
      <c r="AS960" s="188"/>
      <c r="AT960" s="188"/>
      <c r="AU960" s="188"/>
      <c r="AV960" s="188"/>
      <c r="AW960" s="188"/>
      <c r="AX960" s="188"/>
      <c r="AY960" s="188"/>
      <c r="AZ960" s="188"/>
      <c r="BA960" s="188"/>
      <c r="BB960" s="188"/>
      <c r="BC960" s="188"/>
    </row>
    <row r="961">
      <c r="A961" s="188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  <c r="AH961" s="188"/>
      <c r="AI961" s="188"/>
      <c r="AJ961" s="188"/>
      <c r="AK961" s="188"/>
      <c r="AL961" s="188"/>
      <c r="AM961" s="188"/>
      <c r="AN961" s="188"/>
      <c r="AO961" s="188"/>
      <c r="AP961" s="188"/>
      <c r="AQ961" s="188"/>
      <c r="AR961" s="188"/>
      <c r="AS961" s="188"/>
      <c r="AT961" s="188"/>
      <c r="AU961" s="188"/>
      <c r="AV961" s="188"/>
      <c r="AW961" s="188"/>
      <c r="AX961" s="188"/>
      <c r="AY961" s="188"/>
      <c r="AZ961" s="188"/>
      <c r="BA961" s="188"/>
      <c r="BB961" s="188"/>
      <c r="BC961" s="188"/>
    </row>
    <row r="962">
      <c r="A962" s="188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  <c r="AJ962" s="188"/>
      <c r="AK962" s="188"/>
      <c r="AL962" s="188"/>
      <c r="AM962" s="188"/>
      <c r="AN962" s="188"/>
      <c r="AO962" s="188"/>
      <c r="AP962" s="188"/>
      <c r="AQ962" s="188"/>
      <c r="AR962" s="188"/>
      <c r="AS962" s="188"/>
      <c r="AT962" s="188"/>
      <c r="AU962" s="188"/>
      <c r="AV962" s="188"/>
      <c r="AW962" s="188"/>
      <c r="AX962" s="188"/>
      <c r="AY962" s="188"/>
      <c r="AZ962" s="188"/>
      <c r="BA962" s="188"/>
      <c r="BB962" s="188"/>
      <c r="BC962" s="188"/>
    </row>
    <row r="963">
      <c r="A963" s="188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  <c r="AJ963" s="188"/>
      <c r="AK963" s="188"/>
      <c r="AL963" s="188"/>
      <c r="AM963" s="188"/>
      <c r="AN963" s="188"/>
      <c r="AO963" s="188"/>
      <c r="AP963" s="188"/>
      <c r="AQ963" s="188"/>
      <c r="AR963" s="188"/>
      <c r="AS963" s="188"/>
      <c r="AT963" s="188"/>
      <c r="AU963" s="188"/>
      <c r="AV963" s="188"/>
      <c r="AW963" s="188"/>
      <c r="AX963" s="188"/>
      <c r="AY963" s="188"/>
      <c r="AZ963" s="188"/>
      <c r="BA963" s="188"/>
      <c r="BB963" s="188"/>
      <c r="BC963" s="188"/>
    </row>
    <row r="964">
      <c r="A964" s="188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  <c r="AJ964" s="188"/>
      <c r="AK964" s="188"/>
      <c r="AL964" s="188"/>
      <c r="AM964" s="188"/>
      <c r="AN964" s="188"/>
      <c r="AO964" s="188"/>
      <c r="AP964" s="188"/>
      <c r="AQ964" s="188"/>
      <c r="AR964" s="188"/>
      <c r="AS964" s="188"/>
      <c r="AT964" s="188"/>
      <c r="AU964" s="188"/>
      <c r="AV964" s="188"/>
      <c r="AW964" s="188"/>
      <c r="AX964" s="188"/>
      <c r="AY964" s="188"/>
      <c r="AZ964" s="188"/>
      <c r="BA964" s="188"/>
      <c r="BB964" s="188"/>
      <c r="BC964" s="188"/>
    </row>
    <row r="965">
      <c r="A965" s="188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  <c r="AJ965" s="188"/>
      <c r="AK965" s="188"/>
      <c r="AL965" s="188"/>
      <c r="AM965" s="188"/>
      <c r="AN965" s="188"/>
      <c r="AO965" s="188"/>
      <c r="AP965" s="188"/>
      <c r="AQ965" s="188"/>
      <c r="AR965" s="188"/>
      <c r="AS965" s="188"/>
      <c r="AT965" s="188"/>
      <c r="AU965" s="188"/>
      <c r="AV965" s="188"/>
      <c r="AW965" s="188"/>
      <c r="AX965" s="188"/>
      <c r="AY965" s="188"/>
      <c r="AZ965" s="188"/>
      <c r="BA965" s="188"/>
      <c r="BB965" s="188"/>
      <c r="BC965" s="188"/>
    </row>
    <row r="966">
      <c r="A966" s="188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  <c r="AJ966" s="188"/>
      <c r="AK966" s="188"/>
      <c r="AL966" s="188"/>
      <c r="AM966" s="188"/>
      <c r="AN966" s="188"/>
      <c r="AO966" s="188"/>
      <c r="AP966" s="188"/>
      <c r="AQ966" s="188"/>
      <c r="AR966" s="188"/>
      <c r="AS966" s="188"/>
      <c r="AT966" s="188"/>
      <c r="AU966" s="188"/>
      <c r="AV966" s="188"/>
      <c r="AW966" s="188"/>
      <c r="AX966" s="188"/>
      <c r="AY966" s="188"/>
      <c r="AZ966" s="188"/>
      <c r="BA966" s="188"/>
      <c r="BB966" s="188"/>
      <c r="BC966" s="188"/>
    </row>
    <row r="967">
      <c r="A967" s="188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  <c r="AJ967" s="188"/>
      <c r="AK967" s="188"/>
      <c r="AL967" s="188"/>
      <c r="AM967" s="188"/>
      <c r="AN967" s="188"/>
      <c r="AO967" s="188"/>
      <c r="AP967" s="188"/>
      <c r="AQ967" s="188"/>
      <c r="AR967" s="188"/>
      <c r="AS967" s="188"/>
      <c r="AT967" s="188"/>
      <c r="AU967" s="188"/>
      <c r="AV967" s="188"/>
      <c r="AW967" s="188"/>
      <c r="AX967" s="188"/>
      <c r="AY967" s="188"/>
      <c r="AZ967" s="188"/>
      <c r="BA967" s="188"/>
      <c r="BB967" s="188"/>
      <c r="BC967" s="188"/>
    </row>
    <row r="968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  <c r="AH968" s="188"/>
      <c r="AI968" s="188"/>
      <c r="AJ968" s="188"/>
      <c r="AK968" s="188"/>
      <c r="AL968" s="188"/>
      <c r="AM968" s="188"/>
      <c r="AN968" s="188"/>
      <c r="AO968" s="188"/>
      <c r="AP968" s="188"/>
      <c r="AQ968" s="188"/>
      <c r="AR968" s="188"/>
      <c r="AS968" s="188"/>
      <c r="AT968" s="188"/>
      <c r="AU968" s="188"/>
      <c r="AV968" s="188"/>
      <c r="AW968" s="188"/>
      <c r="AX968" s="188"/>
      <c r="AY968" s="188"/>
      <c r="AZ968" s="188"/>
      <c r="BA968" s="188"/>
      <c r="BB968" s="188"/>
      <c r="BC968" s="188"/>
    </row>
    <row r="969">
      <c r="A969" s="188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  <c r="AJ969" s="188"/>
      <c r="AK969" s="188"/>
      <c r="AL969" s="188"/>
      <c r="AM969" s="188"/>
      <c r="AN969" s="188"/>
      <c r="AO969" s="188"/>
      <c r="AP969" s="188"/>
      <c r="AQ969" s="188"/>
      <c r="AR969" s="188"/>
      <c r="AS969" s="188"/>
      <c r="AT969" s="188"/>
      <c r="AU969" s="188"/>
      <c r="AV969" s="188"/>
      <c r="AW969" s="188"/>
      <c r="AX969" s="188"/>
      <c r="AY969" s="188"/>
      <c r="AZ969" s="188"/>
      <c r="BA969" s="188"/>
      <c r="BB969" s="188"/>
      <c r="BC969" s="188"/>
    </row>
    <row r="970">
      <c r="A970" s="188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  <c r="AJ970" s="188"/>
      <c r="AK970" s="188"/>
      <c r="AL970" s="188"/>
      <c r="AM970" s="188"/>
      <c r="AN970" s="188"/>
      <c r="AO970" s="188"/>
      <c r="AP970" s="188"/>
      <c r="AQ970" s="188"/>
      <c r="AR970" s="188"/>
      <c r="AS970" s="188"/>
      <c r="AT970" s="188"/>
      <c r="AU970" s="188"/>
      <c r="AV970" s="188"/>
      <c r="AW970" s="188"/>
      <c r="AX970" s="188"/>
      <c r="AY970" s="188"/>
      <c r="AZ970" s="188"/>
      <c r="BA970" s="188"/>
      <c r="BB970" s="188"/>
      <c r="BC970" s="188"/>
    </row>
    <row r="971">
      <c r="A971" s="188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  <c r="AH971" s="188"/>
      <c r="AI971" s="188"/>
      <c r="AJ971" s="188"/>
      <c r="AK971" s="188"/>
      <c r="AL971" s="188"/>
      <c r="AM971" s="188"/>
      <c r="AN971" s="188"/>
      <c r="AO971" s="188"/>
      <c r="AP971" s="188"/>
      <c r="AQ971" s="188"/>
      <c r="AR971" s="188"/>
      <c r="AS971" s="188"/>
      <c r="AT971" s="188"/>
      <c r="AU971" s="188"/>
      <c r="AV971" s="188"/>
      <c r="AW971" s="188"/>
      <c r="AX971" s="188"/>
      <c r="AY971" s="188"/>
      <c r="AZ971" s="188"/>
      <c r="BA971" s="188"/>
      <c r="BB971" s="188"/>
      <c r="BC971" s="188"/>
    </row>
    <row r="972">
      <c r="A972" s="188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  <c r="AJ972" s="188"/>
      <c r="AK972" s="188"/>
      <c r="AL972" s="188"/>
      <c r="AM972" s="188"/>
      <c r="AN972" s="188"/>
      <c r="AO972" s="188"/>
      <c r="AP972" s="188"/>
      <c r="AQ972" s="188"/>
      <c r="AR972" s="188"/>
      <c r="AS972" s="188"/>
      <c r="AT972" s="188"/>
      <c r="AU972" s="188"/>
      <c r="AV972" s="188"/>
      <c r="AW972" s="188"/>
      <c r="AX972" s="188"/>
      <c r="AY972" s="188"/>
      <c r="AZ972" s="188"/>
      <c r="BA972" s="188"/>
      <c r="BB972" s="188"/>
      <c r="BC972" s="188"/>
    </row>
    <row r="973">
      <c r="A973" s="188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  <c r="AJ973" s="188"/>
      <c r="AK973" s="188"/>
      <c r="AL973" s="188"/>
      <c r="AM973" s="188"/>
      <c r="AN973" s="188"/>
      <c r="AO973" s="188"/>
      <c r="AP973" s="188"/>
      <c r="AQ973" s="188"/>
      <c r="AR973" s="188"/>
      <c r="AS973" s="188"/>
      <c r="AT973" s="188"/>
      <c r="AU973" s="188"/>
      <c r="AV973" s="188"/>
      <c r="AW973" s="188"/>
      <c r="AX973" s="188"/>
      <c r="AY973" s="188"/>
      <c r="AZ973" s="188"/>
      <c r="BA973" s="188"/>
      <c r="BB973" s="188"/>
      <c r="BC973" s="188"/>
    </row>
    <row r="974">
      <c r="A974" s="188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  <c r="AJ974" s="188"/>
      <c r="AK974" s="188"/>
      <c r="AL974" s="188"/>
      <c r="AM974" s="188"/>
      <c r="AN974" s="188"/>
      <c r="AO974" s="188"/>
      <c r="AP974" s="188"/>
      <c r="AQ974" s="188"/>
      <c r="AR974" s="188"/>
      <c r="AS974" s="188"/>
      <c r="AT974" s="188"/>
      <c r="AU974" s="188"/>
      <c r="AV974" s="188"/>
      <c r="AW974" s="188"/>
      <c r="AX974" s="188"/>
      <c r="AY974" s="188"/>
      <c r="AZ974" s="188"/>
      <c r="BA974" s="188"/>
      <c r="BB974" s="188"/>
      <c r="BC974" s="188"/>
    </row>
    <row r="975">
      <c r="A975" s="188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  <c r="AH975" s="188"/>
      <c r="AI975" s="188"/>
      <c r="AJ975" s="188"/>
      <c r="AK975" s="188"/>
      <c r="AL975" s="188"/>
      <c r="AM975" s="188"/>
      <c r="AN975" s="188"/>
      <c r="AO975" s="188"/>
      <c r="AP975" s="188"/>
      <c r="AQ975" s="188"/>
      <c r="AR975" s="188"/>
      <c r="AS975" s="188"/>
      <c r="AT975" s="188"/>
      <c r="AU975" s="188"/>
      <c r="AV975" s="188"/>
      <c r="AW975" s="188"/>
      <c r="AX975" s="188"/>
      <c r="AY975" s="188"/>
      <c r="AZ975" s="188"/>
      <c r="BA975" s="188"/>
      <c r="BB975" s="188"/>
      <c r="BC975" s="188"/>
    </row>
    <row r="976">
      <c r="A976" s="188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  <c r="AJ976" s="188"/>
      <c r="AK976" s="188"/>
      <c r="AL976" s="188"/>
      <c r="AM976" s="188"/>
      <c r="AN976" s="188"/>
      <c r="AO976" s="188"/>
      <c r="AP976" s="188"/>
      <c r="AQ976" s="188"/>
      <c r="AR976" s="188"/>
      <c r="AS976" s="188"/>
      <c r="AT976" s="188"/>
      <c r="AU976" s="188"/>
      <c r="AV976" s="188"/>
      <c r="AW976" s="188"/>
      <c r="AX976" s="188"/>
      <c r="AY976" s="188"/>
      <c r="AZ976" s="188"/>
      <c r="BA976" s="188"/>
      <c r="BB976" s="188"/>
      <c r="BC976" s="188"/>
    </row>
    <row r="977">
      <c r="A977" s="188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  <c r="AJ977" s="188"/>
      <c r="AK977" s="188"/>
      <c r="AL977" s="188"/>
      <c r="AM977" s="188"/>
      <c r="AN977" s="188"/>
      <c r="AO977" s="188"/>
      <c r="AP977" s="188"/>
      <c r="AQ977" s="188"/>
      <c r="AR977" s="188"/>
      <c r="AS977" s="188"/>
      <c r="AT977" s="188"/>
      <c r="AU977" s="188"/>
      <c r="AV977" s="188"/>
      <c r="AW977" s="188"/>
      <c r="AX977" s="188"/>
      <c r="AY977" s="188"/>
      <c r="AZ977" s="188"/>
      <c r="BA977" s="188"/>
      <c r="BB977" s="188"/>
      <c r="BC977" s="188"/>
    </row>
    <row r="978">
      <c r="A978" s="188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  <c r="AH978" s="188"/>
      <c r="AI978" s="188"/>
      <c r="AJ978" s="188"/>
      <c r="AK978" s="188"/>
      <c r="AL978" s="188"/>
      <c r="AM978" s="188"/>
      <c r="AN978" s="188"/>
      <c r="AO978" s="188"/>
      <c r="AP978" s="188"/>
      <c r="AQ978" s="188"/>
      <c r="AR978" s="188"/>
      <c r="AS978" s="188"/>
      <c r="AT978" s="188"/>
      <c r="AU978" s="188"/>
      <c r="AV978" s="188"/>
      <c r="AW978" s="188"/>
      <c r="AX978" s="188"/>
      <c r="AY978" s="188"/>
      <c r="AZ978" s="188"/>
      <c r="BA978" s="188"/>
      <c r="BB978" s="188"/>
      <c r="BC978" s="188"/>
    </row>
    <row r="979">
      <c r="A979" s="188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  <c r="AJ979" s="188"/>
      <c r="AK979" s="188"/>
      <c r="AL979" s="188"/>
      <c r="AM979" s="188"/>
      <c r="AN979" s="188"/>
      <c r="AO979" s="188"/>
      <c r="AP979" s="188"/>
      <c r="AQ979" s="188"/>
      <c r="AR979" s="188"/>
      <c r="AS979" s="188"/>
      <c r="AT979" s="188"/>
      <c r="AU979" s="188"/>
      <c r="AV979" s="188"/>
      <c r="AW979" s="188"/>
      <c r="AX979" s="188"/>
      <c r="AY979" s="188"/>
      <c r="AZ979" s="188"/>
      <c r="BA979" s="188"/>
      <c r="BB979" s="188"/>
      <c r="BC979" s="188"/>
    </row>
    <row r="980">
      <c r="A980" s="188"/>
      <c r="B980" s="188"/>
      <c r="C980" s="188"/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  <c r="AJ980" s="188"/>
      <c r="AK980" s="188"/>
      <c r="AL980" s="188"/>
      <c r="AM980" s="188"/>
      <c r="AN980" s="188"/>
      <c r="AO980" s="188"/>
      <c r="AP980" s="188"/>
      <c r="AQ980" s="188"/>
      <c r="AR980" s="188"/>
      <c r="AS980" s="188"/>
      <c r="AT980" s="188"/>
      <c r="AU980" s="188"/>
      <c r="AV980" s="188"/>
      <c r="AW980" s="188"/>
      <c r="AX980" s="188"/>
      <c r="AY980" s="188"/>
      <c r="AZ980" s="188"/>
      <c r="BA980" s="188"/>
      <c r="BB980" s="188"/>
      <c r="BC980" s="188"/>
    </row>
    <row r="981">
      <c r="A981" s="188"/>
      <c r="B981" s="188"/>
      <c r="C981" s="188"/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  <c r="AH981" s="188"/>
      <c r="AI981" s="188"/>
      <c r="AJ981" s="188"/>
      <c r="AK981" s="188"/>
      <c r="AL981" s="188"/>
      <c r="AM981" s="188"/>
      <c r="AN981" s="188"/>
      <c r="AO981" s="188"/>
      <c r="AP981" s="188"/>
      <c r="AQ981" s="188"/>
      <c r="AR981" s="188"/>
      <c r="AS981" s="188"/>
      <c r="AT981" s="188"/>
      <c r="AU981" s="188"/>
      <c r="AV981" s="188"/>
      <c r="AW981" s="188"/>
      <c r="AX981" s="188"/>
      <c r="AY981" s="188"/>
      <c r="AZ981" s="188"/>
      <c r="BA981" s="188"/>
      <c r="BB981" s="188"/>
      <c r="BC981" s="188"/>
    </row>
    <row r="982">
      <c r="A982" s="188"/>
      <c r="B982" s="188"/>
      <c r="C982" s="188"/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  <c r="AJ982" s="188"/>
      <c r="AK982" s="188"/>
      <c r="AL982" s="188"/>
      <c r="AM982" s="188"/>
      <c r="AN982" s="188"/>
      <c r="AO982" s="188"/>
      <c r="AP982" s="188"/>
      <c r="AQ982" s="188"/>
      <c r="AR982" s="188"/>
      <c r="AS982" s="188"/>
      <c r="AT982" s="188"/>
      <c r="AU982" s="188"/>
      <c r="AV982" s="188"/>
      <c r="AW982" s="188"/>
      <c r="AX982" s="188"/>
      <c r="AY982" s="188"/>
      <c r="AZ982" s="188"/>
      <c r="BA982" s="188"/>
      <c r="BB982" s="188"/>
      <c r="BC982" s="188"/>
    </row>
    <row r="983">
      <c r="A983" s="188"/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  <c r="AP983" s="188"/>
      <c r="AQ983" s="188"/>
      <c r="AR983" s="188"/>
      <c r="AS983" s="188"/>
      <c r="AT983" s="188"/>
      <c r="AU983" s="188"/>
      <c r="AV983" s="188"/>
      <c r="AW983" s="188"/>
      <c r="AX983" s="188"/>
      <c r="AY983" s="188"/>
      <c r="AZ983" s="188"/>
      <c r="BA983" s="188"/>
      <c r="BB983" s="188"/>
      <c r="BC983" s="188"/>
    </row>
    <row r="984">
      <c r="A984" s="188"/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8"/>
      <c r="AN984" s="188"/>
      <c r="AO984" s="188"/>
      <c r="AP984" s="188"/>
      <c r="AQ984" s="188"/>
      <c r="AR984" s="188"/>
      <c r="AS984" s="188"/>
      <c r="AT984" s="188"/>
      <c r="AU984" s="188"/>
      <c r="AV984" s="188"/>
      <c r="AW984" s="188"/>
      <c r="AX984" s="188"/>
      <c r="AY984" s="188"/>
      <c r="AZ984" s="188"/>
      <c r="BA984" s="188"/>
      <c r="BB984" s="188"/>
      <c r="BC984" s="188"/>
    </row>
    <row r="985">
      <c r="A985" s="188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  <c r="AJ985" s="188"/>
      <c r="AK985" s="188"/>
      <c r="AL985" s="188"/>
      <c r="AM985" s="188"/>
      <c r="AN985" s="188"/>
      <c r="AO985" s="188"/>
      <c r="AP985" s="188"/>
      <c r="AQ985" s="188"/>
      <c r="AR985" s="188"/>
      <c r="AS985" s="188"/>
      <c r="AT985" s="188"/>
      <c r="AU985" s="188"/>
      <c r="AV985" s="188"/>
      <c r="AW985" s="188"/>
      <c r="AX985" s="188"/>
      <c r="AY985" s="188"/>
      <c r="AZ985" s="188"/>
      <c r="BA985" s="188"/>
      <c r="BB985" s="188"/>
      <c r="BC985" s="188"/>
    </row>
    <row r="986">
      <c r="A986" s="188"/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  <c r="AJ986" s="188"/>
      <c r="AK986" s="188"/>
      <c r="AL986" s="188"/>
      <c r="AM986" s="188"/>
      <c r="AN986" s="188"/>
      <c r="AO986" s="188"/>
      <c r="AP986" s="188"/>
      <c r="AQ986" s="188"/>
      <c r="AR986" s="188"/>
      <c r="AS986" s="188"/>
      <c r="AT986" s="188"/>
      <c r="AU986" s="188"/>
      <c r="AV986" s="188"/>
      <c r="AW986" s="188"/>
      <c r="AX986" s="188"/>
      <c r="AY986" s="188"/>
      <c r="AZ986" s="188"/>
      <c r="BA986" s="188"/>
      <c r="BB986" s="188"/>
      <c r="BC986" s="188"/>
    </row>
    <row r="987">
      <c r="A987" s="188"/>
      <c r="B987" s="188"/>
      <c r="C987" s="188"/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  <c r="AJ987" s="188"/>
      <c r="AK987" s="188"/>
      <c r="AL987" s="188"/>
      <c r="AM987" s="188"/>
      <c r="AN987" s="188"/>
      <c r="AO987" s="188"/>
      <c r="AP987" s="188"/>
      <c r="AQ987" s="188"/>
      <c r="AR987" s="188"/>
      <c r="AS987" s="188"/>
      <c r="AT987" s="188"/>
      <c r="AU987" s="188"/>
      <c r="AV987" s="188"/>
      <c r="AW987" s="188"/>
      <c r="AX987" s="188"/>
      <c r="AY987" s="188"/>
      <c r="AZ987" s="188"/>
      <c r="BA987" s="188"/>
      <c r="BB987" s="188"/>
      <c r="BC987" s="188"/>
    </row>
    <row r="988">
      <c r="A988" s="188"/>
      <c r="B988" s="188"/>
      <c r="C988" s="188"/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  <c r="AJ988" s="188"/>
      <c r="AK988" s="188"/>
      <c r="AL988" s="188"/>
      <c r="AM988" s="188"/>
      <c r="AN988" s="188"/>
      <c r="AO988" s="188"/>
      <c r="AP988" s="188"/>
      <c r="AQ988" s="188"/>
      <c r="AR988" s="188"/>
      <c r="AS988" s="188"/>
      <c r="AT988" s="188"/>
      <c r="AU988" s="188"/>
      <c r="AV988" s="188"/>
      <c r="AW988" s="188"/>
      <c r="AX988" s="188"/>
      <c r="AY988" s="188"/>
      <c r="AZ988" s="188"/>
      <c r="BA988" s="188"/>
      <c r="BB988" s="188"/>
      <c r="BC988" s="188"/>
    </row>
    <row r="989">
      <c r="A989" s="188"/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  <c r="AH989" s="188"/>
      <c r="AI989" s="188"/>
      <c r="AJ989" s="188"/>
      <c r="AK989" s="188"/>
      <c r="AL989" s="188"/>
      <c r="AM989" s="188"/>
      <c r="AN989" s="188"/>
      <c r="AO989" s="188"/>
      <c r="AP989" s="188"/>
      <c r="AQ989" s="188"/>
      <c r="AR989" s="188"/>
      <c r="AS989" s="188"/>
      <c r="AT989" s="188"/>
      <c r="AU989" s="188"/>
      <c r="AV989" s="188"/>
      <c r="AW989" s="188"/>
      <c r="AX989" s="188"/>
      <c r="AY989" s="188"/>
      <c r="AZ989" s="188"/>
      <c r="BA989" s="188"/>
      <c r="BB989" s="188"/>
      <c r="BC989" s="188"/>
    </row>
    <row r="990">
      <c r="A990" s="188"/>
      <c r="B990" s="188"/>
      <c r="C990" s="188"/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  <c r="AJ990" s="188"/>
      <c r="AK990" s="188"/>
      <c r="AL990" s="188"/>
      <c r="AM990" s="188"/>
      <c r="AN990" s="188"/>
      <c r="AO990" s="188"/>
      <c r="AP990" s="188"/>
      <c r="AQ990" s="188"/>
      <c r="AR990" s="188"/>
      <c r="AS990" s="188"/>
      <c r="AT990" s="188"/>
      <c r="AU990" s="188"/>
      <c r="AV990" s="188"/>
      <c r="AW990" s="188"/>
      <c r="AX990" s="188"/>
      <c r="AY990" s="188"/>
      <c r="AZ990" s="188"/>
      <c r="BA990" s="188"/>
      <c r="BB990" s="188"/>
      <c r="BC990" s="188"/>
    </row>
    <row r="991">
      <c r="A991" s="188"/>
      <c r="B991" s="188"/>
      <c r="C991" s="188"/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  <c r="AH991" s="188"/>
      <c r="AI991" s="188"/>
      <c r="AJ991" s="188"/>
      <c r="AK991" s="188"/>
      <c r="AL991" s="188"/>
      <c r="AM991" s="188"/>
      <c r="AN991" s="188"/>
      <c r="AO991" s="188"/>
      <c r="AP991" s="188"/>
      <c r="AQ991" s="188"/>
      <c r="AR991" s="188"/>
      <c r="AS991" s="188"/>
      <c r="AT991" s="188"/>
      <c r="AU991" s="188"/>
      <c r="AV991" s="188"/>
      <c r="AW991" s="188"/>
      <c r="AX991" s="188"/>
      <c r="AY991" s="188"/>
      <c r="AZ991" s="188"/>
      <c r="BA991" s="188"/>
      <c r="BB991" s="188"/>
      <c r="BC991" s="188"/>
    </row>
    <row r="992">
      <c r="A992" s="188"/>
      <c r="B992" s="188"/>
      <c r="C992" s="188"/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  <c r="AJ992" s="188"/>
      <c r="AK992" s="188"/>
      <c r="AL992" s="188"/>
      <c r="AM992" s="188"/>
      <c r="AN992" s="188"/>
      <c r="AO992" s="188"/>
      <c r="AP992" s="188"/>
      <c r="AQ992" s="188"/>
      <c r="AR992" s="188"/>
      <c r="AS992" s="188"/>
      <c r="AT992" s="188"/>
      <c r="AU992" s="188"/>
      <c r="AV992" s="188"/>
      <c r="AW992" s="188"/>
      <c r="AX992" s="188"/>
      <c r="AY992" s="188"/>
      <c r="AZ992" s="188"/>
      <c r="BA992" s="188"/>
      <c r="BB992" s="188"/>
      <c r="BC992" s="188"/>
    </row>
    <row r="993">
      <c r="A993" s="188"/>
      <c r="B993" s="188"/>
      <c r="C993" s="188"/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  <c r="AJ993" s="188"/>
      <c r="AK993" s="188"/>
      <c r="AL993" s="188"/>
      <c r="AM993" s="188"/>
      <c r="AN993" s="188"/>
      <c r="AO993" s="188"/>
      <c r="AP993" s="188"/>
      <c r="AQ993" s="188"/>
      <c r="AR993" s="188"/>
      <c r="AS993" s="188"/>
      <c r="AT993" s="188"/>
      <c r="AU993" s="188"/>
      <c r="AV993" s="188"/>
      <c r="AW993" s="188"/>
      <c r="AX993" s="188"/>
      <c r="AY993" s="188"/>
      <c r="AZ993" s="188"/>
      <c r="BA993" s="188"/>
      <c r="BB993" s="188"/>
      <c r="BC993" s="188"/>
    </row>
    <row r="994">
      <c r="A994" s="188"/>
      <c r="B994" s="188"/>
      <c r="C994" s="188"/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  <c r="AH994" s="188"/>
      <c r="AI994" s="188"/>
      <c r="AJ994" s="188"/>
      <c r="AK994" s="188"/>
      <c r="AL994" s="188"/>
      <c r="AM994" s="188"/>
      <c r="AN994" s="188"/>
      <c r="AO994" s="188"/>
      <c r="AP994" s="188"/>
      <c r="AQ994" s="188"/>
      <c r="AR994" s="188"/>
      <c r="AS994" s="188"/>
      <c r="AT994" s="188"/>
      <c r="AU994" s="188"/>
      <c r="AV994" s="188"/>
      <c r="AW994" s="188"/>
      <c r="AX994" s="188"/>
      <c r="AY994" s="188"/>
      <c r="AZ994" s="188"/>
      <c r="BA994" s="188"/>
      <c r="BB994" s="188"/>
      <c r="BC994" s="188"/>
    </row>
    <row r="995">
      <c r="A995" s="188"/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  <c r="AJ995" s="188"/>
      <c r="AK995" s="188"/>
      <c r="AL995" s="188"/>
      <c r="AM995" s="188"/>
      <c r="AN995" s="188"/>
      <c r="AO995" s="188"/>
      <c r="AP995" s="188"/>
      <c r="AQ995" s="188"/>
      <c r="AR995" s="188"/>
      <c r="AS995" s="188"/>
      <c r="AT995" s="188"/>
      <c r="AU995" s="188"/>
      <c r="AV995" s="188"/>
      <c r="AW995" s="188"/>
      <c r="AX995" s="188"/>
      <c r="AY995" s="188"/>
      <c r="AZ995" s="188"/>
      <c r="BA995" s="188"/>
      <c r="BB995" s="188"/>
      <c r="BC995" s="188"/>
    </row>
    <row r="996">
      <c r="A996" s="188"/>
      <c r="B996" s="188"/>
      <c r="C996" s="188"/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  <c r="AH996" s="188"/>
      <c r="AI996" s="188"/>
      <c r="AJ996" s="188"/>
      <c r="AK996" s="188"/>
      <c r="AL996" s="188"/>
      <c r="AM996" s="188"/>
      <c r="AN996" s="188"/>
      <c r="AO996" s="188"/>
      <c r="AP996" s="188"/>
      <c r="AQ996" s="188"/>
      <c r="AR996" s="188"/>
      <c r="AS996" s="188"/>
      <c r="AT996" s="188"/>
      <c r="AU996" s="188"/>
      <c r="AV996" s="188"/>
      <c r="AW996" s="188"/>
      <c r="AX996" s="188"/>
      <c r="AY996" s="188"/>
      <c r="AZ996" s="188"/>
      <c r="BA996" s="188"/>
      <c r="BB996" s="188"/>
      <c r="BC996" s="188"/>
    </row>
    <row r="997">
      <c r="A997" s="188"/>
      <c r="B997" s="188"/>
      <c r="C997" s="188"/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  <c r="AJ997" s="188"/>
      <c r="AK997" s="188"/>
      <c r="AL997" s="188"/>
      <c r="AM997" s="188"/>
      <c r="AN997" s="188"/>
      <c r="AO997" s="188"/>
      <c r="AP997" s="188"/>
      <c r="AQ997" s="188"/>
      <c r="AR997" s="188"/>
      <c r="AS997" s="188"/>
      <c r="AT997" s="188"/>
      <c r="AU997" s="188"/>
      <c r="AV997" s="188"/>
      <c r="AW997" s="188"/>
      <c r="AX997" s="188"/>
      <c r="AY997" s="188"/>
      <c r="AZ997" s="188"/>
      <c r="BA997" s="188"/>
      <c r="BB997" s="188"/>
      <c r="BC997" s="188"/>
    </row>
    <row r="998">
      <c r="A998" s="188"/>
      <c r="B998" s="188"/>
      <c r="C998" s="188"/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  <c r="AJ998" s="188"/>
      <c r="AK998" s="188"/>
      <c r="AL998" s="188"/>
      <c r="AM998" s="188"/>
      <c r="AN998" s="188"/>
      <c r="AO998" s="188"/>
      <c r="AP998" s="188"/>
      <c r="AQ998" s="188"/>
      <c r="AR998" s="188"/>
      <c r="AS998" s="188"/>
      <c r="AT998" s="188"/>
      <c r="AU998" s="188"/>
      <c r="AV998" s="188"/>
      <c r="AW998" s="188"/>
      <c r="AX998" s="188"/>
      <c r="AY998" s="188"/>
      <c r="AZ998" s="188"/>
      <c r="BA998" s="188"/>
      <c r="BB998" s="188"/>
      <c r="BC998" s="188"/>
    </row>
    <row r="999">
      <c r="A999" s="188"/>
      <c r="B999" s="188"/>
      <c r="C999" s="188"/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  <c r="AJ999" s="188"/>
      <c r="AK999" s="188"/>
      <c r="AL999" s="188"/>
      <c r="AM999" s="188"/>
      <c r="AN999" s="188"/>
      <c r="AO999" s="188"/>
      <c r="AP999" s="188"/>
      <c r="AQ999" s="188"/>
      <c r="AR999" s="188"/>
      <c r="AS999" s="188"/>
      <c r="AT999" s="188"/>
      <c r="AU999" s="188"/>
      <c r="AV999" s="188"/>
      <c r="AW999" s="188"/>
      <c r="AX999" s="188"/>
      <c r="AY999" s="188"/>
      <c r="AZ999" s="188"/>
      <c r="BA999" s="188"/>
      <c r="BB999" s="188"/>
      <c r="BC999" s="188"/>
    </row>
    <row r="1000">
      <c r="A1000" s="188"/>
      <c r="B1000" s="188"/>
      <c r="C1000" s="188"/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  <c r="AA1000" s="188"/>
      <c r="AB1000" s="188"/>
      <c r="AC1000" s="188"/>
      <c r="AD1000" s="188"/>
      <c r="AE1000" s="188"/>
      <c r="AF1000" s="188"/>
      <c r="AG1000" s="188"/>
      <c r="AH1000" s="188"/>
      <c r="AI1000" s="188"/>
      <c r="AJ1000" s="188"/>
      <c r="AK1000" s="188"/>
      <c r="AL1000" s="188"/>
      <c r="AM1000" s="188"/>
      <c r="AN1000" s="188"/>
      <c r="AO1000" s="188"/>
      <c r="AP1000" s="188"/>
      <c r="AQ1000" s="188"/>
      <c r="AR1000" s="188"/>
      <c r="AS1000" s="188"/>
      <c r="AT1000" s="188"/>
      <c r="AU1000" s="188"/>
      <c r="AV1000" s="188"/>
      <c r="AW1000" s="188"/>
      <c r="AX1000" s="188"/>
      <c r="AY1000" s="188"/>
      <c r="AZ1000" s="188"/>
      <c r="BA1000" s="188"/>
      <c r="BB1000" s="188"/>
      <c r="BC1000" s="188"/>
    </row>
    <row r="1001">
      <c r="A1001" s="188"/>
      <c r="B1001" s="188"/>
      <c r="C1001" s="188"/>
      <c r="D1001" s="188"/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  <c r="V1001" s="188"/>
      <c r="W1001" s="188"/>
      <c r="X1001" s="188"/>
      <c r="Y1001" s="188"/>
      <c r="Z1001" s="188"/>
      <c r="AA1001" s="188"/>
      <c r="AB1001" s="188"/>
      <c r="AC1001" s="188"/>
      <c r="AD1001" s="188"/>
      <c r="AE1001" s="188"/>
      <c r="AF1001" s="188"/>
      <c r="AG1001" s="188"/>
      <c r="AH1001" s="188"/>
      <c r="AI1001" s="188"/>
      <c r="AJ1001" s="188"/>
      <c r="AK1001" s="188"/>
      <c r="AL1001" s="188"/>
      <c r="AM1001" s="188"/>
      <c r="AN1001" s="188"/>
      <c r="AO1001" s="188"/>
      <c r="AP1001" s="188"/>
      <c r="AQ1001" s="188"/>
      <c r="AR1001" s="188"/>
      <c r="AS1001" s="188"/>
      <c r="AT1001" s="188"/>
      <c r="AU1001" s="188"/>
      <c r="AV1001" s="188"/>
      <c r="AW1001" s="188"/>
      <c r="AX1001" s="188"/>
      <c r="AY1001" s="188"/>
      <c r="AZ1001" s="188"/>
      <c r="BA1001" s="188"/>
      <c r="BB1001" s="188"/>
      <c r="BC1001" s="188"/>
    </row>
    <row r="1002">
      <c r="A1002" s="188"/>
      <c r="B1002" s="188"/>
      <c r="C1002" s="188"/>
      <c r="D1002" s="188"/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88"/>
      <c r="V1002" s="188"/>
      <c r="W1002" s="188"/>
      <c r="X1002" s="188"/>
      <c r="Y1002" s="188"/>
      <c r="Z1002" s="188"/>
      <c r="AA1002" s="188"/>
      <c r="AB1002" s="188"/>
      <c r="AC1002" s="188"/>
      <c r="AD1002" s="188"/>
      <c r="AE1002" s="188"/>
      <c r="AF1002" s="188"/>
      <c r="AG1002" s="188"/>
      <c r="AH1002" s="188"/>
      <c r="AI1002" s="188"/>
      <c r="AJ1002" s="188"/>
      <c r="AK1002" s="188"/>
      <c r="AL1002" s="188"/>
      <c r="AM1002" s="188"/>
      <c r="AN1002" s="188"/>
      <c r="AO1002" s="188"/>
      <c r="AP1002" s="188"/>
      <c r="AQ1002" s="188"/>
      <c r="AR1002" s="188"/>
      <c r="AS1002" s="188"/>
      <c r="AT1002" s="188"/>
      <c r="AU1002" s="188"/>
      <c r="AV1002" s="188"/>
      <c r="AW1002" s="188"/>
      <c r="AX1002" s="188"/>
      <c r="AY1002" s="188"/>
      <c r="AZ1002" s="188"/>
      <c r="BA1002" s="188"/>
      <c r="BB1002" s="188"/>
      <c r="BC1002" s="188"/>
    </row>
    <row r="1003">
      <c r="A1003" s="188"/>
      <c r="B1003" s="188"/>
      <c r="C1003" s="188"/>
      <c r="D1003" s="188"/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88"/>
      <c r="V1003" s="188"/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  <c r="AG1003" s="188"/>
      <c r="AH1003" s="188"/>
      <c r="AI1003" s="188"/>
      <c r="AJ1003" s="188"/>
      <c r="AK1003" s="188"/>
      <c r="AL1003" s="188"/>
      <c r="AM1003" s="188"/>
      <c r="AN1003" s="188"/>
      <c r="AO1003" s="188"/>
      <c r="AP1003" s="188"/>
      <c r="AQ1003" s="188"/>
      <c r="AR1003" s="188"/>
      <c r="AS1003" s="188"/>
      <c r="AT1003" s="188"/>
      <c r="AU1003" s="188"/>
      <c r="AV1003" s="188"/>
      <c r="AW1003" s="188"/>
      <c r="AX1003" s="188"/>
      <c r="AY1003" s="188"/>
      <c r="AZ1003" s="188"/>
      <c r="BA1003" s="188"/>
      <c r="BB1003" s="188"/>
      <c r="BC1003" s="188"/>
    </row>
    <row r="1004">
      <c r="A1004" s="188"/>
      <c r="B1004" s="188"/>
      <c r="C1004" s="188"/>
      <c r="D1004" s="188"/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88"/>
      <c r="V1004" s="188"/>
      <c r="W1004" s="188"/>
      <c r="X1004" s="188"/>
      <c r="Y1004" s="188"/>
      <c r="Z1004" s="188"/>
      <c r="AA1004" s="188"/>
      <c r="AB1004" s="188"/>
      <c r="AC1004" s="188"/>
      <c r="AD1004" s="188"/>
      <c r="AE1004" s="188"/>
      <c r="AF1004" s="188"/>
      <c r="AG1004" s="188"/>
      <c r="AH1004" s="188"/>
      <c r="AI1004" s="188"/>
      <c r="AJ1004" s="188"/>
      <c r="AK1004" s="188"/>
      <c r="AL1004" s="188"/>
      <c r="AM1004" s="188"/>
      <c r="AN1004" s="188"/>
      <c r="AO1004" s="188"/>
      <c r="AP1004" s="188"/>
      <c r="AQ1004" s="188"/>
      <c r="AR1004" s="188"/>
      <c r="AS1004" s="188"/>
      <c r="AT1004" s="188"/>
      <c r="AU1004" s="188"/>
      <c r="AV1004" s="188"/>
      <c r="AW1004" s="188"/>
      <c r="AX1004" s="188"/>
      <c r="AY1004" s="188"/>
      <c r="AZ1004" s="188"/>
      <c r="BA1004" s="188"/>
      <c r="BB1004" s="188"/>
      <c r="BC1004" s="188"/>
    </row>
    <row r="1005">
      <c r="A1005" s="188"/>
      <c r="B1005" s="188"/>
      <c r="C1005" s="188"/>
      <c r="D1005" s="188"/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88"/>
      <c r="V1005" s="188"/>
      <c r="W1005" s="188"/>
      <c r="X1005" s="188"/>
      <c r="Y1005" s="188"/>
      <c r="Z1005" s="188"/>
      <c r="AA1005" s="188"/>
      <c r="AB1005" s="188"/>
      <c r="AC1005" s="188"/>
      <c r="AD1005" s="188"/>
      <c r="AE1005" s="188"/>
      <c r="AF1005" s="188"/>
      <c r="AG1005" s="188"/>
      <c r="AH1005" s="188"/>
      <c r="AI1005" s="188"/>
      <c r="AJ1005" s="188"/>
      <c r="AK1005" s="188"/>
      <c r="AL1005" s="188"/>
      <c r="AM1005" s="188"/>
      <c r="AN1005" s="188"/>
      <c r="AO1005" s="188"/>
      <c r="AP1005" s="188"/>
      <c r="AQ1005" s="188"/>
      <c r="AR1005" s="188"/>
      <c r="AS1005" s="188"/>
      <c r="AT1005" s="188"/>
      <c r="AU1005" s="188"/>
      <c r="AV1005" s="188"/>
      <c r="AW1005" s="188"/>
      <c r="AX1005" s="188"/>
      <c r="AY1005" s="188"/>
      <c r="AZ1005" s="188"/>
      <c r="BA1005" s="188"/>
      <c r="BB1005" s="188"/>
      <c r="BC1005" s="188"/>
    </row>
    <row r="1006">
      <c r="A1006" s="188"/>
      <c r="B1006" s="188"/>
      <c r="C1006" s="188"/>
      <c r="D1006" s="188"/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88"/>
      <c r="V1006" s="188"/>
      <c r="W1006" s="188"/>
      <c r="X1006" s="188"/>
      <c r="Y1006" s="188"/>
      <c r="Z1006" s="188"/>
      <c r="AA1006" s="188"/>
      <c r="AB1006" s="188"/>
      <c r="AC1006" s="188"/>
      <c r="AD1006" s="188"/>
      <c r="AE1006" s="188"/>
      <c r="AF1006" s="188"/>
      <c r="AG1006" s="188"/>
      <c r="AH1006" s="188"/>
      <c r="AI1006" s="188"/>
      <c r="AJ1006" s="188"/>
      <c r="AK1006" s="188"/>
      <c r="AL1006" s="188"/>
      <c r="AM1006" s="188"/>
      <c r="AN1006" s="188"/>
      <c r="AO1006" s="188"/>
      <c r="AP1006" s="188"/>
      <c r="AQ1006" s="188"/>
      <c r="AR1006" s="188"/>
      <c r="AS1006" s="188"/>
      <c r="AT1006" s="188"/>
      <c r="AU1006" s="188"/>
      <c r="AV1006" s="188"/>
      <c r="AW1006" s="188"/>
      <c r="AX1006" s="188"/>
      <c r="AY1006" s="188"/>
      <c r="AZ1006" s="188"/>
      <c r="BA1006" s="188"/>
      <c r="BB1006" s="188"/>
      <c r="BC1006" s="188"/>
    </row>
    <row r="1007">
      <c r="A1007" s="188"/>
      <c r="B1007" s="188"/>
      <c r="C1007" s="188"/>
      <c r="D1007" s="188"/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88"/>
      <c r="V1007" s="188"/>
      <c r="W1007" s="188"/>
      <c r="X1007" s="188"/>
      <c r="Y1007" s="188"/>
      <c r="Z1007" s="188"/>
      <c r="AA1007" s="188"/>
      <c r="AB1007" s="188"/>
      <c r="AC1007" s="188"/>
      <c r="AD1007" s="188"/>
      <c r="AE1007" s="188"/>
      <c r="AF1007" s="188"/>
      <c r="AG1007" s="188"/>
      <c r="AH1007" s="188"/>
      <c r="AI1007" s="188"/>
      <c r="AJ1007" s="188"/>
      <c r="AK1007" s="188"/>
      <c r="AL1007" s="188"/>
      <c r="AM1007" s="188"/>
      <c r="AN1007" s="188"/>
      <c r="AO1007" s="188"/>
      <c r="AP1007" s="188"/>
      <c r="AQ1007" s="188"/>
      <c r="AR1007" s="188"/>
      <c r="AS1007" s="188"/>
      <c r="AT1007" s="188"/>
      <c r="AU1007" s="188"/>
      <c r="AV1007" s="188"/>
      <c r="AW1007" s="188"/>
      <c r="AX1007" s="188"/>
      <c r="AY1007" s="188"/>
      <c r="AZ1007" s="188"/>
      <c r="BA1007" s="188"/>
      <c r="BB1007" s="188"/>
      <c r="BC1007" s="188"/>
    </row>
    <row r="1008">
      <c r="A1008" s="188"/>
      <c r="B1008" s="188"/>
      <c r="C1008" s="188"/>
      <c r="D1008" s="188"/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88"/>
      <c r="V1008" s="188"/>
      <c r="W1008" s="188"/>
      <c r="X1008" s="188"/>
      <c r="Y1008" s="188"/>
      <c r="Z1008" s="188"/>
      <c r="AA1008" s="188"/>
      <c r="AB1008" s="188"/>
      <c r="AC1008" s="188"/>
      <c r="AD1008" s="188"/>
      <c r="AE1008" s="188"/>
      <c r="AF1008" s="188"/>
      <c r="AG1008" s="188"/>
      <c r="AH1008" s="188"/>
      <c r="AI1008" s="188"/>
      <c r="AJ1008" s="188"/>
      <c r="AK1008" s="188"/>
      <c r="AL1008" s="188"/>
      <c r="AM1008" s="188"/>
      <c r="AN1008" s="188"/>
      <c r="AO1008" s="188"/>
      <c r="AP1008" s="188"/>
      <c r="AQ1008" s="188"/>
      <c r="AR1008" s="188"/>
      <c r="AS1008" s="188"/>
      <c r="AT1008" s="188"/>
      <c r="AU1008" s="188"/>
      <c r="AV1008" s="188"/>
      <c r="AW1008" s="188"/>
      <c r="AX1008" s="188"/>
      <c r="AY1008" s="188"/>
      <c r="AZ1008" s="188"/>
      <c r="BA1008" s="188"/>
      <c r="BB1008" s="188"/>
      <c r="BC1008" s="188"/>
    </row>
    <row r="1009">
      <c r="A1009" s="188"/>
      <c r="B1009" s="188"/>
      <c r="C1009" s="188"/>
      <c r="D1009" s="188"/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88"/>
      <c r="V1009" s="188"/>
      <c r="W1009" s="188"/>
      <c r="X1009" s="188"/>
      <c r="Y1009" s="188"/>
      <c r="Z1009" s="188"/>
      <c r="AA1009" s="188"/>
      <c r="AB1009" s="188"/>
      <c r="AC1009" s="188"/>
      <c r="AD1009" s="188"/>
      <c r="AE1009" s="188"/>
      <c r="AF1009" s="188"/>
      <c r="AG1009" s="188"/>
      <c r="AH1009" s="188"/>
      <c r="AI1009" s="188"/>
      <c r="AJ1009" s="188"/>
      <c r="AK1009" s="188"/>
      <c r="AL1009" s="188"/>
      <c r="AM1009" s="188"/>
      <c r="AN1009" s="188"/>
      <c r="AO1009" s="188"/>
      <c r="AP1009" s="188"/>
      <c r="AQ1009" s="188"/>
      <c r="AR1009" s="188"/>
      <c r="AS1009" s="188"/>
      <c r="AT1009" s="188"/>
      <c r="AU1009" s="188"/>
      <c r="AV1009" s="188"/>
      <c r="AW1009" s="188"/>
      <c r="AX1009" s="188"/>
      <c r="AY1009" s="188"/>
      <c r="AZ1009" s="188"/>
      <c r="BA1009" s="188"/>
      <c r="BB1009" s="188"/>
      <c r="BC1009" s="188"/>
    </row>
    <row r="1010">
      <c r="A1010" s="188"/>
      <c r="B1010" s="188"/>
      <c r="C1010" s="188"/>
      <c r="D1010" s="188"/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88"/>
      <c r="V1010" s="188"/>
      <c r="W1010" s="188"/>
      <c r="X1010" s="188"/>
      <c r="Y1010" s="188"/>
      <c r="Z1010" s="188"/>
      <c r="AA1010" s="188"/>
      <c r="AB1010" s="188"/>
      <c r="AC1010" s="188"/>
      <c r="AD1010" s="188"/>
      <c r="AE1010" s="188"/>
      <c r="AF1010" s="188"/>
      <c r="AG1010" s="188"/>
      <c r="AH1010" s="188"/>
      <c r="AI1010" s="188"/>
      <c r="AJ1010" s="188"/>
      <c r="AK1010" s="188"/>
      <c r="AL1010" s="188"/>
      <c r="AM1010" s="188"/>
      <c r="AN1010" s="188"/>
      <c r="AO1010" s="188"/>
      <c r="AP1010" s="188"/>
      <c r="AQ1010" s="188"/>
      <c r="AR1010" s="188"/>
      <c r="AS1010" s="188"/>
      <c r="AT1010" s="188"/>
      <c r="AU1010" s="188"/>
      <c r="AV1010" s="188"/>
      <c r="AW1010" s="188"/>
      <c r="AX1010" s="188"/>
      <c r="AY1010" s="188"/>
      <c r="AZ1010" s="188"/>
      <c r="BA1010" s="188"/>
      <c r="BB1010" s="188"/>
      <c r="BC1010" s="188"/>
    </row>
    <row r="1011">
      <c r="A1011" s="188"/>
      <c r="B1011" s="188"/>
      <c r="C1011" s="188"/>
      <c r="D1011" s="188"/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88"/>
      <c r="V1011" s="188"/>
      <c r="W1011" s="188"/>
      <c r="X1011" s="188"/>
      <c r="Y1011" s="188"/>
      <c r="Z1011" s="188"/>
      <c r="AA1011" s="188"/>
      <c r="AB1011" s="188"/>
      <c r="AC1011" s="188"/>
      <c r="AD1011" s="188"/>
      <c r="AE1011" s="188"/>
      <c r="AF1011" s="188"/>
      <c r="AG1011" s="188"/>
      <c r="AH1011" s="188"/>
      <c r="AI1011" s="188"/>
      <c r="AJ1011" s="188"/>
      <c r="AK1011" s="188"/>
      <c r="AL1011" s="188"/>
      <c r="AM1011" s="188"/>
      <c r="AN1011" s="188"/>
      <c r="AO1011" s="188"/>
      <c r="AP1011" s="188"/>
      <c r="AQ1011" s="188"/>
      <c r="AR1011" s="188"/>
      <c r="AS1011" s="188"/>
      <c r="AT1011" s="188"/>
      <c r="AU1011" s="188"/>
      <c r="AV1011" s="188"/>
      <c r="AW1011" s="188"/>
      <c r="AX1011" s="188"/>
      <c r="AY1011" s="188"/>
      <c r="AZ1011" s="188"/>
      <c r="BA1011" s="188"/>
      <c r="BB1011" s="188"/>
      <c r="BC1011" s="188"/>
    </row>
    <row r="1012">
      <c r="A1012" s="188"/>
      <c r="B1012" s="188"/>
      <c r="C1012" s="188"/>
      <c r="D1012" s="188"/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88"/>
      <c r="V1012" s="188"/>
      <c r="W1012" s="188"/>
      <c r="X1012" s="188"/>
      <c r="Y1012" s="188"/>
      <c r="Z1012" s="188"/>
      <c r="AA1012" s="188"/>
      <c r="AB1012" s="188"/>
      <c r="AC1012" s="188"/>
      <c r="AD1012" s="188"/>
      <c r="AE1012" s="188"/>
      <c r="AF1012" s="188"/>
      <c r="AG1012" s="188"/>
      <c r="AH1012" s="188"/>
      <c r="AI1012" s="188"/>
      <c r="AJ1012" s="188"/>
      <c r="AK1012" s="188"/>
      <c r="AL1012" s="188"/>
      <c r="AM1012" s="188"/>
      <c r="AN1012" s="188"/>
      <c r="AO1012" s="188"/>
      <c r="AP1012" s="188"/>
      <c r="AQ1012" s="188"/>
      <c r="AR1012" s="188"/>
      <c r="AS1012" s="188"/>
      <c r="AT1012" s="188"/>
      <c r="AU1012" s="188"/>
      <c r="AV1012" s="188"/>
      <c r="AW1012" s="188"/>
      <c r="AX1012" s="188"/>
      <c r="AY1012" s="188"/>
      <c r="AZ1012" s="188"/>
      <c r="BA1012" s="188"/>
      <c r="BB1012" s="188"/>
      <c r="BC1012" s="188"/>
    </row>
    <row r="1013">
      <c r="A1013" s="188"/>
      <c r="B1013" s="188"/>
      <c r="C1013" s="188"/>
      <c r="D1013" s="188"/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88"/>
      <c r="V1013" s="188"/>
      <c r="W1013" s="188"/>
      <c r="X1013" s="188"/>
      <c r="Y1013" s="188"/>
      <c r="Z1013" s="188"/>
      <c r="AA1013" s="188"/>
      <c r="AB1013" s="188"/>
      <c r="AC1013" s="188"/>
      <c r="AD1013" s="188"/>
      <c r="AE1013" s="188"/>
      <c r="AF1013" s="188"/>
      <c r="AG1013" s="188"/>
      <c r="AH1013" s="188"/>
      <c r="AI1013" s="188"/>
      <c r="AJ1013" s="188"/>
      <c r="AK1013" s="188"/>
      <c r="AL1013" s="188"/>
      <c r="AM1013" s="188"/>
      <c r="AN1013" s="188"/>
      <c r="AO1013" s="188"/>
      <c r="AP1013" s="188"/>
      <c r="AQ1013" s="188"/>
      <c r="AR1013" s="188"/>
      <c r="AS1013" s="188"/>
      <c r="AT1013" s="188"/>
      <c r="AU1013" s="188"/>
      <c r="AV1013" s="188"/>
      <c r="AW1013" s="188"/>
      <c r="AX1013" s="188"/>
      <c r="AY1013" s="188"/>
      <c r="AZ1013" s="188"/>
      <c r="BA1013" s="188"/>
      <c r="BB1013" s="188"/>
      <c r="BC1013" s="188"/>
    </row>
    <row r="1014">
      <c r="A1014" s="188"/>
      <c r="B1014" s="188"/>
      <c r="C1014" s="188"/>
      <c r="D1014" s="188"/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88"/>
      <c r="V1014" s="188"/>
      <c r="W1014" s="188"/>
      <c r="X1014" s="188"/>
      <c r="Y1014" s="188"/>
      <c r="Z1014" s="188"/>
      <c r="AA1014" s="188"/>
      <c r="AB1014" s="188"/>
      <c r="AC1014" s="188"/>
      <c r="AD1014" s="188"/>
      <c r="AE1014" s="188"/>
      <c r="AF1014" s="188"/>
      <c r="AG1014" s="188"/>
      <c r="AH1014" s="188"/>
      <c r="AI1014" s="188"/>
      <c r="AJ1014" s="188"/>
      <c r="AK1014" s="188"/>
      <c r="AL1014" s="188"/>
      <c r="AM1014" s="188"/>
      <c r="AN1014" s="188"/>
      <c r="AO1014" s="188"/>
      <c r="AP1014" s="188"/>
      <c r="AQ1014" s="188"/>
      <c r="AR1014" s="188"/>
      <c r="AS1014" s="188"/>
      <c r="AT1014" s="188"/>
      <c r="AU1014" s="188"/>
      <c r="AV1014" s="188"/>
      <c r="AW1014" s="188"/>
      <c r="AX1014" s="188"/>
      <c r="AY1014" s="188"/>
      <c r="AZ1014" s="188"/>
      <c r="BA1014" s="188"/>
      <c r="BB1014" s="188"/>
      <c r="BC1014" s="188"/>
    </row>
    <row r="1015">
      <c r="A1015" s="188"/>
      <c r="B1015" s="188"/>
      <c r="C1015" s="188"/>
      <c r="D1015" s="188"/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88"/>
      <c r="V1015" s="188"/>
      <c r="W1015" s="188"/>
      <c r="X1015" s="188"/>
      <c r="Y1015" s="188"/>
      <c r="Z1015" s="188"/>
      <c r="AA1015" s="188"/>
      <c r="AB1015" s="188"/>
      <c r="AC1015" s="188"/>
      <c r="AD1015" s="188"/>
      <c r="AE1015" s="188"/>
      <c r="AF1015" s="188"/>
      <c r="AG1015" s="188"/>
      <c r="AH1015" s="188"/>
      <c r="AI1015" s="188"/>
      <c r="AJ1015" s="188"/>
      <c r="AK1015" s="188"/>
      <c r="AL1015" s="188"/>
      <c r="AM1015" s="188"/>
      <c r="AN1015" s="188"/>
      <c r="AO1015" s="188"/>
      <c r="AP1015" s="188"/>
      <c r="AQ1015" s="188"/>
      <c r="AR1015" s="188"/>
      <c r="AS1015" s="188"/>
      <c r="AT1015" s="188"/>
      <c r="AU1015" s="188"/>
      <c r="AV1015" s="188"/>
      <c r="AW1015" s="188"/>
      <c r="AX1015" s="188"/>
      <c r="AY1015" s="188"/>
      <c r="AZ1015" s="188"/>
      <c r="BA1015" s="188"/>
      <c r="BB1015" s="188"/>
      <c r="BC1015" s="188"/>
    </row>
    <row r="1016">
      <c r="A1016" s="188"/>
      <c r="B1016" s="188"/>
      <c r="C1016" s="188"/>
      <c r="D1016" s="188"/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88"/>
      <c r="V1016" s="188"/>
      <c r="W1016" s="188"/>
      <c r="X1016" s="188"/>
      <c r="Y1016" s="188"/>
      <c r="Z1016" s="188"/>
      <c r="AA1016" s="188"/>
      <c r="AB1016" s="188"/>
      <c r="AC1016" s="188"/>
      <c r="AD1016" s="188"/>
      <c r="AE1016" s="188"/>
      <c r="AF1016" s="188"/>
      <c r="AG1016" s="188"/>
      <c r="AH1016" s="188"/>
      <c r="AI1016" s="188"/>
      <c r="AJ1016" s="188"/>
      <c r="AK1016" s="188"/>
      <c r="AL1016" s="188"/>
      <c r="AM1016" s="188"/>
      <c r="AN1016" s="188"/>
      <c r="AO1016" s="188"/>
      <c r="AP1016" s="188"/>
      <c r="AQ1016" s="188"/>
      <c r="AR1016" s="188"/>
      <c r="AS1016" s="188"/>
      <c r="AT1016" s="188"/>
      <c r="AU1016" s="188"/>
      <c r="AV1016" s="188"/>
      <c r="AW1016" s="188"/>
      <c r="AX1016" s="188"/>
      <c r="AY1016" s="188"/>
      <c r="AZ1016" s="188"/>
      <c r="BA1016" s="188"/>
      <c r="BB1016" s="188"/>
      <c r="BC1016" s="188"/>
    </row>
    <row r="1017">
      <c r="A1017" s="188"/>
      <c r="B1017" s="188"/>
      <c r="C1017" s="188"/>
      <c r="D1017" s="188"/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88"/>
      <c r="V1017" s="188"/>
      <c r="W1017" s="188"/>
      <c r="X1017" s="188"/>
      <c r="Y1017" s="188"/>
      <c r="Z1017" s="188"/>
      <c r="AA1017" s="188"/>
      <c r="AB1017" s="188"/>
      <c r="AC1017" s="188"/>
      <c r="AD1017" s="188"/>
      <c r="AE1017" s="188"/>
      <c r="AF1017" s="188"/>
      <c r="AG1017" s="188"/>
      <c r="AH1017" s="188"/>
      <c r="AI1017" s="188"/>
      <c r="AJ1017" s="188"/>
      <c r="AK1017" s="188"/>
      <c r="AL1017" s="188"/>
      <c r="AM1017" s="188"/>
      <c r="AN1017" s="188"/>
      <c r="AO1017" s="188"/>
      <c r="AP1017" s="188"/>
      <c r="AQ1017" s="188"/>
      <c r="AR1017" s="188"/>
      <c r="AS1017" s="188"/>
      <c r="AT1017" s="188"/>
      <c r="AU1017" s="188"/>
      <c r="AV1017" s="188"/>
      <c r="AW1017" s="188"/>
      <c r="AX1017" s="188"/>
      <c r="AY1017" s="188"/>
      <c r="AZ1017" s="188"/>
      <c r="BA1017" s="188"/>
      <c r="BB1017" s="188"/>
      <c r="BC1017" s="188"/>
    </row>
    <row r="1018">
      <c r="A1018" s="188"/>
      <c r="B1018" s="188"/>
      <c r="C1018" s="188"/>
      <c r="D1018" s="188"/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88"/>
      <c r="V1018" s="188"/>
      <c r="W1018" s="188"/>
      <c r="X1018" s="188"/>
      <c r="Y1018" s="188"/>
      <c r="Z1018" s="188"/>
      <c r="AA1018" s="188"/>
      <c r="AB1018" s="188"/>
      <c r="AC1018" s="188"/>
      <c r="AD1018" s="188"/>
      <c r="AE1018" s="188"/>
      <c r="AF1018" s="188"/>
      <c r="AG1018" s="188"/>
      <c r="AH1018" s="188"/>
      <c r="AI1018" s="188"/>
      <c r="AJ1018" s="188"/>
      <c r="AK1018" s="188"/>
      <c r="AL1018" s="188"/>
      <c r="AM1018" s="188"/>
      <c r="AN1018" s="188"/>
      <c r="AO1018" s="188"/>
      <c r="AP1018" s="188"/>
      <c r="AQ1018" s="188"/>
      <c r="AR1018" s="188"/>
      <c r="AS1018" s="188"/>
      <c r="AT1018" s="188"/>
      <c r="AU1018" s="188"/>
      <c r="AV1018" s="188"/>
      <c r="AW1018" s="188"/>
      <c r="AX1018" s="188"/>
      <c r="AY1018" s="188"/>
      <c r="AZ1018" s="188"/>
      <c r="BA1018" s="188"/>
      <c r="BB1018" s="188"/>
      <c r="BC1018" s="188"/>
    </row>
    <row r="1019">
      <c r="A1019" s="188"/>
      <c r="B1019" s="188"/>
      <c r="C1019" s="188"/>
      <c r="D1019" s="188"/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88"/>
      <c r="V1019" s="188"/>
      <c r="W1019" s="188"/>
      <c r="X1019" s="188"/>
      <c r="Y1019" s="188"/>
      <c r="Z1019" s="188"/>
      <c r="AA1019" s="188"/>
      <c r="AB1019" s="188"/>
      <c r="AC1019" s="188"/>
      <c r="AD1019" s="188"/>
      <c r="AE1019" s="188"/>
      <c r="AF1019" s="188"/>
      <c r="AG1019" s="188"/>
      <c r="AH1019" s="188"/>
      <c r="AI1019" s="188"/>
      <c r="AJ1019" s="188"/>
      <c r="AK1019" s="188"/>
      <c r="AL1019" s="188"/>
      <c r="AM1019" s="188"/>
      <c r="AN1019" s="188"/>
      <c r="AO1019" s="188"/>
      <c r="AP1019" s="188"/>
      <c r="AQ1019" s="188"/>
      <c r="AR1019" s="188"/>
      <c r="AS1019" s="188"/>
      <c r="AT1019" s="188"/>
      <c r="AU1019" s="188"/>
      <c r="AV1019" s="188"/>
      <c r="AW1019" s="188"/>
      <c r="AX1019" s="188"/>
      <c r="AY1019" s="188"/>
      <c r="AZ1019" s="188"/>
      <c r="BA1019" s="188"/>
      <c r="BB1019" s="188"/>
      <c r="BC1019" s="188"/>
    </row>
    <row r="1020">
      <c r="A1020" s="188"/>
      <c r="B1020" s="188"/>
      <c r="C1020" s="188"/>
      <c r="D1020" s="188"/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88"/>
      <c r="V1020" s="188"/>
      <c r="W1020" s="188"/>
      <c r="X1020" s="188"/>
      <c r="Y1020" s="188"/>
      <c r="Z1020" s="188"/>
      <c r="AA1020" s="188"/>
      <c r="AB1020" s="188"/>
      <c r="AC1020" s="188"/>
      <c r="AD1020" s="188"/>
      <c r="AE1020" s="188"/>
      <c r="AF1020" s="188"/>
      <c r="AG1020" s="188"/>
      <c r="AH1020" s="188"/>
      <c r="AI1020" s="188"/>
      <c r="AJ1020" s="188"/>
      <c r="AK1020" s="188"/>
      <c r="AL1020" s="188"/>
      <c r="AM1020" s="188"/>
      <c r="AN1020" s="188"/>
      <c r="AO1020" s="188"/>
      <c r="AP1020" s="188"/>
      <c r="AQ1020" s="188"/>
      <c r="AR1020" s="188"/>
      <c r="AS1020" s="188"/>
      <c r="AT1020" s="188"/>
      <c r="AU1020" s="188"/>
      <c r="AV1020" s="188"/>
      <c r="AW1020" s="188"/>
      <c r="AX1020" s="188"/>
      <c r="AY1020" s="188"/>
      <c r="AZ1020" s="188"/>
      <c r="BA1020" s="188"/>
      <c r="BB1020" s="188"/>
      <c r="BC1020" s="188"/>
    </row>
    <row r="1021">
      <c r="A1021" s="188"/>
      <c r="B1021" s="188"/>
      <c r="C1021" s="188"/>
      <c r="D1021" s="188"/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88"/>
      <c r="V1021" s="188"/>
      <c r="W1021" s="188"/>
      <c r="X1021" s="188"/>
      <c r="Y1021" s="188"/>
      <c r="Z1021" s="188"/>
      <c r="AA1021" s="188"/>
      <c r="AB1021" s="188"/>
      <c r="AC1021" s="188"/>
      <c r="AD1021" s="188"/>
      <c r="AE1021" s="188"/>
      <c r="AF1021" s="188"/>
      <c r="AG1021" s="188"/>
      <c r="AH1021" s="188"/>
      <c r="AI1021" s="188"/>
      <c r="AJ1021" s="188"/>
      <c r="AK1021" s="188"/>
      <c r="AL1021" s="188"/>
      <c r="AM1021" s="188"/>
      <c r="AN1021" s="188"/>
      <c r="AO1021" s="188"/>
      <c r="AP1021" s="188"/>
      <c r="AQ1021" s="188"/>
      <c r="AR1021" s="188"/>
      <c r="AS1021" s="188"/>
      <c r="AT1021" s="188"/>
      <c r="AU1021" s="188"/>
      <c r="AV1021" s="188"/>
      <c r="AW1021" s="188"/>
      <c r="AX1021" s="188"/>
      <c r="AY1021" s="188"/>
      <c r="AZ1021" s="188"/>
      <c r="BA1021" s="188"/>
      <c r="BB1021" s="188"/>
      <c r="BC1021" s="188"/>
    </row>
    <row r="1022">
      <c r="A1022" s="188"/>
      <c r="B1022" s="188"/>
      <c r="C1022" s="188"/>
      <c r="D1022" s="188"/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88"/>
      <c r="V1022" s="188"/>
      <c r="W1022" s="188"/>
      <c r="X1022" s="188"/>
      <c r="Y1022" s="188"/>
      <c r="Z1022" s="188"/>
      <c r="AA1022" s="188"/>
      <c r="AB1022" s="188"/>
      <c r="AC1022" s="188"/>
      <c r="AD1022" s="188"/>
      <c r="AE1022" s="188"/>
      <c r="AF1022" s="188"/>
      <c r="AG1022" s="188"/>
      <c r="AH1022" s="188"/>
      <c r="AI1022" s="188"/>
      <c r="AJ1022" s="188"/>
      <c r="AK1022" s="188"/>
      <c r="AL1022" s="188"/>
      <c r="AM1022" s="188"/>
      <c r="AN1022" s="188"/>
      <c r="AO1022" s="188"/>
      <c r="AP1022" s="188"/>
      <c r="AQ1022" s="188"/>
      <c r="AR1022" s="188"/>
      <c r="AS1022" s="188"/>
      <c r="AT1022" s="188"/>
      <c r="AU1022" s="188"/>
      <c r="AV1022" s="188"/>
      <c r="AW1022" s="188"/>
      <c r="AX1022" s="188"/>
      <c r="AY1022" s="188"/>
      <c r="AZ1022" s="188"/>
      <c r="BA1022" s="188"/>
      <c r="BB1022" s="188"/>
      <c r="BC1022" s="188"/>
    </row>
    <row r="1023">
      <c r="A1023" s="188"/>
      <c r="B1023" s="188"/>
      <c r="C1023" s="188"/>
      <c r="D1023" s="188"/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88"/>
      <c r="V1023" s="188"/>
      <c r="W1023" s="188"/>
      <c r="X1023" s="188"/>
      <c r="Y1023" s="188"/>
      <c r="Z1023" s="188"/>
      <c r="AA1023" s="188"/>
      <c r="AB1023" s="188"/>
      <c r="AC1023" s="188"/>
      <c r="AD1023" s="188"/>
      <c r="AE1023" s="188"/>
      <c r="AF1023" s="188"/>
      <c r="AG1023" s="188"/>
      <c r="AH1023" s="188"/>
      <c r="AI1023" s="188"/>
      <c r="AJ1023" s="188"/>
      <c r="AK1023" s="188"/>
      <c r="AL1023" s="188"/>
      <c r="AM1023" s="188"/>
      <c r="AN1023" s="188"/>
      <c r="AO1023" s="188"/>
      <c r="AP1023" s="188"/>
      <c r="AQ1023" s="188"/>
      <c r="AR1023" s="188"/>
      <c r="AS1023" s="188"/>
      <c r="AT1023" s="188"/>
      <c r="AU1023" s="188"/>
      <c r="AV1023" s="188"/>
      <c r="AW1023" s="188"/>
      <c r="AX1023" s="188"/>
      <c r="AY1023" s="188"/>
      <c r="AZ1023" s="188"/>
      <c r="BA1023" s="188"/>
      <c r="BB1023" s="188"/>
      <c r="BC1023" s="188"/>
    </row>
    <row r="1024">
      <c r="A1024" s="188"/>
      <c r="B1024" s="188"/>
      <c r="C1024" s="188"/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88"/>
      <c r="V1024" s="188"/>
      <c r="W1024" s="188"/>
      <c r="X1024" s="188"/>
      <c r="Y1024" s="188"/>
      <c r="Z1024" s="188"/>
      <c r="AA1024" s="188"/>
      <c r="AB1024" s="188"/>
      <c r="AC1024" s="188"/>
      <c r="AD1024" s="188"/>
      <c r="AE1024" s="188"/>
      <c r="AF1024" s="188"/>
      <c r="AG1024" s="188"/>
      <c r="AH1024" s="188"/>
      <c r="AI1024" s="188"/>
      <c r="AJ1024" s="188"/>
      <c r="AK1024" s="188"/>
      <c r="AL1024" s="188"/>
      <c r="AM1024" s="188"/>
      <c r="AN1024" s="188"/>
      <c r="AO1024" s="188"/>
      <c r="AP1024" s="188"/>
      <c r="AQ1024" s="188"/>
      <c r="AR1024" s="188"/>
      <c r="AS1024" s="188"/>
      <c r="AT1024" s="188"/>
      <c r="AU1024" s="188"/>
      <c r="AV1024" s="188"/>
      <c r="AW1024" s="188"/>
      <c r="AX1024" s="188"/>
      <c r="AY1024" s="188"/>
      <c r="AZ1024" s="188"/>
      <c r="BA1024" s="188"/>
      <c r="BB1024" s="188"/>
      <c r="BC1024" s="188"/>
    </row>
    <row r="1025">
      <c r="A1025" s="188"/>
      <c r="B1025" s="188"/>
      <c r="C1025" s="188"/>
      <c r="D1025" s="188"/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88"/>
      <c r="V1025" s="188"/>
      <c r="W1025" s="188"/>
      <c r="X1025" s="188"/>
      <c r="Y1025" s="188"/>
      <c r="Z1025" s="188"/>
      <c r="AA1025" s="188"/>
      <c r="AB1025" s="188"/>
      <c r="AC1025" s="188"/>
      <c r="AD1025" s="188"/>
      <c r="AE1025" s="188"/>
      <c r="AF1025" s="188"/>
      <c r="AG1025" s="188"/>
      <c r="AH1025" s="188"/>
      <c r="AI1025" s="188"/>
      <c r="AJ1025" s="188"/>
      <c r="AK1025" s="188"/>
      <c r="AL1025" s="188"/>
      <c r="AM1025" s="188"/>
      <c r="AN1025" s="188"/>
      <c r="AO1025" s="188"/>
      <c r="AP1025" s="188"/>
      <c r="AQ1025" s="188"/>
      <c r="AR1025" s="188"/>
      <c r="AS1025" s="188"/>
      <c r="AT1025" s="188"/>
      <c r="AU1025" s="188"/>
      <c r="AV1025" s="188"/>
      <c r="AW1025" s="188"/>
      <c r="AX1025" s="188"/>
      <c r="AY1025" s="188"/>
      <c r="AZ1025" s="188"/>
      <c r="BA1025" s="188"/>
      <c r="BB1025" s="188"/>
      <c r="BC1025" s="188"/>
    </row>
    <row r="1026">
      <c r="A1026" s="188"/>
      <c r="B1026" s="188"/>
      <c r="C1026" s="188"/>
      <c r="D1026" s="188"/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88"/>
      <c r="V1026" s="188"/>
      <c r="W1026" s="188"/>
      <c r="X1026" s="188"/>
      <c r="Y1026" s="188"/>
      <c r="Z1026" s="188"/>
      <c r="AA1026" s="188"/>
      <c r="AB1026" s="188"/>
      <c r="AC1026" s="188"/>
      <c r="AD1026" s="188"/>
      <c r="AE1026" s="188"/>
      <c r="AF1026" s="188"/>
      <c r="AG1026" s="188"/>
      <c r="AH1026" s="188"/>
      <c r="AI1026" s="188"/>
      <c r="AJ1026" s="188"/>
      <c r="AK1026" s="188"/>
      <c r="AL1026" s="188"/>
      <c r="AM1026" s="188"/>
      <c r="AN1026" s="188"/>
      <c r="AO1026" s="188"/>
      <c r="AP1026" s="188"/>
      <c r="AQ1026" s="188"/>
      <c r="AR1026" s="188"/>
      <c r="AS1026" s="188"/>
      <c r="AT1026" s="188"/>
      <c r="AU1026" s="188"/>
      <c r="AV1026" s="188"/>
      <c r="AW1026" s="188"/>
      <c r="AX1026" s="188"/>
      <c r="AY1026" s="188"/>
      <c r="AZ1026" s="188"/>
      <c r="BA1026" s="188"/>
      <c r="BB1026" s="188"/>
      <c r="BC1026" s="188"/>
    </row>
    <row r="1027">
      <c r="A1027" s="188"/>
      <c r="B1027" s="188"/>
      <c r="C1027" s="188"/>
      <c r="D1027" s="188"/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88"/>
      <c r="V1027" s="188"/>
      <c r="W1027" s="188"/>
      <c r="X1027" s="188"/>
      <c r="Y1027" s="188"/>
      <c r="Z1027" s="188"/>
      <c r="AA1027" s="188"/>
      <c r="AB1027" s="188"/>
      <c r="AC1027" s="188"/>
      <c r="AD1027" s="188"/>
      <c r="AE1027" s="188"/>
      <c r="AF1027" s="188"/>
      <c r="AG1027" s="188"/>
      <c r="AH1027" s="188"/>
      <c r="AI1027" s="188"/>
      <c r="AJ1027" s="188"/>
      <c r="AK1027" s="188"/>
      <c r="AL1027" s="188"/>
      <c r="AM1027" s="188"/>
      <c r="AN1027" s="188"/>
      <c r="AO1027" s="188"/>
      <c r="AP1027" s="188"/>
      <c r="AQ1027" s="188"/>
      <c r="AR1027" s="188"/>
      <c r="AS1027" s="188"/>
      <c r="AT1027" s="188"/>
      <c r="AU1027" s="188"/>
      <c r="AV1027" s="188"/>
      <c r="AW1027" s="188"/>
      <c r="AX1027" s="188"/>
      <c r="AY1027" s="188"/>
      <c r="AZ1027" s="188"/>
      <c r="BA1027" s="188"/>
      <c r="BB1027" s="188"/>
      <c r="BC1027" s="188"/>
    </row>
    <row r="1028">
      <c r="A1028" s="188"/>
      <c r="B1028" s="188"/>
      <c r="C1028" s="188"/>
      <c r="D1028" s="188"/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88"/>
      <c r="V1028" s="188"/>
      <c r="W1028" s="188"/>
      <c r="X1028" s="188"/>
      <c r="Y1028" s="188"/>
      <c r="Z1028" s="188"/>
      <c r="AA1028" s="188"/>
      <c r="AB1028" s="188"/>
      <c r="AC1028" s="188"/>
      <c r="AD1028" s="188"/>
      <c r="AE1028" s="188"/>
      <c r="AF1028" s="188"/>
      <c r="AG1028" s="188"/>
      <c r="AH1028" s="188"/>
      <c r="AI1028" s="188"/>
      <c r="AJ1028" s="188"/>
      <c r="AK1028" s="188"/>
      <c r="AL1028" s="188"/>
      <c r="AM1028" s="188"/>
      <c r="AN1028" s="188"/>
      <c r="AO1028" s="188"/>
      <c r="AP1028" s="188"/>
      <c r="AQ1028" s="188"/>
      <c r="AR1028" s="188"/>
      <c r="AS1028" s="188"/>
      <c r="AT1028" s="188"/>
      <c r="AU1028" s="188"/>
      <c r="AV1028" s="188"/>
      <c r="AW1028" s="188"/>
      <c r="AX1028" s="188"/>
      <c r="AY1028" s="188"/>
      <c r="AZ1028" s="188"/>
      <c r="BA1028" s="188"/>
      <c r="BB1028" s="188"/>
      <c r="BC1028" s="188"/>
    </row>
    <row r="1029">
      <c r="A1029" s="188"/>
      <c r="B1029" s="188"/>
      <c r="C1029" s="188"/>
      <c r="D1029" s="188"/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88"/>
      <c r="V1029" s="188"/>
      <c r="W1029" s="188"/>
      <c r="X1029" s="188"/>
      <c r="Y1029" s="188"/>
      <c r="Z1029" s="188"/>
      <c r="AA1029" s="188"/>
      <c r="AB1029" s="188"/>
      <c r="AC1029" s="188"/>
      <c r="AD1029" s="188"/>
      <c r="AE1029" s="188"/>
      <c r="AF1029" s="188"/>
      <c r="AG1029" s="188"/>
      <c r="AH1029" s="188"/>
      <c r="AI1029" s="188"/>
      <c r="AJ1029" s="188"/>
      <c r="AK1029" s="188"/>
      <c r="AL1029" s="188"/>
      <c r="AM1029" s="188"/>
      <c r="AN1029" s="188"/>
      <c r="AO1029" s="188"/>
      <c r="AP1029" s="188"/>
      <c r="AQ1029" s="188"/>
      <c r="AR1029" s="188"/>
      <c r="AS1029" s="188"/>
      <c r="AT1029" s="188"/>
      <c r="AU1029" s="188"/>
      <c r="AV1029" s="188"/>
      <c r="AW1029" s="188"/>
      <c r="AX1029" s="188"/>
      <c r="AY1029" s="188"/>
      <c r="AZ1029" s="188"/>
      <c r="BA1029" s="188"/>
      <c r="BB1029" s="188"/>
      <c r="BC1029" s="188"/>
    </row>
    <row r="1030">
      <c r="A1030" s="188"/>
      <c r="B1030" s="188"/>
      <c r="C1030" s="188"/>
      <c r="D1030" s="188"/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88"/>
      <c r="V1030" s="188"/>
      <c r="W1030" s="188"/>
      <c r="X1030" s="188"/>
      <c r="Y1030" s="188"/>
      <c r="Z1030" s="188"/>
      <c r="AA1030" s="188"/>
      <c r="AB1030" s="188"/>
      <c r="AC1030" s="188"/>
      <c r="AD1030" s="188"/>
      <c r="AE1030" s="188"/>
      <c r="AF1030" s="188"/>
      <c r="AG1030" s="188"/>
      <c r="AH1030" s="188"/>
      <c r="AI1030" s="188"/>
      <c r="AJ1030" s="188"/>
      <c r="AK1030" s="188"/>
      <c r="AL1030" s="188"/>
      <c r="AM1030" s="188"/>
      <c r="AN1030" s="188"/>
      <c r="AO1030" s="188"/>
      <c r="AP1030" s="188"/>
      <c r="AQ1030" s="188"/>
      <c r="AR1030" s="188"/>
      <c r="AS1030" s="188"/>
      <c r="AT1030" s="188"/>
      <c r="AU1030" s="188"/>
      <c r="AV1030" s="188"/>
      <c r="AW1030" s="188"/>
      <c r="AX1030" s="188"/>
      <c r="AY1030" s="188"/>
      <c r="AZ1030" s="188"/>
      <c r="BA1030" s="188"/>
      <c r="BB1030" s="188"/>
      <c r="BC1030" s="188"/>
    </row>
    <row r="1031">
      <c r="A1031" s="188"/>
      <c r="B1031" s="188"/>
      <c r="C1031" s="188"/>
      <c r="D1031" s="188"/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88"/>
      <c r="V1031" s="188"/>
      <c r="W1031" s="188"/>
      <c r="X1031" s="188"/>
      <c r="Y1031" s="188"/>
      <c r="Z1031" s="188"/>
      <c r="AA1031" s="188"/>
      <c r="AB1031" s="188"/>
      <c r="AC1031" s="188"/>
      <c r="AD1031" s="188"/>
      <c r="AE1031" s="188"/>
      <c r="AF1031" s="188"/>
      <c r="AG1031" s="188"/>
      <c r="AH1031" s="188"/>
      <c r="AI1031" s="188"/>
      <c r="AJ1031" s="188"/>
      <c r="AK1031" s="188"/>
      <c r="AL1031" s="188"/>
      <c r="AM1031" s="188"/>
      <c r="AN1031" s="188"/>
      <c r="AO1031" s="188"/>
      <c r="AP1031" s="188"/>
      <c r="AQ1031" s="188"/>
      <c r="AR1031" s="188"/>
      <c r="AS1031" s="188"/>
      <c r="AT1031" s="188"/>
      <c r="AU1031" s="188"/>
      <c r="AV1031" s="188"/>
      <c r="AW1031" s="188"/>
      <c r="AX1031" s="188"/>
      <c r="AY1031" s="188"/>
      <c r="AZ1031" s="188"/>
      <c r="BA1031" s="188"/>
      <c r="BB1031" s="188"/>
      <c r="BC1031" s="188"/>
    </row>
    <row r="1032">
      <c r="A1032" s="188"/>
      <c r="B1032" s="188"/>
      <c r="C1032" s="188"/>
      <c r="D1032" s="188"/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88"/>
      <c r="V1032" s="188"/>
      <c r="W1032" s="188"/>
      <c r="X1032" s="188"/>
      <c r="Y1032" s="188"/>
      <c r="Z1032" s="188"/>
      <c r="AA1032" s="188"/>
      <c r="AB1032" s="188"/>
      <c r="AC1032" s="188"/>
      <c r="AD1032" s="188"/>
      <c r="AE1032" s="188"/>
      <c r="AF1032" s="188"/>
      <c r="AG1032" s="188"/>
      <c r="AH1032" s="188"/>
      <c r="AI1032" s="188"/>
      <c r="AJ1032" s="188"/>
      <c r="AK1032" s="188"/>
      <c r="AL1032" s="188"/>
      <c r="AM1032" s="188"/>
      <c r="AN1032" s="188"/>
      <c r="AO1032" s="188"/>
      <c r="AP1032" s="188"/>
      <c r="AQ1032" s="188"/>
      <c r="AR1032" s="188"/>
      <c r="AS1032" s="188"/>
      <c r="AT1032" s="188"/>
      <c r="AU1032" s="188"/>
      <c r="AV1032" s="188"/>
      <c r="AW1032" s="188"/>
      <c r="AX1032" s="188"/>
      <c r="AY1032" s="188"/>
      <c r="AZ1032" s="188"/>
      <c r="BA1032" s="188"/>
      <c r="BB1032" s="188"/>
      <c r="BC1032" s="188"/>
    </row>
    <row r="1033">
      <c r="A1033" s="188"/>
      <c r="B1033" s="188"/>
      <c r="C1033" s="188"/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88"/>
      <c r="V1033" s="188"/>
      <c r="W1033" s="188"/>
      <c r="X1033" s="188"/>
      <c r="Y1033" s="188"/>
      <c r="Z1033" s="188"/>
      <c r="AA1033" s="188"/>
      <c r="AB1033" s="188"/>
      <c r="AC1033" s="188"/>
      <c r="AD1033" s="188"/>
      <c r="AE1033" s="188"/>
      <c r="AF1033" s="188"/>
      <c r="AG1033" s="188"/>
      <c r="AH1033" s="188"/>
      <c r="AI1033" s="188"/>
      <c r="AJ1033" s="188"/>
      <c r="AK1033" s="188"/>
      <c r="AL1033" s="188"/>
      <c r="AM1033" s="188"/>
      <c r="AN1033" s="188"/>
      <c r="AO1033" s="188"/>
      <c r="AP1033" s="188"/>
      <c r="AQ1033" s="188"/>
      <c r="AR1033" s="188"/>
      <c r="AS1033" s="188"/>
      <c r="AT1033" s="188"/>
      <c r="AU1033" s="188"/>
      <c r="AV1033" s="188"/>
      <c r="AW1033" s="188"/>
      <c r="AX1033" s="188"/>
      <c r="AY1033" s="188"/>
      <c r="AZ1033" s="188"/>
      <c r="BA1033" s="188"/>
      <c r="BB1033" s="188"/>
      <c r="BC1033" s="188"/>
    </row>
    <row r="1034">
      <c r="A1034" s="188"/>
      <c r="B1034" s="188"/>
      <c r="C1034" s="188"/>
      <c r="D1034" s="188"/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88"/>
      <c r="V1034" s="188"/>
      <c r="W1034" s="188"/>
      <c r="X1034" s="188"/>
      <c r="Y1034" s="188"/>
      <c r="Z1034" s="188"/>
      <c r="AA1034" s="188"/>
      <c r="AB1034" s="188"/>
      <c r="AC1034" s="188"/>
      <c r="AD1034" s="188"/>
      <c r="AE1034" s="188"/>
      <c r="AF1034" s="188"/>
      <c r="AG1034" s="188"/>
      <c r="AH1034" s="188"/>
      <c r="AI1034" s="188"/>
      <c r="AJ1034" s="188"/>
      <c r="AK1034" s="188"/>
      <c r="AL1034" s="188"/>
      <c r="AM1034" s="188"/>
      <c r="AN1034" s="188"/>
      <c r="AO1034" s="188"/>
      <c r="AP1034" s="188"/>
      <c r="AQ1034" s="188"/>
      <c r="AR1034" s="188"/>
      <c r="AS1034" s="188"/>
      <c r="AT1034" s="188"/>
      <c r="AU1034" s="188"/>
      <c r="AV1034" s="188"/>
      <c r="AW1034" s="188"/>
      <c r="AX1034" s="188"/>
      <c r="AY1034" s="188"/>
      <c r="AZ1034" s="188"/>
      <c r="BA1034" s="188"/>
      <c r="BB1034" s="188"/>
      <c r="BC1034" s="188"/>
    </row>
    <row r="1035">
      <c r="A1035" s="188"/>
      <c r="B1035" s="188"/>
      <c r="C1035" s="188"/>
      <c r="D1035" s="188"/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88"/>
      <c r="V1035" s="188"/>
      <c r="W1035" s="188"/>
      <c r="X1035" s="188"/>
      <c r="Y1035" s="188"/>
      <c r="Z1035" s="188"/>
      <c r="AA1035" s="188"/>
      <c r="AB1035" s="188"/>
      <c r="AC1035" s="188"/>
      <c r="AD1035" s="188"/>
      <c r="AE1035" s="188"/>
      <c r="AF1035" s="188"/>
      <c r="AG1035" s="188"/>
      <c r="AH1035" s="188"/>
      <c r="AI1035" s="188"/>
      <c r="AJ1035" s="188"/>
      <c r="AK1035" s="188"/>
      <c r="AL1035" s="188"/>
      <c r="AM1035" s="188"/>
      <c r="AN1035" s="188"/>
      <c r="AO1035" s="188"/>
      <c r="AP1035" s="188"/>
      <c r="AQ1035" s="188"/>
      <c r="AR1035" s="188"/>
      <c r="AS1035" s="188"/>
      <c r="AT1035" s="188"/>
      <c r="AU1035" s="188"/>
      <c r="AV1035" s="188"/>
      <c r="AW1035" s="188"/>
      <c r="AX1035" s="188"/>
      <c r="AY1035" s="188"/>
      <c r="AZ1035" s="188"/>
      <c r="BA1035" s="188"/>
      <c r="BB1035" s="188"/>
      <c r="BC1035" s="188"/>
    </row>
    <row r="1036">
      <c r="A1036" s="188"/>
      <c r="B1036" s="188"/>
      <c r="C1036" s="188"/>
      <c r="D1036" s="188"/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88"/>
      <c r="V1036" s="188"/>
      <c r="W1036" s="188"/>
      <c r="X1036" s="188"/>
      <c r="Y1036" s="188"/>
      <c r="Z1036" s="188"/>
      <c r="AA1036" s="188"/>
      <c r="AB1036" s="188"/>
      <c r="AC1036" s="188"/>
      <c r="AD1036" s="188"/>
      <c r="AE1036" s="188"/>
      <c r="AF1036" s="188"/>
      <c r="AG1036" s="188"/>
      <c r="AH1036" s="188"/>
      <c r="AI1036" s="188"/>
      <c r="AJ1036" s="188"/>
      <c r="AK1036" s="188"/>
      <c r="AL1036" s="188"/>
      <c r="AM1036" s="188"/>
      <c r="AN1036" s="188"/>
      <c r="AO1036" s="188"/>
      <c r="AP1036" s="188"/>
      <c r="AQ1036" s="188"/>
      <c r="AR1036" s="188"/>
      <c r="AS1036" s="188"/>
      <c r="AT1036" s="188"/>
      <c r="AU1036" s="188"/>
      <c r="AV1036" s="188"/>
      <c r="AW1036" s="188"/>
      <c r="AX1036" s="188"/>
      <c r="AY1036" s="188"/>
      <c r="AZ1036" s="188"/>
      <c r="BA1036" s="188"/>
      <c r="BB1036" s="188"/>
      <c r="BC1036" s="188"/>
    </row>
    <row r="1037">
      <c r="A1037" s="188"/>
      <c r="B1037" s="188"/>
      <c r="C1037" s="188"/>
      <c r="D1037" s="188"/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88"/>
      <c r="V1037" s="188"/>
      <c r="W1037" s="188"/>
      <c r="X1037" s="188"/>
      <c r="Y1037" s="188"/>
      <c r="Z1037" s="188"/>
      <c r="AA1037" s="188"/>
      <c r="AB1037" s="188"/>
      <c r="AC1037" s="188"/>
      <c r="AD1037" s="188"/>
      <c r="AE1037" s="188"/>
      <c r="AF1037" s="188"/>
      <c r="AG1037" s="188"/>
      <c r="AH1037" s="188"/>
      <c r="AI1037" s="188"/>
      <c r="AJ1037" s="188"/>
      <c r="AK1037" s="188"/>
      <c r="AL1037" s="188"/>
      <c r="AM1037" s="188"/>
      <c r="AN1037" s="188"/>
      <c r="AO1037" s="188"/>
      <c r="AP1037" s="188"/>
      <c r="AQ1037" s="188"/>
      <c r="AR1037" s="188"/>
      <c r="AS1037" s="188"/>
      <c r="AT1037" s="188"/>
      <c r="AU1037" s="188"/>
      <c r="AV1037" s="188"/>
      <c r="AW1037" s="188"/>
      <c r="AX1037" s="188"/>
      <c r="AY1037" s="188"/>
      <c r="AZ1037" s="188"/>
      <c r="BA1037" s="188"/>
      <c r="BB1037" s="188"/>
      <c r="BC1037" s="188"/>
    </row>
    <row r="1038">
      <c r="A1038" s="188"/>
      <c r="B1038" s="188"/>
      <c r="C1038" s="188"/>
      <c r="D1038" s="188"/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88"/>
      <c r="V1038" s="188"/>
      <c r="W1038" s="188"/>
      <c r="X1038" s="188"/>
      <c r="Y1038" s="188"/>
      <c r="Z1038" s="188"/>
      <c r="AA1038" s="188"/>
      <c r="AB1038" s="188"/>
      <c r="AC1038" s="188"/>
      <c r="AD1038" s="188"/>
      <c r="AE1038" s="188"/>
      <c r="AF1038" s="188"/>
      <c r="AG1038" s="188"/>
      <c r="AH1038" s="188"/>
      <c r="AI1038" s="188"/>
      <c r="AJ1038" s="188"/>
      <c r="AK1038" s="188"/>
      <c r="AL1038" s="188"/>
      <c r="AM1038" s="188"/>
      <c r="AN1038" s="188"/>
      <c r="AO1038" s="188"/>
      <c r="AP1038" s="188"/>
      <c r="AQ1038" s="188"/>
      <c r="AR1038" s="188"/>
      <c r="AS1038" s="188"/>
      <c r="AT1038" s="188"/>
      <c r="AU1038" s="188"/>
      <c r="AV1038" s="188"/>
      <c r="AW1038" s="188"/>
      <c r="AX1038" s="188"/>
      <c r="AY1038" s="188"/>
      <c r="AZ1038" s="188"/>
      <c r="BA1038" s="188"/>
      <c r="BB1038" s="188"/>
      <c r="BC1038" s="188"/>
    </row>
    <row r="1039">
      <c r="A1039" s="188"/>
      <c r="B1039" s="188"/>
      <c r="C1039" s="188"/>
      <c r="D1039" s="188"/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88"/>
      <c r="V1039" s="188"/>
      <c r="W1039" s="188"/>
      <c r="X1039" s="188"/>
      <c r="Y1039" s="188"/>
      <c r="Z1039" s="188"/>
      <c r="AA1039" s="188"/>
      <c r="AB1039" s="188"/>
      <c r="AC1039" s="188"/>
      <c r="AD1039" s="188"/>
      <c r="AE1039" s="188"/>
      <c r="AF1039" s="188"/>
      <c r="AG1039" s="188"/>
      <c r="AH1039" s="188"/>
      <c r="AI1039" s="188"/>
      <c r="AJ1039" s="188"/>
      <c r="AK1039" s="188"/>
      <c r="AL1039" s="188"/>
      <c r="AM1039" s="188"/>
      <c r="AN1039" s="188"/>
      <c r="AO1039" s="188"/>
      <c r="AP1039" s="188"/>
      <c r="AQ1039" s="188"/>
      <c r="AR1039" s="188"/>
      <c r="AS1039" s="188"/>
      <c r="AT1039" s="188"/>
      <c r="AU1039" s="188"/>
      <c r="AV1039" s="188"/>
      <c r="AW1039" s="188"/>
      <c r="AX1039" s="188"/>
      <c r="AY1039" s="188"/>
      <c r="AZ1039" s="188"/>
      <c r="BA1039" s="188"/>
      <c r="BB1039" s="188"/>
      <c r="BC1039" s="188"/>
    </row>
    <row r="1040">
      <c r="A1040" s="188"/>
      <c r="B1040" s="188"/>
      <c r="C1040" s="188"/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88"/>
      <c r="V1040" s="188"/>
      <c r="W1040" s="188"/>
      <c r="X1040" s="188"/>
      <c r="Y1040" s="188"/>
      <c r="Z1040" s="188"/>
      <c r="AA1040" s="188"/>
      <c r="AB1040" s="188"/>
      <c r="AC1040" s="188"/>
      <c r="AD1040" s="188"/>
      <c r="AE1040" s="188"/>
      <c r="AF1040" s="188"/>
      <c r="AG1040" s="188"/>
      <c r="AH1040" s="188"/>
      <c r="AI1040" s="188"/>
      <c r="AJ1040" s="188"/>
      <c r="AK1040" s="188"/>
      <c r="AL1040" s="188"/>
      <c r="AM1040" s="188"/>
      <c r="AN1040" s="188"/>
      <c r="AO1040" s="188"/>
      <c r="AP1040" s="188"/>
      <c r="AQ1040" s="188"/>
      <c r="AR1040" s="188"/>
      <c r="AS1040" s="188"/>
      <c r="AT1040" s="188"/>
      <c r="AU1040" s="188"/>
      <c r="AV1040" s="188"/>
      <c r="AW1040" s="188"/>
      <c r="AX1040" s="188"/>
      <c r="AY1040" s="188"/>
      <c r="AZ1040" s="188"/>
      <c r="BA1040" s="188"/>
      <c r="BB1040" s="188"/>
      <c r="BC1040" s="188"/>
    </row>
    <row r="1041">
      <c r="A1041" s="188"/>
      <c r="B1041" s="188"/>
      <c r="C1041" s="188"/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88"/>
      <c r="V1041" s="188"/>
      <c r="W1041" s="188"/>
      <c r="X1041" s="188"/>
      <c r="Y1041" s="188"/>
      <c r="Z1041" s="188"/>
      <c r="AA1041" s="188"/>
      <c r="AB1041" s="188"/>
      <c r="AC1041" s="188"/>
      <c r="AD1041" s="188"/>
      <c r="AE1041" s="188"/>
      <c r="AF1041" s="188"/>
      <c r="AG1041" s="188"/>
      <c r="AH1041" s="188"/>
      <c r="AI1041" s="188"/>
      <c r="AJ1041" s="188"/>
      <c r="AK1041" s="188"/>
      <c r="AL1041" s="188"/>
      <c r="AM1041" s="188"/>
      <c r="AN1041" s="188"/>
      <c r="AO1041" s="188"/>
      <c r="AP1041" s="188"/>
      <c r="AQ1041" s="188"/>
      <c r="AR1041" s="188"/>
      <c r="AS1041" s="188"/>
      <c r="AT1041" s="188"/>
      <c r="AU1041" s="188"/>
      <c r="AV1041" s="188"/>
      <c r="AW1041" s="188"/>
      <c r="AX1041" s="188"/>
      <c r="AY1041" s="188"/>
      <c r="AZ1041" s="188"/>
      <c r="BA1041" s="188"/>
      <c r="BB1041" s="188"/>
      <c r="BC1041" s="188"/>
    </row>
    <row r="1042">
      <c r="A1042" s="188"/>
      <c r="B1042" s="188"/>
      <c r="C1042" s="188"/>
      <c r="D1042" s="188"/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88"/>
      <c r="V1042" s="188"/>
      <c r="W1042" s="188"/>
      <c r="X1042" s="188"/>
      <c r="Y1042" s="188"/>
      <c r="Z1042" s="188"/>
      <c r="AA1042" s="188"/>
      <c r="AB1042" s="188"/>
      <c r="AC1042" s="188"/>
      <c r="AD1042" s="188"/>
      <c r="AE1042" s="188"/>
      <c r="AF1042" s="188"/>
      <c r="AG1042" s="188"/>
      <c r="AH1042" s="188"/>
      <c r="AI1042" s="188"/>
      <c r="AJ1042" s="188"/>
      <c r="AK1042" s="188"/>
      <c r="AL1042" s="188"/>
      <c r="AM1042" s="188"/>
      <c r="AN1042" s="188"/>
      <c r="AO1042" s="188"/>
      <c r="AP1042" s="188"/>
      <c r="AQ1042" s="188"/>
      <c r="AR1042" s="188"/>
      <c r="AS1042" s="188"/>
      <c r="AT1042" s="188"/>
      <c r="AU1042" s="188"/>
      <c r="AV1042" s="188"/>
      <c r="AW1042" s="188"/>
      <c r="AX1042" s="188"/>
      <c r="AY1042" s="188"/>
      <c r="AZ1042" s="188"/>
      <c r="BA1042" s="188"/>
      <c r="BB1042" s="188"/>
      <c r="BC1042" s="188"/>
    </row>
    <row r="1043">
      <c r="A1043" s="188"/>
      <c r="B1043" s="188"/>
      <c r="C1043" s="188"/>
      <c r="D1043" s="188"/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88"/>
      <c r="V1043" s="188"/>
      <c r="W1043" s="188"/>
      <c r="X1043" s="188"/>
      <c r="Y1043" s="188"/>
      <c r="Z1043" s="188"/>
      <c r="AA1043" s="188"/>
      <c r="AB1043" s="188"/>
      <c r="AC1043" s="188"/>
      <c r="AD1043" s="188"/>
      <c r="AE1043" s="188"/>
      <c r="AF1043" s="188"/>
      <c r="AG1043" s="188"/>
      <c r="AH1043" s="188"/>
      <c r="AI1043" s="188"/>
      <c r="AJ1043" s="188"/>
      <c r="AK1043" s="188"/>
      <c r="AL1043" s="188"/>
      <c r="AM1043" s="188"/>
      <c r="AN1043" s="188"/>
      <c r="AO1043" s="188"/>
      <c r="AP1043" s="188"/>
      <c r="AQ1043" s="188"/>
      <c r="AR1043" s="188"/>
      <c r="AS1043" s="188"/>
      <c r="AT1043" s="188"/>
      <c r="AU1043" s="188"/>
      <c r="AV1043" s="188"/>
      <c r="AW1043" s="188"/>
      <c r="AX1043" s="188"/>
      <c r="AY1043" s="188"/>
      <c r="AZ1043" s="188"/>
      <c r="BA1043" s="188"/>
      <c r="BB1043" s="188"/>
      <c r="BC1043" s="188"/>
    </row>
    <row r="1044">
      <c r="A1044" s="188"/>
      <c r="B1044" s="188"/>
      <c r="C1044" s="188"/>
      <c r="D1044" s="188"/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88"/>
      <c r="V1044" s="188"/>
      <c r="W1044" s="188"/>
      <c r="X1044" s="188"/>
      <c r="Y1044" s="188"/>
      <c r="Z1044" s="188"/>
      <c r="AA1044" s="188"/>
      <c r="AB1044" s="188"/>
      <c r="AC1044" s="188"/>
      <c r="AD1044" s="188"/>
      <c r="AE1044" s="188"/>
      <c r="AF1044" s="188"/>
      <c r="AG1044" s="188"/>
      <c r="AH1044" s="188"/>
      <c r="AI1044" s="188"/>
      <c r="AJ1044" s="188"/>
      <c r="AK1044" s="188"/>
      <c r="AL1044" s="188"/>
      <c r="AM1044" s="188"/>
      <c r="AN1044" s="188"/>
      <c r="AO1044" s="188"/>
      <c r="AP1044" s="188"/>
      <c r="AQ1044" s="188"/>
      <c r="AR1044" s="188"/>
      <c r="AS1044" s="188"/>
      <c r="AT1044" s="188"/>
      <c r="AU1044" s="188"/>
      <c r="AV1044" s="188"/>
      <c r="AW1044" s="188"/>
      <c r="AX1044" s="188"/>
      <c r="AY1044" s="188"/>
      <c r="AZ1044" s="188"/>
      <c r="BA1044" s="188"/>
      <c r="BB1044" s="188"/>
      <c r="BC1044" s="188"/>
    </row>
    <row r="1045">
      <c r="A1045" s="188"/>
      <c r="B1045" s="188"/>
      <c r="C1045" s="188"/>
      <c r="D1045" s="188"/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88"/>
      <c r="V1045" s="188"/>
      <c r="W1045" s="188"/>
      <c r="X1045" s="188"/>
      <c r="Y1045" s="188"/>
      <c r="Z1045" s="188"/>
      <c r="AA1045" s="188"/>
      <c r="AB1045" s="188"/>
      <c r="AC1045" s="188"/>
      <c r="AD1045" s="188"/>
      <c r="AE1045" s="188"/>
      <c r="AF1045" s="188"/>
      <c r="AG1045" s="188"/>
      <c r="AH1045" s="188"/>
      <c r="AI1045" s="188"/>
      <c r="AJ1045" s="188"/>
      <c r="AK1045" s="188"/>
      <c r="AL1045" s="188"/>
      <c r="AM1045" s="188"/>
      <c r="AN1045" s="188"/>
      <c r="AO1045" s="188"/>
      <c r="AP1045" s="188"/>
      <c r="AQ1045" s="188"/>
      <c r="AR1045" s="188"/>
      <c r="AS1045" s="188"/>
      <c r="AT1045" s="188"/>
      <c r="AU1045" s="188"/>
      <c r="AV1045" s="188"/>
      <c r="AW1045" s="188"/>
      <c r="AX1045" s="188"/>
      <c r="AY1045" s="188"/>
      <c r="AZ1045" s="188"/>
      <c r="BA1045" s="188"/>
      <c r="BB1045" s="188"/>
      <c r="BC1045" s="188"/>
    </row>
    <row r="1046">
      <c r="A1046" s="188"/>
      <c r="B1046" s="188"/>
      <c r="C1046" s="188"/>
      <c r="D1046" s="188"/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88"/>
      <c r="V1046" s="188"/>
      <c r="W1046" s="188"/>
      <c r="X1046" s="188"/>
      <c r="Y1046" s="188"/>
      <c r="Z1046" s="188"/>
      <c r="AA1046" s="188"/>
      <c r="AB1046" s="188"/>
      <c r="AC1046" s="188"/>
      <c r="AD1046" s="188"/>
      <c r="AE1046" s="188"/>
      <c r="AF1046" s="188"/>
      <c r="AG1046" s="188"/>
      <c r="AH1046" s="188"/>
      <c r="AI1046" s="188"/>
      <c r="AJ1046" s="188"/>
      <c r="AK1046" s="188"/>
      <c r="AL1046" s="188"/>
      <c r="AM1046" s="188"/>
      <c r="AN1046" s="188"/>
      <c r="AO1046" s="188"/>
      <c r="AP1046" s="188"/>
      <c r="AQ1046" s="188"/>
      <c r="AR1046" s="188"/>
      <c r="AS1046" s="188"/>
      <c r="AT1046" s="188"/>
      <c r="AU1046" s="188"/>
      <c r="AV1046" s="188"/>
      <c r="AW1046" s="188"/>
      <c r="AX1046" s="188"/>
      <c r="AY1046" s="188"/>
      <c r="AZ1046" s="188"/>
      <c r="BA1046" s="188"/>
      <c r="BB1046" s="188"/>
      <c r="BC1046" s="188"/>
    </row>
    <row r="1047">
      <c r="A1047" s="188"/>
      <c r="B1047" s="188"/>
      <c r="C1047" s="188"/>
      <c r="D1047" s="188"/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88"/>
      <c r="V1047" s="188"/>
      <c r="W1047" s="188"/>
      <c r="X1047" s="188"/>
      <c r="Y1047" s="188"/>
      <c r="Z1047" s="188"/>
      <c r="AA1047" s="188"/>
      <c r="AB1047" s="188"/>
      <c r="AC1047" s="188"/>
      <c r="AD1047" s="188"/>
      <c r="AE1047" s="188"/>
      <c r="AF1047" s="188"/>
      <c r="AG1047" s="188"/>
      <c r="AH1047" s="188"/>
      <c r="AI1047" s="188"/>
      <c r="AJ1047" s="188"/>
      <c r="AK1047" s="188"/>
      <c r="AL1047" s="188"/>
      <c r="AM1047" s="188"/>
      <c r="AN1047" s="188"/>
      <c r="AO1047" s="188"/>
      <c r="AP1047" s="188"/>
      <c r="AQ1047" s="188"/>
      <c r="AR1047" s="188"/>
      <c r="AS1047" s="188"/>
      <c r="AT1047" s="188"/>
      <c r="AU1047" s="188"/>
      <c r="AV1047" s="188"/>
      <c r="AW1047" s="188"/>
      <c r="AX1047" s="188"/>
      <c r="AY1047" s="188"/>
      <c r="AZ1047" s="188"/>
      <c r="BA1047" s="188"/>
      <c r="BB1047" s="188"/>
      <c r="BC1047" s="188"/>
    </row>
    <row r="1048">
      <c r="A1048" s="188"/>
      <c r="B1048" s="188"/>
      <c r="C1048" s="188"/>
      <c r="D1048" s="188"/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88"/>
      <c r="V1048" s="188"/>
      <c r="W1048" s="188"/>
      <c r="X1048" s="188"/>
      <c r="Y1048" s="188"/>
      <c r="Z1048" s="188"/>
      <c r="AA1048" s="188"/>
      <c r="AB1048" s="188"/>
      <c r="AC1048" s="188"/>
      <c r="AD1048" s="188"/>
      <c r="AE1048" s="188"/>
      <c r="AF1048" s="188"/>
      <c r="AG1048" s="188"/>
      <c r="AH1048" s="188"/>
      <c r="AI1048" s="188"/>
      <c r="AJ1048" s="188"/>
      <c r="AK1048" s="188"/>
      <c r="AL1048" s="188"/>
      <c r="AM1048" s="188"/>
      <c r="AN1048" s="188"/>
      <c r="AO1048" s="188"/>
      <c r="AP1048" s="188"/>
      <c r="AQ1048" s="188"/>
      <c r="AR1048" s="188"/>
      <c r="AS1048" s="188"/>
      <c r="AT1048" s="188"/>
      <c r="AU1048" s="188"/>
      <c r="AV1048" s="188"/>
      <c r="AW1048" s="188"/>
      <c r="AX1048" s="188"/>
      <c r="AY1048" s="188"/>
      <c r="AZ1048" s="188"/>
      <c r="BA1048" s="188"/>
      <c r="BB1048" s="188"/>
      <c r="BC1048" s="188"/>
    </row>
    <row r="1049">
      <c r="A1049" s="188"/>
      <c r="B1049" s="188"/>
      <c r="C1049" s="188"/>
      <c r="D1049" s="188"/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88"/>
      <c r="V1049" s="188"/>
      <c r="W1049" s="188"/>
      <c r="X1049" s="188"/>
      <c r="Y1049" s="188"/>
      <c r="Z1049" s="188"/>
      <c r="AA1049" s="188"/>
      <c r="AB1049" s="188"/>
      <c r="AC1049" s="188"/>
      <c r="AD1049" s="188"/>
      <c r="AE1049" s="188"/>
      <c r="AF1049" s="188"/>
      <c r="AG1049" s="188"/>
      <c r="AH1049" s="188"/>
      <c r="AI1049" s="188"/>
      <c r="AJ1049" s="188"/>
      <c r="AK1049" s="188"/>
      <c r="AL1049" s="188"/>
      <c r="AM1049" s="188"/>
      <c r="AN1049" s="188"/>
      <c r="AO1049" s="188"/>
      <c r="AP1049" s="188"/>
      <c r="AQ1049" s="188"/>
      <c r="AR1049" s="188"/>
      <c r="AS1049" s="188"/>
      <c r="AT1049" s="188"/>
      <c r="AU1049" s="188"/>
      <c r="AV1049" s="188"/>
      <c r="AW1049" s="188"/>
      <c r="AX1049" s="188"/>
      <c r="AY1049" s="188"/>
      <c r="AZ1049" s="188"/>
      <c r="BA1049" s="188"/>
      <c r="BB1049" s="188"/>
      <c r="BC1049" s="188"/>
    </row>
    <row r="1050">
      <c r="A1050" s="188"/>
      <c r="B1050" s="188"/>
      <c r="C1050" s="188"/>
      <c r="D1050" s="188"/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88"/>
      <c r="V1050" s="188"/>
      <c r="W1050" s="188"/>
      <c r="X1050" s="188"/>
      <c r="Y1050" s="188"/>
      <c r="Z1050" s="188"/>
      <c r="AA1050" s="188"/>
      <c r="AB1050" s="188"/>
      <c r="AC1050" s="188"/>
      <c r="AD1050" s="188"/>
      <c r="AE1050" s="188"/>
      <c r="AF1050" s="188"/>
      <c r="AG1050" s="188"/>
      <c r="AH1050" s="188"/>
      <c r="AI1050" s="188"/>
      <c r="AJ1050" s="188"/>
      <c r="AK1050" s="188"/>
      <c r="AL1050" s="188"/>
      <c r="AM1050" s="188"/>
      <c r="AN1050" s="188"/>
      <c r="AO1050" s="188"/>
      <c r="AP1050" s="188"/>
      <c r="AQ1050" s="188"/>
      <c r="AR1050" s="188"/>
      <c r="AS1050" s="188"/>
      <c r="AT1050" s="188"/>
      <c r="AU1050" s="188"/>
      <c r="AV1050" s="188"/>
      <c r="AW1050" s="188"/>
      <c r="AX1050" s="188"/>
      <c r="AY1050" s="188"/>
      <c r="AZ1050" s="188"/>
      <c r="BA1050" s="188"/>
      <c r="BB1050" s="188"/>
      <c r="BC1050" s="188"/>
    </row>
    <row r="1051">
      <c r="A1051" s="188"/>
      <c r="B1051" s="188"/>
      <c r="C1051" s="188"/>
      <c r="D1051" s="188"/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88"/>
      <c r="V1051" s="188"/>
      <c r="W1051" s="188"/>
      <c r="X1051" s="188"/>
      <c r="Y1051" s="188"/>
      <c r="Z1051" s="188"/>
      <c r="AA1051" s="188"/>
      <c r="AB1051" s="188"/>
      <c r="AC1051" s="188"/>
      <c r="AD1051" s="188"/>
      <c r="AE1051" s="188"/>
      <c r="AF1051" s="188"/>
      <c r="AG1051" s="188"/>
      <c r="AH1051" s="188"/>
      <c r="AI1051" s="188"/>
      <c r="AJ1051" s="188"/>
      <c r="AK1051" s="188"/>
      <c r="AL1051" s="188"/>
      <c r="AM1051" s="188"/>
      <c r="AN1051" s="188"/>
      <c r="AO1051" s="188"/>
      <c r="AP1051" s="188"/>
      <c r="AQ1051" s="188"/>
      <c r="AR1051" s="188"/>
      <c r="AS1051" s="188"/>
      <c r="AT1051" s="188"/>
      <c r="AU1051" s="188"/>
      <c r="AV1051" s="188"/>
      <c r="AW1051" s="188"/>
      <c r="AX1051" s="188"/>
      <c r="AY1051" s="188"/>
      <c r="AZ1051" s="188"/>
      <c r="BA1051" s="188"/>
      <c r="BB1051" s="188"/>
      <c r="BC1051" s="188"/>
    </row>
    <row r="1052">
      <c r="A1052" s="188"/>
      <c r="B1052" s="188"/>
      <c r="C1052" s="188"/>
      <c r="D1052" s="188"/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88"/>
      <c r="V1052" s="188"/>
      <c r="W1052" s="188"/>
      <c r="X1052" s="188"/>
      <c r="Y1052" s="188"/>
      <c r="Z1052" s="188"/>
      <c r="AA1052" s="188"/>
      <c r="AB1052" s="188"/>
      <c r="AC1052" s="188"/>
      <c r="AD1052" s="188"/>
      <c r="AE1052" s="188"/>
      <c r="AF1052" s="188"/>
      <c r="AG1052" s="188"/>
      <c r="AH1052" s="188"/>
      <c r="AI1052" s="188"/>
      <c r="AJ1052" s="188"/>
      <c r="AK1052" s="188"/>
      <c r="AL1052" s="188"/>
      <c r="AM1052" s="188"/>
      <c r="AN1052" s="188"/>
      <c r="AO1052" s="188"/>
      <c r="AP1052" s="188"/>
      <c r="AQ1052" s="188"/>
      <c r="AR1052" s="188"/>
      <c r="AS1052" s="188"/>
      <c r="AT1052" s="188"/>
      <c r="AU1052" s="188"/>
      <c r="AV1052" s="188"/>
      <c r="AW1052" s="188"/>
      <c r="AX1052" s="188"/>
      <c r="AY1052" s="188"/>
      <c r="AZ1052" s="188"/>
      <c r="BA1052" s="188"/>
      <c r="BB1052" s="188"/>
      <c r="BC1052" s="188"/>
    </row>
    <row r="1053">
      <c r="A1053" s="188"/>
      <c r="B1053" s="188"/>
      <c r="C1053" s="188"/>
      <c r="D1053" s="188"/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88"/>
      <c r="V1053" s="188"/>
      <c r="W1053" s="188"/>
      <c r="X1053" s="188"/>
      <c r="Y1053" s="188"/>
      <c r="Z1053" s="188"/>
      <c r="AA1053" s="188"/>
      <c r="AB1053" s="188"/>
      <c r="AC1053" s="188"/>
      <c r="AD1053" s="188"/>
      <c r="AE1053" s="188"/>
      <c r="AF1053" s="188"/>
      <c r="AG1053" s="188"/>
      <c r="AH1053" s="188"/>
      <c r="AI1053" s="188"/>
      <c r="AJ1053" s="188"/>
      <c r="AK1053" s="188"/>
      <c r="AL1053" s="188"/>
      <c r="AM1053" s="188"/>
      <c r="AN1053" s="188"/>
      <c r="AO1053" s="188"/>
      <c r="AP1053" s="188"/>
      <c r="AQ1053" s="188"/>
      <c r="AR1053" s="188"/>
      <c r="AS1053" s="188"/>
      <c r="AT1053" s="188"/>
      <c r="AU1053" s="188"/>
      <c r="AV1053" s="188"/>
      <c r="AW1053" s="188"/>
      <c r="AX1053" s="188"/>
      <c r="AY1053" s="188"/>
      <c r="AZ1053" s="188"/>
      <c r="BA1053" s="188"/>
      <c r="BB1053" s="188"/>
      <c r="BC1053" s="188"/>
    </row>
    <row r="1054">
      <c r="A1054" s="188"/>
      <c r="B1054" s="188"/>
      <c r="C1054" s="188"/>
      <c r="D1054" s="188"/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88"/>
      <c r="V1054" s="188"/>
      <c r="W1054" s="188"/>
      <c r="X1054" s="188"/>
      <c r="Y1054" s="188"/>
      <c r="Z1054" s="188"/>
      <c r="AA1054" s="188"/>
      <c r="AB1054" s="188"/>
      <c r="AC1054" s="188"/>
      <c r="AD1054" s="188"/>
      <c r="AE1054" s="188"/>
      <c r="AF1054" s="188"/>
      <c r="AG1054" s="188"/>
      <c r="AH1054" s="188"/>
      <c r="AI1054" s="188"/>
      <c r="AJ1054" s="188"/>
      <c r="AK1054" s="188"/>
      <c r="AL1054" s="188"/>
      <c r="AM1054" s="188"/>
      <c r="AN1054" s="188"/>
      <c r="AO1054" s="188"/>
      <c r="AP1054" s="188"/>
      <c r="AQ1054" s="188"/>
      <c r="AR1054" s="188"/>
      <c r="AS1054" s="188"/>
      <c r="AT1054" s="188"/>
      <c r="AU1054" s="188"/>
      <c r="AV1054" s="188"/>
      <c r="AW1054" s="188"/>
      <c r="AX1054" s="188"/>
      <c r="AY1054" s="188"/>
      <c r="AZ1054" s="188"/>
      <c r="BA1054" s="188"/>
      <c r="BB1054" s="188"/>
      <c r="BC1054" s="188"/>
    </row>
    <row r="1055">
      <c r="A1055" s="188"/>
      <c r="B1055" s="188"/>
      <c r="C1055" s="188"/>
      <c r="D1055" s="188"/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88"/>
      <c r="V1055" s="188"/>
      <c r="W1055" s="188"/>
      <c r="X1055" s="188"/>
      <c r="Y1055" s="188"/>
      <c r="Z1055" s="188"/>
      <c r="AA1055" s="188"/>
      <c r="AB1055" s="188"/>
      <c r="AC1055" s="188"/>
      <c r="AD1055" s="188"/>
      <c r="AE1055" s="188"/>
      <c r="AF1055" s="188"/>
      <c r="AG1055" s="188"/>
      <c r="AH1055" s="188"/>
      <c r="AI1055" s="188"/>
      <c r="AJ1055" s="188"/>
      <c r="AK1055" s="188"/>
      <c r="AL1055" s="188"/>
      <c r="AM1055" s="188"/>
      <c r="AN1055" s="188"/>
      <c r="AO1055" s="188"/>
      <c r="AP1055" s="188"/>
      <c r="AQ1055" s="188"/>
      <c r="AR1055" s="188"/>
      <c r="AS1055" s="188"/>
      <c r="AT1055" s="188"/>
      <c r="AU1055" s="188"/>
      <c r="AV1055" s="188"/>
      <c r="AW1055" s="188"/>
      <c r="AX1055" s="188"/>
      <c r="AY1055" s="188"/>
      <c r="AZ1055" s="188"/>
      <c r="BA1055" s="188"/>
      <c r="BB1055" s="188"/>
      <c r="BC1055" s="188"/>
    </row>
    <row r="1056">
      <c r="A1056" s="188"/>
      <c r="B1056" s="188"/>
      <c r="C1056" s="188"/>
      <c r="D1056" s="188"/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88"/>
      <c r="V1056" s="188"/>
      <c r="W1056" s="188"/>
      <c r="X1056" s="188"/>
      <c r="Y1056" s="188"/>
      <c r="Z1056" s="188"/>
      <c r="AA1056" s="188"/>
      <c r="AB1056" s="188"/>
      <c r="AC1056" s="188"/>
      <c r="AD1056" s="188"/>
      <c r="AE1056" s="188"/>
      <c r="AF1056" s="188"/>
      <c r="AG1056" s="188"/>
      <c r="AH1056" s="188"/>
      <c r="AI1056" s="188"/>
      <c r="AJ1056" s="188"/>
      <c r="AK1056" s="188"/>
      <c r="AL1056" s="188"/>
      <c r="AM1056" s="188"/>
      <c r="AN1056" s="188"/>
      <c r="AO1056" s="188"/>
      <c r="AP1056" s="188"/>
      <c r="AQ1056" s="188"/>
      <c r="AR1056" s="188"/>
      <c r="AS1056" s="188"/>
      <c r="AT1056" s="188"/>
      <c r="AU1056" s="188"/>
      <c r="AV1056" s="188"/>
      <c r="AW1056" s="188"/>
      <c r="AX1056" s="188"/>
      <c r="AY1056" s="188"/>
      <c r="AZ1056" s="188"/>
      <c r="BA1056" s="188"/>
      <c r="BB1056" s="188"/>
      <c r="BC1056" s="188"/>
    </row>
    <row r="1057">
      <c r="A1057" s="188"/>
      <c r="B1057" s="188"/>
      <c r="C1057" s="188"/>
      <c r="D1057" s="188"/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88"/>
      <c r="V1057" s="188"/>
      <c r="W1057" s="188"/>
      <c r="X1057" s="188"/>
      <c r="Y1057" s="188"/>
      <c r="Z1057" s="188"/>
      <c r="AA1057" s="188"/>
      <c r="AB1057" s="188"/>
      <c r="AC1057" s="188"/>
      <c r="AD1057" s="188"/>
      <c r="AE1057" s="188"/>
      <c r="AF1057" s="188"/>
      <c r="AG1057" s="188"/>
      <c r="AH1057" s="188"/>
      <c r="AI1057" s="188"/>
      <c r="AJ1057" s="188"/>
      <c r="AK1057" s="188"/>
      <c r="AL1057" s="188"/>
      <c r="AM1057" s="188"/>
      <c r="AN1057" s="188"/>
      <c r="AO1057" s="188"/>
      <c r="AP1057" s="188"/>
      <c r="AQ1057" s="188"/>
      <c r="AR1057" s="188"/>
      <c r="AS1057" s="188"/>
      <c r="AT1057" s="188"/>
      <c r="AU1057" s="188"/>
      <c r="AV1057" s="188"/>
      <c r="AW1057" s="188"/>
      <c r="AX1057" s="188"/>
      <c r="AY1057" s="188"/>
      <c r="AZ1057" s="188"/>
      <c r="BA1057" s="188"/>
      <c r="BB1057" s="188"/>
      <c r="BC1057" s="188"/>
    </row>
    <row r="1058">
      <c r="A1058" s="188"/>
      <c r="B1058" s="188"/>
      <c r="C1058" s="188"/>
      <c r="D1058" s="188"/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88"/>
      <c r="V1058" s="188"/>
      <c r="W1058" s="188"/>
      <c r="X1058" s="188"/>
      <c r="Y1058" s="188"/>
      <c r="Z1058" s="188"/>
      <c r="AA1058" s="188"/>
      <c r="AB1058" s="188"/>
      <c r="AC1058" s="188"/>
      <c r="AD1058" s="188"/>
      <c r="AE1058" s="188"/>
      <c r="AF1058" s="188"/>
      <c r="AG1058" s="188"/>
      <c r="AH1058" s="188"/>
      <c r="AI1058" s="188"/>
      <c r="AJ1058" s="188"/>
      <c r="AK1058" s="188"/>
      <c r="AL1058" s="188"/>
      <c r="AM1058" s="188"/>
      <c r="AN1058" s="188"/>
      <c r="AO1058" s="188"/>
      <c r="AP1058" s="188"/>
      <c r="AQ1058" s="188"/>
      <c r="AR1058" s="188"/>
      <c r="AS1058" s="188"/>
      <c r="AT1058" s="188"/>
      <c r="AU1058" s="188"/>
      <c r="AV1058" s="188"/>
      <c r="AW1058" s="188"/>
      <c r="AX1058" s="188"/>
      <c r="AY1058" s="188"/>
      <c r="AZ1058" s="188"/>
      <c r="BA1058" s="188"/>
      <c r="BB1058" s="188"/>
      <c r="BC1058" s="188"/>
    </row>
    <row r="1059">
      <c r="A1059" s="188"/>
      <c r="B1059" s="188"/>
      <c r="C1059" s="188"/>
      <c r="D1059" s="188"/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88"/>
      <c r="V1059" s="188"/>
      <c r="W1059" s="188"/>
      <c r="X1059" s="188"/>
      <c r="Y1059" s="188"/>
      <c r="Z1059" s="188"/>
      <c r="AA1059" s="188"/>
      <c r="AB1059" s="188"/>
      <c r="AC1059" s="188"/>
      <c r="AD1059" s="188"/>
      <c r="AE1059" s="188"/>
      <c r="AF1059" s="188"/>
      <c r="AG1059" s="188"/>
      <c r="AH1059" s="188"/>
      <c r="AI1059" s="188"/>
      <c r="AJ1059" s="188"/>
      <c r="AK1059" s="188"/>
      <c r="AL1059" s="188"/>
      <c r="AM1059" s="188"/>
      <c r="AN1059" s="188"/>
      <c r="AO1059" s="188"/>
      <c r="AP1059" s="188"/>
      <c r="AQ1059" s="188"/>
      <c r="AR1059" s="188"/>
      <c r="AS1059" s="188"/>
      <c r="AT1059" s="188"/>
      <c r="AU1059" s="188"/>
      <c r="AV1059" s="188"/>
      <c r="AW1059" s="188"/>
      <c r="AX1059" s="188"/>
      <c r="AY1059" s="188"/>
      <c r="AZ1059" s="188"/>
      <c r="BA1059" s="188"/>
      <c r="BB1059" s="188"/>
      <c r="BC1059" s="188"/>
    </row>
    <row r="1060">
      <c r="A1060" s="188"/>
      <c r="B1060" s="188"/>
      <c r="C1060" s="188"/>
      <c r="D1060" s="188"/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88"/>
      <c r="V1060" s="188"/>
      <c r="W1060" s="188"/>
      <c r="X1060" s="188"/>
      <c r="Y1060" s="188"/>
      <c r="Z1060" s="188"/>
      <c r="AA1060" s="188"/>
      <c r="AB1060" s="188"/>
      <c r="AC1060" s="188"/>
      <c r="AD1060" s="188"/>
      <c r="AE1060" s="188"/>
      <c r="AF1060" s="188"/>
      <c r="AG1060" s="188"/>
      <c r="AH1060" s="188"/>
      <c r="AI1060" s="188"/>
      <c r="AJ1060" s="188"/>
      <c r="AK1060" s="188"/>
      <c r="AL1060" s="188"/>
      <c r="AM1060" s="188"/>
      <c r="AN1060" s="188"/>
      <c r="AO1060" s="188"/>
      <c r="AP1060" s="188"/>
      <c r="AQ1060" s="188"/>
      <c r="AR1060" s="188"/>
      <c r="AS1060" s="188"/>
      <c r="AT1060" s="188"/>
      <c r="AU1060" s="188"/>
      <c r="AV1060" s="188"/>
      <c r="AW1060" s="188"/>
      <c r="AX1060" s="188"/>
      <c r="AY1060" s="188"/>
      <c r="AZ1060" s="188"/>
      <c r="BA1060" s="188"/>
      <c r="BB1060" s="188"/>
      <c r="BC1060" s="188"/>
    </row>
    <row r="1061">
      <c r="A1061" s="188"/>
      <c r="B1061" s="188"/>
      <c r="C1061" s="188"/>
      <c r="D1061" s="188"/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88"/>
      <c r="V1061" s="188"/>
      <c r="W1061" s="188"/>
      <c r="X1061" s="188"/>
      <c r="Y1061" s="188"/>
      <c r="Z1061" s="188"/>
      <c r="AA1061" s="188"/>
      <c r="AB1061" s="188"/>
      <c r="AC1061" s="188"/>
      <c r="AD1061" s="188"/>
      <c r="AE1061" s="188"/>
      <c r="AF1061" s="188"/>
      <c r="AG1061" s="188"/>
      <c r="AH1061" s="188"/>
      <c r="AI1061" s="188"/>
      <c r="AJ1061" s="188"/>
      <c r="AK1061" s="188"/>
      <c r="AL1061" s="188"/>
      <c r="AM1061" s="188"/>
      <c r="AN1061" s="188"/>
      <c r="AO1061" s="188"/>
      <c r="AP1061" s="188"/>
      <c r="AQ1061" s="188"/>
      <c r="AR1061" s="188"/>
      <c r="AS1061" s="188"/>
      <c r="AT1061" s="188"/>
      <c r="AU1061" s="188"/>
      <c r="AV1061" s="188"/>
      <c r="AW1061" s="188"/>
      <c r="AX1061" s="188"/>
      <c r="AY1061" s="188"/>
      <c r="AZ1061" s="188"/>
      <c r="BA1061" s="188"/>
      <c r="BB1061" s="188"/>
      <c r="BC1061" s="188"/>
    </row>
    <row r="1062">
      <c r="A1062" s="188"/>
      <c r="B1062" s="188"/>
      <c r="C1062" s="188"/>
      <c r="D1062" s="188"/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88"/>
      <c r="V1062" s="188"/>
      <c r="W1062" s="188"/>
      <c r="X1062" s="188"/>
      <c r="Y1062" s="188"/>
      <c r="Z1062" s="188"/>
      <c r="AA1062" s="188"/>
      <c r="AB1062" s="188"/>
      <c r="AC1062" s="188"/>
      <c r="AD1062" s="188"/>
      <c r="AE1062" s="188"/>
      <c r="AF1062" s="188"/>
      <c r="AG1062" s="188"/>
      <c r="AH1062" s="188"/>
      <c r="AI1062" s="188"/>
      <c r="AJ1062" s="188"/>
      <c r="AK1062" s="188"/>
      <c r="AL1062" s="188"/>
      <c r="AM1062" s="188"/>
      <c r="AN1062" s="188"/>
      <c r="AO1062" s="188"/>
      <c r="AP1062" s="188"/>
      <c r="AQ1062" s="188"/>
      <c r="AR1062" s="188"/>
      <c r="AS1062" s="188"/>
      <c r="AT1062" s="188"/>
      <c r="AU1062" s="188"/>
      <c r="AV1062" s="188"/>
      <c r="AW1062" s="188"/>
      <c r="AX1062" s="188"/>
      <c r="AY1062" s="188"/>
      <c r="AZ1062" s="188"/>
      <c r="BA1062" s="188"/>
      <c r="BB1062" s="188"/>
      <c r="BC1062" s="188"/>
    </row>
    <row r="1063">
      <c r="A1063" s="188"/>
      <c r="B1063" s="188"/>
      <c r="C1063" s="188"/>
      <c r="D1063" s="188"/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88"/>
      <c r="V1063" s="188"/>
      <c r="W1063" s="188"/>
      <c r="X1063" s="188"/>
      <c r="Y1063" s="188"/>
      <c r="Z1063" s="188"/>
      <c r="AA1063" s="188"/>
      <c r="AB1063" s="188"/>
      <c r="AC1063" s="188"/>
      <c r="AD1063" s="188"/>
      <c r="AE1063" s="188"/>
      <c r="AF1063" s="188"/>
      <c r="AG1063" s="188"/>
      <c r="AH1063" s="188"/>
      <c r="AI1063" s="188"/>
      <c r="AJ1063" s="188"/>
      <c r="AK1063" s="188"/>
      <c r="AL1063" s="188"/>
      <c r="AM1063" s="188"/>
      <c r="AN1063" s="188"/>
      <c r="AO1063" s="188"/>
      <c r="AP1063" s="188"/>
      <c r="AQ1063" s="188"/>
      <c r="AR1063" s="188"/>
      <c r="AS1063" s="188"/>
      <c r="AT1063" s="188"/>
      <c r="AU1063" s="188"/>
      <c r="AV1063" s="188"/>
      <c r="AW1063" s="188"/>
      <c r="AX1063" s="188"/>
      <c r="AY1063" s="188"/>
      <c r="AZ1063" s="188"/>
      <c r="BA1063" s="188"/>
      <c r="BB1063" s="188"/>
      <c r="BC1063" s="188"/>
    </row>
    <row r="1064">
      <c r="A1064" s="188"/>
      <c r="B1064" s="188"/>
      <c r="C1064" s="188"/>
      <c r="D1064" s="188"/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88"/>
      <c r="V1064" s="188"/>
      <c r="W1064" s="188"/>
      <c r="X1064" s="188"/>
      <c r="Y1064" s="188"/>
      <c r="Z1064" s="188"/>
      <c r="AA1064" s="188"/>
      <c r="AB1064" s="188"/>
      <c r="AC1064" s="188"/>
      <c r="AD1064" s="188"/>
      <c r="AE1064" s="188"/>
      <c r="AF1064" s="188"/>
      <c r="AG1064" s="188"/>
      <c r="AH1064" s="188"/>
      <c r="AI1064" s="188"/>
      <c r="AJ1064" s="188"/>
      <c r="AK1064" s="188"/>
      <c r="AL1064" s="188"/>
      <c r="AM1064" s="188"/>
      <c r="AN1064" s="188"/>
      <c r="AO1064" s="188"/>
      <c r="AP1064" s="188"/>
      <c r="AQ1064" s="188"/>
      <c r="AR1064" s="188"/>
      <c r="AS1064" s="188"/>
      <c r="AT1064" s="188"/>
      <c r="AU1064" s="188"/>
      <c r="AV1064" s="188"/>
      <c r="AW1064" s="188"/>
      <c r="AX1064" s="188"/>
      <c r="AY1064" s="188"/>
      <c r="AZ1064" s="188"/>
      <c r="BA1064" s="188"/>
      <c r="BB1064" s="188"/>
      <c r="BC1064" s="188"/>
    </row>
    <row r="1065">
      <c r="A1065" s="188"/>
      <c r="B1065" s="188"/>
      <c r="C1065" s="188"/>
      <c r="D1065" s="188"/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88"/>
      <c r="V1065" s="188"/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  <c r="AJ1065" s="188"/>
      <c r="AK1065" s="188"/>
      <c r="AL1065" s="188"/>
      <c r="AM1065" s="188"/>
      <c r="AN1065" s="188"/>
      <c r="AO1065" s="188"/>
      <c r="AP1065" s="188"/>
      <c r="AQ1065" s="188"/>
      <c r="AR1065" s="188"/>
      <c r="AS1065" s="188"/>
      <c r="AT1065" s="188"/>
      <c r="AU1065" s="188"/>
      <c r="AV1065" s="188"/>
      <c r="AW1065" s="188"/>
      <c r="AX1065" s="188"/>
      <c r="AY1065" s="188"/>
      <c r="AZ1065" s="188"/>
      <c r="BA1065" s="188"/>
      <c r="BB1065" s="188"/>
      <c r="BC1065" s="188"/>
    </row>
    <row r="1066">
      <c r="A1066" s="188"/>
      <c r="B1066" s="188"/>
      <c r="C1066" s="188"/>
      <c r="D1066" s="188"/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88"/>
      <c r="V1066" s="188"/>
      <c r="W1066" s="188"/>
      <c r="X1066" s="188"/>
      <c r="Y1066" s="188"/>
      <c r="Z1066" s="188"/>
      <c r="AA1066" s="188"/>
      <c r="AB1066" s="188"/>
      <c r="AC1066" s="188"/>
      <c r="AD1066" s="188"/>
      <c r="AE1066" s="188"/>
      <c r="AF1066" s="188"/>
      <c r="AG1066" s="188"/>
      <c r="AH1066" s="188"/>
      <c r="AI1066" s="188"/>
      <c r="AJ1066" s="188"/>
      <c r="AK1066" s="188"/>
      <c r="AL1066" s="188"/>
      <c r="AM1066" s="188"/>
      <c r="AN1066" s="188"/>
      <c r="AO1066" s="188"/>
      <c r="AP1066" s="188"/>
      <c r="AQ1066" s="188"/>
      <c r="AR1066" s="188"/>
      <c r="AS1066" s="188"/>
      <c r="AT1066" s="188"/>
      <c r="AU1066" s="188"/>
      <c r="AV1066" s="188"/>
      <c r="AW1066" s="188"/>
      <c r="AX1066" s="188"/>
      <c r="AY1066" s="188"/>
      <c r="AZ1066" s="188"/>
      <c r="BA1066" s="188"/>
      <c r="BB1066" s="188"/>
      <c r="BC1066" s="188"/>
    </row>
    <row r="1067">
      <c r="A1067" s="188"/>
      <c r="B1067" s="188"/>
      <c r="C1067" s="188"/>
      <c r="D1067" s="188"/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88"/>
      <c r="V1067" s="188"/>
      <c r="W1067" s="188"/>
      <c r="X1067" s="188"/>
      <c r="Y1067" s="188"/>
      <c r="Z1067" s="188"/>
      <c r="AA1067" s="188"/>
      <c r="AB1067" s="188"/>
      <c r="AC1067" s="188"/>
      <c r="AD1067" s="188"/>
      <c r="AE1067" s="188"/>
      <c r="AF1067" s="188"/>
      <c r="AG1067" s="188"/>
      <c r="AH1067" s="188"/>
      <c r="AI1067" s="188"/>
      <c r="AJ1067" s="188"/>
      <c r="AK1067" s="188"/>
      <c r="AL1067" s="188"/>
      <c r="AM1067" s="188"/>
      <c r="AN1067" s="188"/>
      <c r="AO1067" s="188"/>
      <c r="AP1067" s="188"/>
      <c r="AQ1067" s="188"/>
      <c r="AR1067" s="188"/>
      <c r="AS1067" s="188"/>
      <c r="AT1067" s="188"/>
      <c r="AU1067" s="188"/>
      <c r="AV1067" s="188"/>
      <c r="AW1067" s="188"/>
      <c r="AX1067" s="188"/>
      <c r="AY1067" s="188"/>
      <c r="AZ1067" s="188"/>
      <c r="BA1067" s="188"/>
      <c r="BB1067" s="188"/>
      <c r="BC1067" s="188"/>
    </row>
    <row r="1068">
      <c r="A1068" s="188"/>
      <c r="B1068" s="188"/>
      <c r="C1068" s="188"/>
      <c r="D1068" s="188"/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88"/>
      <c r="V1068" s="188"/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  <c r="AJ1068" s="188"/>
      <c r="AK1068" s="188"/>
      <c r="AL1068" s="188"/>
      <c r="AM1068" s="188"/>
      <c r="AN1068" s="188"/>
      <c r="AO1068" s="188"/>
      <c r="AP1068" s="188"/>
      <c r="AQ1068" s="188"/>
      <c r="AR1068" s="188"/>
      <c r="AS1068" s="188"/>
      <c r="AT1068" s="188"/>
      <c r="AU1068" s="188"/>
      <c r="AV1068" s="188"/>
      <c r="AW1068" s="188"/>
      <c r="AX1068" s="188"/>
      <c r="AY1068" s="188"/>
      <c r="AZ1068" s="188"/>
      <c r="BA1068" s="188"/>
      <c r="BB1068" s="188"/>
      <c r="BC1068" s="188"/>
    </row>
    <row r="1069">
      <c r="A1069" s="188"/>
      <c r="B1069" s="188"/>
      <c r="C1069" s="188"/>
      <c r="D1069" s="188"/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88"/>
      <c r="V1069" s="188"/>
      <c r="W1069" s="188"/>
      <c r="X1069" s="188"/>
      <c r="Y1069" s="188"/>
      <c r="Z1069" s="188"/>
      <c r="AA1069" s="188"/>
      <c r="AB1069" s="188"/>
      <c r="AC1069" s="188"/>
      <c r="AD1069" s="188"/>
      <c r="AE1069" s="188"/>
      <c r="AF1069" s="188"/>
      <c r="AG1069" s="188"/>
      <c r="AH1069" s="188"/>
      <c r="AI1069" s="188"/>
      <c r="AJ1069" s="188"/>
      <c r="AK1069" s="188"/>
      <c r="AL1069" s="188"/>
      <c r="AM1069" s="188"/>
      <c r="AN1069" s="188"/>
      <c r="AO1069" s="188"/>
      <c r="AP1069" s="188"/>
      <c r="AQ1069" s="188"/>
      <c r="AR1069" s="188"/>
      <c r="AS1069" s="188"/>
      <c r="AT1069" s="188"/>
      <c r="AU1069" s="188"/>
      <c r="AV1069" s="188"/>
      <c r="AW1069" s="188"/>
      <c r="AX1069" s="188"/>
      <c r="AY1069" s="188"/>
      <c r="AZ1069" s="188"/>
      <c r="BA1069" s="188"/>
      <c r="BB1069" s="188"/>
      <c r="BC1069" s="188"/>
    </row>
    <row r="1070">
      <c r="A1070" s="188"/>
      <c r="B1070" s="188"/>
      <c r="C1070" s="188"/>
      <c r="D1070" s="188"/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88"/>
      <c r="V1070" s="188"/>
      <c r="W1070" s="188"/>
      <c r="X1070" s="188"/>
      <c r="Y1070" s="188"/>
      <c r="Z1070" s="188"/>
      <c r="AA1070" s="188"/>
      <c r="AB1070" s="188"/>
      <c r="AC1070" s="188"/>
      <c r="AD1070" s="188"/>
      <c r="AE1070" s="188"/>
      <c r="AF1070" s="188"/>
      <c r="AG1070" s="188"/>
      <c r="AH1070" s="188"/>
      <c r="AI1070" s="188"/>
      <c r="AJ1070" s="188"/>
      <c r="AK1070" s="188"/>
      <c r="AL1070" s="188"/>
      <c r="AM1070" s="188"/>
      <c r="AN1070" s="188"/>
      <c r="AO1070" s="188"/>
      <c r="AP1070" s="188"/>
      <c r="AQ1070" s="188"/>
      <c r="AR1070" s="188"/>
      <c r="AS1070" s="188"/>
      <c r="AT1070" s="188"/>
      <c r="AU1070" s="188"/>
      <c r="AV1070" s="188"/>
      <c r="AW1070" s="188"/>
      <c r="AX1070" s="188"/>
      <c r="AY1070" s="188"/>
      <c r="AZ1070" s="188"/>
      <c r="BA1070" s="188"/>
      <c r="BB1070" s="188"/>
      <c r="BC1070" s="188"/>
    </row>
    <row r="1071">
      <c r="A1071" s="188"/>
      <c r="B1071" s="188"/>
      <c r="C1071" s="188"/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88"/>
      <c r="V1071" s="188"/>
      <c r="W1071" s="188"/>
      <c r="X1071" s="188"/>
      <c r="Y1071" s="188"/>
      <c r="Z1071" s="188"/>
      <c r="AA1071" s="188"/>
      <c r="AB1071" s="188"/>
      <c r="AC1071" s="188"/>
      <c r="AD1071" s="188"/>
      <c r="AE1071" s="188"/>
      <c r="AF1071" s="188"/>
      <c r="AG1071" s="188"/>
      <c r="AH1071" s="188"/>
      <c r="AI1071" s="188"/>
      <c r="AJ1071" s="188"/>
      <c r="AK1071" s="188"/>
      <c r="AL1071" s="188"/>
      <c r="AM1071" s="188"/>
      <c r="AN1071" s="188"/>
      <c r="AO1071" s="188"/>
      <c r="AP1071" s="188"/>
      <c r="AQ1071" s="188"/>
      <c r="AR1071" s="188"/>
      <c r="AS1071" s="188"/>
      <c r="AT1071" s="188"/>
      <c r="AU1071" s="188"/>
      <c r="AV1071" s="188"/>
      <c r="AW1071" s="188"/>
      <c r="AX1071" s="188"/>
      <c r="AY1071" s="188"/>
      <c r="AZ1071" s="188"/>
      <c r="BA1071" s="188"/>
      <c r="BB1071" s="188"/>
      <c r="BC1071" s="188"/>
    </row>
    <row r="1072">
      <c r="A1072" s="188"/>
      <c r="B1072" s="188"/>
      <c r="C1072" s="188"/>
      <c r="D1072" s="188"/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88"/>
      <c r="V1072" s="188"/>
      <c r="W1072" s="188"/>
      <c r="X1072" s="188"/>
      <c r="Y1072" s="188"/>
      <c r="Z1072" s="188"/>
      <c r="AA1072" s="188"/>
      <c r="AB1072" s="188"/>
      <c r="AC1072" s="188"/>
      <c r="AD1072" s="188"/>
      <c r="AE1072" s="188"/>
      <c r="AF1072" s="188"/>
      <c r="AG1072" s="188"/>
      <c r="AH1072" s="188"/>
      <c r="AI1072" s="188"/>
      <c r="AJ1072" s="188"/>
      <c r="AK1072" s="188"/>
      <c r="AL1072" s="188"/>
      <c r="AM1072" s="188"/>
      <c r="AN1072" s="188"/>
      <c r="AO1072" s="188"/>
      <c r="AP1072" s="188"/>
      <c r="AQ1072" s="188"/>
      <c r="AR1072" s="188"/>
      <c r="AS1072" s="188"/>
      <c r="AT1072" s="188"/>
      <c r="AU1072" s="188"/>
      <c r="AV1072" s="188"/>
      <c r="AW1072" s="188"/>
      <c r="AX1072" s="188"/>
      <c r="AY1072" s="188"/>
      <c r="AZ1072" s="188"/>
      <c r="BA1072" s="188"/>
      <c r="BB1072" s="188"/>
      <c r="BC1072" s="188"/>
    </row>
    <row r="1073">
      <c r="A1073" s="188"/>
      <c r="B1073" s="188"/>
      <c r="C1073" s="188"/>
      <c r="D1073" s="188"/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88"/>
      <c r="V1073" s="188"/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  <c r="AJ1073" s="188"/>
      <c r="AK1073" s="188"/>
      <c r="AL1073" s="188"/>
      <c r="AM1073" s="188"/>
      <c r="AN1073" s="188"/>
      <c r="AO1073" s="188"/>
      <c r="AP1073" s="188"/>
      <c r="AQ1073" s="188"/>
      <c r="AR1073" s="188"/>
      <c r="AS1073" s="188"/>
      <c r="AT1073" s="188"/>
      <c r="AU1073" s="188"/>
      <c r="AV1073" s="188"/>
      <c r="AW1073" s="188"/>
      <c r="AX1073" s="188"/>
      <c r="AY1073" s="188"/>
      <c r="AZ1073" s="188"/>
      <c r="BA1073" s="188"/>
      <c r="BB1073" s="188"/>
      <c r="BC1073" s="188"/>
    </row>
    <row r="1074">
      <c r="A1074" s="188"/>
      <c r="B1074" s="188"/>
      <c r="C1074" s="188"/>
      <c r="D1074" s="188"/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88"/>
      <c r="V1074" s="188"/>
      <c r="W1074" s="188"/>
      <c r="X1074" s="188"/>
      <c r="Y1074" s="188"/>
      <c r="Z1074" s="188"/>
      <c r="AA1074" s="188"/>
      <c r="AB1074" s="188"/>
      <c r="AC1074" s="188"/>
      <c r="AD1074" s="188"/>
      <c r="AE1074" s="188"/>
      <c r="AF1074" s="188"/>
      <c r="AG1074" s="188"/>
      <c r="AH1074" s="188"/>
      <c r="AI1074" s="188"/>
      <c r="AJ1074" s="188"/>
      <c r="AK1074" s="188"/>
      <c r="AL1074" s="188"/>
      <c r="AM1074" s="188"/>
      <c r="AN1074" s="188"/>
      <c r="AO1074" s="188"/>
      <c r="AP1074" s="188"/>
      <c r="AQ1074" s="188"/>
      <c r="AR1074" s="188"/>
      <c r="AS1074" s="188"/>
      <c r="AT1074" s="188"/>
      <c r="AU1074" s="188"/>
      <c r="AV1074" s="188"/>
      <c r="AW1074" s="188"/>
      <c r="AX1074" s="188"/>
      <c r="AY1074" s="188"/>
      <c r="AZ1074" s="188"/>
      <c r="BA1074" s="188"/>
      <c r="BB1074" s="188"/>
      <c r="BC1074" s="188"/>
    </row>
    <row r="1075">
      <c r="A1075" s="188"/>
      <c r="B1075" s="188"/>
      <c r="C1075" s="188"/>
      <c r="D1075" s="188"/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88"/>
      <c r="V1075" s="188"/>
      <c r="W1075" s="188"/>
      <c r="X1075" s="188"/>
      <c r="Y1075" s="188"/>
      <c r="Z1075" s="188"/>
      <c r="AA1075" s="188"/>
      <c r="AB1075" s="188"/>
      <c r="AC1075" s="188"/>
      <c r="AD1075" s="188"/>
      <c r="AE1075" s="188"/>
      <c r="AF1075" s="188"/>
      <c r="AG1075" s="188"/>
      <c r="AH1075" s="188"/>
      <c r="AI1075" s="188"/>
      <c r="AJ1075" s="188"/>
      <c r="AK1075" s="188"/>
      <c r="AL1075" s="188"/>
      <c r="AM1075" s="188"/>
      <c r="AN1075" s="188"/>
      <c r="AO1075" s="188"/>
      <c r="AP1075" s="188"/>
      <c r="AQ1075" s="188"/>
      <c r="AR1075" s="188"/>
      <c r="AS1075" s="188"/>
      <c r="AT1075" s="188"/>
      <c r="AU1075" s="188"/>
      <c r="AV1075" s="188"/>
      <c r="AW1075" s="188"/>
      <c r="AX1075" s="188"/>
      <c r="AY1075" s="188"/>
      <c r="AZ1075" s="188"/>
      <c r="BA1075" s="188"/>
      <c r="BB1075" s="188"/>
      <c r="BC1075" s="188"/>
    </row>
    <row r="1076">
      <c r="A1076" s="188"/>
      <c r="B1076" s="188"/>
      <c r="C1076" s="188"/>
      <c r="D1076" s="188"/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88"/>
      <c r="V1076" s="188"/>
      <c r="W1076" s="188"/>
      <c r="X1076" s="188"/>
      <c r="Y1076" s="188"/>
      <c r="Z1076" s="188"/>
      <c r="AA1076" s="188"/>
      <c r="AB1076" s="188"/>
      <c r="AC1076" s="188"/>
      <c r="AD1076" s="188"/>
      <c r="AE1076" s="188"/>
      <c r="AF1076" s="188"/>
      <c r="AG1076" s="188"/>
      <c r="AH1076" s="188"/>
      <c r="AI1076" s="188"/>
      <c r="AJ1076" s="188"/>
      <c r="AK1076" s="188"/>
      <c r="AL1076" s="188"/>
      <c r="AM1076" s="188"/>
      <c r="AN1076" s="188"/>
      <c r="AO1076" s="188"/>
      <c r="AP1076" s="188"/>
      <c r="AQ1076" s="188"/>
      <c r="AR1076" s="188"/>
      <c r="AS1076" s="188"/>
      <c r="AT1076" s="188"/>
      <c r="AU1076" s="188"/>
      <c r="AV1076" s="188"/>
      <c r="AW1076" s="188"/>
      <c r="AX1076" s="188"/>
      <c r="AY1076" s="188"/>
      <c r="AZ1076" s="188"/>
      <c r="BA1076" s="188"/>
      <c r="BB1076" s="188"/>
      <c r="BC1076" s="188"/>
    </row>
    <row r="1077">
      <c r="A1077" s="188"/>
      <c r="B1077" s="188"/>
      <c r="C1077" s="188"/>
      <c r="D1077" s="188"/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88"/>
      <c r="V1077" s="188"/>
      <c r="W1077" s="188"/>
      <c r="X1077" s="188"/>
      <c r="Y1077" s="188"/>
      <c r="Z1077" s="188"/>
      <c r="AA1077" s="188"/>
      <c r="AB1077" s="188"/>
      <c r="AC1077" s="188"/>
      <c r="AD1077" s="188"/>
      <c r="AE1077" s="188"/>
      <c r="AF1077" s="188"/>
      <c r="AG1077" s="188"/>
      <c r="AH1077" s="188"/>
      <c r="AI1077" s="188"/>
      <c r="AJ1077" s="188"/>
      <c r="AK1077" s="188"/>
      <c r="AL1077" s="188"/>
      <c r="AM1077" s="188"/>
      <c r="AN1077" s="188"/>
      <c r="AO1077" s="188"/>
      <c r="AP1077" s="188"/>
      <c r="AQ1077" s="188"/>
      <c r="AR1077" s="188"/>
      <c r="AS1077" s="188"/>
      <c r="AT1077" s="188"/>
      <c r="AU1077" s="188"/>
      <c r="AV1077" s="188"/>
      <c r="AW1077" s="188"/>
      <c r="AX1077" s="188"/>
      <c r="AY1077" s="188"/>
      <c r="AZ1077" s="188"/>
      <c r="BA1077" s="188"/>
      <c r="BB1077" s="188"/>
      <c r="BC1077" s="188"/>
    </row>
    <row r="1078">
      <c r="A1078" s="188"/>
      <c r="B1078" s="188"/>
      <c r="C1078" s="188"/>
      <c r="D1078" s="188"/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88"/>
      <c r="V1078" s="188"/>
      <c r="W1078" s="188"/>
      <c r="X1078" s="188"/>
      <c r="Y1078" s="188"/>
      <c r="Z1078" s="188"/>
      <c r="AA1078" s="188"/>
      <c r="AB1078" s="188"/>
      <c r="AC1078" s="188"/>
      <c r="AD1078" s="188"/>
      <c r="AE1078" s="188"/>
      <c r="AF1078" s="188"/>
      <c r="AG1078" s="188"/>
      <c r="AH1078" s="188"/>
      <c r="AI1078" s="188"/>
      <c r="AJ1078" s="188"/>
      <c r="AK1078" s="188"/>
      <c r="AL1078" s="188"/>
      <c r="AM1078" s="188"/>
      <c r="AN1078" s="188"/>
      <c r="AO1078" s="188"/>
      <c r="AP1078" s="188"/>
      <c r="AQ1078" s="188"/>
      <c r="AR1078" s="188"/>
      <c r="AS1078" s="188"/>
      <c r="AT1078" s="188"/>
      <c r="AU1078" s="188"/>
      <c r="AV1078" s="188"/>
      <c r="AW1078" s="188"/>
      <c r="AX1078" s="188"/>
      <c r="AY1078" s="188"/>
      <c r="AZ1078" s="188"/>
      <c r="BA1078" s="188"/>
      <c r="BB1078" s="188"/>
      <c r="BC1078" s="188"/>
    </row>
    <row r="1079">
      <c r="A1079" s="188"/>
      <c r="B1079" s="188"/>
      <c r="C1079" s="188"/>
      <c r="D1079" s="188"/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88"/>
      <c r="V1079" s="188"/>
      <c r="W1079" s="188"/>
      <c r="X1079" s="188"/>
      <c r="Y1079" s="188"/>
      <c r="Z1079" s="188"/>
      <c r="AA1079" s="188"/>
      <c r="AB1079" s="188"/>
      <c r="AC1079" s="188"/>
      <c r="AD1079" s="188"/>
      <c r="AE1079" s="188"/>
      <c r="AF1079" s="188"/>
      <c r="AG1079" s="188"/>
      <c r="AH1079" s="188"/>
      <c r="AI1079" s="188"/>
      <c r="AJ1079" s="188"/>
      <c r="AK1079" s="188"/>
      <c r="AL1079" s="188"/>
      <c r="AM1079" s="188"/>
      <c r="AN1079" s="188"/>
      <c r="AO1079" s="188"/>
      <c r="AP1079" s="188"/>
      <c r="AQ1079" s="188"/>
      <c r="AR1079" s="188"/>
      <c r="AS1079" s="188"/>
      <c r="AT1079" s="188"/>
      <c r="AU1079" s="188"/>
      <c r="AV1079" s="188"/>
      <c r="AW1079" s="188"/>
      <c r="AX1079" s="188"/>
      <c r="AY1079" s="188"/>
      <c r="AZ1079" s="188"/>
      <c r="BA1079" s="188"/>
      <c r="BB1079" s="188"/>
      <c r="BC1079" s="188"/>
    </row>
    <row r="1080">
      <c r="A1080" s="188"/>
      <c r="B1080" s="188"/>
      <c r="C1080" s="188"/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88"/>
      <c r="V1080" s="188"/>
      <c r="W1080" s="188"/>
      <c r="X1080" s="188"/>
      <c r="Y1080" s="188"/>
      <c r="Z1080" s="188"/>
      <c r="AA1080" s="188"/>
      <c r="AB1080" s="188"/>
      <c r="AC1080" s="188"/>
      <c r="AD1080" s="188"/>
      <c r="AE1080" s="188"/>
      <c r="AF1080" s="188"/>
      <c r="AG1080" s="188"/>
      <c r="AH1080" s="188"/>
      <c r="AI1080" s="188"/>
      <c r="AJ1080" s="188"/>
      <c r="AK1080" s="188"/>
      <c r="AL1080" s="188"/>
      <c r="AM1080" s="188"/>
      <c r="AN1080" s="188"/>
      <c r="AO1080" s="188"/>
      <c r="AP1080" s="188"/>
      <c r="AQ1080" s="188"/>
      <c r="AR1080" s="188"/>
      <c r="AS1080" s="188"/>
      <c r="AT1080" s="188"/>
      <c r="AU1080" s="188"/>
      <c r="AV1080" s="188"/>
      <c r="AW1080" s="188"/>
      <c r="AX1080" s="188"/>
      <c r="AY1080" s="188"/>
      <c r="AZ1080" s="188"/>
      <c r="BA1080" s="188"/>
      <c r="BB1080" s="188"/>
      <c r="BC1080" s="188"/>
    </row>
    <row r="1081">
      <c r="A1081" s="188"/>
      <c r="B1081" s="188"/>
      <c r="C1081" s="188"/>
      <c r="D1081" s="188"/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88"/>
      <c r="V1081" s="188"/>
      <c r="W1081" s="188"/>
      <c r="X1081" s="188"/>
      <c r="Y1081" s="188"/>
      <c r="Z1081" s="188"/>
      <c r="AA1081" s="188"/>
      <c r="AB1081" s="188"/>
      <c r="AC1081" s="188"/>
      <c r="AD1081" s="188"/>
      <c r="AE1081" s="188"/>
      <c r="AF1081" s="188"/>
      <c r="AG1081" s="188"/>
      <c r="AH1081" s="188"/>
      <c r="AI1081" s="188"/>
      <c r="AJ1081" s="188"/>
      <c r="AK1081" s="188"/>
      <c r="AL1081" s="188"/>
      <c r="AM1081" s="188"/>
      <c r="AN1081" s="188"/>
      <c r="AO1081" s="188"/>
      <c r="AP1081" s="188"/>
      <c r="AQ1081" s="188"/>
      <c r="AR1081" s="188"/>
      <c r="AS1081" s="188"/>
      <c r="AT1081" s="188"/>
      <c r="AU1081" s="188"/>
      <c r="AV1081" s="188"/>
      <c r="AW1081" s="188"/>
      <c r="AX1081" s="188"/>
      <c r="AY1081" s="188"/>
      <c r="AZ1081" s="188"/>
      <c r="BA1081" s="188"/>
      <c r="BB1081" s="188"/>
      <c r="BC1081" s="188"/>
    </row>
    <row r="1082">
      <c r="A1082" s="188"/>
      <c r="B1082" s="188"/>
      <c r="C1082" s="188"/>
      <c r="D1082" s="188"/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88"/>
      <c r="V1082" s="188"/>
      <c r="W1082" s="188"/>
      <c r="X1082" s="188"/>
      <c r="Y1082" s="188"/>
      <c r="Z1082" s="188"/>
      <c r="AA1082" s="188"/>
      <c r="AB1082" s="188"/>
      <c r="AC1082" s="188"/>
      <c r="AD1082" s="188"/>
      <c r="AE1082" s="188"/>
      <c r="AF1082" s="188"/>
      <c r="AG1082" s="188"/>
      <c r="AH1082" s="188"/>
      <c r="AI1082" s="188"/>
      <c r="AJ1082" s="188"/>
      <c r="AK1082" s="188"/>
      <c r="AL1082" s="188"/>
      <c r="AM1082" s="188"/>
      <c r="AN1082" s="188"/>
      <c r="AO1082" s="188"/>
      <c r="AP1082" s="188"/>
      <c r="AQ1082" s="188"/>
      <c r="AR1082" s="188"/>
      <c r="AS1082" s="188"/>
      <c r="AT1082" s="188"/>
      <c r="AU1082" s="188"/>
      <c r="AV1082" s="188"/>
      <c r="AW1082" s="188"/>
      <c r="AX1082" s="188"/>
      <c r="AY1082" s="188"/>
      <c r="AZ1082" s="188"/>
      <c r="BA1082" s="188"/>
      <c r="BB1082" s="188"/>
      <c r="BC1082" s="188"/>
    </row>
    <row r="1083">
      <c r="A1083" s="188"/>
      <c r="B1083" s="188"/>
      <c r="C1083" s="188"/>
      <c r="D1083" s="188"/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88"/>
      <c r="V1083" s="188"/>
      <c r="W1083" s="188"/>
      <c r="X1083" s="188"/>
      <c r="Y1083" s="188"/>
      <c r="Z1083" s="188"/>
      <c r="AA1083" s="188"/>
      <c r="AB1083" s="188"/>
      <c r="AC1083" s="188"/>
      <c r="AD1083" s="188"/>
      <c r="AE1083" s="188"/>
      <c r="AF1083" s="188"/>
      <c r="AG1083" s="188"/>
      <c r="AH1083" s="188"/>
      <c r="AI1083" s="188"/>
      <c r="AJ1083" s="188"/>
      <c r="AK1083" s="188"/>
      <c r="AL1083" s="188"/>
      <c r="AM1083" s="188"/>
      <c r="AN1083" s="188"/>
      <c r="AO1083" s="188"/>
      <c r="AP1083" s="188"/>
      <c r="AQ1083" s="188"/>
      <c r="AR1083" s="188"/>
      <c r="AS1083" s="188"/>
      <c r="AT1083" s="188"/>
      <c r="AU1083" s="188"/>
      <c r="AV1083" s="188"/>
      <c r="AW1083" s="188"/>
      <c r="AX1083" s="188"/>
      <c r="AY1083" s="188"/>
      <c r="AZ1083" s="188"/>
      <c r="BA1083" s="188"/>
      <c r="BB1083" s="188"/>
      <c r="BC1083" s="188"/>
    </row>
    <row r="1084">
      <c r="A1084" s="188"/>
      <c r="B1084" s="188"/>
      <c r="C1084" s="188"/>
      <c r="D1084" s="188"/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88"/>
      <c r="V1084" s="188"/>
      <c r="W1084" s="188"/>
      <c r="X1084" s="188"/>
      <c r="Y1084" s="188"/>
      <c r="Z1084" s="188"/>
      <c r="AA1084" s="188"/>
      <c r="AB1084" s="188"/>
      <c r="AC1084" s="188"/>
      <c r="AD1084" s="188"/>
      <c r="AE1084" s="188"/>
      <c r="AF1084" s="188"/>
      <c r="AG1084" s="188"/>
      <c r="AH1084" s="188"/>
      <c r="AI1084" s="188"/>
      <c r="AJ1084" s="188"/>
      <c r="AK1084" s="188"/>
      <c r="AL1084" s="188"/>
      <c r="AM1084" s="188"/>
      <c r="AN1084" s="188"/>
      <c r="AO1084" s="188"/>
      <c r="AP1084" s="188"/>
      <c r="AQ1084" s="188"/>
      <c r="AR1084" s="188"/>
      <c r="AS1084" s="188"/>
      <c r="AT1084" s="188"/>
      <c r="AU1084" s="188"/>
      <c r="AV1084" s="188"/>
      <c r="AW1084" s="188"/>
      <c r="AX1084" s="188"/>
      <c r="AY1084" s="188"/>
      <c r="AZ1084" s="188"/>
      <c r="BA1084" s="188"/>
      <c r="BB1084" s="188"/>
      <c r="BC1084" s="188"/>
    </row>
    <row r="1085">
      <c r="A1085" s="188"/>
      <c r="B1085" s="188"/>
      <c r="C1085" s="188"/>
      <c r="D1085" s="188"/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88"/>
      <c r="V1085" s="188"/>
      <c r="W1085" s="188"/>
      <c r="X1085" s="188"/>
      <c r="Y1085" s="188"/>
      <c r="Z1085" s="188"/>
      <c r="AA1085" s="188"/>
      <c r="AB1085" s="188"/>
      <c r="AC1085" s="188"/>
      <c r="AD1085" s="188"/>
      <c r="AE1085" s="188"/>
      <c r="AF1085" s="188"/>
      <c r="AG1085" s="188"/>
      <c r="AH1085" s="188"/>
      <c r="AI1085" s="188"/>
      <c r="AJ1085" s="188"/>
      <c r="AK1085" s="188"/>
      <c r="AL1085" s="188"/>
      <c r="AM1085" s="188"/>
      <c r="AN1085" s="188"/>
      <c r="AO1085" s="188"/>
      <c r="AP1085" s="188"/>
      <c r="AQ1085" s="188"/>
      <c r="AR1085" s="188"/>
      <c r="AS1085" s="188"/>
      <c r="AT1085" s="188"/>
      <c r="AU1085" s="188"/>
      <c r="AV1085" s="188"/>
      <c r="AW1085" s="188"/>
      <c r="AX1085" s="188"/>
      <c r="AY1085" s="188"/>
      <c r="AZ1085" s="188"/>
      <c r="BA1085" s="188"/>
      <c r="BB1085" s="188"/>
      <c r="BC1085" s="188"/>
    </row>
    <row r="1086">
      <c r="A1086" s="188"/>
      <c r="B1086" s="188"/>
      <c r="C1086" s="188"/>
      <c r="D1086" s="188"/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88"/>
      <c r="V1086" s="188"/>
      <c r="W1086" s="188"/>
      <c r="X1086" s="188"/>
      <c r="Y1086" s="188"/>
      <c r="Z1086" s="188"/>
      <c r="AA1086" s="188"/>
      <c r="AB1086" s="188"/>
      <c r="AC1086" s="188"/>
      <c r="AD1086" s="188"/>
      <c r="AE1086" s="188"/>
      <c r="AF1086" s="188"/>
      <c r="AG1086" s="188"/>
      <c r="AH1086" s="188"/>
      <c r="AI1086" s="188"/>
      <c r="AJ1086" s="188"/>
      <c r="AK1086" s="188"/>
      <c r="AL1086" s="188"/>
      <c r="AM1086" s="188"/>
      <c r="AN1086" s="188"/>
      <c r="AO1086" s="188"/>
      <c r="AP1086" s="188"/>
      <c r="AQ1086" s="188"/>
      <c r="AR1086" s="188"/>
      <c r="AS1086" s="188"/>
      <c r="AT1086" s="188"/>
      <c r="AU1086" s="188"/>
      <c r="AV1086" s="188"/>
      <c r="AW1086" s="188"/>
      <c r="AX1086" s="188"/>
      <c r="AY1086" s="188"/>
      <c r="AZ1086" s="188"/>
      <c r="BA1086" s="188"/>
      <c r="BB1086" s="188"/>
      <c r="BC1086" s="188"/>
    </row>
    <row r="1087">
      <c r="A1087" s="188"/>
      <c r="B1087" s="188"/>
      <c r="C1087" s="188"/>
      <c r="D1087" s="188"/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88"/>
      <c r="V1087" s="188"/>
      <c r="W1087" s="188"/>
      <c r="X1087" s="188"/>
      <c r="Y1087" s="188"/>
      <c r="Z1087" s="188"/>
      <c r="AA1087" s="188"/>
      <c r="AB1087" s="188"/>
      <c r="AC1087" s="188"/>
      <c r="AD1087" s="188"/>
      <c r="AE1087" s="188"/>
      <c r="AF1087" s="188"/>
      <c r="AG1087" s="188"/>
      <c r="AH1087" s="188"/>
      <c r="AI1087" s="188"/>
      <c r="AJ1087" s="188"/>
      <c r="AK1087" s="188"/>
      <c r="AL1087" s="188"/>
      <c r="AM1087" s="188"/>
      <c r="AN1087" s="188"/>
      <c r="AO1087" s="188"/>
      <c r="AP1087" s="188"/>
      <c r="AQ1087" s="188"/>
      <c r="AR1087" s="188"/>
      <c r="AS1087" s="188"/>
      <c r="AT1087" s="188"/>
      <c r="AU1087" s="188"/>
      <c r="AV1087" s="188"/>
      <c r="AW1087" s="188"/>
      <c r="AX1087" s="188"/>
      <c r="AY1087" s="188"/>
      <c r="AZ1087" s="188"/>
      <c r="BA1087" s="188"/>
      <c r="BB1087" s="188"/>
      <c r="BC1087" s="188"/>
    </row>
    <row r="1088">
      <c r="A1088" s="188"/>
      <c r="B1088" s="188"/>
      <c r="C1088" s="188"/>
      <c r="D1088" s="188"/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88"/>
      <c r="V1088" s="188"/>
      <c r="W1088" s="188"/>
      <c r="X1088" s="188"/>
      <c r="Y1088" s="188"/>
      <c r="Z1088" s="188"/>
      <c r="AA1088" s="188"/>
      <c r="AB1088" s="188"/>
      <c r="AC1088" s="188"/>
      <c r="AD1088" s="188"/>
      <c r="AE1088" s="188"/>
      <c r="AF1088" s="188"/>
      <c r="AG1088" s="188"/>
      <c r="AH1088" s="188"/>
      <c r="AI1088" s="188"/>
      <c r="AJ1088" s="188"/>
      <c r="AK1088" s="188"/>
      <c r="AL1088" s="188"/>
      <c r="AM1088" s="188"/>
      <c r="AN1088" s="188"/>
      <c r="AO1088" s="188"/>
      <c r="AP1088" s="188"/>
      <c r="AQ1088" s="188"/>
      <c r="AR1088" s="188"/>
      <c r="AS1088" s="188"/>
      <c r="AT1088" s="188"/>
      <c r="AU1088" s="188"/>
      <c r="AV1088" s="188"/>
      <c r="AW1088" s="188"/>
      <c r="AX1088" s="188"/>
      <c r="AY1088" s="188"/>
      <c r="AZ1088" s="188"/>
      <c r="BA1088" s="188"/>
      <c r="BB1088" s="188"/>
      <c r="BC1088" s="188"/>
    </row>
    <row r="1089">
      <c r="A1089" s="188"/>
      <c r="B1089" s="188"/>
      <c r="C1089" s="188"/>
      <c r="D1089" s="188"/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88"/>
      <c r="V1089" s="188"/>
      <c r="W1089" s="188"/>
      <c r="X1089" s="188"/>
      <c r="Y1089" s="188"/>
      <c r="Z1089" s="188"/>
      <c r="AA1089" s="188"/>
      <c r="AB1089" s="188"/>
      <c r="AC1089" s="188"/>
      <c r="AD1089" s="188"/>
      <c r="AE1089" s="188"/>
      <c r="AF1089" s="188"/>
      <c r="AG1089" s="188"/>
      <c r="AH1089" s="188"/>
      <c r="AI1089" s="188"/>
      <c r="AJ1089" s="188"/>
      <c r="AK1089" s="188"/>
      <c r="AL1089" s="188"/>
      <c r="AM1089" s="188"/>
      <c r="AN1089" s="188"/>
      <c r="AO1089" s="188"/>
      <c r="AP1089" s="188"/>
      <c r="AQ1089" s="188"/>
      <c r="AR1089" s="188"/>
      <c r="AS1089" s="188"/>
      <c r="AT1089" s="188"/>
      <c r="AU1089" s="188"/>
      <c r="AV1089" s="188"/>
      <c r="AW1089" s="188"/>
      <c r="AX1089" s="188"/>
      <c r="AY1089" s="188"/>
      <c r="AZ1089" s="188"/>
      <c r="BA1089" s="188"/>
      <c r="BB1089" s="188"/>
      <c r="BC1089" s="188"/>
    </row>
    <row r="1090">
      <c r="A1090" s="188"/>
      <c r="B1090" s="188"/>
      <c r="C1090" s="188"/>
      <c r="D1090" s="188"/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88"/>
      <c r="V1090" s="188"/>
      <c r="W1090" s="188"/>
      <c r="X1090" s="188"/>
      <c r="Y1090" s="188"/>
      <c r="Z1090" s="188"/>
      <c r="AA1090" s="188"/>
      <c r="AB1090" s="188"/>
      <c r="AC1090" s="188"/>
      <c r="AD1090" s="188"/>
      <c r="AE1090" s="188"/>
      <c r="AF1090" s="188"/>
      <c r="AG1090" s="188"/>
      <c r="AH1090" s="188"/>
      <c r="AI1090" s="188"/>
      <c r="AJ1090" s="188"/>
      <c r="AK1090" s="188"/>
      <c r="AL1090" s="188"/>
      <c r="AM1090" s="188"/>
      <c r="AN1090" s="188"/>
      <c r="AO1090" s="188"/>
      <c r="AP1090" s="188"/>
      <c r="AQ1090" s="188"/>
      <c r="AR1090" s="188"/>
      <c r="AS1090" s="188"/>
      <c r="AT1090" s="188"/>
      <c r="AU1090" s="188"/>
      <c r="AV1090" s="188"/>
      <c r="AW1090" s="188"/>
      <c r="AX1090" s="188"/>
      <c r="AY1090" s="188"/>
      <c r="AZ1090" s="188"/>
      <c r="BA1090" s="188"/>
      <c r="BB1090" s="188"/>
      <c r="BC1090" s="188"/>
    </row>
    <row r="1091">
      <c r="A1091" s="188"/>
      <c r="B1091" s="188"/>
      <c r="C1091" s="188"/>
      <c r="D1091" s="188"/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88"/>
      <c r="V1091" s="188"/>
      <c r="W1091" s="188"/>
      <c r="X1091" s="188"/>
      <c r="Y1091" s="188"/>
      <c r="Z1091" s="188"/>
      <c r="AA1091" s="188"/>
      <c r="AB1091" s="188"/>
      <c r="AC1091" s="188"/>
      <c r="AD1091" s="188"/>
      <c r="AE1091" s="188"/>
      <c r="AF1091" s="188"/>
      <c r="AG1091" s="188"/>
      <c r="AH1091" s="188"/>
      <c r="AI1091" s="188"/>
      <c r="AJ1091" s="188"/>
      <c r="AK1091" s="188"/>
      <c r="AL1091" s="188"/>
      <c r="AM1091" s="188"/>
      <c r="AN1091" s="188"/>
      <c r="AO1091" s="188"/>
      <c r="AP1091" s="188"/>
      <c r="AQ1091" s="188"/>
      <c r="AR1091" s="188"/>
      <c r="AS1091" s="188"/>
      <c r="AT1091" s="188"/>
      <c r="AU1091" s="188"/>
      <c r="AV1091" s="188"/>
      <c r="AW1091" s="188"/>
      <c r="AX1091" s="188"/>
      <c r="AY1091" s="188"/>
      <c r="AZ1091" s="188"/>
      <c r="BA1091" s="188"/>
      <c r="BB1091" s="188"/>
      <c r="BC1091" s="188"/>
    </row>
    <row r="1092">
      <c r="A1092" s="188"/>
      <c r="B1092" s="188"/>
      <c r="C1092" s="188"/>
      <c r="D1092" s="188"/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88"/>
      <c r="V1092" s="188"/>
      <c r="W1092" s="188"/>
      <c r="X1092" s="188"/>
      <c r="Y1092" s="188"/>
      <c r="Z1092" s="188"/>
      <c r="AA1092" s="188"/>
      <c r="AB1092" s="188"/>
      <c r="AC1092" s="188"/>
      <c r="AD1092" s="188"/>
      <c r="AE1092" s="188"/>
      <c r="AF1092" s="188"/>
      <c r="AG1092" s="188"/>
      <c r="AH1092" s="188"/>
      <c r="AI1092" s="188"/>
      <c r="AJ1092" s="188"/>
      <c r="AK1092" s="188"/>
      <c r="AL1092" s="188"/>
      <c r="AM1092" s="188"/>
      <c r="AN1092" s="188"/>
      <c r="AO1092" s="188"/>
      <c r="AP1092" s="188"/>
      <c r="AQ1092" s="188"/>
      <c r="AR1092" s="188"/>
      <c r="AS1092" s="188"/>
      <c r="AT1092" s="188"/>
      <c r="AU1092" s="188"/>
      <c r="AV1092" s="188"/>
      <c r="AW1092" s="188"/>
      <c r="AX1092" s="188"/>
      <c r="AY1092" s="188"/>
      <c r="AZ1092" s="188"/>
      <c r="BA1092" s="188"/>
      <c r="BB1092" s="188"/>
      <c r="BC1092" s="188"/>
    </row>
    <row r="1093">
      <c r="A1093" s="188"/>
      <c r="B1093" s="188"/>
      <c r="C1093" s="188"/>
      <c r="D1093" s="188"/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88"/>
      <c r="V1093" s="188"/>
      <c r="W1093" s="188"/>
      <c r="X1093" s="188"/>
      <c r="Y1093" s="188"/>
      <c r="Z1093" s="188"/>
      <c r="AA1093" s="188"/>
      <c r="AB1093" s="188"/>
      <c r="AC1093" s="188"/>
      <c r="AD1093" s="188"/>
      <c r="AE1093" s="188"/>
      <c r="AF1093" s="188"/>
      <c r="AG1093" s="188"/>
      <c r="AH1093" s="188"/>
      <c r="AI1093" s="188"/>
      <c r="AJ1093" s="188"/>
      <c r="AK1093" s="188"/>
      <c r="AL1093" s="188"/>
      <c r="AM1093" s="188"/>
      <c r="AN1093" s="188"/>
      <c r="AO1093" s="188"/>
      <c r="AP1093" s="188"/>
      <c r="AQ1093" s="188"/>
      <c r="AR1093" s="188"/>
      <c r="AS1093" s="188"/>
      <c r="AT1093" s="188"/>
      <c r="AU1093" s="188"/>
      <c r="AV1093" s="188"/>
      <c r="AW1093" s="188"/>
      <c r="AX1093" s="188"/>
      <c r="AY1093" s="188"/>
      <c r="AZ1093" s="188"/>
      <c r="BA1093" s="188"/>
      <c r="BB1093" s="188"/>
      <c r="BC1093" s="188"/>
    </row>
    <row r="1094">
      <c r="A1094" s="188"/>
      <c r="B1094" s="188"/>
      <c r="C1094" s="188"/>
      <c r="D1094" s="188"/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88"/>
      <c r="V1094" s="188"/>
      <c r="W1094" s="188"/>
      <c r="X1094" s="188"/>
      <c r="Y1094" s="188"/>
      <c r="Z1094" s="188"/>
      <c r="AA1094" s="188"/>
      <c r="AB1094" s="188"/>
      <c r="AC1094" s="188"/>
      <c r="AD1094" s="188"/>
      <c r="AE1094" s="188"/>
      <c r="AF1094" s="188"/>
      <c r="AG1094" s="188"/>
      <c r="AH1094" s="188"/>
      <c r="AI1094" s="188"/>
      <c r="AJ1094" s="188"/>
      <c r="AK1094" s="188"/>
      <c r="AL1094" s="188"/>
      <c r="AM1094" s="188"/>
      <c r="AN1094" s="188"/>
      <c r="AO1094" s="188"/>
      <c r="AP1094" s="188"/>
      <c r="AQ1094" s="188"/>
      <c r="AR1094" s="188"/>
      <c r="AS1094" s="188"/>
      <c r="AT1094" s="188"/>
      <c r="AU1094" s="188"/>
      <c r="AV1094" s="188"/>
      <c r="AW1094" s="188"/>
      <c r="AX1094" s="188"/>
      <c r="AY1094" s="188"/>
      <c r="AZ1094" s="188"/>
      <c r="BA1094" s="188"/>
      <c r="BB1094" s="188"/>
      <c r="BC1094" s="188"/>
    </row>
    <row r="1095">
      <c r="A1095" s="188"/>
      <c r="B1095" s="188"/>
      <c r="C1095" s="188"/>
      <c r="D1095" s="188"/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88"/>
      <c r="V1095" s="188"/>
      <c r="W1095" s="188"/>
      <c r="X1095" s="188"/>
      <c r="Y1095" s="188"/>
      <c r="Z1095" s="188"/>
      <c r="AA1095" s="188"/>
      <c r="AB1095" s="188"/>
      <c r="AC1095" s="188"/>
      <c r="AD1095" s="188"/>
      <c r="AE1095" s="188"/>
      <c r="AF1095" s="188"/>
      <c r="AG1095" s="188"/>
      <c r="AH1095" s="188"/>
      <c r="AI1095" s="188"/>
      <c r="AJ1095" s="188"/>
      <c r="AK1095" s="188"/>
      <c r="AL1095" s="188"/>
      <c r="AM1095" s="188"/>
      <c r="AN1095" s="188"/>
      <c r="AO1095" s="188"/>
      <c r="AP1095" s="188"/>
      <c r="AQ1095" s="188"/>
      <c r="AR1095" s="188"/>
      <c r="AS1095" s="188"/>
      <c r="AT1095" s="188"/>
      <c r="AU1095" s="188"/>
      <c r="AV1095" s="188"/>
      <c r="AW1095" s="188"/>
      <c r="AX1095" s="188"/>
      <c r="AY1095" s="188"/>
      <c r="AZ1095" s="188"/>
      <c r="BA1095" s="188"/>
      <c r="BB1095" s="188"/>
      <c r="BC1095" s="188"/>
    </row>
    <row r="1096">
      <c r="A1096" s="188"/>
      <c r="B1096" s="188"/>
      <c r="C1096" s="188"/>
      <c r="D1096" s="188"/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88"/>
      <c r="V1096" s="188"/>
      <c r="W1096" s="188"/>
      <c r="X1096" s="188"/>
      <c r="Y1096" s="188"/>
      <c r="Z1096" s="188"/>
      <c r="AA1096" s="188"/>
      <c r="AB1096" s="188"/>
      <c r="AC1096" s="188"/>
      <c r="AD1096" s="188"/>
      <c r="AE1096" s="188"/>
      <c r="AF1096" s="188"/>
      <c r="AG1096" s="188"/>
      <c r="AH1096" s="188"/>
      <c r="AI1096" s="188"/>
      <c r="AJ1096" s="188"/>
      <c r="AK1096" s="188"/>
      <c r="AL1096" s="188"/>
      <c r="AM1096" s="188"/>
      <c r="AN1096" s="188"/>
      <c r="AO1096" s="188"/>
      <c r="AP1096" s="188"/>
      <c r="AQ1096" s="188"/>
      <c r="AR1096" s="188"/>
      <c r="AS1096" s="188"/>
      <c r="AT1096" s="188"/>
      <c r="AU1096" s="188"/>
      <c r="AV1096" s="188"/>
      <c r="AW1096" s="188"/>
      <c r="AX1096" s="188"/>
      <c r="AY1096" s="188"/>
      <c r="AZ1096" s="188"/>
      <c r="BA1096" s="188"/>
      <c r="BB1096" s="188"/>
      <c r="BC1096" s="188"/>
    </row>
    <row r="1097">
      <c r="A1097" s="188"/>
      <c r="B1097" s="188"/>
      <c r="C1097" s="188"/>
      <c r="D1097" s="188"/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88"/>
      <c r="V1097" s="188"/>
      <c r="W1097" s="188"/>
      <c r="X1097" s="188"/>
      <c r="Y1097" s="188"/>
      <c r="Z1097" s="188"/>
      <c r="AA1097" s="188"/>
      <c r="AB1097" s="188"/>
      <c r="AC1097" s="188"/>
      <c r="AD1097" s="188"/>
      <c r="AE1097" s="188"/>
      <c r="AF1097" s="188"/>
      <c r="AG1097" s="188"/>
      <c r="AH1097" s="188"/>
      <c r="AI1097" s="188"/>
      <c r="AJ1097" s="188"/>
      <c r="AK1097" s="188"/>
      <c r="AL1097" s="188"/>
      <c r="AM1097" s="188"/>
      <c r="AN1097" s="188"/>
      <c r="AO1097" s="188"/>
      <c r="AP1097" s="188"/>
      <c r="AQ1097" s="188"/>
      <c r="AR1097" s="188"/>
      <c r="AS1097" s="188"/>
      <c r="AT1097" s="188"/>
      <c r="AU1097" s="188"/>
      <c r="AV1097" s="188"/>
      <c r="AW1097" s="188"/>
      <c r="AX1097" s="188"/>
      <c r="AY1097" s="188"/>
      <c r="AZ1097" s="188"/>
      <c r="BA1097" s="188"/>
      <c r="BB1097" s="188"/>
      <c r="BC1097" s="188"/>
    </row>
    <row r="1098">
      <c r="A1098" s="188"/>
      <c r="B1098" s="188"/>
      <c r="C1098" s="188"/>
      <c r="D1098" s="188"/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88"/>
      <c r="V1098" s="188"/>
      <c r="W1098" s="188"/>
      <c r="X1098" s="188"/>
      <c r="Y1098" s="188"/>
      <c r="Z1098" s="188"/>
      <c r="AA1098" s="188"/>
      <c r="AB1098" s="188"/>
      <c r="AC1098" s="188"/>
      <c r="AD1098" s="188"/>
      <c r="AE1098" s="188"/>
      <c r="AF1098" s="188"/>
      <c r="AG1098" s="188"/>
      <c r="AH1098" s="188"/>
      <c r="AI1098" s="188"/>
      <c r="AJ1098" s="188"/>
      <c r="AK1098" s="188"/>
      <c r="AL1098" s="188"/>
      <c r="AM1098" s="188"/>
      <c r="AN1098" s="188"/>
      <c r="AO1098" s="188"/>
      <c r="AP1098" s="188"/>
      <c r="AQ1098" s="188"/>
      <c r="AR1098" s="188"/>
      <c r="AS1098" s="188"/>
      <c r="AT1098" s="188"/>
      <c r="AU1098" s="188"/>
      <c r="AV1098" s="188"/>
      <c r="AW1098" s="188"/>
      <c r="AX1098" s="188"/>
      <c r="AY1098" s="188"/>
      <c r="AZ1098" s="188"/>
      <c r="BA1098" s="188"/>
      <c r="BB1098" s="188"/>
      <c r="BC1098" s="188"/>
    </row>
    <row r="1099">
      <c r="A1099" s="188"/>
      <c r="B1099" s="188"/>
      <c r="C1099" s="188"/>
      <c r="D1099" s="188"/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88"/>
      <c r="V1099" s="188"/>
      <c r="W1099" s="188"/>
      <c r="X1099" s="188"/>
      <c r="Y1099" s="188"/>
      <c r="Z1099" s="188"/>
      <c r="AA1099" s="188"/>
      <c r="AB1099" s="188"/>
      <c r="AC1099" s="188"/>
      <c r="AD1099" s="188"/>
      <c r="AE1099" s="188"/>
      <c r="AF1099" s="188"/>
      <c r="AG1099" s="188"/>
      <c r="AH1099" s="188"/>
      <c r="AI1099" s="188"/>
      <c r="AJ1099" s="188"/>
      <c r="AK1099" s="188"/>
      <c r="AL1099" s="188"/>
      <c r="AM1099" s="188"/>
      <c r="AN1099" s="188"/>
      <c r="AO1099" s="188"/>
      <c r="AP1099" s="188"/>
      <c r="AQ1099" s="188"/>
      <c r="AR1099" s="188"/>
      <c r="AS1099" s="188"/>
      <c r="AT1099" s="188"/>
      <c r="AU1099" s="188"/>
      <c r="AV1099" s="188"/>
      <c r="AW1099" s="188"/>
      <c r="AX1099" s="188"/>
      <c r="AY1099" s="188"/>
      <c r="AZ1099" s="188"/>
      <c r="BA1099" s="188"/>
      <c r="BB1099" s="188"/>
      <c r="BC1099" s="188"/>
    </row>
    <row r="1100">
      <c r="A1100" s="188"/>
      <c r="B1100" s="188"/>
      <c r="C1100" s="188"/>
      <c r="D1100" s="188"/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88"/>
      <c r="V1100" s="188"/>
      <c r="W1100" s="188"/>
      <c r="X1100" s="188"/>
      <c r="Y1100" s="188"/>
      <c r="Z1100" s="188"/>
      <c r="AA1100" s="188"/>
      <c r="AB1100" s="188"/>
      <c r="AC1100" s="188"/>
      <c r="AD1100" s="188"/>
      <c r="AE1100" s="188"/>
      <c r="AF1100" s="188"/>
      <c r="AG1100" s="188"/>
      <c r="AH1100" s="188"/>
      <c r="AI1100" s="188"/>
      <c r="AJ1100" s="188"/>
      <c r="AK1100" s="188"/>
      <c r="AL1100" s="188"/>
      <c r="AM1100" s="188"/>
      <c r="AN1100" s="188"/>
      <c r="AO1100" s="188"/>
      <c r="AP1100" s="188"/>
      <c r="AQ1100" s="188"/>
      <c r="AR1100" s="188"/>
      <c r="AS1100" s="188"/>
      <c r="AT1100" s="188"/>
      <c r="AU1100" s="188"/>
      <c r="AV1100" s="188"/>
      <c r="AW1100" s="188"/>
      <c r="AX1100" s="188"/>
      <c r="AY1100" s="188"/>
      <c r="AZ1100" s="188"/>
      <c r="BA1100" s="188"/>
      <c r="BB1100" s="188"/>
      <c r="BC1100" s="188"/>
    </row>
    <row r="1101">
      <c r="A1101" s="188"/>
      <c r="B1101" s="188"/>
      <c r="C1101" s="188"/>
      <c r="D1101" s="188"/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88"/>
      <c r="V1101" s="188"/>
      <c r="W1101" s="188"/>
      <c r="X1101" s="188"/>
      <c r="Y1101" s="188"/>
      <c r="Z1101" s="188"/>
      <c r="AA1101" s="188"/>
      <c r="AB1101" s="188"/>
      <c r="AC1101" s="188"/>
      <c r="AD1101" s="188"/>
      <c r="AE1101" s="188"/>
      <c r="AF1101" s="188"/>
      <c r="AG1101" s="188"/>
      <c r="AH1101" s="188"/>
      <c r="AI1101" s="188"/>
      <c r="AJ1101" s="188"/>
      <c r="AK1101" s="188"/>
      <c r="AL1101" s="188"/>
      <c r="AM1101" s="188"/>
      <c r="AN1101" s="188"/>
      <c r="AO1101" s="188"/>
      <c r="AP1101" s="188"/>
      <c r="AQ1101" s="188"/>
      <c r="AR1101" s="188"/>
      <c r="AS1101" s="188"/>
      <c r="AT1101" s="188"/>
      <c r="AU1101" s="188"/>
      <c r="AV1101" s="188"/>
      <c r="AW1101" s="188"/>
      <c r="AX1101" s="188"/>
      <c r="AY1101" s="188"/>
      <c r="AZ1101" s="188"/>
      <c r="BA1101" s="188"/>
      <c r="BB1101" s="188"/>
      <c r="BC1101" s="188"/>
    </row>
    <row r="1102">
      <c r="A1102" s="188"/>
      <c r="B1102" s="188"/>
      <c r="C1102" s="188"/>
      <c r="D1102" s="188"/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88"/>
      <c r="V1102" s="188"/>
      <c r="W1102" s="188"/>
      <c r="X1102" s="188"/>
      <c r="Y1102" s="188"/>
      <c r="Z1102" s="188"/>
      <c r="AA1102" s="188"/>
      <c r="AB1102" s="188"/>
      <c r="AC1102" s="188"/>
      <c r="AD1102" s="188"/>
      <c r="AE1102" s="188"/>
      <c r="AF1102" s="188"/>
      <c r="AG1102" s="188"/>
      <c r="AH1102" s="188"/>
      <c r="AI1102" s="188"/>
      <c r="AJ1102" s="188"/>
      <c r="AK1102" s="188"/>
      <c r="AL1102" s="188"/>
      <c r="AM1102" s="188"/>
      <c r="AN1102" s="188"/>
      <c r="AO1102" s="188"/>
      <c r="AP1102" s="188"/>
      <c r="AQ1102" s="188"/>
      <c r="AR1102" s="188"/>
      <c r="AS1102" s="188"/>
      <c r="AT1102" s="188"/>
      <c r="AU1102" s="188"/>
      <c r="AV1102" s="188"/>
      <c r="AW1102" s="188"/>
      <c r="AX1102" s="188"/>
      <c r="AY1102" s="188"/>
      <c r="AZ1102" s="188"/>
      <c r="BA1102" s="188"/>
      <c r="BB1102" s="188"/>
      <c r="BC1102" s="188"/>
    </row>
    <row r="1103">
      <c r="A1103" s="188"/>
      <c r="B1103" s="188"/>
      <c r="C1103" s="188"/>
      <c r="D1103" s="188"/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88"/>
      <c r="V1103" s="188"/>
      <c r="W1103" s="188"/>
      <c r="X1103" s="188"/>
      <c r="Y1103" s="188"/>
      <c r="Z1103" s="188"/>
      <c r="AA1103" s="188"/>
      <c r="AB1103" s="188"/>
      <c r="AC1103" s="188"/>
      <c r="AD1103" s="188"/>
      <c r="AE1103" s="188"/>
      <c r="AF1103" s="188"/>
      <c r="AG1103" s="188"/>
      <c r="AH1103" s="188"/>
      <c r="AI1103" s="188"/>
      <c r="AJ1103" s="188"/>
      <c r="AK1103" s="188"/>
      <c r="AL1103" s="188"/>
      <c r="AM1103" s="188"/>
      <c r="AN1103" s="188"/>
      <c r="AO1103" s="188"/>
      <c r="AP1103" s="188"/>
      <c r="AQ1103" s="188"/>
      <c r="AR1103" s="188"/>
      <c r="AS1103" s="188"/>
      <c r="AT1103" s="188"/>
      <c r="AU1103" s="188"/>
      <c r="AV1103" s="188"/>
      <c r="AW1103" s="188"/>
      <c r="AX1103" s="188"/>
      <c r="AY1103" s="188"/>
      <c r="AZ1103" s="188"/>
      <c r="BA1103" s="188"/>
      <c r="BB1103" s="188"/>
      <c r="BC1103" s="188"/>
    </row>
    <row r="1104">
      <c r="A1104" s="188"/>
      <c r="B1104" s="188"/>
      <c r="C1104" s="188"/>
      <c r="D1104" s="188"/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88"/>
      <c r="V1104" s="188"/>
      <c r="W1104" s="188"/>
      <c r="X1104" s="188"/>
      <c r="Y1104" s="188"/>
      <c r="Z1104" s="188"/>
      <c r="AA1104" s="188"/>
      <c r="AB1104" s="188"/>
      <c r="AC1104" s="188"/>
      <c r="AD1104" s="188"/>
      <c r="AE1104" s="188"/>
      <c r="AF1104" s="188"/>
      <c r="AG1104" s="188"/>
      <c r="AH1104" s="188"/>
      <c r="AI1104" s="188"/>
      <c r="AJ1104" s="188"/>
      <c r="AK1104" s="188"/>
      <c r="AL1104" s="188"/>
      <c r="AM1104" s="188"/>
      <c r="AN1104" s="188"/>
      <c r="AO1104" s="188"/>
      <c r="AP1104" s="188"/>
      <c r="AQ1104" s="188"/>
      <c r="AR1104" s="188"/>
      <c r="AS1104" s="188"/>
      <c r="AT1104" s="188"/>
      <c r="AU1104" s="188"/>
      <c r="AV1104" s="188"/>
      <c r="AW1104" s="188"/>
      <c r="AX1104" s="188"/>
      <c r="AY1104" s="188"/>
      <c r="AZ1104" s="188"/>
      <c r="BA1104" s="188"/>
      <c r="BB1104" s="188"/>
      <c r="BC1104" s="188"/>
    </row>
    <row r="1105">
      <c r="A1105" s="188"/>
      <c r="B1105" s="188"/>
      <c r="C1105" s="188"/>
      <c r="D1105" s="188"/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88"/>
      <c r="V1105" s="188"/>
      <c r="W1105" s="188"/>
      <c r="X1105" s="188"/>
      <c r="Y1105" s="188"/>
      <c r="Z1105" s="188"/>
      <c r="AA1105" s="188"/>
      <c r="AB1105" s="188"/>
      <c r="AC1105" s="188"/>
      <c r="AD1105" s="188"/>
      <c r="AE1105" s="188"/>
      <c r="AF1105" s="188"/>
      <c r="AG1105" s="188"/>
      <c r="AH1105" s="188"/>
      <c r="AI1105" s="188"/>
      <c r="AJ1105" s="188"/>
      <c r="AK1105" s="188"/>
      <c r="AL1105" s="188"/>
      <c r="AM1105" s="188"/>
      <c r="AN1105" s="188"/>
      <c r="AO1105" s="188"/>
      <c r="AP1105" s="188"/>
      <c r="AQ1105" s="188"/>
      <c r="AR1105" s="188"/>
      <c r="AS1105" s="188"/>
      <c r="AT1105" s="188"/>
      <c r="AU1105" s="188"/>
      <c r="AV1105" s="188"/>
      <c r="AW1105" s="188"/>
      <c r="AX1105" s="188"/>
      <c r="AY1105" s="188"/>
      <c r="AZ1105" s="188"/>
      <c r="BA1105" s="188"/>
      <c r="BB1105" s="188"/>
      <c r="BC1105" s="188"/>
    </row>
    <row r="1106">
      <c r="A1106" s="188"/>
      <c r="B1106" s="188"/>
      <c r="C1106" s="188"/>
      <c r="D1106" s="188"/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88"/>
      <c r="V1106" s="188"/>
      <c r="W1106" s="188"/>
      <c r="X1106" s="188"/>
      <c r="Y1106" s="188"/>
      <c r="Z1106" s="188"/>
      <c r="AA1106" s="188"/>
      <c r="AB1106" s="188"/>
      <c r="AC1106" s="188"/>
      <c r="AD1106" s="188"/>
      <c r="AE1106" s="188"/>
      <c r="AF1106" s="188"/>
      <c r="AG1106" s="188"/>
      <c r="AH1106" s="188"/>
      <c r="AI1106" s="188"/>
      <c r="AJ1106" s="188"/>
      <c r="AK1106" s="188"/>
      <c r="AL1106" s="188"/>
      <c r="AM1106" s="188"/>
      <c r="AN1106" s="188"/>
      <c r="AO1106" s="188"/>
      <c r="AP1106" s="188"/>
      <c r="AQ1106" s="188"/>
      <c r="AR1106" s="188"/>
      <c r="AS1106" s="188"/>
      <c r="AT1106" s="188"/>
      <c r="AU1106" s="188"/>
      <c r="AV1106" s="188"/>
      <c r="AW1106" s="188"/>
      <c r="AX1106" s="188"/>
      <c r="AY1106" s="188"/>
      <c r="AZ1106" s="188"/>
      <c r="BA1106" s="188"/>
      <c r="BB1106" s="188"/>
      <c r="BC1106" s="188"/>
    </row>
    <row r="1107">
      <c r="A1107" s="188"/>
      <c r="B1107" s="188"/>
      <c r="C1107" s="188"/>
      <c r="D1107" s="188"/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88"/>
      <c r="V1107" s="188"/>
      <c r="W1107" s="188"/>
      <c r="X1107" s="188"/>
      <c r="Y1107" s="188"/>
      <c r="Z1107" s="188"/>
      <c r="AA1107" s="188"/>
      <c r="AB1107" s="188"/>
      <c r="AC1107" s="188"/>
      <c r="AD1107" s="188"/>
      <c r="AE1107" s="188"/>
      <c r="AF1107" s="188"/>
      <c r="AG1107" s="188"/>
      <c r="AH1107" s="188"/>
      <c r="AI1107" s="188"/>
      <c r="AJ1107" s="188"/>
      <c r="AK1107" s="188"/>
      <c r="AL1107" s="188"/>
      <c r="AM1107" s="188"/>
      <c r="AN1107" s="188"/>
      <c r="AO1107" s="188"/>
      <c r="AP1107" s="188"/>
      <c r="AQ1107" s="188"/>
      <c r="AR1107" s="188"/>
      <c r="AS1107" s="188"/>
      <c r="AT1107" s="188"/>
      <c r="AU1107" s="188"/>
      <c r="AV1107" s="188"/>
      <c r="AW1107" s="188"/>
      <c r="AX1107" s="188"/>
      <c r="AY1107" s="188"/>
      <c r="AZ1107" s="188"/>
      <c r="BA1107" s="188"/>
      <c r="BB1107" s="188"/>
      <c r="BC1107" s="188"/>
    </row>
    <row r="1108">
      <c r="A1108" s="188"/>
      <c r="B1108" s="188"/>
      <c r="C1108" s="188"/>
      <c r="D1108" s="188"/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88"/>
      <c r="V1108" s="188"/>
      <c r="W1108" s="188"/>
      <c r="X1108" s="188"/>
      <c r="Y1108" s="188"/>
      <c r="Z1108" s="188"/>
      <c r="AA1108" s="188"/>
      <c r="AB1108" s="188"/>
      <c r="AC1108" s="188"/>
      <c r="AD1108" s="188"/>
      <c r="AE1108" s="188"/>
      <c r="AF1108" s="188"/>
      <c r="AG1108" s="188"/>
      <c r="AH1108" s="188"/>
      <c r="AI1108" s="188"/>
      <c r="AJ1108" s="188"/>
      <c r="AK1108" s="188"/>
      <c r="AL1108" s="188"/>
      <c r="AM1108" s="188"/>
      <c r="AN1108" s="188"/>
      <c r="AO1108" s="188"/>
      <c r="AP1108" s="188"/>
      <c r="AQ1108" s="188"/>
      <c r="AR1108" s="188"/>
      <c r="AS1108" s="188"/>
      <c r="AT1108" s="188"/>
      <c r="AU1108" s="188"/>
      <c r="AV1108" s="188"/>
      <c r="AW1108" s="188"/>
      <c r="AX1108" s="188"/>
      <c r="AY1108" s="188"/>
      <c r="AZ1108" s="188"/>
      <c r="BA1108" s="188"/>
      <c r="BB1108" s="188"/>
      <c r="BC1108" s="188"/>
    </row>
    <row r="1109">
      <c r="A1109" s="188"/>
      <c r="B1109" s="188"/>
      <c r="C1109" s="188"/>
      <c r="D1109" s="188"/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88"/>
      <c r="V1109" s="188"/>
      <c r="W1109" s="188"/>
      <c r="X1109" s="188"/>
      <c r="Y1109" s="188"/>
      <c r="Z1109" s="188"/>
      <c r="AA1109" s="188"/>
      <c r="AB1109" s="188"/>
      <c r="AC1109" s="188"/>
      <c r="AD1109" s="188"/>
      <c r="AE1109" s="188"/>
      <c r="AF1109" s="188"/>
      <c r="AG1109" s="188"/>
      <c r="AH1109" s="188"/>
      <c r="AI1109" s="188"/>
      <c r="AJ1109" s="188"/>
      <c r="AK1109" s="188"/>
      <c r="AL1109" s="188"/>
      <c r="AM1109" s="188"/>
      <c r="AN1109" s="188"/>
      <c r="AO1109" s="188"/>
      <c r="AP1109" s="188"/>
      <c r="AQ1109" s="188"/>
      <c r="AR1109" s="188"/>
      <c r="AS1109" s="188"/>
      <c r="AT1109" s="188"/>
      <c r="AU1109" s="188"/>
      <c r="AV1109" s="188"/>
      <c r="AW1109" s="188"/>
      <c r="AX1109" s="188"/>
      <c r="AY1109" s="188"/>
      <c r="AZ1109" s="188"/>
      <c r="BA1109" s="188"/>
      <c r="BB1109" s="188"/>
      <c r="BC1109" s="188"/>
    </row>
    <row r="1110">
      <c r="A1110" s="188"/>
      <c r="B1110" s="188"/>
      <c r="C1110" s="188"/>
      <c r="D1110" s="188"/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88"/>
      <c r="V1110" s="188"/>
      <c r="W1110" s="188"/>
      <c r="X1110" s="188"/>
      <c r="Y1110" s="188"/>
      <c r="Z1110" s="188"/>
      <c r="AA1110" s="188"/>
      <c r="AB1110" s="188"/>
      <c r="AC1110" s="188"/>
      <c r="AD1110" s="188"/>
      <c r="AE1110" s="188"/>
      <c r="AF1110" s="188"/>
      <c r="AG1110" s="188"/>
      <c r="AH1110" s="188"/>
      <c r="AI1110" s="188"/>
      <c r="AJ1110" s="188"/>
      <c r="AK1110" s="188"/>
      <c r="AL1110" s="188"/>
      <c r="AM1110" s="188"/>
      <c r="AN1110" s="188"/>
      <c r="AO1110" s="188"/>
      <c r="AP1110" s="188"/>
      <c r="AQ1110" s="188"/>
      <c r="AR1110" s="188"/>
      <c r="AS1110" s="188"/>
      <c r="AT1110" s="188"/>
      <c r="AU1110" s="188"/>
      <c r="AV1110" s="188"/>
      <c r="AW1110" s="188"/>
      <c r="AX1110" s="188"/>
      <c r="AY1110" s="188"/>
      <c r="AZ1110" s="188"/>
      <c r="BA1110" s="188"/>
      <c r="BB1110" s="188"/>
      <c r="BC1110" s="188"/>
    </row>
    <row r="1111">
      <c r="A1111" s="188"/>
      <c r="B1111" s="188"/>
      <c r="C1111" s="188"/>
      <c r="D1111" s="188"/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88"/>
      <c r="V1111" s="188"/>
      <c r="W1111" s="188"/>
      <c r="X1111" s="188"/>
      <c r="Y1111" s="188"/>
      <c r="Z1111" s="188"/>
      <c r="AA1111" s="188"/>
      <c r="AB1111" s="188"/>
      <c r="AC1111" s="188"/>
      <c r="AD1111" s="188"/>
      <c r="AE1111" s="188"/>
      <c r="AF1111" s="188"/>
      <c r="AG1111" s="188"/>
      <c r="AH1111" s="188"/>
      <c r="AI1111" s="188"/>
      <c r="AJ1111" s="188"/>
      <c r="AK1111" s="188"/>
      <c r="AL1111" s="188"/>
      <c r="AM1111" s="188"/>
      <c r="AN1111" s="188"/>
      <c r="AO1111" s="188"/>
      <c r="AP1111" s="188"/>
      <c r="AQ1111" s="188"/>
      <c r="AR1111" s="188"/>
      <c r="AS1111" s="188"/>
      <c r="AT1111" s="188"/>
      <c r="AU1111" s="188"/>
      <c r="AV1111" s="188"/>
      <c r="AW1111" s="188"/>
      <c r="AX1111" s="188"/>
      <c r="AY1111" s="188"/>
      <c r="AZ1111" s="188"/>
      <c r="BA1111" s="188"/>
      <c r="BB1111" s="188"/>
      <c r="BC1111" s="188"/>
    </row>
    <row r="1112">
      <c r="A1112" s="188"/>
      <c r="B1112" s="188"/>
      <c r="C1112" s="188"/>
      <c r="D1112" s="188"/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88"/>
      <c r="V1112" s="188"/>
      <c r="W1112" s="188"/>
      <c r="X1112" s="188"/>
      <c r="Y1112" s="188"/>
      <c r="Z1112" s="188"/>
      <c r="AA1112" s="188"/>
      <c r="AB1112" s="188"/>
      <c r="AC1112" s="188"/>
      <c r="AD1112" s="188"/>
      <c r="AE1112" s="188"/>
      <c r="AF1112" s="188"/>
      <c r="AG1112" s="188"/>
      <c r="AH1112" s="188"/>
      <c r="AI1112" s="188"/>
      <c r="AJ1112" s="188"/>
      <c r="AK1112" s="188"/>
      <c r="AL1112" s="188"/>
      <c r="AM1112" s="188"/>
      <c r="AN1112" s="188"/>
      <c r="AO1112" s="188"/>
      <c r="AP1112" s="188"/>
      <c r="AQ1112" s="188"/>
      <c r="AR1112" s="188"/>
      <c r="AS1112" s="188"/>
      <c r="AT1112" s="188"/>
      <c r="AU1112" s="188"/>
      <c r="AV1112" s="188"/>
      <c r="AW1112" s="188"/>
      <c r="AX1112" s="188"/>
      <c r="AY1112" s="188"/>
      <c r="AZ1112" s="188"/>
      <c r="BA1112" s="188"/>
      <c r="BB1112" s="188"/>
      <c r="BC1112" s="188"/>
    </row>
    <row r="1113">
      <c r="A1113" s="188"/>
      <c r="B1113" s="188"/>
      <c r="C1113" s="188"/>
      <c r="D1113" s="188"/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88"/>
      <c r="V1113" s="188"/>
      <c r="W1113" s="188"/>
      <c r="X1113" s="188"/>
      <c r="Y1113" s="188"/>
      <c r="Z1113" s="188"/>
      <c r="AA1113" s="188"/>
      <c r="AB1113" s="188"/>
      <c r="AC1113" s="188"/>
      <c r="AD1113" s="188"/>
      <c r="AE1113" s="188"/>
      <c r="AF1113" s="188"/>
      <c r="AG1113" s="188"/>
      <c r="AH1113" s="188"/>
      <c r="AI1113" s="188"/>
      <c r="AJ1113" s="188"/>
      <c r="AK1113" s="188"/>
      <c r="AL1113" s="188"/>
      <c r="AM1113" s="188"/>
      <c r="AN1113" s="188"/>
      <c r="AO1113" s="188"/>
      <c r="AP1113" s="188"/>
      <c r="AQ1113" s="188"/>
      <c r="AR1113" s="188"/>
      <c r="AS1113" s="188"/>
      <c r="AT1113" s="188"/>
      <c r="AU1113" s="188"/>
      <c r="AV1113" s="188"/>
      <c r="AW1113" s="188"/>
      <c r="AX1113" s="188"/>
      <c r="AY1113" s="188"/>
      <c r="AZ1113" s="188"/>
      <c r="BA1113" s="188"/>
      <c r="BB1113" s="188"/>
      <c r="BC1113" s="188"/>
    </row>
    <row r="1114">
      <c r="A1114" s="188"/>
      <c r="B1114" s="188"/>
      <c r="C1114" s="188"/>
      <c r="D1114" s="188"/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88"/>
      <c r="V1114" s="188"/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  <c r="AJ1114" s="188"/>
      <c r="AK1114" s="188"/>
      <c r="AL1114" s="188"/>
      <c r="AM1114" s="188"/>
      <c r="AN1114" s="188"/>
      <c r="AO1114" s="188"/>
      <c r="AP1114" s="188"/>
      <c r="AQ1114" s="188"/>
      <c r="AR1114" s="188"/>
      <c r="AS1114" s="188"/>
      <c r="AT1114" s="188"/>
      <c r="AU1114" s="188"/>
      <c r="AV1114" s="188"/>
      <c r="AW1114" s="188"/>
      <c r="AX1114" s="188"/>
      <c r="AY1114" s="188"/>
      <c r="AZ1114" s="188"/>
      <c r="BA1114" s="188"/>
      <c r="BB1114" s="188"/>
      <c r="BC1114" s="188"/>
    </row>
    <row r="1115">
      <c r="A1115" s="188"/>
      <c r="B1115" s="188"/>
      <c r="C1115" s="188"/>
      <c r="D1115" s="188"/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88"/>
      <c r="V1115" s="188"/>
      <c r="W1115" s="188"/>
      <c r="X1115" s="188"/>
      <c r="Y1115" s="188"/>
      <c r="Z1115" s="188"/>
      <c r="AA1115" s="188"/>
      <c r="AB1115" s="188"/>
      <c r="AC1115" s="188"/>
      <c r="AD1115" s="188"/>
      <c r="AE1115" s="188"/>
      <c r="AF1115" s="188"/>
      <c r="AG1115" s="188"/>
      <c r="AH1115" s="188"/>
      <c r="AI1115" s="188"/>
      <c r="AJ1115" s="188"/>
      <c r="AK1115" s="188"/>
      <c r="AL1115" s="188"/>
      <c r="AM1115" s="188"/>
      <c r="AN1115" s="188"/>
      <c r="AO1115" s="188"/>
      <c r="AP1115" s="188"/>
      <c r="AQ1115" s="188"/>
      <c r="AR1115" s="188"/>
      <c r="AS1115" s="188"/>
      <c r="AT1115" s="188"/>
      <c r="AU1115" s="188"/>
      <c r="AV1115" s="188"/>
      <c r="AW1115" s="188"/>
      <c r="AX1115" s="188"/>
      <c r="AY1115" s="188"/>
      <c r="AZ1115" s="188"/>
      <c r="BA1115" s="188"/>
      <c r="BB1115" s="188"/>
      <c r="BC1115" s="188"/>
    </row>
    <row r="1116">
      <c r="A1116" s="188"/>
      <c r="B1116" s="188"/>
      <c r="C1116" s="188"/>
      <c r="D1116" s="188"/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88"/>
      <c r="V1116" s="188"/>
      <c r="W1116" s="188"/>
      <c r="X1116" s="188"/>
      <c r="Y1116" s="188"/>
      <c r="Z1116" s="188"/>
      <c r="AA1116" s="188"/>
      <c r="AB1116" s="188"/>
      <c r="AC1116" s="188"/>
      <c r="AD1116" s="188"/>
      <c r="AE1116" s="188"/>
      <c r="AF1116" s="188"/>
      <c r="AG1116" s="188"/>
      <c r="AH1116" s="188"/>
      <c r="AI1116" s="188"/>
      <c r="AJ1116" s="188"/>
      <c r="AK1116" s="188"/>
      <c r="AL1116" s="188"/>
      <c r="AM1116" s="188"/>
      <c r="AN1116" s="188"/>
      <c r="AO1116" s="188"/>
      <c r="AP1116" s="188"/>
      <c r="AQ1116" s="188"/>
      <c r="AR1116" s="188"/>
      <c r="AS1116" s="188"/>
      <c r="AT1116" s="188"/>
      <c r="AU1116" s="188"/>
      <c r="AV1116" s="188"/>
      <c r="AW1116" s="188"/>
      <c r="AX1116" s="188"/>
      <c r="AY1116" s="188"/>
      <c r="AZ1116" s="188"/>
      <c r="BA1116" s="188"/>
      <c r="BB1116" s="188"/>
      <c r="BC1116" s="188"/>
    </row>
    <row r="1117">
      <c r="A1117" s="188"/>
      <c r="B1117" s="188"/>
      <c r="C1117" s="188"/>
      <c r="D1117" s="188"/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88"/>
      <c r="V1117" s="188"/>
      <c r="W1117" s="188"/>
      <c r="X1117" s="188"/>
      <c r="Y1117" s="188"/>
      <c r="Z1117" s="188"/>
      <c r="AA1117" s="188"/>
      <c r="AB1117" s="188"/>
      <c r="AC1117" s="188"/>
      <c r="AD1117" s="188"/>
      <c r="AE1117" s="188"/>
      <c r="AF1117" s="188"/>
      <c r="AG1117" s="188"/>
      <c r="AH1117" s="188"/>
      <c r="AI1117" s="188"/>
      <c r="AJ1117" s="188"/>
      <c r="AK1117" s="188"/>
      <c r="AL1117" s="188"/>
      <c r="AM1117" s="188"/>
      <c r="AN1117" s="188"/>
      <c r="AO1117" s="188"/>
      <c r="AP1117" s="188"/>
      <c r="AQ1117" s="188"/>
      <c r="AR1117" s="188"/>
      <c r="AS1117" s="188"/>
      <c r="AT1117" s="188"/>
      <c r="AU1117" s="188"/>
      <c r="AV1117" s="188"/>
      <c r="AW1117" s="188"/>
      <c r="AX1117" s="188"/>
      <c r="AY1117" s="188"/>
      <c r="AZ1117" s="188"/>
      <c r="BA1117" s="188"/>
      <c r="BB1117" s="188"/>
      <c r="BC1117" s="188"/>
    </row>
    <row r="1118">
      <c r="A1118" s="188"/>
      <c r="B1118" s="188"/>
      <c r="C1118" s="188"/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88"/>
      <c r="V1118" s="188"/>
      <c r="W1118" s="188"/>
      <c r="X1118" s="188"/>
      <c r="Y1118" s="188"/>
      <c r="Z1118" s="188"/>
      <c r="AA1118" s="188"/>
      <c r="AB1118" s="188"/>
      <c r="AC1118" s="188"/>
      <c r="AD1118" s="188"/>
      <c r="AE1118" s="188"/>
      <c r="AF1118" s="188"/>
      <c r="AG1118" s="188"/>
      <c r="AH1118" s="188"/>
      <c r="AI1118" s="188"/>
      <c r="AJ1118" s="188"/>
      <c r="AK1118" s="188"/>
      <c r="AL1118" s="188"/>
      <c r="AM1118" s="188"/>
      <c r="AN1118" s="188"/>
      <c r="AO1118" s="188"/>
      <c r="AP1118" s="188"/>
      <c r="AQ1118" s="188"/>
      <c r="AR1118" s="188"/>
      <c r="AS1118" s="188"/>
      <c r="AT1118" s="188"/>
      <c r="AU1118" s="188"/>
      <c r="AV1118" s="188"/>
      <c r="AW1118" s="188"/>
      <c r="AX1118" s="188"/>
      <c r="AY1118" s="188"/>
      <c r="AZ1118" s="188"/>
      <c r="BA1118" s="188"/>
      <c r="BB1118" s="188"/>
      <c r="BC1118" s="188"/>
    </row>
    <row r="1119">
      <c r="A1119" s="188"/>
      <c r="B1119" s="188"/>
      <c r="C1119" s="188"/>
      <c r="D1119" s="188"/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88"/>
      <c r="V1119" s="188"/>
      <c r="W1119" s="188"/>
      <c r="X1119" s="188"/>
      <c r="Y1119" s="188"/>
      <c r="Z1119" s="188"/>
      <c r="AA1119" s="188"/>
      <c r="AB1119" s="188"/>
      <c r="AC1119" s="188"/>
      <c r="AD1119" s="188"/>
      <c r="AE1119" s="188"/>
      <c r="AF1119" s="188"/>
      <c r="AG1119" s="188"/>
      <c r="AH1119" s="188"/>
      <c r="AI1119" s="188"/>
      <c r="AJ1119" s="188"/>
      <c r="AK1119" s="188"/>
      <c r="AL1119" s="188"/>
      <c r="AM1119" s="188"/>
      <c r="AN1119" s="188"/>
      <c r="AO1119" s="188"/>
      <c r="AP1119" s="188"/>
      <c r="AQ1119" s="188"/>
      <c r="AR1119" s="188"/>
      <c r="AS1119" s="188"/>
      <c r="AT1119" s="188"/>
      <c r="AU1119" s="188"/>
      <c r="AV1119" s="188"/>
      <c r="AW1119" s="188"/>
      <c r="AX1119" s="188"/>
      <c r="AY1119" s="188"/>
      <c r="AZ1119" s="188"/>
      <c r="BA1119" s="188"/>
      <c r="BB1119" s="188"/>
      <c r="BC1119" s="188"/>
    </row>
    <row r="1120">
      <c r="A1120" s="188"/>
      <c r="B1120" s="188"/>
      <c r="C1120" s="188"/>
      <c r="D1120" s="188"/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88"/>
      <c r="V1120" s="188"/>
      <c r="W1120" s="188"/>
      <c r="X1120" s="188"/>
      <c r="Y1120" s="188"/>
      <c r="Z1120" s="188"/>
      <c r="AA1120" s="188"/>
      <c r="AB1120" s="188"/>
      <c r="AC1120" s="188"/>
      <c r="AD1120" s="188"/>
      <c r="AE1120" s="188"/>
      <c r="AF1120" s="188"/>
      <c r="AG1120" s="188"/>
      <c r="AH1120" s="188"/>
      <c r="AI1120" s="188"/>
      <c r="AJ1120" s="188"/>
      <c r="AK1120" s="188"/>
      <c r="AL1120" s="188"/>
      <c r="AM1120" s="188"/>
      <c r="AN1120" s="188"/>
      <c r="AO1120" s="188"/>
      <c r="AP1120" s="188"/>
      <c r="AQ1120" s="188"/>
      <c r="AR1120" s="188"/>
      <c r="AS1120" s="188"/>
      <c r="AT1120" s="188"/>
      <c r="AU1120" s="188"/>
      <c r="AV1120" s="188"/>
      <c r="AW1120" s="188"/>
      <c r="AX1120" s="188"/>
      <c r="AY1120" s="188"/>
      <c r="AZ1120" s="188"/>
      <c r="BA1120" s="188"/>
      <c r="BB1120" s="188"/>
      <c r="BC1120" s="188"/>
    </row>
    <row r="1121">
      <c r="A1121" s="188"/>
      <c r="B1121" s="188"/>
      <c r="C1121" s="188"/>
      <c r="D1121" s="188"/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88"/>
      <c r="V1121" s="188"/>
      <c r="W1121" s="188"/>
      <c r="X1121" s="188"/>
      <c r="Y1121" s="188"/>
      <c r="Z1121" s="188"/>
      <c r="AA1121" s="188"/>
      <c r="AB1121" s="188"/>
      <c r="AC1121" s="188"/>
      <c r="AD1121" s="188"/>
      <c r="AE1121" s="188"/>
      <c r="AF1121" s="188"/>
      <c r="AG1121" s="188"/>
      <c r="AH1121" s="188"/>
      <c r="AI1121" s="188"/>
      <c r="AJ1121" s="188"/>
      <c r="AK1121" s="188"/>
      <c r="AL1121" s="188"/>
      <c r="AM1121" s="188"/>
      <c r="AN1121" s="188"/>
      <c r="AO1121" s="188"/>
      <c r="AP1121" s="188"/>
      <c r="AQ1121" s="188"/>
      <c r="AR1121" s="188"/>
      <c r="AS1121" s="188"/>
      <c r="AT1121" s="188"/>
      <c r="AU1121" s="188"/>
      <c r="AV1121" s="188"/>
      <c r="AW1121" s="188"/>
      <c r="AX1121" s="188"/>
      <c r="AY1121" s="188"/>
      <c r="AZ1121" s="188"/>
      <c r="BA1121" s="188"/>
      <c r="BB1121" s="188"/>
      <c r="BC1121" s="188"/>
    </row>
    <row r="1122">
      <c r="A1122" s="188"/>
      <c r="B1122" s="188"/>
      <c r="C1122" s="188"/>
      <c r="D1122" s="188"/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88"/>
      <c r="V1122" s="188"/>
      <c r="W1122" s="188"/>
      <c r="X1122" s="188"/>
      <c r="Y1122" s="188"/>
      <c r="Z1122" s="188"/>
      <c r="AA1122" s="188"/>
      <c r="AB1122" s="188"/>
      <c r="AC1122" s="188"/>
      <c r="AD1122" s="188"/>
      <c r="AE1122" s="188"/>
      <c r="AF1122" s="188"/>
      <c r="AG1122" s="188"/>
      <c r="AH1122" s="188"/>
      <c r="AI1122" s="188"/>
      <c r="AJ1122" s="188"/>
      <c r="AK1122" s="188"/>
      <c r="AL1122" s="188"/>
      <c r="AM1122" s="188"/>
      <c r="AN1122" s="188"/>
      <c r="AO1122" s="188"/>
      <c r="AP1122" s="188"/>
      <c r="AQ1122" s="188"/>
      <c r="AR1122" s="188"/>
      <c r="AS1122" s="188"/>
      <c r="AT1122" s="188"/>
      <c r="AU1122" s="188"/>
      <c r="AV1122" s="188"/>
      <c r="AW1122" s="188"/>
      <c r="AX1122" s="188"/>
      <c r="AY1122" s="188"/>
      <c r="AZ1122" s="188"/>
      <c r="BA1122" s="188"/>
      <c r="BB1122" s="188"/>
      <c r="BC1122" s="188"/>
    </row>
    <row r="1123">
      <c r="A1123" s="188"/>
      <c r="B1123" s="188"/>
      <c r="C1123" s="188"/>
      <c r="D1123" s="188"/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88"/>
      <c r="V1123" s="188"/>
      <c r="W1123" s="188"/>
      <c r="X1123" s="188"/>
      <c r="Y1123" s="188"/>
      <c r="Z1123" s="188"/>
      <c r="AA1123" s="188"/>
      <c r="AB1123" s="188"/>
      <c r="AC1123" s="188"/>
      <c r="AD1123" s="188"/>
      <c r="AE1123" s="188"/>
      <c r="AF1123" s="188"/>
      <c r="AG1123" s="188"/>
      <c r="AH1123" s="188"/>
      <c r="AI1123" s="188"/>
      <c r="AJ1123" s="188"/>
      <c r="AK1123" s="188"/>
      <c r="AL1123" s="188"/>
      <c r="AM1123" s="188"/>
      <c r="AN1123" s="188"/>
      <c r="AO1123" s="188"/>
      <c r="AP1123" s="188"/>
      <c r="AQ1123" s="188"/>
      <c r="AR1123" s="188"/>
      <c r="AS1123" s="188"/>
      <c r="AT1123" s="188"/>
      <c r="AU1123" s="188"/>
      <c r="AV1123" s="188"/>
      <c r="AW1123" s="188"/>
      <c r="AX1123" s="188"/>
      <c r="AY1123" s="188"/>
      <c r="AZ1123" s="188"/>
      <c r="BA1123" s="188"/>
      <c r="BB1123" s="188"/>
      <c r="BC1123" s="188"/>
    </row>
    <row r="1124">
      <c r="A1124" s="188"/>
      <c r="B1124" s="188"/>
      <c r="C1124" s="188"/>
      <c r="D1124" s="188"/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88"/>
      <c r="V1124" s="188"/>
      <c r="W1124" s="188"/>
      <c r="X1124" s="188"/>
      <c r="Y1124" s="188"/>
      <c r="Z1124" s="188"/>
      <c r="AA1124" s="188"/>
      <c r="AB1124" s="188"/>
      <c r="AC1124" s="188"/>
      <c r="AD1124" s="188"/>
      <c r="AE1124" s="188"/>
      <c r="AF1124" s="188"/>
      <c r="AG1124" s="188"/>
      <c r="AH1124" s="188"/>
      <c r="AI1124" s="188"/>
      <c r="AJ1124" s="188"/>
      <c r="AK1124" s="188"/>
      <c r="AL1124" s="188"/>
      <c r="AM1124" s="188"/>
      <c r="AN1124" s="188"/>
      <c r="AO1124" s="188"/>
      <c r="AP1124" s="188"/>
      <c r="AQ1124" s="188"/>
      <c r="AR1124" s="188"/>
      <c r="AS1124" s="188"/>
      <c r="AT1124" s="188"/>
      <c r="AU1124" s="188"/>
      <c r="AV1124" s="188"/>
      <c r="AW1124" s="188"/>
      <c r="AX1124" s="188"/>
      <c r="AY1124" s="188"/>
      <c r="AZ1124" s="188"/>
      <c r="BA1124" s="188"/>
      <c r="BB1124" s="188"/>
      <c r="BC1124" s="188"/>
    </row>
    <row r="1125">
      <c r="A1125" s="188"/>
      <c r="B1125" s="188"/>
      <c r="C1125" s="188"/>
      <c r="D1125" s="188"/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88"/>
      <c r="V1125" s="188"/>
      <c r="W1125" s="188"/>
      <c r="X1125" s="188"/>
      <c r="Y1125" s="188"/>
      <c r="Z1125" s="188"/>
      <c r="AA1125" s="188"/>
      <c r="AB1125" s="188"/>
      <c r="AC1125" s="188"/>
      <c r="AD1125" s="188"/>
      <c r="AE1125" s="188"/>
      <c r="AF1125" s="188"/>
      <c r="AG1125" s="188"/>
      <c r="AH1125" s="188"/>
      <c r="AI1125" s="188"/>
      <c r="AJ1125" s="188"/>
      <c r="AK1125" s="188"/>
      <c r="AL1125" s="188"/>
      <c r="AM1125" s="188"/>
      <c r="AN1125" s="188"/>
      <c r="AO1125" s="188"/>
      <c r="AP1125" s="188"/>
      <c r="AQ1125" s="188"/>
      <c r="AR1125" s="188"/>
      <c r="AS1125" s="188"/>
      <c r="AT1125" s="188"/>
      <c r="AU1125" s="188"/>
      <c r="AV1125" s="188"/>
      <c r="AW1125" s="188"/>
      <c r="AX1125" s="188"/>
      <c r="AY1125" s="188"/>
      <c r="AZ1125" s="188"/>
      <c r="BA1125" s="188"/>
      <c r="BB1125" s="188"/>
      <c r="BC1125" s="188"/>
    </row>
    <row r="1126">
      <c r="A1126" s="188"/>
      <c r="B1126" s="188"/>
      <c r="C1126" s="188"/>
      <c r="D1126" s="188"/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88"/>
      <c r="V1126" s="188"/>
      <c r="W1126" s="188"/>
      <c r="X1126" s="188"/>
      <c r="Y1126" s="188"/>
      <c r="Z1126" s="188"/>
      <c r="AA1126" s="188"/>
      <c r="AB1126" s="188"/>
      <c r="AC1126" s="188"/>
      <c r="AD1126" s="188"/>
      <c r="AE1126" s="188"/>
      <c r="AF1126" s="188"/>
      <c r="AG1126" s="188"/>
      <c r="AH1126" s="188"/>
      <c r="AI1126" s="188"/>
      <c r="AJ1126" s="188"/>
      <c r="AK1126" s="188"/>
      <c r="AL1126" s="188"/>
      <c r="AM1126" s="188"/>
      <c r="AN1126" s="188"/>
      <c r="AO1126" s="188"/>
      <c r="AP1126" s="188"/>
      <c r="AQ1126" s="188"/>
      <c r="AR1126" s="188"/>
      <c r="AS1126" s="188"/>
      <c r="AT1126" s="188"/>
      <c r="AU1126" s="188"/>
      <c r="AV1126" s="188"/>
      <c r="AW1126" s="188"/>
      <c r="AX1126" s="188"/>
      <c r="AY1126" s="188"/>
      <c r="AZ1126" s="188"/>
      <c r="BA1126" s="188"/>
      <c r="BB1126" s="188"/>
      <c r="BC1126" s="188"/>
    </row>
    <row r="1127">
      <c r="A1127" s="188"/>
      <c r="B1127" s="188"/>
      <c r="C1127" s="188"/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88"/>
      <c r="V1127" s="188"/>
      <c r="W1127" s="188"/>
      <c r="X1127" s="188"/>
      <c r="Y1127" s="188"/>
      <c r="Z1127" s="188"/>
      <c r="AA1127" s="188"/>
      <c r="AB1127" s="188"/>
      <c r="AC1127" s="188"/>
      <c r="AD1127" s="188"/>
      <c r="AE1127" s="188"/>
      <c r="AF1127" s="188"/>
      <c r="AG1127" s="188"/>
      <c r="AH1127" s="188"/>
      <c r="AI1127" s="188"/>
      <c r="AJ1127" s="188"/>
      <c r="AK1127" s="188"/>
      <c r="AL1127" s="188"/>
      <c r="AM1127" s="188"/>
      <c r="AN1127" s="188"/>
      <c r="AO1127" s="188"/>
      <c r="AP1127" s="188"/>
      <c r="AQ1127" s="188"/>
      <c r="AR1127" s="188"/>
      <c r="AS1127" s="188"/>
      <c r="AT1127" s="188"/>
      <c r="AU1127" s="188"/>
      <c r="AV1127" s="188"/>
      <c r="AW1127" s="188"/>
      <c r="AX1127" s="188"/>
      <c r="AY1127" s="188"/>
      <c r="AZ1127" s="188"/>
      <c r="BA1127" s="188"/>
      <c r="BB1127" s="188"/>
      <c r="BC1127" s="188"/>
    </row>
    <row r="1128">
      <c r="A1128" s="188"/>
      <c r="B1128" s="188"/>
      <c r="C1128" s="188"/>
      <c r="D1128" s="188"/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88"/>
      <c r="V1128" s="188"/>
      <c r="W1128" s="188"/>
      <c r="X1128" s="188"/>
      <c r="Y1128" s="188"/>
      <c r="Z1128" s="188"/>
      <c r="AA1128" s="188"/>
      <c r="AB1128" s="188"/>
      <c r="AC1128" s="188"/>
      <c r="AD1128" s="188"/>
      <c r="AE1128" s="188"/>
      <c r="AF1128" s="188"/>
      <c r="AG1128" s="188"/>
      <c r="AH1128" s="188"/>
      <c r="AI1128" s="188"/>
      <c r="AJ1128" s="188"/>
      <c r="AK1128" s="188"/>
      <c r="AL1128" s="188"/>
      <c r="AM1128" s="188"/>
      <c r="AN1128" s="188"/>
      <c r="AO1128" s="188"/>
      <c r="AP1128" s="188"/>
      <c r="AQ1128" s="188"/>
      <c r="AR1128" s="188"/>
      <c r="AS1128" s="188"/>
      <c r="AT1128" s="188"/>
      <c r="AU1128" s="188"/>
      <c r="AV1128" s="188"/>
      <c r="AW1128" s="188"/>
      <c r="AX1128" s="188"/>
      <c r="AY1128" s="188"/>
      <c r="AZ1128" s="188"/>
      <c r="BA1128" s="188"/>
      <c r="BB1128" s="188"/>
      <c r="BC1128" s="188"/>
    </row>
    <row r="1129">
      <c r="A1129" s="188"/>
      <c r="B1129" s="188"/>
      <c r="C1129" s="188"/>
      <c r="D1129" s="188"/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88"/>
      <c r="V1129" s="188"/>
      <c r="W1129" s="188"/>
      <c r="X1129" s="188"/>
      <c r="Y1129" s="188"/>
      <c r="Z1129" s="188"/>
      <c r="AA1129" s="188"/>
      <c r="AB1129" s="188"/>
      <c r="AC1129" s="188"/>
      <c r="AD1129" s="188"/>
      <c r="AE1129" s="188"/>
      <c r="AF1129" s="188"/>
      <c r="AG1129" s="188"/>
      <c r="AH1129" s="188"/>
      <c r="AI1129" s="188"/>
      <c r="AJ1129" s="188"/>
      <c r="AK1129" s="188"/>
      <c r="AL1129" s="188"/>
      <c r="AM1129" s="188"/>
      <c r="AN1129" s="188"/>
      <c r="AO1129" s="188"/>
      <c r="AP1129" s="188"/>
      <c r="AQ1129" s="188"/>
      <c r="AR1129" s="188"/>
      <c r="AS1129" s="188"/>
      <c r="AT1129" s="188"/>
      <c r="AU1129" s="188"/>
      <c r="AV1129" s="188"/>
      <c r="AW1129" s="188"/>
      <c r="AX1129" s="188"/>
      <c r="AY1129" s="188"/>
      <c r="AZ1129" s="188"/>
      <c r="BA1129" s="188"/>
      <c r="BB1129" s="188"/>
      <c r="BC1129" s="188"/>
    </row>
    <row r="1130">
      <c r="A1130" s="188"/>
      <c r="B1130" s="188"/>
      <c r="C1130" s="188"/>
      <c r="D1130" s="188"/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88"/>
      <c r="V1130" s="188"/>
      <c r="W1130" s="188"/>
      <c r="X1130" s="188"/>
      <c r="Y1130" s="188"/>
      <c r="Z1130" s="188"/>
      <c r="AA1130" s="188"/>
      <c r="AB1130" s="188"/>
      <c r="AC1130" s="188"/>
      <c r="AD1130" s="188"/>
      <c r="AE1130" s="188"/>
      <c r="AF1130" s="188"/>
      <c r="AG1130" s="188"/>
      <c r="AH1130" s="188"/>
      <c r="AI1130" s="188"/>
      <c r="AJ1130" s="188"/>
      <c r="AK1130" s="188"/>
      <c r="AL1130" s="188"/>
      <c r="AM1130" s="188"/>
      <c r="AN1130" s="188"/>
      <c r="AO1130" s="188"/>
      <c r="AP1130" s="188"/>
      <c r="AQ1130" s="188"/>
      <c r="AR1130" s="188"/>
      <c r="AS1130" s="188"/>
      <c r="AT1130" s="188"/>
      <c r="AU1130" s="188"/>
      <c r="AV1130" s="188"/>
      <c r="AW1130" s="188"/>
      <c r="AX1130" s="188"/>
      <c r="AY1130" s="188"/>
      <c r="AZ1130" s="188"/>
      <c r="BA1130" s="188"/>
      <c r="BB1130" s="188"/>
      <c r="BC1130" s="188"/>
    </row>
    <row r="1131">
      <c r="A1131" s="188"/>
      <c r="B1131" s="188"/>
      <c r="C1131" s="188"/>
      <c r="D1131" s="188"/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88"/>
      <c r="V1131" s="188"/>
      <c r="W1131" s="188"/>
      <c r="X1131" s="188"/>
      <c r="Y1131" s="188"/>
      <c r="Z1131" s="188"/>
      <c r="AA1131" s="188"/>
      <c r="AB1131" s="188"/>
      <c r="AC1131" s="188"/>
      <c r="AD1131" s="188"/>
      <c r="AE1131" s="188"/>
      <c r="AF1131" s="188"/>
      <c r="AG1131" s="188"/>
      <c r="AH1131" s="188"/>
      <c r="AI1131" s="188"/>
      <c r="AJ1131" s="188"/>
      <c r="AK1131" s="188"/>
      <c r="AL1131" s="188"/>
      <c r="AM1131" s="188"/>
      <c r="AN1131" s="188"/>
      <c r="AO1131" s="188"/>
      <c r="AP1131" s="188"/>
      <c r="AQ1131" s="188"/>
      <c r="AR1131" s="188"/>
      <c r="AS1131" s="188"/>
      <c r="AT1131" s="188"/>
      <c r="AU1131" s="188"/>
      <c r="AV1131" s="188"/>
      <c r="AW1131" s="188"/>
      <c r="AX1131" s="188"/>
      <c r="AY1131" s="188"/>
      <c r="AZ1131" s="188"/>
      <c r="BA1131" s="188"/>
      <c r="BB1131" s="188"/>
      <c r="BC1131" s="188"/>
    </row>
    <row r="1132">
      <c r="A1132" s="188"/>
      <c r="B1132" s="188"/>
      <c r="C1132" s="188"/>
      <c r="D1132" s="188"/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88"/>
      <c r="V1132" s="188"/>
      <c r="W1132" s="188"/>
      <c r="X1132" s="188"/>
      <c r="Y1132" s="188"/>
      <c r="Z1132" s="188"/>
      <c r="AA1132" s="188"/>
      <c r="AB1132" s="188"/>
      <c r="AC1132" s="188"/>
      <c r="AD1132" s="188"/>
      <c r="AE1132" s="188"/>
      <c r="AF1132" s="188"/>
      <c r="AG1132" s="188"/>
      <c r="AH1132" s="188"/>
      <c r="AI1132" s="188"/>
      <c r="AJ1132" s="188"/>
      <c r="AK1132" s="188"/>
      <c r="AL1132" s="188"/>
      <c r="AM1132" s="188"/>
      <c r="AN1132" s="188"/>
      <c r="AO1132" s="188"/>
      <c r="AP1132" s="188"/>
      <c r="AQ1132" s="188"/>
      <c r="AR1132" s="188"/>
      <c r="AS1132" s="188"/>
      <c r="AT1132" s="188"/>
      <c r="AU1132" s="188"/>
      <c r="AV1132" s="188"/>
      <c r="AW1132" s="188"/>
      <c r="AX1132" s="188"/>
      <c r="AY1132" s="188"/>
      <c r="AZ1132" s="188"/>
      <c r="BA1132" s="188"/>
      <c r="BB1132" s="188"/>
      <c r="BC1132" s="188"/>
    </row>
    <row r="1133">
      <c r="A1133" s="188"/>
      <c r="B1133" s="188"/>
      <c r="C1133" s="188"/>
      <c r="D1133" s="188"/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88"/>
      <c r="V1133" s="188"/>
      <c r="W1133" s="188"/>
      <c r="X1133" s="188"/>
      <c r="Y1133" s="188"/>
      <c r="Z1133" s="188"/>
      <c r="AA1133" s="188"/>
      <c r="AB1133" s="188"/>
      <c r="AC1133" s="188"/>
      <c r="AD1133" s="188"/>
      <c r="AE1133" s="188"/>
      <c r="AF1133" s="188"/>
      <c r="AG1133" s="188"/>
      <c r="AH1133" s="188"/>
      <c r="AI1133" s="188"/>
      <c r="AJ1133" s="188"/>
      <c r="AK1133" s="188"/>
      <c r="AL1133" s="188"/>
      <c r="AM1133" s="188"/>
      <c r="AN1133" s="188"/>
      <c r="AO1133" s="188"/>
      <c r="AP1133" s="188"/>
      <c r="AQ1133" s="188"/>
      <c r="AR1133" s="188"/>
      <c r="AS1133" s="188"/>
      <c r="AT1133" s="188"/>
      <c r="AU1133" s="188"/>
      <c r="AV1133" s="188"/>
      <c r="AW1133" s="188"/>
      <c r="AX1133" s="188"/>
      <c r="AY1133" s="188"/>
      <c r="AZ1133" s="188"/>
      <c r="BA1133" s="188"/>
      <c r="BB1133" s="188"/>
      <c r="BC1133" s="188"/>
    </row>
    <row r="1134">
      <c r="A1134" s="188"/>
      <c r="B1134" s="188"/>
      <c r="C1134" s="188"/>
      <c r="D1134" s="188"/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88"/>
      <c r="V1134" s="188"/>
      <c r="W1134" s="188"/>
      <c r="X1134" s="188"/>
      <c r="Y1134" s="188"/>
      <c r="Z1134" s="188"/>
      <c r="AA1134" s="188"/>
      <c r="AB1134" s="188"/>
      <c r="AC1134" s="188"/>
      <c r="AD1134" s="188"/>
      <c r="AE1134" s="188"/>
      <c r="AF1134" s="188"/>
      <c r="AG1134" s="188"/>
      <c r="AH1134" s="188"/>
      <c r="AI1134" s="188"/>
      <c r="AJ1134" s="188"/>
      <c r="AK1134" s="188"/>
      <c r="AL1134" s="188"/>
      <c r="AM1134" s="188"/>
      <c r="AN1134" s="188"/>
      <c r="AO1134" s="188"/>
      <c r="AP1134" s="188"/>
      <c r="AQ1134" s="188"/>
      <c r="AR1134" s="188"/>
      <c r="AS1134" s="188"/>
      <c r="AT1134" s="188"/>
      <c r="AU1134" s="188"/>
      <c r="AV1134" s="188"/>
      <c r="AW1134" s="188"/>
      <c r="AX1134" s="188"/>
      <c r="AY1134" s="188"/>
      <c r="AZ1134" s="188"/>
      <c r="BA1134" s="188"/>
      <c r="BB1134" s="188"/>
      <c r="BC1134" s="188"/>
    </row>
    <row r="1135">
      <c r="A1135" s="188"/>
      <c r="B1135" s="188"/>
      <c r="C1135" s="188"/>
      <c r="D1135" s="188"/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88"/>
      <c r="V1135" s="188"/>
      <c r="W1135" s="188"/>
      <c r="X1135" s="188"/>
      <c r="Y1135" s="188"/>
      <c r="Z1135" s="188"/>
      <c r="AA1135" s="188"/>
      <c r="AB1135" s="188"/>
      <c r="AC1135" s="188"/>
      <c r="AD1135" s="188"/>
      <c r="AE1135" s="188"/>
      <c r="AF1135" s="188"/>
      <c r="AG1135" s="188"/>
      <c r="AH1135" s="188"/>
      <c r="AI1135" s="188"/>
      <c r="AJ1135" s="188"/>
      <c r="AK1135" s="188"/>
      <c r="AL1135" s="188"/>
      <c r="AM1135" s="188"/>
      <c r="AN1135" s="188"/>
      <c r="AO1135" s="188"/>
      <c r="AP1135" s="188"/>
      <c r="AQ1135" s="188"/>
      <c r="AR1135" s="188"/>
      <c r="AS1135" s="188"/>
      <c r="AT1135" s="188"/>
      <c r="AU1135" s="188"/>
      <c r="AV1135" s="188"/>
      <c r="AW1135" s="188"/>
      <c r="AX1135" s="188"/>
      <c r="AY1135" s="188"/>
      <c r="AZ1135" s="188"/>
      <c r="BA1135" s="188"/>
      <c r="BB1135" s="188"/>
      <c r="BC1135" s="188"/>
    </row>
    <row r="1136">
      <c r="A1136" s="188"/>
      <c r="B1136" s="188"/>
      <c r="C1136" s="188"/>
      <c r="D1136" s="188"/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88"/>
      <c r="V1136" s="188"/>
      <c r="W1136" s="188"/>
      <c r="X1136" s="188"/>
      <c r="Y1136" s="188"/>
      <c r="Z1136" s="188"/>
      <c r="AA1136" s="188"/>
      <c r="AB1136" s="188"/>
      <c r="AC1136" s="188"/>
      <c r="AD1136" s="188"/>
      <c r="AE1136" s="188"/>
      <c r="AF1136" s="188"/>
      <c r="AG1136" s="188"/>
      <c r="AH1136" s="188"/>
      <c r="AI1136" s="188"/>
      <c r="AJ1136" s="188"/>
      <c r="AK1136" s="188"/>
      <c r="AL1136" s="188"/>
      <c r="AM1136" s="188"/>
      <c r="AN1136" s="188"/>
      <c r="AO1136" s="188"/>
      <c r="AP1136" s="188"/>
      <c r="AQ1136" s="188"/>
      <c r="AR1136" s="188"/>
      <c r="AS1136" s="188"/>
      <c r="AT1136" s="188"/>
      <c r="AU1136" s="188"/>
      <c r="AV1136" s="188"/>
      <c r="AW1136" s="188"/>
      <c r="AX1136" s="188"/>
      <c r="AY1136" s="188"/>
      <c r="AZ1136" s="188"/>
      <c r="BA1136" s="188"/>
      <c r="BB1136" s="188"/>
      <c r="BC1136" s="188"/>
    </row>
    <row r="1137">
      <c r="A1137" s="188"/>
      <c r="B1137" s="188"/>
      <c r="C1137" s="188"/>
      <c r="D1137" s="188"/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88"/>
      <c r="V1137" s="188"/>
      <c r="W1137" s="188"/>
      <c r="X1137" s="188"/>
      <c r="Y1137" s="188"/>
      <c r="Z1137" s="188"/>
      <c r="AA1137" s="188"/>
      <c r="AB1137" s="188"/>
      <c r="AC1137" s="188"/>
      <c r="AD1137" s="188"/>
      <c r="AE1137" s="188"/>
      <c r="AF1137" s="188"/>
      <c r="AG1137" s="188"/>
      <c r="AH1137" s="188"/>
      <c r="AI1137" s="188"/>
      <c r="AJ1137" s="188"/>
      <c r="AK1137" s="188"/>
      <c r="AL1137" s="188"/>
      <c r="AM1137" s="188"/>
      <c r="AN1137" s="188"/>
      <c r="AO1137" s="188"/>
      <c r="AP1137" s="188"/>
      <c r="AQ1137" s="188"/>
      <c r="AR1137" s="188"/>
      <c r="AS1137" s="188"/>
      <c r="AT1137" s="188"/>
      <c r="AU1137" s="188"/>
      <c r="AV1137" s="188"/>
      <c r="AW1137" s="188"/>
      <c r="AX1137" s="188"/>
      <c r="AY1137" s="188"/>
      <c r="AZ1137" s="188"/>
      <c r="BA1137" s="188"/>
      <c r="BB1137" s="188"/>
      <c r="BC1137" s="188"/>
    </row>
    <row r="1138">
      <c r="A1138" s="188"/>
      <c r="B1138" s="188"/>
      <c r="C1138" s="188"/>
      <c r="D1138" s="188"/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188"/>
      <c r="Q1138" s="188"/>
      <c r="R1138" s="188"/>
      <c r="S1138" s="188"/>
      <c r="T1138" s="188"/>
      <c r="U1138" s="188"/>
      <c r="V1138" s="188"/>
      <c r="W1138" s="188"/>
      <c r="X1138" s="188"/>
      <c r="Y1138" s="188"/>
      <c r="Z1138" s="188"/>
      <c r="AA1138" s="188"/>
      <c r="AB1138" s="188"/>
      <c r="AC1138" s="188"/>
      <c r="AD1138" s="188"/>
      <c r="AE1138" s="188"/>
      <c r="AF1138" s="188"/>
      <c r="AG1138" s="188"/>
      <c r="AH1138" s="188"/>
      <c r="AI1138" s="188"/>
      <c r="AJ1138" s="188"/>
      <c r="AK1138" s="188"/>
      <c r="AL1138" s="188"/>
      <c r="AM1138" s="188"/>
      <c r="AN1138" s="188"/>
      <c r="AO1138" s="188"/>
      <c r="AP1138" s="188"/>
      <c r="AQ1138" s="188"/>
      <c r="AR1138" s="188"/>
      <c r="AS1138" s="188"/>
      <c r="AT1138" s="188"/>
      <c r="AU1138" s="188"/>
      <c r="AV1138" s="188"/>
      <c r="AW1138" s="188"/>
      <c r="AX1138" s="188"/>
      <c r="AY1138" s="188"/>
      <c r="AZ1138" s="188"/>
      <c r="BA1138" s="188"/>
      <c r="BB1138" s="188"/>
      <c r="BC1138" s="188"/>
    </row>
    <row r="1139">
      <c r="A1139" s="188"/>
      <c r="B1139" s="188"/>
      <c r="C1139" s="188"/>
      <c r="D1139" s="188"/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188"/>
      <c r="Q1139" s="188"/>
      <c r="R1139" s="188"/>
      <c r="S1139" s="188"/>
      <c r="T1139" s="188"/>
      <c r="U1139" s="188"/>
      <c r="V1139" s="188"/>
      <c r="W1139" s="188"/>
      <c r="X1139" s="188"/>
      <c r="Y1139" s="188"/>
      <c r="Z1139" s="188"/>
      <c r="AA1139" s="188"/>
      <c r="AB1139" s="188"/>
      <c r="AC1139" s="188"/>
      <c r="AD1139" s="188"/>
      <c r="AE1139" s="188"/>
      <c r="AF1139" s="188"/>
      <c r="AG1139" s="188"/>
      <c r="AH1139" s="188"/>
      <c r="AI1139" s="188"/>
      <c r="AJ1139" s="188"/>
      <c r="AK1139" s="188"/>
      <c r="AL1139" s="188"/>
      <c r="AM1139" s="188"/>
      <c r="AN1139" s="188"/>
      <c r="AO1139" s="188"/>
      <c r="AP1139" s="188"/>
      <c r="AQ1139" s="188"/>
      <c r="AR1139" s="188"/>
      <c r="AS1139" s="188"/>
      <c r="AT1139" s="188"/>
      <c r="AU1139" s="188"/>
      <c r="AV1139" s="188"/>
      <c r="AW1139" s="188"/>
      <c r="AX1139" s="188"/>
      <c r="AY1139" s="188"/>
      <c r="AZ1139" s="188"/>
      <c r="BA1139" s="188"/>
      <c r="BB1139" s="188"/>
      <c r="BC1139" s="188"/>
    </row>
    <row r="1140">
      <c r="A1140" s="188"/>
      <c r="B1140" s="188"/>
      <c r="C1140" s="188"/>
      <c r="D1140" s="188"/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188"/>
      <c r="Q1140" s="188"/>
      <c r="R1140" s="188"/>
      <c r="S1140" s="188"/>
      <c r="T1140" s="188"/>
      <c r="U1140" s="188"/>
      <c r="V1140" s="188"/>
      <c r="W1140" s="188"/>
      <c r="X1140" s="188"/>
      <c r="Y1140" s="188"/>
      <c r="Z1140" s="188"/>
      <c r="AA1140" s="188"/>
      <c r="AB1140" s="188"/>
      <c r="AC1140" s="188"/>
      <c r="AD1140" s="188"/>
      <c r="AE1140" s="188"/>
      <c r="AF1140" s="188"/>
      <c r="AG1140" s="188"/>
      <c r="AH1140" s="188"/>
      <c r="AI1140" s="188"/>
      <c r="AJ1140" s="188"/>
      <c r="AK1140" s="188"/>
      <c r="AL1140" s="188"/>
      <c r="AM1140" s="188"/>
      <c r="AN1140" s="188"/>
      <c r="AO1140" s="188"/>
      <c r="AP1140" s="188"/>
      <c r="AQ1140" s="188"/>
      <c r="AR1140" s="188"/>
      <c r="AS1140" s="188"/>
      <c r="AT1140" s="188"/>
      <c r="AU1140" s="188"/>
      <c r="AV1140" s="188"/>
      <c r="AW1140" s="188"/>
      <c r="AX1140" s="188"/>
      <c r="AY1140" s="188"/>
      <c r="AZ1140" s="188"/>
      <c r="BA1140" s="188"/>
      <c r="BB1140" s="188"/>
      <c r="BC1140" s="188"/>
    </row>
    <row r="1141">
      <c r="A1141" s="188"/>
      <c r="B1141" s="188"/>
      <c r="C1141" s="188"/>
      <c r="D1141" s="188"/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188"/>
      <c r="Q1141" s="188"/>
      <c r="R1141" s="188"/>
      <c r="S1141" s="188"/>
      <c r="T1141" s="188"/>
      <c r="U1141" s="188"/>
      <c r="V1141" s="188"/>
      <c r="W1141" s="188"/>
      <c r="X1141" s="188"/>
      <c r="Y1141" s="188"/>
      <c r="Z1141" s="188"/>
      <c r="AA1141" s="188"/>
      <c r="AB1141" s="188"/>
      <c r="AC1141" s="188"/>
      <c r="AD1141" s="188"/>
      <c r="AE1141" s="188"/>
      <c r="AF1141" s="188"/>
      <c r="AG1141" s="188"/>
      <c r="AH1141" s="188"/>
      <c r="AI1141" s="188"/>
      <c r="AJ1141" s="188"/>
      <c r="AK1141" s="188"/>
      <c r="AL1141" s="188"/>
      <c r="AM1141" s="188"/>
      <c r="AN1141" s="188"/>
      <c r="AO1141" s="188"/>
      <c r="AP1141" s="188"/>
      <c r="AQ1141" s="188"/>
      <c r="AR1141" s="188"/>
      <c r="AS1141" s="188"/>
      <c r="AT1141" s="188"/>
      <c r="AU1141" s="188"/>
      <c r="AV1141" s="188"/>
      <c r="AW1141" s="188"/>
      <c r="AX1141" s="188"/>
      <c r="AY1141" s="188"/>
      <c r="AZ1141" s="188"/>
      <c r="BA1141" s="188"/>
      <c r="BB1141" s="188"/>
      <c r="BC1141" s="188"/>
    </row>
    <row r="1142">
      <c r="A1142" s="188"/>
      <c r="B1142" s="188"/>
      <c r="C1142" s="188"/>
      <c r="D1142" s="188"/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188"/>
      <c r="Q1142" s="188"/>
      <c r="R1142" s="188"/>
      <c r="S1142" s="188"/>
      <c r="T1142" s="188"/>
      <c r="U1142" s="188"/>
      <c r="V1142" s="188"/>
      <c r="W1142" s="188"/>
      <c r="X1142" s="188"/>
      <c r="Y1142" s="188"/>
      <c r="Z1142" s="188"/>
      <c r="AA1142" s="188"/>
      <c r="AB1142" s="188"/>
      <c r="AC1142" s="188"/>
      <c r="AD1142" s="188"/>
      <c r="AE1142" s="188"/>
      <c r="AF1142" s="188"/>
      <c r="AG1142" s="188"/>
      <c r="AH1142" s="188"/>
      <c r="AI1142" s="188"/>
      <c r="AJ1142" s="188"/>
      <c r="AK1142" s="188"/>
      <c r="AL1142" s="188"/>
      <c r="AM1142" s="188"/>
      <c r="AN1142" s="188"/>
      <c r="AO1142" s="188"/>
      <c r="AP1142" s="188"/>
      <c r="AQ1142" s="188"/>
      <c r="AR1142" s="188"/>
      <c r="AS1142" s="188"/>
      <c r="AT1142" s="188"/>
      <c r="AU1142" s="188"/>
      <c r="AV1142" s="188"/>
      <c r="AW1142" s="188"/>
      <c r="AX1142" s="188"/>
      <c r="AY1142" s="188"/>
      <c r="AZ1142" s="188"/>
      <c r="BA1142" s="188"/>
      <c r="BB1142" s="188"/>
      <c r="BC1142" s="188"/>
    </row>
    <row r="1143">
      <c r="A1143" s="188"/>
      <c r="B1143" s="188"/>
      <c r="C1143" s="188"/>
      <c r="D1143" s="188"/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188"/>
      <c r="Q1143" s="188"/>
      <c r="R1143" s="188"/>
      <c r="S1143" s="188"/>
      <c r="T1143" s="188"/>
      <c r="U1143" s="188"/>
      <c r="V1143" s="188"/>
      <c r="W1143" s="188"/>
      <c r="X1143" s="188"/>
      <c r="Y1143" s="188"/>
      <c r="Z1143" s="188"/>
      <c r="AA1143" s="188"/>
      <c r="AB1143" s="188"/>
      <c r="AC1143" s="188"/>
      <c r="AD1143" s="188"/>
      <c r="AE1143" s="188"/>
      <c r="AF1143" s="188"/>
      <c r="AG1143" s="188"/>
      <c r="AH1143" s="188"/>
      <c r="AI1143" s="188"/>
      <c r="AJ1143" s="188"/>
      <c r="AK1143" s="188"/>
      <c r="AL1143" s="188"/>
      <c r="AM1143" s="188"/>
      <c r="AN1143" s="188"/>
      <c r="AO1143" s="188"/>
      <c r="AP1143" s="188"/>
      <c r="AQ1143" s="188"/>
      <c r="AR1143" s="188"/>
      <c r="AS1143" s="188"/>
      <c r="AT1143" s="188"/>
      <c r="AU1143" s="188"/>
      <c r="AV1143" s="188"/>
      <c r="AW1143" s="188"/>
      <c r="AX1143" s="188"/>
      <c r="AY1143" s="188"/>
      <c r="AZ1143" s="188"/>
      <c r="BA1143" s="188"/>
      <c r="BB1143" s="188"/>
      <c r="BC1143" s="188"/>
    </row>
    <row r="1144">
      <c r="A1144" s="188"/>
      <c r="B1144" s="188"/>
      <c r="C1144" s="188"/>
      <c r="D1144" s="188"/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188"/>
      <c r="Q1144" s="188"/>
      <c r="R1144" s="188"/>
      <c r="S1144" s="188"/>
      <c r="T1144" s="188"/>
      <c r="U1144" s="188"/>
      <c r="V1144" s="188"/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  <c r="AJ1144" s="188"/>
      <c r="AK1144" s="188"/>
      <c r="AL1144" s="188"/>
      <c r="AM1144" s="188"/>
      <c r="AN1144" s="188"/>
      <c r="AO1144" s="188"/>
      <c r="AP1144" s="188"/>
      <c r="AQ1144" s="188"/>
      <c r="AR1144" s="188"/>
      <c r="AS1144" s="188"/>
      <c r="AT1144" s="188"/>
      <c r="AU1144" s="188"/>
      <c r="AV1144" s="188"/>
      <c r="AW1144" s="188"/>
      <c r="AX1144" s="188"/>
      <c r="AY1144" s="188"/>
      <c r="AZ1144" s="188"/>
      <c r="BA1144" s="188"/>
      <c r="BB1144" s="188"/>
      <c r="BC1144" s="188"/>
    </row>
    <row r="1145">
      <c r="A1145" s="188"/>
      <c r="B1145" s="188"/>
      <c r="C1145" s="188"/>
      <c r="D1145" s="188"/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188"/>
      <c r="Q1145" s="188"/>
      <c r="R1145" s="188"/>
      <c r="S1145" s="188"/>
      <c r="T1145" s="188"/>
      <c r="U1145" s="188"/>
      <c r="V1145" s="188"/>
      <c r="W1145" s="188"/>
      <c r="X1145" s="188"/>
      <c r="Y1145" s="188"/>
      <c r="Z1145" s="188"/>
      <c r="AA1145" s="188"/>
      <c r="AB1145" s="188"/>
      <c r="AC1145" s="188"/>
      <c r="AD1145" s="188"/>
      <c r="AE1145" s="188"/>
      <c r="AF1145" s="188"/>
      <c r="AG1145" s="188"/>
      <c r="AH1145" s="188"/>
      <c r="AI1145" s="188"/>
      <c r="AJ1145" s="188"/>
      <c r="AK1145" s="188"/>
      <c r="AL1145" s="188"/>
      <c r="AM1145" s="188"/>
      <c r="AN1145" s="188"/>
      <c r="AO1145" s="188"/>
      <c r="AP1145" s="188"/>
      <c r="AQ1145" s="188"/>
      <c r="AR1145" s="188"/>
      <c r="AS1145" s="188"/>
      <c r="AT1145" s="188"/>
      <c r="AU1145" s="188"/>
      <c r="AV1145" s="188"/>
      <c r="AW1145" s="188"/>
      <c r="AX1145" s="188"/>
      <c r="AY1145" s="188"/>
      <c r="AZ1145" s="188"/>
      <c r="BA1145" s="188"/>
      <c r="BB1145" s="188"/>
      <c r="BC1145" s="188"/>
    </row>
    <row r="1146">
      <c r="A1146" s="188"/>
      <c r="B1146" s="188"/>
      <c r="C1146" s="188"/>
      <c r="D1146" s="188"/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188"/>
      <c r="Q1146" s="188"/>
      <c r="R1146" s="188"/>
      <c r="S1146" s="188"/>
      <c r="T1146" s="188"/>
      <c r="U1146" s="188"/>
      <c r="V1146" s="188"/>
      <c r="W1146" s="188"/>
      <c r="X1146" s="188"/>
      <c r="Y1146" s="188"/>
      <c r="Z1146" s="188"/>
      <c r="AA1146" s="188"/>
      <c r="AB1146" s="188"/>
      <c r="AC1146" s="188"/>
      <c r="AD1146" s="188"/>
      <c r="AE1146" s="188"/>
      <c r="AF1146" s="188"/>
      <c r="AG1146" s="188"/>
      <c r="AH1146" s="188"/>
      <c r="AI1146" s="188"/>
      <c r="AJ1146" s="188"/>
      <c r="AK1146" s="188"/>
      <c r="AL1146" s="188"/>
      <c r="AM1146" s="188"/>
      <c r="AN1146" s="188"/>
      <c r="AO1146" s="188"/>
      <c r="AP1146" s="188"/>
      <c r="AQ1146" s="188"/>
      <c r="AR1146" s="188"/>
      <c r="AS1146" s="188"/>
      <c r="AT1146" s="188"/>
      <c r="AU1146" s="188"/>
      <c r="AV1146" s="188"/>
      <c r="AW1146" s="188"/>
      <c r="AX1146" s="188"/>
      <c r="AY1146" s="188"/>
      <c r="AZ1146" s="188"/>
      <c r="BA1146" s="188"/>
      <c r="BB1146" s="188"/>
      <c r="BC1146" s="188"/>
    </row>
    <row r="1147">
      <c r="A1147" s="188"/>
      <c r="B1147" s="188"/>
      <c r="C1147" s="188"/>
      <c r="D1147" s="188"/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188"/>
      <c r="Q1147" s="188"/>
      <c r="R1147" s="188"/>
      <c r="S1147" s="188"/>
      <c r="T1147" s="188"/>
      <c r="U1147" s="188"/>
      <c r="V1147" s="188"/>
      <c r="W1147" s="188"/>
      <c r="X1147" s="188"/>
      <c r="Y1147" s="188"/>
      <c r="Z1147" s="188"/>
      <c r="AA1147" s="188"/>
      <c r="AB1147" s="188"/>
      <c r="AC1147" s="188"/>
      <c r="AD1147" s="188"/>
      <c r="AE1147" s="188"/>
      <c r="AF1147" s="188"/>
      <c r="AG1147" s="188"/>
      <c r="AH1147" s="188"/>
      <c r="AI1147" s="188"/>
      <c r="AJ1147" s="188"/>
      <c r="AK1147" s="188"/>
      <c r="AL1147" s="188"/>
      <c r="AM1147" s="188"/>
      <c r="AN1147" s="188"/>
      <c r="AO1147" s="188"/>
      <c r="AP1147" s="188"/>
      <c r="AQ1147" s="188"/>
      <c r="AR1147" s="188"/>
      <c r="AS1147" s="188"/>
      <c r="AT1147" s="188"/>
      <c r="AU1147" s="188"/>
      <c r="AV1147" s="188"/>
      <c r="AW1147" s="188"/>
      <c r="AX1147" s="188"/>
      <c r="AY1147" s="188"/>
      <c r="AZ1147" s="188"/>
      <c r="BA1147" s="188"/>
      <c r="BB1147" s="188"/>
      <c r="BC1147" s="188"/>
    </row>
    <row r="1148">
      <c r="A1148" s="188"/>
      <c r="B1148" s="188"/>
      <c r="C1148" s="188"/>
      <c r="D1148" s="188"/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188"/>
      <c r="Q1148" s="188"/>
      <c r="R1148" s="188"/>
      <c r="S1148" s="188"/>
      <c r="T1148" s="188"/>
      <c r="U1148" s="188"/>
      <c r="V1148" s="188"/>
      <c r="W1148" s="188"/>
      <c r="X1148" s="188"/>
      <c r="Y1148" s="188"/>
      <c r="Z1148" s="188"/>
      <c r="AA1148" s="188"/>
      <c r="AB1148" s="188"/>
      <c r="AC1148" s="188"/>
      <c r="AD1148" s="188"/>
      <c r="AE1148" s="188"/>
      <c r="AF1148" s="188"/>
      <c r="AG1148" s="188"/>
      <c r="AH1148" s="188"/>
      <c r="AI1148" s="188"/>
      <c r="AJ1148" s="188"/>
      <c r="AK1148" s="188"/>
      <c r="AL1148" s="188"/>
      <c r="AM1148" s="188"/>
      <c r="AN1148" s="188"/>
      <c r="AO1148" s="188"/>
      <c r="AP1148" s="188"/>
      <c r="AQ1148" s="188"/>
      <c r="AR1148" s="188"/>
      <c r="AS1148" s="188"/>
      <c r="AT1148" s="188"/>
      <c r="AU1148" s="188"/>
      <c r="AV1148" s="188"/>
      <c r="AW1148" s="188"/>
      <c r="AX1148" s="188"/>
      <c r="AY1148" s="188"/>
      <c r="AZ1148" s="188"/>
      <c r="BA1148" s="188"/>
      <c r="BB1148" s="188"/>
      <c r="BC1148" s="188"/>
    </row>
    <row r="1149">
      <c r="A1149" s="188"/>
      <c r="B1149" s="188"/>
      <c r="C1149" s="188"/>
      <c r="D1149" s="188"/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188"/>
      <c r="Q1149" s="188"/>
      <c r="R1149" s="188"/>
      <c r="S1149" s="188"/>
      <c r="T1149" s="188"/>
      <c r="U1149" s="188"/>
      <c r="V1149" s="188"/>
      <c r="W1149" s="188"/>
      <c r="X1149" s="188"/>
      <c r="Y1149" s="188"/>
      <c r="Z1149" s="188"/>
      <c r="AA1149" s="188"/>
      <c r="AB1149" s="188"/>
      <c r="AC1149" s="188"/>
      <c r="AD1149" s="188"/>
      <c r="AE1149" s="188"/>
      <c r="AF1149" s="188"/>
      <c r="AG1149" s="188"/>
      <c r="AH1149" s="188"/>
      <c r="AI1149" s="188"/>
      <c r="AJ1149" s="188"/>
      <c r="AK1149" s="188"/>
      <c r="AL1149" s="188"/>
      <c r="AM1149" s="188"/>
      <c r="AN1149" s="188"/>
      <c r="AO1149" s="188"/>
      <c r="AP1149" s="188"/>
      <c r="AQ1149" s="188"/>
      <c r="AR1149" s="188"/>
      <c r="AS1149" s="188"/>
      <c r="AT1149" s="188"/>
      <c r="AU1149" s="188"/>
      <c r="AV1149" s="188"/>
      <c r="AW1149" s="188"/>
      <c r="AX1149" s="188"/>
      <c r="AY1149" s="188"/>
      <c r="AZ1149" s="188"/>
      <c r="BA1149" s="188"/>
      <c r="BB1149" s="188"/>
      <c r="BC1149" s="188"/>
    </row>
    <row r="1150">
      <c r="A1150" s="188"/>
      <c r="B1150" s="188"/>
      <c r="C1150" s="188"/>
      <c r="D1150" s="188"/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188"/>
      <c r="Q1150" s="188"/>
      <c r="R1150" s="188"/>
      <c r="S1150" s="188"/>
      <c r="T1150" s="188"/>
      <c r="U1150" s="188"/>
      <c r="V1150" s="188"/>
      <c r="W1150" s="188"/>
      <c r="X1150" s="188"/>
      <c r="Y1150" s="188"/>
      <c r="Z1150" s="188"/>
      <c r="AA1150" s="188"/>
      <c r="AB1150" s="188"/>
      <c r="AC1150" s="188"/>
      <c r="AD1150" s="188"/>
      <c r="AE1150" s="188"/>
      <c r="AF1150" s="188"/>
      <c r="AG1150" s="188"/>
      <c r="AH1150" s="188"/>
      <c r="AI1150" s="188"/>
      <c r="AJ1150" s="188"/>
      <c r="AK1150" s="188"/>
      <c r="AL1150" s="188"/>
      <c r="AM1150" s="188"/>
      <c r="AN1150" s="188"/>
      <c r="AO1150" s="188"/>
      <c r="AP1150" s="188"/>
      <c r="AQ1150" s="188"/>
      <c r="AR1150" s="188"/>
      <c r="AS1150" s="188"/>
      <c r="AT1150" s="188"/>
      <c r="AU1150" s="188"/>
      <c r="AV1150" s="188"/>
      <c r="AW1150" s="188"/>
      <c r="AX1150" s="188"/>
      <c r="AY1150" s="188"/>
      <c r="AZ1150" s="188"/>
      <c r="BA1150" s="188"/>
      <c r="BB1150" s="188"/>
      <c r="BC1150" s="188"/>
    </row>
    <row r="1151">
      <c r="A1151" s="188"/>
      <c r="B1151" s="188"/>
      <c r="C1151" s="188"/>
      <c r="D1151" s="188"/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188"/>
      <c r="Q1151" s="188"/>
      <c r="R1151" s="188"/>
      <c r="S1151" s="188"/>
      <c r="T1151" s="188"/>
      <c r="U1151" s="188"/>
      <c r="V1151" s="188"/>
      <c r="W1151" s="188"/>
      <c r="X1151" s="188"/>
      <c r="Y1151" s="188"/>
      <c r="Z1151" s="188"/>
      <c r="AA1151" s="188"/>
      <c r="AB1151" s="188"/>
      <c r="AC1151" s="188"/>
      <c r="AD1151" s="188"/>
      <c r="AE1151" s="188"/>
      <c r="AF1151" s="188"/>
      <c r="AG1151" s="188"/>
      <c r="AH1151" s="188"/>
      <c r="AI1151" s="188"/>
      <c r="AJ1151" s="188"/>
      <c r="AK1151" s="188"/>
      <c r="AL1151" s="188"/>
      <c r="AM1151" s="188"/>
      <c r="AN1151" s="188"/>
      <c r="AO1151" s="188"/>
      <c r="AP1151" s="188"/>
      <c r="AQ1151" s="188"/>
      <c r="AR1151" s="188"/>
      <c r="AS1151" s="188"/>
      <c r="AT1151" s="188"/>
      <c r="AU1151" s="188"/>
      <c r="AV1151" s="188"/>
      <c r="AW1151" s="188"/>
      <c r="AX1151" s="188"/>
      <c r="AY1151" s="188"/>
      <c r="AZ1151" s="188"/>
      <c r="BA1151" s="188"/>
      <c r="BB1151" s="188"/>
      <c r="BC1151" s="188"/>
    </row>
    <row r="1152">
      <c r="A1152" s="188"/>
      <c r="B1152" s="188"/>
      <c r="C1152" s="188"/>
      <c r="D1152" s="188"/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188"/>
      <c r="Q1152" s="188"/>
      <c r="R1152" s="188"/>
      <c r="S1152" s="188"/>
      <c r="T1152" s="188"/>
      <c r="U1152" s="188"/>
      <c r="V1152" s="188"/>
      <c r="W1152" s="188"/>
      <c r="X1152" s="188"/>
      <c r="Y1152" s="188"/>
      <c r="Z1152" s="188"/>
      <c r="AA1152" s="188"/>
      <c r="AB1152" s="188"/>
      <c r="AC1152" s="188"/>
      <c r="AD1152" s="188"/>
      <c r="AE1152" s="188"/>
      <c r="AF1152" s="188"/>
      <c r="AG1152" s="188"/>
      <c r="AH1152" s="188"/>
      <c r="AI1152" s="188"/>
      <c r="AJ1152" s="188"/>
      <c r="AK1152" s="188"/>
      <c r="AL1152" s="188"/>
      <c r="AM1152" s="188"/>
      <c r="AN1152" s="188"/>
      <c r="AO1152" s="188"/>
      <c r="AP1152" s="188"/>
      <c r="AQ1152" s="188"/>
      <c r="AR1152" s="188"/>
      <c r="AS1152" s="188"/>
      <c r="AT1152" s="188"/>
      <c r="AU1152" s="188"/>
      <c r="AV1152" s="188"/>
      <c r="AW1152" s="188"/>
      <c r="AX1152" s="188"/>
      <c r="AY1152" s="188"/>
      <c r="AZ1152" s="188"/>
      <c r="BA1152" s="188"/>
      <c r="BB1152" s="188"/>
      <c r="BC1152" s="188"/>
    </row>
    <row r="1153">
      <c r="A1153" s="188"/>
      <c r="B1153" s="188"/>
      <c r="C1153" s="188"/>
      <c r="D1153" s="188"/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188"/>
      <c r="Q1153" s="188"/>
      <c r="R1153" s="188"/>
      <c r="S1153" s="188"/>
      <c r="T1153" s="188"/>
      <c r="U1153" s="188"/>
      <c r="V1153" s="188"/>
      <c r="W1153" s="188"/>
      <c r="X1153" s="188"/>
      <c r="Y1153" s="188"/>
      <c r="Z1153" s="188"/>
      <c r="AA1153" s="188"/>
      <c r="AB1153" s="188"/>
      <c r="AC1153" s="188"/>
      <c r="AD1153" s="188"/>
      <c r="AE1153" s="188"/>
      <c r="AF1153" s="188"/>
      <c r="AG1153" s="188"/>
      <c r="AH1153" s="188"/>
      <c r="AI1153" s="188"/>
      <c r="AJ1153" s="188"/>
      <c r="AK1153" s="188"/>
      <c r="AL1153" s="188"/>
      <c r="AM1153" s="188"/>
      <c r="AN1153" s="188"/>
      <c r="AO1153" s="188"/>
      <c r="AP1153" s="188"/>
      <c r="AQ1153" s="188"/>
      <c r="AR1153" s="188"/>
      <c r="AS1153" s="188"/>
      <c r="AT1153" s="188"/>
      <c r="AU1153" s="188"/>
      <c r="AV1153" s="188"/>
      <c r="AW1153" s="188"/>
      <c r="AX1153" s="188"/>
      <c r="AY1153" s="188"/>
      <c r="AZ1153" s="188"/>
      <c r="BA1153" s="188"/>
      <c r="BB1153" s="188"/>
      <c r="BC1153" s="188"/>
    </row>
    <row r="1154">
      <c r="A1154" s="188"/>
      <c r="B1154" s="188"/>
      <c r="C1154" s="188"/>
      <c r="D1154" s="188"/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188"/>
      <c r="Q1154" s="188"/>
      <c r="R1154" s="188"/>
      <c r="S1154" s="188"/>
      <c r="T1154" s="188"/>
      <c r="U1154" s="188"/>
      <c r="V1154" s="188"/>
      <c r="W1154" s="188"/>
      <c r="X1154" s="188"/>
      <c r="Y1154" s="188"/>
      <c r="Z1154" s="188"/>
      <c r="AA1154" s="188"/>
      <c r="AB1154" s="188"/>
      <c r="AC1154" s="188"/>
      <c r="AD1154" s="188"/>
      <c r="AE1154" s="188"/>
      <c r="AF1154" s="188"/>
      <c r="AG1154" s="188"/>
      <c r="AH1154" s="188"/>
      <c r="AI1154" s="188"/>
      <c r="AJ1154" s="188"/>
      <c r="AK1154" s="188"/>
      <c r="AL1154" s="188"/>
      <c r="AM1154" s="188"/>
      <c r="AN1154" s="188"/>
      <c r="AO1154" s="188"/>
      <c r="AP1154" s="188"/>
      <c r="AQ1154" s="188"/>
      <c r="AR1154" s="188"/>
      <c r="AS1154" s="188"/>
      <c r="AT1154" s="188"/>
      <c r="AU1154" s="188"/>
      <c r="AV1154" s="188"/>
      <c r="AW1154" s="188"/>
      <c r="AX1154" s="188"/>
      <c r="AY1154" s="188"/>
      <c r="AZ1154" s="188"/>
      <c r="BA1154" s="188"/>
      <c r="BB1154" s="188"/>
      <c r="BC1154" s="188"/>
    </row>
    <row r="1155">
      <c r="A1155" s="188"/>
      <c r="B1155" s="188"/>
      <c r="C1155" s="188"/>
      <c r="D1155" s="188"/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188"/>
      <c r="Q1155" s="188"/>
      <c r="R1155" s="188"/>
      <c r="S1155" s="188"/>
      <c r="T1155" s="188"/>
      <c r="U1155" s="188"/>
      <c r="V1155" s="188"/>
      <c r="W1155" s="188"/>
      <c r="X1155" s="188"/>
      <c r="Y1155" s="188"/>
      <c r="Z1155" s="188"/>
      <c r="AA1155" s="188"/>
      <c r="AB1155" s="188"/>
      <c r="AC1155" s="188"/>
      <c r="AD1155" s="188"/>
      <c r="AE1155" s="188"/>
      <c r="AF1155" s="188"/>
      <c r="AG1155" s="188"/>
      <c r="AH1155" s="188"/>
      <c r="AI1155" s="188"/>
      <c r="AJ1155" s="188"/>
      <c r="AK1155" s="188"/>
      <c r="AL1155" s="188"/>
      <c r="AM1155" s="188"/>
      <c r="AN1155" s="188"/>
      <c r="AO1155" s="188"/>
      <c r="AP1155" s="188"/>
      <c r="AQ1155" s="188"/>
      <c r="AR1155" s="188"/>
      <c r="AS1155" s="188"/>
      <c r="AT1155" s="188"/>
      <c r="AU1155" s="188"/>
      <c r="AV1155" s="188"/>
      <c r="AW1155" s="188"/>
      <c r="AX1155" s="188"/>
      <c r="AY1155" s="188"/>
      <c r="AZ1155" s="188"/>
      <c r="BA1155" s="188"/>
      <c r="BB1155" s="188"/>
      <c r="BC1155" s="188"/>
    </row>
    <row r="1156">
      <c r="A1156" s="188"/>
      <c r="B1156" s="188"/>
      <c r="C1156" s="188"/>
      <c r="D1156" s="188"/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188"/>
      <c r="Q1156" s="188"/>
      <c r="R1156" s="188"/>
      <c r="S1156" s="188"/>
      <c r="T1156" s="188"/>
      <c r="U1156" s="188"/>
      <c r="V1156" s="188"/>
      <c r="W1156" s="188"/>
      <c r="X1156" s="188"/>
      <c r="Y1156" s="188"/>
      <c r="Z1156" s="188"/>
      <c r="AA1156" s="188"/>
      <c r="AB1156" s="188"/>
      <c r="AC1156" s="188"/>
      <c r="AD1156" s="188"/>
      <c r="AE1156" s="188"/>
      <c r="AF1156" s="188"/>
      <c r="AG1156" s="188"/>
      <c r="AH1156" s="188"/>
      <c r="AI1156" s="188"/>
      <c r="AJ1156" s="188"/>
      <c r="AK1156" s="188"/>
      <c r="AL1156" s="188"/>
      <c r="AM1156" s="188"/>
      <c r="AN1156" s="188"/>
      <c r="AO1156" s="188"/>
      <c r="AP1156" s="188"/>
      <c r="AQ1156" s="188"/>
      <c r="AR1156" s="188"/>
      <c r="AS1156" s="188"/>
      <c r="AT1156" s="188"/>
      <c r="AU1156" s="188"/>
      <c r="AV1156" s="188"/>
      <c r="AW1156" s="188"/>
      <c r="AX1156" s="188"/>
      <c r="AY1156" s="188"/>
      <c r="AZ1156" s="188"/>
      <c r="BA1156" s="188"/>
      <c r="BB1156" s="188"/>
      <c r="BC1156" s="188"/>
    </row>
    <row r="1157">
      <c r="A1157" s="188"/>
      <c r="B1157" s="188"/>
      <c r="C1157" s="188"/>
      <c r="D1157" s="188"/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188"/>
      <c r="Q1157" s="188"/>
      <c r="R1157" s="188"/>
      <c r="S1157" s="188"/>
      <c r="T1157" s="188"/>
      <c r="U1157" s="188"/>
      <c r="V1157" s="188"/>
      <c r="W1157" s="188"/>
      <c r="X1157" s="188"/>
      <c r="Y1157" s="188"/>
      <c r="Z1157" s="188"/>
      <c r="AA1157" s="188"/>
      <c r="AB1157" s="188"/>
      <c r="AC1157" s="188"/>
      <c r="AD1157" s="188"/>
      <c r="AE1157" s="188"/>
      <c r="AF1157" s="188"/>
      <c r="AG1157" s="188"/>
      <c r="AH1157" s="188"/>
      <c r="AI1157" s="188"/>
      <c r="AJ1157" s="188"/>
      <c r="AK1157" s="188"/>
      <c r="AL1157" s="188"/>
      <c r="AM1157" s="188"/>
      <c r="AN1157" s="188"/>
      <c r="AO1157" s="188"/>
      <c r="AP1157" s="188"/>
      <c r="AQ1157" s="188"/>
      <c r="AR1157" s="188"/>
      <c r="AS1157" s="188"/>
      <c r="AT1157" s="188"/>
      <c r="AU1157" s="188"/>
      <c r="AV1157" s="188"/>
      <c r="AW1157" s="188"/>
      <c r="AX1157" s="188"/>
      <c r="AY1157" s="188"/>
      <c r="AZ1157" s="188"/>
      <c r="BA1157" s="188"/>
      <c r="BB1157" s="188"/>
      <c r="BC1157" s="188"/>
    </row>
    <row r="1158">
      <c r="A1158" s="188"/>
      <c r="B1158" s="188"/>
      <c r="C1158" s="188"/>
      <c r="D1158" s="188"/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188"/>
      <c r="Q1158" s="188"/>
      <c r="R1158" s="188"/>
      <c r="S1158" s="188"/>
      <c r="T1158" s="188"/>
      <c r="U1158" s="188"/>
      <c r="V1158" s="188"/>
      <c r="W1158" s="188"/>
      <c r="X1158" s="188"/>
      <c r="Y1158" s="188"/>
      <c r="Z1158" s="188"/>
      <c r="AA1158" s="188"/>
      <c r="AB1158" s="188"/>
      <c r="AC1158" s="188"/>
      <c r="AD1158" s="188"/>
      <c r="AE1158" s="188"/>
      <c r="AF1158" s="188"/>
      <c r="AG1158" s="188"/>
      <c r="AH1158" s="188"/>
      <c r="AI1158" s="188"/>
      <c r="AJ1158" s="188"/>
      <c r="AK1158" s="188"/>
      <c r="AL1158" s="188"/>
      <c r="AM1158" s="188"/>
      <c r="AN1158" s="188"/>
      <c r="AO1158" s="188"/>
      <c r="AP1158" s="188"/>
      <c r="AQ1158" s="188"/>
      <c r="AR1158" s="188"/>
      <c r="AS1158" s="188"/>
      <c r="AT1158" s="188"/>
      <c r="AU1158" s="188"/>
      <c r="AV1158" s="188"/>
      <c r="AW1158" s="188"/>
      <c r="AX1158" s="188"/>
      <c r="AY1158" s="188"/>
      <c r="AZ1158" s="188"/>
      <c r="BA1158" s="188"/>
      <c r="BB1158" s="188"/>
      <c r="BC1158" s="188"/>
    </row>
    <row r="1159">
      <c r="A1159" s="188"/>
      <c r="B1159" s="188"/>
      <c r="C1159" s="188"/>
      <c r="D1159" s="188"/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188"/>
      <c r="Q1159" s="188"/>
      <c r="R1159" s="188"/>
      <c r="S1159" s="188"/>
      <c r="T1159" s="188"/>
      <c r="U1159" s="188"/>
      <c r="V1159" s="188"/>
      <c r="W1159" s="188"/>
      <c r="X1159" s="188"/>
      <c r="Y1159" s="188"/>
      <c r="Z1159" s="188"/>
      <c r="AA1159" s="188"/>
      <c r="AB1159" s="188"/>
      <c r="AC1159" s="188"/>
      <c r="AD1159" s="188"/>
      <c r="AE1159" s="188"/>
      <c r="AF1159" s="188"/>
      <c r="AG1159" s="188"/>
      <c r="AH1159" s="188"/>
      <c r="AI1159" s="188"/>
      <c r="AJ1159" s="188"/>
      <c r="AK1159" s="188"/>
      <c r="AL1159" s="188"/>
      <c r="AM1159" s="188"/>
      <c r="AN1159" s="188"/>
      <c r="AO1159" s="188"/>
      <c r="AP1159" s="188"/>
      <c r="AQ1159" s="188"/>
      <c r="AR1159" s="188"/>
      <c r="AS1159" s="188"/>
      <c r="AT1159" s="188"/>
      <c r="AU1159" s="188"/>
      <c r="AV1159" s="188"/>
      <c r="AW1159" s="188"/>
      <c r="AX1159" s="188"/>
      <c r="AY1159" s="188"/>
      <c r="AZ1159" s="188"/>
      <c r="BA1159" s="188"/>
      <c r="BB1159" s="188"/>
      <c r="BC1159" s="188"/>
    </row>
    <row r="1160">
      <c r="A1160" s="188"/>
      <c r="B1160" s="188"/>
      <c r="C1160" s="188"/>
      <c r="D1160" s="188"/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188"/>
      <c r="Q1160" s="188"/>
      <c r="R1160" s="188"/>
      <c r="S1160" s="188"/>
      <c r="T1160" s="188"/>
      <c r="U1160" s="188"/>
      <c r="V1160" s="188"/>
      <c r="W1160" s="188"/>
      <c r="X1160" s="188"/>
      <c r="Y1160" s="188"/>
      <c r="Z1160" s="188"/>
      <c r="AA1160" s="188"/>
      <c r="AB1160" s="188"/>
      <c r="AC1160" s="188"/>
      <c r="AD1160" s="188"/>
      <c r="AE1160" s="188"/>
      <c r="AF1160" s="188"/>
      <c r="AG1160" s="188"/>
      <c r="AH1160" s="188"/>
      <c r="AI1160" s="188"/>
      <c r="AJ1160" s="188"/>
      <c r="AK1160" s="188"/>
      <c r="AL1160" s="188"/>
      <c r="AM1160" s="188"/>
      <c r="AN1160" s="188"/>
      <c r="AO1160" s="188"/>
      <c r="AP1160" s="188"/>
      <c r="AQ1160" s="188"/>
      <c r="AR1160" s="188"/>
      <c r="AS1160" s="188"/>
      <c r="AT1160" s="188"/>
      <c r="AU1160" s="188"/>
      <c r="AV1160" s="188"/>
      <c r="AW1160" s="188"/>
      <c r="AX1160" s="188"/>
      <c r="AY1160" s="188"/>
      <c r="AZ1160" s="188"/>
      <c r="BA1160" s="188"/>
      <c r="BB1160" s="188"/>
      <c r="BC1160" s="188"/>
    </row>
    <row r="1161">
      <c r="A1161" s="188"/>
      <c r="B1161" s="188"/>
      <c r="C1161" s="188"/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188"/>
      <c r="Q1161" s="188"/>
      <c r="R1161" s="188"/>
      <c r="S1161" s="188"/>
      <c r="T1161" s="188"/>
      <c r="U1161" s="188"/>
      <c r="V1161" s="188"/>
      <c r="W1161" s="188"/>
      <c r="X1161" s="188"/>
      <c r="Y1161" s="188"/>
      <c r="Z1161" s="188"/>
      <c r="AA1161" s="188"/>
      <c r="AB1161" s="188"/>
      <c r="AC1161" s="188"/>
      <c r="AD1161" s="188"/>
      <c r="AE1161" s="188"/>
      <c r="AF1161" s="188"/>
      <c r="AG1161" s="188"/>
      <c r="AH1161" s="188"/>
      <c r="AI1161" s="188"/>
      <c r="AJ1161" s="188"/>
      <c r="AK1161" s="188"/>
      <c r="AL1161" s="188"/>
      <c r="AM1161" s="188"/>
      <c r="AN1161" s="188"/>
      <c r="AO1161" s="188"/>
      <c r="AP1161" s="188"/>
      <c r="AQ1161" s="188"/>
      <c r="AR1161" s="188"/>
      <c r="AS1161" s="188"/>
      <c r="AT1161" s="188"/>
      <c r="AU1161" s="188"/>
      <c r="AV1161" s="188"/>
      <c r="AW1161" s="188"/>
      <c r="AX1161" s="188"/>
      <c r="AY1161" s="188"/>
      <c r="AZ1161" s="188"/>
      <c r="BA1161" s="188"/>
      <c r="BB1161" s="188"/>
      <c r="BC1161" s="188"/>
    </row>
    <row r="1162">
      <c r="A1162" s="188"/>
      <c r="B1162" s="188"/>
      <c r="C1162" s="188"/>
      <c r="D1162" s="188"/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188"/>
      <c r="Q1162" s="188"/>
      <c r="R1162" s="188"/>
      <c r="S1162" s="188"/>
      <c r="T1162" s="188"/>
      <c r="U1162" s="188"/>
      <c r="V1162" s="188"/>
      <c r="W1162" s="188"/>
      <c r="X1162" s="188"/>
      <c r="Y1162" s="188"/>
      <c r="Z1162" s="188"/>
      <c r="AA1162" s="188"/>
      <c r="AB1162" s="188"/>
      <c r="AC1162" s="188"/>
      <c r="AD1162" s="188"/>
      <c r="AE1162" s="188"/>
      <c r="AF1162" s="188"/>
      <c r="AG1162" s="188"/>
      <c r="AH1162" s="188"/>
      <c r="AI1162" s="188"/>
      <c r="AJ1162" s="188"/>
      <c r="AK1162" s="188"/>
      <c r="AL1162" s="188"/>
      <c r="AM1162" s="188"/>
      <c r="AN1162" s="188"/>
      <c r="AO1162" s="188"/>
      <c r="AP1162" s="188"/>
      <c r="AQ1162" s="188"/>
      <c r="AR1162" s="188"/>
      <c r="AS1162" s="188"/>
      <c r="AT1162" s="188"/>
      <c r="AU1162" s="188"/>
      <c r="AV1162" s="188"/>
      <c r="AW1162" s="188"/>
      <c r="AX1162" s="188"/>
      <c r="AY1162" s="188"/>
      <c r="AZ1162" s="188"/>
      <c r="BA1162" s="188"/>
      <c r="BB1162" s="188"/>
      <c r="BC1162" s="188"/>
    </row>
    <row r="1163">
      <c r="A1163" s="188"/>
      <c r="B1163" s="188"/>
      <c r="C1163" s="188"/>
      <c r="D1163" s="188"/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188"/>
      <c r="Q1163" s="188"/>
      <c r="R1163" s="188"/>
      <c r="S1163" s="188"/>
      <c r="T1163" s="188"/>
      <c r="U1163" s="188"/>
      <c r="V1163" s="188"/>
      <c r="W1163" s="188"/>
      <c r="X1163" s="188"/>
      <c r="Y1163" s="188"/>
      <c r="Z1163" s="188"/>
      <c r="AA1163" s="188"/>
      <c r="AB1163" s="188"/>
      <c r="AC1163" s="188"/>
      <c r="AD1163" s="188"/>
      <c r="AE1163" s="188"/>
      <c r="AF1163" s="188"/>
      <c r="AG1163" s="188"/>
      <c r="AH1163" s="188"/>
      <c r="AI1163" s="188"/>
      <c r="AJ1163" s="188"/>
      <c r="AK1163" s="188"/>
      <c r="AL1163" s="188"/>
      <c r="AM1163" s="188"/>
      <c r="AN1163" s="188"/>
      <c r="AO1163" s="188"/>
      <c r="AP1163" s="188"/>
      <c r="AQ1163" s="188"/>
      <c r="AR1163" s="188"/>
      <c r="AS1163" s="188"/>
      <c r="AT1163" s="188"/>
      <c r="AU1163" s="188"/>
      <c r="AV1163" s="188"/>
      <c r="AW1163" s="188"/>
      <c r="AX1163" s="188"/>
      <c r="AY1163" s="188"/>
      <c r="AZ1163" s="188"/>
      <c r="BA1163" s="188"/>
      <c r="BB1163" s="188"/>
      <c r="BC1163" s="188"/>
    </row>
    <row r="1164">
      <c r="A1164" s="188"/>
      <c r="B1164" s="188"/>
      <c r="C1164" s="188"/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188"/>
      <c r="Q1164" s="188"/>
      <c r="R1164" s="188"/>
      <c r="S1164" s="188"/>
      <c r="T1164" s="188"/>
      <c r="U1164" s="188"/>
      <c r="V1164" s="188"/>
      <c r="W1164" s="188"/>
      <c r="X1164" s="188"/>
      <c r="Y1164" s="188"/>
      <c r="Z1164" s="188"/>
      <c r="AA1164" s="188"/>
      <c r="AB1164" s="188"/>
      <c r="AC1164" s="188"/>
      <c r="AD1164" s="188"/>
      <c r="AE1164" s="188"/>
      <c r="AF1164" s="188"/>
      <c r="AG1164" s="188"/>
      <c r="AH1164" s="188"/>
      <c r="AI1164" s="188"/>
      <c r="AJ1164" s="188"/>
      <c r="AK1164" s="188"/>
      <c r="AL1164" s="188"/>
      <c r="AM1164" s="188"/>
      <c r="AN1164" s="188"/>
      <c r="AO1164" s="188"/>
      <c r="AP1164" s="188"/>
      <c r="AQ1164" s="188"/>
      <c r="AR1164" s="188"/>
      <c r="AS1164" s="188"/>
      <c r="AT1164" s="188"/>
      <c r="AU1164" s="188"/>
      <c r="AV1164" s="188"/>
      <c r="AW1164" s="188"/>
      <c r="AX1164" s="188"/>
      <c r="AY1164" s="188"/>
      <c r="AZ1164" s="188"/>
      <c r="BA1164" s="188"/>
      <c r="BB1164" s="188"/>
      <c r="BC1164" s="188"/>
    </row>
    <row r="1165">
      <c r="A1165" s="188"/>
      <c r="B1165" s="188"/>
      <c r="C1165" s="188"/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188"/>
      <c r="Q1165" s="188"/>
      <c r="R1165" s="188"/>
      <c r="S1165" s="188"/>
      <c r="T1165" s="188"/>
      <c r="U1165" s="188"/>
      <c r="V1165" s="188"/>
      <c r="W1165" s="188"/>
      <c r="X1165" s="188"/>
      <c r="Y1165" s="188"/>
      <c r="Z1165" s="188"/>
      <c r="AA1165" s="188"/>
      <c r="AB1165" s="188"/>
      <c r="AC1165" s="188"/>
      <c r="AD1165" s="188"/>
      <c r="AE1165" s="188"/>
      <c r="AF1165" s="188"/>
      <c r="AG1165" s="188"/>
      <c r="AH1165" s="188"/>
      <c r="AI1165" s="188"/>
      <c r="AJ1165" s="188"/>
      <c r="AK1165" s="188"/>
      <c r="AL1165" s="188"/>
      <c r="AM1165" s="188"/>
      <c r="AN1165" s="188"/>
      <c r="AO1165" s="188"/>
      <c r="AP1165" s="188"/>
      <c r="AQ1165" s="188"/>
      <c r="AR1165" s="188"/>
      <c r="AS1165" s="188"/>
      <c r="AT1165" s="188"/>
      <c r="AU1165" s="188"/>
      <c r="AV1165" s="188"/>
      <c r="AW1165" s="188"/>
      <c r="AX1165" s="188"/>
      <c r="AY1165" s="188"/>
      <c r="AZ1165" s="188"/>
      <c r="BA1165" s="188"/>
      <c r="BB1165" s="188"/>
      <c r="BC1165" s="188"/>
    </row>
    <row r="1166">
      <c r="A1166" s="188"/>
      <c r="B1166" s="188"/>
      <c r="C1166" s="188"/>
      <c r="D1166" s="188"/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188"/>
      <c r="Q1166" s="188"/>
      <c r="R1166" s="188"/>
      <c r="S1166" s="188"/>
      <c r="T1166" s="188"/>
      <c r="U1166" s="188"/>
      <c r="V1166" s="188"/>
      <c r="W1166" s="188"/>
      <c r="X1166" s="188"/>
      <c r="Y1166" s="188"/>
      <c r="Z1166" s="188"/>
      <c r="AA1166" s="188"/>
      <c r="AB1166" s="188"/>
      <c r="AC1166" s="188"/>
      <c r="AD1166" s="188"/>
      <c r="AE1166" s="188"/>
      <c r="AF1166" s="188"/>
      <c r="AG1166" s="188"/>
      <c r="AH1166" s="188"/>
      <c r="AI1166" s="188"/>
      <c r="AJ1166" s="188"/>
      <c r="AK1166" s="188"/>
      <c r="AL1166" s="188"/>
      <c r="AM1166" s="188"/>
      <c r="AN1166" s="188"/>
      <c r="AO1166" s="188"/>
      <c r="AP1166" s="188"/>
      <c r="AQ1166" s="188"/>
      <c r="AR1166" s="188"/>
      <c r="AS1166" s="188"/>
      <c r="AT1166" s="188"/>
      <c r="AU1166" s="188"/>
      <c r="AV1166" s="188"/>
      <c r="AW1166" s="188"/>
      <c r="AX1166" s="188"/>
      <c r="AY1166" s="188"/>
      <c r="AZ1166" s="188"/>
      <c r="BA1166" s="188"/>
      <c r="BB1166" s="188"/>
      <c r="BC1166" s="188"/>
    </row>
    <row r="1167">
      <c r="A1167" s="188"/>
      <c r="B1167" s="188"/>
      <c r="C1167" s="188"/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188"/>
      <c r="Q1167" s="188"/>
      <c r="R1167" s="188"/>
      <c r="S1167" s="188"/>
      <c r="T1167" s="188"/>
      <c r="U1167" s="188"/>
      <c r="V1167" s="188"/>
      <c r="W1167" s="188"/>
      <c r="X1167" s="188"/>
      <c r="Y1167" s="188"/>
      <c r="Z1167" s="188"/>
      <c r="AA1167" s="188"/>
      <c r="AB1167" s="188"/>
      <c r="AC1167" s="188"/>
      <c r="AD1167" s="188"/>
      <c r="AE1167" s="188"/>
      <c r="AF1167" s="188"/>
      <c r="AG1167" s="188"/>
      <c r="AH1167" s="188"/>
      <c r="AI1167" s="188"/>
      <c r="AJ1167" s="188"/>
      <c r="AK1167" s="188"/>
      <c r="AL1167" s="188"/>
      <c r="AM1167" s="188"/>
      <c r="AN1167" s="188"/>
      <c r="AO1167" s="188"/>
      <c r="AP1167" s="188"/>
      <c r="AQ1167" s="188"/>
      <c r="AR1167" s="188"/>
      <c r="AS1167" s="188"/>
      <c r="AT1167" s="188"/>
      <c r="AU1167" s="188"/>
      <c r="AV1167" s="188"/>
      <c r="AW1167" s="188"/>
      <c r="AX1167" s="188"/>
      <c r="AY1167" s="188"/>
      <c r="AZ1167" s="188"/>
      <c r="BA1167" s="188"/>
      <c r="BB1167" s="188"/>
      <c r="BC1167" s="188"/>
    </row>
    <row r="1168">
      <c r="A1168" s="188"/>
      <c r="B1168" s="188"/>
      <c r="C1168" s="188"/>
      <c r="D1168" s="188"/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188"/>
      <c r="Q1168" s="188"/>
      <c r="R1168" s="188"/>
      <c r="S1168" s="188"/>
      <c r="T1168" s="188"/>
      <c r="U1168" s="188"/>
      <c r="V1168" s="188"/>
      <c r="W1168" s="188"/>
      <c r="X1168" s="188"/>
      <c r="Y1168" s="188"/>
      <c r="Z1168" s="188"/>
      <c r="AA1168" s="188"/>
      <c r="AB1168" s="188"/>
      <c r="AC1168" s="188"/>
      <c r="AD1168" s="188"/>
      <c r="AE1168" s="188"/>
      <c r="AF1168" s="188"/>
      <c r="AG1168" s="188"/>
      <c r="AH1168" s="188"/>
      <c r="AI1168" s="188"/>
      <c r="AJ1168" s="188"/>
      <c r="AK1168" s="188"/>
      <c r="AL1168" s="188"/>
      <c r="AM1168" s="188"/>
      <c r="AN1168" s="188"/>
      <c r="AO1168" s="188"/>
      <c r="AP1168" s="188"/>
      <c r="AQ1168" s="188"/>
      <c r="AR1168" s="188"/>
      <c r="AS1168" s="188"/>
      <c r="AT1168" s="188"/>
      <c r="AU1168" s="188"/>
      <c r="AV1168" s="188"/>
      <c r="AW1168" s="188"/>
      <c r="AX1168" s="188"/>
      <c r="AY1168" s="188"/>
      <c r="AZ1168" s="188"/>
      <c r="BA1168" s="188"/>
      <c r="BB1168" s="188"/>
      <c r="BC1168" s="188"/>
    </row>
    <row r="1169">
      <c r="A1169" s="188"/>
      <c r="B1169" s="188"/>
      <c r="C1169" s="188"/>
      <c r="D1169" s="188"/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188"/>
      <c r="Q1169" s="188"/>
      <c r="R1169" s="188"/>
      <c r="S1169" s="188"/>
      <c r="T1169" s="188"/>
      <c r="U1169" s="188"/>
      <c r="V1169" s="188"/>
      <c r="W1169" s="188"/>
      <c r="X1169" s="188"/>
      <c r="Y1169" s="188"/>
      <c r="Z1169" s="188"/>
      <c r="AA1169" s="188"/>
      <c r="AB1169" s="188"/>
      <c r="AC1169" s="188"/>
      <c r="AD1169" s="188"/>
      <c r="AE1169" s="188"/>
      <c r="AF1169" s="188"/>
      <c r="AG1169" s="188"/>
      <c r="AH1169" s="188"/>
      <c r="AI1169" s="188"/>
      <c r="AJ1169" s="188"/>
      <c r="AK1169" s="188"/>
      <c r="AL1169" s="188"/>
      <c r="AM1169" s="188"/>
      <c r="AN1169" s="188"/>
      <c r="AO1169" s="188"/>
      <c r="AP1169" s="188"/>
      <c r="AQ1169" s="188"/>
      <c r="AR1169" s="188"/>
      <c r="AS1169" s="188"/>
      <c r="AT1169" s="188"/>
      <c r="AU1169" s="188"/>
      <c r="AV1169" s="188"/>
      <c r="AW1169" s="188"/>
      <c r="AX1169" s="188"/>
      <c r="AY1169" s="188"/>
      <c r="AZ1169" s="188"/>
      <c r="BA1169" s="188"/>
      <c r="BB1169" s="188"/>
      <c r="BC1169" s="188"/>
    </row>
    <row r="1170">
      <c r="A1170" s="188"/>
      <c r="B1170" s="188"/>
      <c r="C1170" s="188"/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188"/>
      <c r="Q1170" s="188"/>
      <c r="R1170" s="188"/>
      <c r="S1170" s="188"/>
      <c r="T1170" s="188"/>
      <c r="U1170" s="188"/>
      <c r="V1170" s="188"/>
      <c r="W1170" s="188"/>
      <c r="X1170" s="188"/>
      <c r="Y1170" s="188"/>
      <c r="Z1170" s="188"/>
      <c r="AA1170" s="188"/>
      <c r="AB1170" s="188"/>
      <c r="AC1170" s="188"/>
      <c r="AD1170" s="188"/>
      <c r="AE1170" s="188"/>
      <c r="AF1170" s="188"/>
      <c r="AG1170" s="188"/>
      <c r="AH1170" s="188"/>
      <c r="AI1170" s="188"/>
      <c r="AJ1170" s="188"/>
      <c r="AK1170" s="188"/>
      <c r="AL1170" s="188"/>
      <c r="AM1170" s="188"/>
      <c r="AN1170" s="188"/>
      <c r="AO1170" s="188"/>
      <c r="AP1170" s="188"/>
      <c r="AQ1170" s="188"/>
      <c r="AR1170" s="188"/>
      <c r="AS1170" s="188"/>
      <c r="AT1170" s="188"/>
      <c r="AU1170" s="188"/>
      <c r="AV1170" s="188"/>
      <c r="AW1170" s="188"/>
      <c r="AX1170" s="188"/>
      <c r="AY1170" s="188"/>
      <c r="AZ1170" s="188"/>
      <c r="BA1170" s="188"/>
      <c r="BB1170" s="188"/>
      <c r="BC1170" s="188"/>
    </row>
    <row r="1171">
      <c r="A1171" s="188"/>
      <c r="B1171" s="188"/>
      <c r="C1171" s="188"/>
      <c r="D1171" s="188"/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188"/>
      <c r="Q1171" s="188"/>
      <c r="R1171" s="188"/>
      <c r="S1171" s="188"/>
      <c r="T1171" s="188"/>
      <c r="U1171" s="188"/>
      <c r="V1171" s="188"/>
      <c r="W1171" s="188"/>
      <c r="X1171" s="188"/>
      <c r="Y1171" s="188"/>
      <c r="Z1171" s="188"/>
      <c r="AA1171" s="188"/>
      <c r="AB1171" s="188"/>
      <c r="AC1171" s="188"/>
      <c r="AD1171" s="188"/>
      <c r="AE1171" s="188"/>
      <c r="AF1171" s="188"/>
      <c r="AG1171" s="188"/>
      <c r="AH1171" s="188"/>
      <c r="AI1171" s="188"/>
      <c r="AJ1171" s="188"/>
      <c r="AK1171" s="188"/>
      <c r="AL1171" s="188"/>
      <c r="AM1171" s="188"/>
      <c r="AN1171" s="188"/>
      <c r="AO1171" s="188"/>
      <c r="AP1171" s="188"/>
      <c r="AQ1171" s="188"/>
      <c r="AR1171" s="188"/>
      <c r="AS1171" s="188"/>
      <c r="AT1171" s="188"/>
      <c r="AU1171" s="188"/>
      <c r="AV1171" s="188"/>
      <c r="AW1171" s="188"/>
      <c r="AX1171" s="188"/>
      <c r="AY1171" s="188"/>
      <c r="AZ1171" s="188"/>
      <c r="BA1171" s="188"/>
      <c r="BB1171" s="188"/>
      <c r="BC1171" s="188"/>
    </row>
    <row r="1172">
      <c r="A1172" s="188"/>
      <c r="B1172" s="188"/>
      <c r="C1172" s="188"/>
      <c r="D1172" s="188"/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188"/>
      <c r="Q1172" s="188"/>
      <c r="R1172" s="188"/>
      <c r="S1172" s="188"/>
      <c r="T1172" s="188"/>
      <c r="U1172" s="188"/>
      <c r="V1172" s="188"/>
      <c r="W1172" s="188"/>
      <c r="X1172" s="188"/>
      <c r="Y1172" s="188"/>
      <c r="Z1172" s="188"/>
      <c r="AA1172" s="188"/>
      <c r="AB1172" s="188"/>
      <c r="AC1172" s="188"/>
      <c r="AD1172" s="188"/>
      <c r="AE1172" s="188"/>
      <c r="AF1172" s="188"/>
      <c r="AG1172" s="188"/>
      <c r="AH1172" s="188"/>
      <c r="AI1172" s="188"/>
      <c r="AJ1172" s="188"/>
      <c r="AK1172" s="188"/>
      <c r="AL1172" s="188"/>
      <c r="AM1172" s="188"/>
      <c r="AN1172" s="188"/>
      <c r="AO1172" s="188"/>
      <c r="AP1172" s="188"/>
      <c r="AQ1172" s="188"/>
      <c r="AR1172" s="188"/>
      <c r="AS1172" s="188"/>
      <c r="AT1172" s="188"/>
      <c r="AU1172" s="188"/>
      <c r="AV1172" s="188"/>
      <c r="AW1172" s="188"/>
      <c r="AX1172" s="188"/>
      <c r="AY1172" s="188"/>
      <c r="AZ1172" s="188"/>
      <c r="BA1172" s="188"/>
      <c r="BB1172" s="188"/>
      <c r="BC1172" s="188"/>
    </row>
    <row r="1173">
      <c r="A1173" s="188"/>
      <c r="B1173" s="188"/>
      <c r="C1173" s="188"/>
      <c r="D1173" s="188"/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188"/>
      <c r="Q1173" s="188"/>
      <c r="R1173" s="188"/>
      <c r="S1173" s="188"/>
      <c r="T1173" s="188"/>
      <c r="U1173" s="188"/>
      <c r="V1173" s="188"/>
      <c r="W1173" s="188"/>
      <c r="X1173" s="188"/>
      <c r="Y1173" s="188"/>
      <c r="Z1173" s="188"/>
      <c r="AA1173" s="188"/>
      <c r="AB1173" s="188"/>
      <c r="AC1173" s="188"/>
      <c r="AD1173" s="188"/>
      <c r="AE1173" s="188"/>
      <c r="AF1173" s="188"/>
      <c r="AG1173" s="188"/>
      <c r="AH1173" s="188"/>
      <c r="AI1173" s="188"/>
      <c r="AJ1173" s="188"/>
      <c r="AK1173" s="188"/>
      <c r="AL1173" s="188"/>
      <c r="AM1173" s="188"/>
      <c r="AN1173" s="188"/>
      <c r="AO1173" s="188"/>
      <c r="AP1173" s="188"/>
      <c r="AQ1173" s="188"/>
      <c r="AR1173" s="188"/>
      <c r="AS1173" s="188"/>
      <c r="AT1173" s="188"/>
      <c r="AU1173" s="188"/>
      <c r="AV1173" s="188"/>
      <c r="AW1173" s="188"/>
      <c r="AX1173" s="188"/>
      <c r="AY1173" s="188"/>
      <c r="AZ1173" s="188"/>
      <c r="BA1173" s="188"/>
      <c r="BB1173" s="188"/>
      <c r="BC1173" s="188"/>
    </row>
    <row r="1174">
      <c r="A1174" s="188"/>
      <c r="B1174" s="188"/>
      <c r="C1174" s="188"/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188"/>
      <c r="Q1174" s="188"/>
      <c r="R1174" s="188"/>
      <c r="S1174" s="188"/>
      <c r="T1174" s="188"/>
      <c r="U1174" s="188"/>
      <c r="V1174" s="188"/>
      <c r="W1174" s="188"/>
      <c r="X1174" s="188"/>
      <c r="Y1174" s="188"/>
      <c r="Z1174" s="188"/>
      <c r="AA1174" s="188"/>
      <c r="AB1174" s="188"/>
      <c r="AC1174" s="188"/>
      <c r="AD1174" s="188"/>
      <c r="AE1174" s="188"/>
      <c r="AF1174" s="188"/>
      <c r="AG1174" s="188"/>
      <c r="AH1174" s="188"/>
      <c r="AI1174" s="188"/>
      <c r="AJ1174" s="188"/>
      <c r="AK1174" s="188"/>
      <c r="AL1174" s="188"/>
      <c r="AM1174" s="188"/>
      <c r="AN1174" s="188"/>
      <c r="AO1174" s="188"/>
      <c r="AP1174" s="188"/>
      <c r="AQ1174" s="188"/>
      <c r="AR1174" s="188"/>
      <c r="AS1174" s="188"/>
      <c r="AT1174" s="188"/>
      <c r="AU1174" s="188"/>
      <c r="AV1174" s="188"/>
      <c r="AW1174" s="188"/>
      <c r="AX1174" s="188"/>
      <c r="AY1174" s="188"/>
      <c r="AZ1174" s="188"/>
      <c r="BA1174" s="188"/>
      <c r="BB1174" s="188"/>
      <c r="BC1174" s="188"/>
    </row>
    <row r="1175">
      <c r="A1175" s="188"/>
      <c r="B1175" s="188"/>
      <c r="C1175" s="188"/>
      <c r="D1175" s="188"/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188"/>
      <c r="Q1175" s="188"/>
      <c r="R1175" s="188"/>
      <c r="S1175" s="188"/>
      <c r="T1175" s="188"/>
      <c r="U1175" s="188"/>
      <c r="V1175" s="188"/>
      <c r="W1175" s="188"/>
      <c r="X1175" s="188"/>
      <c r="Y1175" s="188"/>
      <c r="Z1175" s="188"/>
      <c r="AA1175" s="188"/>
      <c r="AB1175" s="188"/>
      <c r="AC1175" s="188"/>
      <c r="AD1175" s="188"/>
      <c r="AE1175" s="188"/>
      <c r="AF1175" s="188"/>
      <c r="AG1175" s="188"/>
      <c r="AH1175" s="188"/>
      <c r="AI1175" s="188"/>
      <c r="AJ1175" s="188"/>
      <c r="AK1175" s="188"/>
      <c r="AL1175" s="188"/>
      <c r="AM1175" s="188"/>
      <c r="AN1175" s="188"/>
      <c r="AO1175" s="188"/>
      <c r="AP1175" s="188"/>
      <c r="AQ1175" s="188"/>
      <c r="AR1175" s="188"/>
      <c r="AS1175" s="188"/>
      <c r="AT1175" s="188"/>
      <c r="AU1175" s="188"/>
      <c r="AV1175" s="188"/>
      <c r="AW1175" s="188"/>
      <c r="AX1175" s="188"/>
      <c r="AY1175" s="188"/>
      <c r="AZ1175" s="188"/>
      <c r="BA1175" s="188"/>
      <c r="BB1175" s="188"/>
      <c r="BC1175" s="188"/>
    </row>
    <row r="1176">
      <c r="A1176" s="188"/>
      <c r="B1176" s="188"/>
      <c r="C1176" s="188"/>
      <c r="D1176" s="188"/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188"/>
      <c r="Q1176" s="188"/>
      <c r="R1176" s="188"/>
      <c r="S1176" s="188"/>
      <c r="T1176" s="188"/>
      <c r="U1176" s="188"/>
      <c r="V1176" s="188"/>
      <c r="W1176" s="188"/>
      <c r="X1176" s="188"/>
      <c r="Y1176" s="188"/>
      <c r="Z1176" s="188"/>
      <c r="AA1176" s="188"/>
      <c r="AB1176" s="188"/>
      <c r="AC1176" s="188"/>
      <c r="AD1176" s="188"/>
      <c r="AE1176" s="188"/>
      <c r="AF1176" s="188"/>
      <c r="AG1176" s="188"/>
      <c r="AH1176" s="188"/>
      <c r="AI1176" s="188"/>
      <c r="AJ1176" s="188"/>
      <c r="AK1176" s="188"/>
      <c r="AL1176" s="188"/>
      <c r="AM1176" s="188"/>
      <c r="AN1176" s="188"/>
      <c r="AO1176" s="188"/>
      <c r="AP1176" s="188"/>
      <c r="AQ1176" s="188"/>
      <c r="AR1176" s="188"/>
      <c r="AS1176" s="188"/>
      <c r="AT1176" s="188"/>
      <c r="AU1176" s="188"/>
      <c r="AV1176" s="188"/>
      <c r="AW1176" s="188"/>
      <c r="AX1176" s="188"/>
      <c r="AY1176" s="188"/>
      <c r="AZ1176" s="188"/>
      <c r="BA1176" s="188"/>
      <c r="BB1176" s="188"/>
      <c r="BC1176" s="188"/>
    </row>
    <row r="1177">
      <c r="A1177" s="188"/>
      <c r="B1177" s="188"/>
      <c r="C1177" s="188"/>
      <c r="D1177" s="188"/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188"/>
      <c r="Q1177" s="188"/>
      <c r="R1177" s="188"/>
      <c r="S1177" s="188"/>
      <c r="T1177" s="188"/>
      <c r="U1177" s="188"/>
      <c r="V1177" s="188"/>
      <c r="W1177" s="188"/>
      <c r="X1177" s="188"/>
      <c r="Y1177" s="188"/>
      <c r="Z1177" s="188"/>
      <c r="AA1177" s="188"/>
      <c r="AB1177" s="188"/>
      <c r="AC1177" s="188"/>
      <c r="AD1177" s="188"/>
      <c r="AE1177" s="188"/>
      <c r="AF1177" s="188"/>
      <c r="AG1177" s="188"/>
      <c r="AH1177" s="188"/>
      <c r="AI1177" s="188"/>
      <c r="AJ1177" s="188"/>
      <c r="AK1177" s="188"/>
      <c r="AL1177" s="188"/>
      <c r="AM1177" s="188"/>
      <c r="AN1177" s="188"/>
      <c r="AO1177" s="188"/>
      <c r="AP1177" s="188"/>
      <c r="AQ1177" s="188"/>
      <c r="AR1177" s="188"/>
      <c r="AS1177" s="188"/>
      <c r="AT1177" s="188"/>
      <c r="AU1177" s="188"/>
      <c r="AV1177" s="188"/>
      <c r="AW1177" s="188"/>
      <c r="AX1177" s="188"/>
      <c r="AY1177" s="188"/>
      <c r="AZ1177" s="188"/>
      <c r="BA1177" s="188"/>
      <c r="BB1177" s="188"/>
      <c r="BC1177" s="188"/>
    </row>
    <row r="1178">
      <c r="A1178" s="188"/>
      <c r="B1178" s="188"/>
      <c r="C1178" s="188"/>
      <c r="D1178" s="188"/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188"/>
      <c r="Q1178" s="188"/>
      <c r="R1178" s="188"/>
      <c r="S1178" s="188"/>
      <c r="T1178" s="188"/>
      <c r="U1178" s="188"/>
      <c r="V1178" s="188"/>
      <c r="W1178" s="188"/>
      <c r="X1178" s="188"/>
      <c r="Y1178" s="188"/>
      <c r="Z1178" s="188"/>
      <c r="AA1178" s="188"/>
      <c r="AB1178" s="188"/>
      <c r="AC1178" s="188"/>
      <c r="AD1178" s="188"/>
      <c r="AE1178" s="188"/>
      <c r="AF1178" s="188"/>
      <c r="AG1178" s="188"/>
      <c r="AH1178" s="188"/>
      <c r="AI1178" s="188"/>
      <c r="AJ1178" s="188"/>
      <c r="AK1178" s="188"/>
      <c r="AL1178" s="188"/>
      <c r="AM1178" s="188"/>
      <c r="AN1178" s="188"/>
      <c r="AO1178" s="188"/>
      <c r="AP1178" s="188"/>
      <c r="AQ1178" s="188"/>
      <c r="AR1178" s="188"/>
      <c r="AS1178" s="188"/>
      <c r="AT1178" s="188"/>
      <c r="AU1178" s="188"/>
      <c r="AV1178" s="188"/>
      <c r="AW1178" s="188"/>
      <c r="AX1178" s="188"/>
      <c r="AY1178" s="188"/>
      <c r="AZ1178" s="188"/>
      <c r="BA1178" s="188"/>
      <c r="BB1178" s="188"/>
      <c r="BC1178" s="188"/>
    </row>
    <row r="1179">
      <c r="A1179" s="188"/>
      <c r="B1179" s="188"/>
      <c r="C1179" s="188"/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188"/>
      <c r="Q1179" s="188"/>
      <c r="R1179" s="188"/>
      <c r="S1179" s="188"/>
      <c r="T1179" s="188"/>
      <c r="U1179" s="188"/>
      <c r="V1179" s="188"/>
      <c r="W1179" s="188"/>
      <c r="X1179" s="188"/>
      <c r="Y1179" s="188"/>
      <c r="Z1179" s="188"/>
      <c r="AA1179" s="188"/>
      <c r="AB1179" s="188"/>
      <c r="AC1179" s="188"/>
      <c r="AD1179" s="188"/>
      <c r="AE1179" s="188"/>
      <c r="AF1179" s="188"/>
      <c r="AG1179" s="188"/>
      <c r="AH1179" s="188"/>
      <c r="AI1179" s="188"/>
      <c r="AJ1179" s="188"/>
      <c r="AK1179" s="188"/>
      <c r="AL1179" s="188"/>
      <c r="AM1179" s="188"/>
      <c r="AN1179" s="188"/>
      <c r="AO1179" s="188"/>
      <c r="AP1179" s="188"/>
      <c r="AQ1179" s="188"/>
      <c r="AR1179" s="188"/>
      <c r="AS1179" s="188"/>
      <c r="AT1179" s="188"/>
      <c r="AU1179" s="188"/>
      <c r="AV1179" s="188"/>
      <c r="AW1179" s="188"/>
      <c r="AX1179" s="188"/>
      <c r="AY1179" s="188"/>
      <c r="AZ1179" s="188"/>
      <c r="BA1179" s="188"/>
      <c r="BB1179" s="188"/>
      <c r="BC1179" s="188"/>
    </row>
    <row r="1180">
      <c r="A1180" s="188"/>
      <c r="B1180" s="188"/>
      <c r="C1180" s="188"/>
      <c r="D1180" s="188"/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188"/>
      <c r="Q1180" s="188"/>
      <c r="R1180" s="188"/>
      <c r="S1180" s="188"/>
      <c r="T1180" s="188"/>
      <c r="U1180" s="188"/>
      <c r="V1180" s="188"/>
      <c r="W1180" s="188"/>
      <c r="X1180" s="188"/>
      <c r="Y1180" s="188"/>
      <c r="Z1180" s="188"/>
      <c r="AA1180" s="188"/>
      <c r="AB1180" s="188"/>
      <c r="AC1180" s="188"/>
      <c r="AD1180" s="188"/>
      <c r="AE1180" s="188"/>
      <c r="AF1180" s="188"/>
      <c r="AG1180" s="188"/>
      <c r="AH1180" s="188"/>
      <c r="AI1180" s="188"/>
      <c r="AJ1180" s="188"/>
      <c r="AK1180" s="188"/>
      <c r="AL1180" s="188"/>
      <c r="AM1180" s="188"/>
      <c r="AN1180" s="188"/>
      <c r="AO1180" s="188"/>
      <c r="AP1180" s="188"/>
      <c r="AQ1180" s="188"/>
      <c r="AR1180" s="188"/>
      <c r="AS1180" s="188"/>
      <c r="AT1180" s="188"/>
      <c r="AU1180" s="188"/>
      <c r="AV1180" s="188"/>
      <c r="AW1180" s="188"/>
      <c r="AX1180" s="188"/>
      <c r="AY1180" s="188"/>
      <c r="AZ1180" s="188"/>
      <c r="BA1180" s="188"/>
      <c r="BB1180" s="188"/>
      <c r="BC1180" s="188"/>
    </row>
    <row r="1181">
      <c r="A1181" s="188"/>
      <c r="B1181" s="188"/>
      <c r="C1181" s="188"/>
      <c r="D1181" s="188"/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188"/>
      <c r="Q1181" s="188"/>
      <c r="R1181" s="188"/>
      <c r="S1181" s="188"/>
      <c r="T1181" s="188"/>
      <c r="U1181" s="188"/>
      <c r="V1181" s="188"/>
      <c r="W1181" s="188"/>
      <c r="X1181" s="188"/>
      <c r="Y1181" s="188"/>
      <c r="Z1181" s="188"/>
      <c r="AA1181" s="188"/>
      <c r="AB1181" s="188"/>
      <c r="AC1181" s="188"/>
      <c r="AD1181" s="188"/>
      <c r="AE1181" s="188"/>
      <c r="AF1181" s="188"/>
      <c r="AG1181" s="188"/>
      <c r="AH1181" s="188"/>
      <c r="AI1181" s="188"/>
      <c r="AJ1181" s="188"/>
      <c r="AK1181" s="188"/>
      <c r="AL1181" s="188"/>
      <c r="AM1181" s="188"/>
      <c r="AN1181" s="188"/>
      <c r="AO1181" s="188"/>
      <c r="AP1181" s="188"/>
      <c r="AQ1181" s="188"/>
      <c r="AR1181" s="188"/>
      <c r="AS1181" s="188"/>
      <c r="AT1181" s="188"/>
      <c r="AU1181" s="188"/>
      <c r="AV1181" s="188"/>
      <c r="AW1181" s="188"/>
      <c r="AX1181" s="188"/>
      <c r="AY1181" s="188"/>
      <c r="AZ1181" s="188"/>
      <c r="BA1181" s="188"/>
      <c r="BB1181" s="188"/>
      <c r="BC1181" s="188"/>
    </row>
    <row r="1182">
      <c r="A1182" s="188"/>
      <c r="B1182" s="188"/>
      <c r="C1182" s="188"/>
      <c r="D1182" s="188"/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188"/>
      <c r="Q1182" s="188"/>
      <c r="R1182" s="188"/>
      <c r="S1182" s="188"/>
      <c r="T1182" s="188"/>
      <c r="U1182" s="188"/>
      <c r="V1182" s="188"/>
      <c r="W1182" s="188"/>
      <c r="X1182" s="188"/>
      <c r="Y1182" s="188"/>
      <c r="Z1182" s="188"/>
      <c r="AA1182" s="188"/>
      <c r="AB1182" s="188"/>
      <c r="AC1182" s="188"/>
      <c r="AD1182" s="188"/>
      <c r="AE1182" s="188"/>
      <c r="AF1182" s="188"/>
      <c r="AG1182" s="188"/>
      <c r="AH1182" s="188"/>
      <c r="AI1182" s="188"/>
      <c r="AJ1182" s="188"/>
      <c r="AK1182" s="188"/>
      <c r="AL1182" s="188"/>
      <c r="AM1182" s="188"/>
      <c r="AN1182" s="188"/>
      <c r="AO1182" s="188"/>
      <c r="AP1182" s="188"/>
      <c r="AQ1182" s="188"/>
      <c r="AR1182" s="188"/>
      <c r="AS1182" s="188"/>
      <c r="AT1182" s="188"/>
      <c r="AU1182" s="188"/>
      <c r="AV1182" s="188"/>
      <c r="AW1182" s="188"/>
      <c r="AX1182" s="188"/>
      <c r="AY1182" s="188"/>
      <c r="AZ1182" s="188"/>
      <c r="BA1182" s="188"/>
      <c r="BB1182" s="188"/>
      <c r="BC1182" s="188"/>
    </row>
    <row r="1183">
      <c r="A1183" s="188"/>
      <c r="B1183" s="188"/>
      <c r="C1183" s="188"/>
      <c r="D1183" s="188"/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188"/>
      <c r="Q1183" s="188"/>
      <c r="R1183" s="188"/>
      <c r="S1183" s="188"/>
      <c r="T1183" s="188"/>
      <c r="U1183" s="188"/>
      <c r="V1183" s="188"/>
      <c r="W1183" s="188"/>
      <c r="X1183" s="188"/>
      <c r="Y1183" s="188"/>
      <c r="Z1183" s="188"/>
      <c r="AA1183" s="188"/>
      <c r="AB1183" s="188"/>
      <c r="AC1183" s="188"/>
      <c r="AD1183" s="188"/>
      <c r="AE1183" s="188"/>
      <c r="AF1183" s="188"/>
      <c r="AG1183" s="188"/>
      <c r="AH1183" s="188"/>
      <c r="AI1183" s="188"/>
      <c r="AJ1183" s="188"/>
      <c r="AK1183" s="188"/>
      <c r="AL1183" s="188"/>
      <c r="AM1183" s="188"/>
      <c r="AN1183" s="188"/>
      <c r="AO1183" s="188"/>
      <c r="AP1183" s="188"/>
      <c r="AQ1183" s="188"/>
      <c r="AR1183" s="188"/>
      <c r="AS1183" s="188"/>
      <c r="AT1183" s="188"/>
      <c r="AU1183" s="188"/>
      <c r="AV1183" s="188"/>
      <c r="AW1183" s="188"/>
      <c r="AX1183" s="188"/>
      <c r="AY1183" s="188"/>
      <c r="AZ1183" s="188"/>
      <c r="BA1183" s="188"/>
      <c r="BB1183" s="188"/>
      <c r="BC1183" s="188"/>
    </row>
    <row r="1184">
      <c r="A1184" s="188"/>
      <c r="B1184" s="188"/>
      <c r="C1184" s="188"/>
      <c r="D1184" s="188"/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188"/>
      <c r="Q1184" s="188"/>
      <c r="R1184" s="188"/>
      <c r="S1184" s="188"/>
      <c r="T1184" s="188"/>
      <c r="U1184" s="188"/>
      <c r="V1184" s="188"/>
      <c r="W1184" s="188"/>
      <c r="X1184" s="188"/>
      <c r="Y1184" s="188"/>
      <c r="Z1184" s="188"/>
      <c r="AA1184" s="188"/>
      <c r="AB1184" s="188"/>
      <c r="AC1184" s="188"/>
      <c r="AD1184" s="188"/>
      <c r="AE1184" s="188"/>
      <c r="AF1184" s="188"/>
      <c r="AG1184" s="188"/>
      <c r="AH1184" s="188"/>
      <c r="AI1184" s="188"/>
      <c r="AJ1184" s="188"/>
      <c r="AK1184" s="188"/>
      <c r="AL1184" s="188"/>
      <c r="AM1184" s="188"/>
      <c r="AN1184" s="188"/>
      <c r="AO1184" s="188"/>
      <c r="AP1184" s="188"/>
      <c r="AQ1184" s="188"/>
      <c r="AR1184" s="188"/>
      <c r="AS1184" s="188"/>
      <c r="AT1184" s="188"/>
      <c r="AU1184" s="188"/>
      <c r="AV1184" s="188"/>
      <c r="AW1184" s="188"/>
      <c r="AX1184" s="188"/>
      <c r="AY1184" s="188"/>
      <c r="AZ1184" s="188"/>
      <c r="BA1184" s="188"/>
      <c r="BB1184" s="188"/>
      <c r="BC1184" s="188"/>
    </row>
    <row r="1185">
      <c r="A1185" s="188"/>
      <c r="B1185" s="188"/>
      <c r="C1185" s="188"/>
      <c r="D1185" s="188"/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188"/>
      <c r="Q1185" s="188"/>
      <c r="R1185" s="188"/>
      <c r="S1185" s="188"/>
      <c r="T1185" s="188"/>
      <c r="U1185" s="188"/>
      <c r="V1185" s="188"/>
      <c r="W1185" s="188"/>
      <c r="X1185" s="188"/>
      <c r="Y1185" s="188"/>
      <c r="Z1185" s="188"/>
      <c r="AA1185" s="188"/>
      <c r="AB1185" s="188"/>
      <c r="AC1185" s="188"/>
      <c r="AD1185" s="188"/>
      <c r="AE1185" s="188"/>
      <c r="AF1185" s="188"/>
      <c r="AG1185" s="188"/>
      <c r="AH1185" s="188"/>
      <c r="AI1185" s="188"/>
      <c r="AJ1185" s="188"/>
      <c r="AK1185" s="188"/>
      <c r="AL1185" s="188"/>
      <c r="AM1185" s="188"/>
      <c r="AN1185" s="188"/>
      <c r="AO1185" s="188"/>
      <c r="AP1185" s="188"/>
      <c r="AQ1185" s="188"/>
      <c r="AR1185" s="188"/>
      <c r="AS1185" s="188"/>
      <c r="AT1185" s="188"/>
      <c r="AU1185" s="188"/>
      <c r="AV1185" s="188"/>
      <c r="AW1185" s="188"/>
      <c r="AX1185" s="188"/>
      <c r="AY1185" s="188"/>
      <c r="AZ1185" s="188"/>
      <c r="BA1185" s="188"/>
      <c r="BB1185" s="188"/>
      <c r="BC1185" s="188"/>
    </row>
    <row r="1186">
      <c r="A1186" s="188"/>
      <c r="B1186" s="188"/>
      <c r="C1186" s="188"/>
      <c r="D1186" s="188"/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188"/>
      <c r="Q1186" s="188"/>
      <c r="R1186" s="188"/>
      <c r="S1186" s="188"/>
      <c r="T1186" s="188"/>
      <c r="U1186" s="188"/>
      <c r="V1186" s="188"/>
      <c r="W1186" s="188"/>
      <c r="X1186" s="188"/>
      <c r="Y1186" s="188"/>
      <c r="Z1186" s="188"/>
      <c r="AA1186" s="188"/>
      <c r="AB1186" s="188"/>
      <c r="AC1186" s="188"/>
      <c r="AD1186" s="188"/>
      <c r="AE1186" s="188"/>
      <c r="AF1186" s="188"/>
      <c r="AG1186" s="188"/>
      <c r="AH1186" s="188"/>
      <c r="AI1186" s="188"/>
      <c r="AJ1186" s="188"/>
      <c r="AK1186" s="188"/>
      <c r="AL1186" s="188"/>
      <c r="AM1186" s="188"/>
      <c r="AN1186" s="188"/>
      <c r="AO1186" s="188"/>
      <c r="AP1186" s="188"/>
      <c r="AQ1186" s="188"/>
      <c r="AR1186" s="188"/>
      <c r="AS1186" s="188"/>
      <c r="AT1186" s="188"/>
      <c r="AU1186" s="188"/>
      <c r="AV1186" s="188"/>
      <c r="AW1186" s="188"/>
      <c r="AX1186" s="188"/>
      <c r="AY1186" s="188"/>
      <c r="AZ1186" s="188"/>
      <c r="BA1186" s="188"/>
      <c r="BB1186" s="188"/>
      <c r="BC1186" s="188"/>
    </row>
    <row r="1187">
      <c r="A1187" s="188"/>
      <c r="B1187" s="188"/>
      <c r="C1187" s="188"/>
      <c r="D1187" s="188"/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188"/>
      <c r="Q1187" s="188"/>
      <c r="R1187" s="188"/>
      <c r="S1187" s="188"/>
      <c r="T1187" s="188"/>
      <c r="U1187" s="188"/>
      <c r="V1187" s="188"/>
      <c r="W1187" s="188"/>
      <c r="X1187" s="188"/>
      <c r="Y1187" s="188"/>
      <c r="Z1187" s="188"/>
      <c r="AA1187" s="188"/>
      <c r="AB1187" s="188"/>
      <c r="AC1187" s="188"/>
      <c r="AD1187" s="188"/>
      <c r="AE1187" s="188"/>
      <c r="AF1187" s="188"/>
      <c r="AG1187" s="188"/>
      <c r="AH1187" s="188"/>
      <c r="AI1187" s="188"/>
      <c r="AJ1187" s="188"/>
      <c r="AK1187" s="188"/>
      <c r="AL1187" s="188"/>
      <c r="AM1187" s="188"/>
      <c r="AN1187" s="188"/>
      <c r="AO1187" s="188"/>
      <c r="AP1187" s="188"/>
      <c r="AQ1187" s="188"/>
      <c r="AR1187" s="188"/>
      <c r="AS1187" s="188"/>
      <c r="AT1187" s="188"/>
      <c r="AU1187" s="188"/>
      <c r="AV1187" s="188"/>
      <c r="AW1187" s="188"/>
      <c r="AX1187" s="188"/>
      <c r="AY1187" s="188"/>
      <c r="AZ1187" s="188"/>
      <c r="BA1187" s="188"/>
      <c r="BB1187" s="188"/>
      <c r="BC1187" s="188"/>
    </row>
    <row r="1188">
      <c r="A1188" s="188"/>
      <c r="B1188" s="188"/>
      <c r="C1188" s="188"/>
      <c r="D1188" s="188"/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188"/>
      <c r="Q1188" s="188"/>
      <c r="R1188" s="188"/>
      <c r="S1188" s="188"/>
      <c r="T1188" s="188"/>
      <c r="U1188" s="188"/>
      <c r="V1188" s="188"/>
      <c r="W1188" s="188"/>
      <c r="X1188" s="188"/>
      <c r="Y1188" s="188"/>
      <c r="Z1188" s="188"/>
      <c r="AA1188" s="188"/>
      <c r="AB1188" s="188"/>
      <c r="AC1188" s="188"/>
      <c r="AD1188" s="188"/>
      <c r="AE1188" s="188"/>
      <c r="AF1188" s="188"/>
      <c r="AG1188" s="188"/>
      <c r="AH1188" s="188"/>
      <c r="AI1188" s="188"/>
      <c r="AJ1188" s="188"/>
      <c r="AK1188" s="188"/>
      <c r="AL1188" s="188"/>
      <c r="AM1188" s="188"/>
      <c r="AN1188" s="188"/>
      <c r="AO1188" s="188"/>
      <c r="AP1188" s="188"/>
      <c r="AQ1188" s="188"/>
      <c r="AR1188" s="188"/>
      <c r="AS1188" s="188"/>
      <c r="AT1188" s="188"/>
      <c r="AU1188" s="188"/>
      <c r="AV1188" s="188"/>
      <c r="AW1188" s="188"/>
      <c r="AX1188" s="188"/>
      <c r="AY1188" s="188"/>
      <c r="AZ1188" s="188"/>
      <c r="BA1188" s="188"/>
      <c r="BB1188" s="188"/>
      <c r="BC1188" s="188"/>
    </row>
    <row r="1189">
      <c r="A1189" s="188"/>
      <c r="B1189" s="188"/>
      <c r="C1189" s="188"/>
      <c r="D1189" s="188"/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188"/>
      <c r="Q1189" s="188"/>
      <c r="R1189" s="188"/>
      <c r="S1189" s="188"/>
      <c r="T1189" s="188"/>
      <c r="U1189" s="188"/>
      <c r="V1189" s="188"/>
      <c r="W1189" s="188"/>
      <c r="X1189" s="188"/>
      <c r="Y1189" s="188"/>
      <c r="Z1189" s="188"/>
      <c r="AA1189" s="188"/>
      <c r="AB1189" s="188"/>
      <c r="AC1189" s="188"/>
      <c r="AD1189" s="188"/>
      <c r="AE1189" s="188"/>
      <c r="AF1189" s="188"/>
      <c r="AG1189" s="188"/>
      <c r="AH1189" s="188"/>
      <c r="AI1189" s="188"/>
      <c r="AJ1189" s="188"/>
      <c r="AK1189" s="188"/>
      <c r="AL1189" s="188"/>
      <c r="AM1189" s="188"/>
      <c r="AN1189" s="188"/>
      <c r="AO1189" s="188"/>
      <c r="AP1189" s="188"/>
      <c r="AQ1189" s="188"/>
      <c r="AR1189" s="188"/>
      <c r="AS1189" s="188"/>
      <c r="AT1189" s="188"/>
      <c r="AU1189" s="188"/>
      <c r="AV1189" s="188"/>
      <c r="AW1189" s="188"/>
      <c r="AX1189" s="188"/>
      <c r="AY1189" s="188"/>
      <c r="AZ1189" s="188"/>
      <c r="BA1189" s="188"/>
      <c r="BB1189" s="188"/>
      <c r="BC1189" s="188"/>
    </row>
    <row r="1190">
      <c r="A1190" s="188"/>
      <c r="B1190" s="188"/>
      <c r="C1190" s="188"/>
      <c r="D1190" s="188"/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188"/>
      <c r="Q1190" s="188"/>
      <c r="R1190" s="188"/>
      <c r="S1190" s="188"/>
      <c r="T1190" s="188"/>
      <c r="U1190" s="188"/>
      <c r="V1190" s="188"/>
      <c r="W1190" s="188"/>
      <c r="X1190" s="188"/>
      <c r="Y1190" s="188"/>
      <c r="Z1190" s="188"/>
      <c r="AA1190" s="188"/>
      <c r="AB1190" s="188"/>
      <c r="AC1190" s="188"/>
      <c r="AD1190" s="188"/>
      <c r="AE1190" s="188"/>
      <c r="AF1190" s="188"/>
      <c r="AG1190" s="188"/>
      <c r="AH1190" s="188"/>
      <c r="AI1190" s="188"/>
      <c r="AJ1190" s="188"/>
      <c r="AK1190" s="188"/>
      <c r="AL1190" s="188"/>
      <c r="AM1190" s="188"/>
      <c r="AN1190" s="188"/>
      <c r="AO1190" s="188"/>
      <c r="AP1190" s="188"/>
      <c r="AQ1190" s="188"/>
      <c r="AR1190" s="188"/>
      <c r="AS1190" s="188"/>
      <c r="AT1190" s="188"/>
      <c r="AU1190" s="188"/>
      <c r="AV1190" s="188"/>
      <c r="AW1190" s="188"/>
      <c r="AX1190" s="188"/>
      <c r="AY1190" s="188"/>
      <c r="AZ1190" s="188"/>
      <c r="BA1190" s="188"/>
      <c r="BB1190" s="188"/>
      <c r="BC1190" s="188"/>
    </row>
    <row r="1191">
      <c r="A1191" s="188"/>
      <c r="B1191" s="188"/>
      <c r="C1191" s="188"/>
      <c r="D1191" s="188"/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188"/>
      <c r="Q1191" s="188"/>
      <c r="R1191" s="188"/>
      <c r="S1191" s="188"/>
      <c r="T1191" s="188"/>
      <c r="U1191" s="188"/>
      <c r="V1191" s="188"/>
      <c r="W1191" s="188"/>
      <c r="X1191" s="188"/>
      <c r="Y1191" s="188"/>
      <c r="Z1191" s="188"/>
      <c r="AA1191" s="188"/>
      <c r="AB1191" s="188"/>
      <c r="AC1191" s="188"/>
      <c r="AD1191" s="188"/>
      <c r="AE1191" s="188"/>
      <c r="AF1191" s="188"/>
      <c r="AG1191" s="188"/>
      <c r="AH1191" s="188"/>
      <c r="AI1191" s="188"/>
      <c r="AJ1191" s="188"/>
      <c r="AK1191" s="188"/>
      <c r="AL1191" s="188"/>
      <c r="AM1191" s="188"/>
      <c r="AN1191" s="188"/>
      <c r="AO1191" s="188"/>
      <c r="AP1191" s="188"/>
      <c r="AQ1191" s="188"/>
      <c r="AR1191" s="188"/>
      <c r="AS1191" s="188"/>
      <c r="AT1191" s="188"/>
      <c r="AU1191" s="188"/>
      <c r="AV1191" s="188"/>
      <c r="AW1191" s="188"/>
      <c r="AX1191" s="188"/>
      <c r="AY1191" s="188"/>
      <c r="AZ1191" s="188"/>
      <c r="BA1191" s="188"/>
      <c r="BB1191" s="188"/>
      <c r="BC1191" s="188"/>
    </row>
    <row r="1192">
      <c r="A1192" s="188"/>
      <c r="B1192" s="188"/>
      <c r="C1192" s="188"/>
      <c r="D1192" s="188"/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188"/>
      <c r="Q1192" s="188"/>
      <c r="R1192" s="188"/>
      <c r="S1192" s="188"/>
      <c r="T1192" s="188"/>
      <c r="U1192" s="188"/>
      <c r="V1192" s="188"/>
      <c r="W1192" s="188"/>
      <c r="X1192" s="188"/>
      <c r="Y1192" s="188"/>
      <c r="Z1192" s="188"/>
      <c r="AA1192" s="188"/>
      <c r="AB1192" s="188"/>
      <c r="AC1192" s="188"/>
      <c r="AD1192" s="188"/>
      <c r="AE1192" s="188"/>
      <c r="AF1192" s="188"/>
      <c r="AG1192" s="188"/>
      <c r="AH1192" s="188"/>
      <c r="AI1192" s="188"/>
      <c r="AJ1192" s="188"/>
      <c r="AK1192" s="188"/>
      <c r="AL1192" s="188"/>
      <c r="AM1192" s="188"/>
      <c r="AN1192" s="188"/>
      <c r="AO1192" s="188"/>
      <c r="AP1192" s="188"/>
      <c r="AQ1192" s="188"/>
      <c r="AR1192" s="188"/>
      <c r="AS1192" s="188"/>
      <c r="AT1192" s="188"/>
      <c r="AU1192" s="188"/>
      <c r="AV1192" s="188"/>
      <c r="AW1192" s="188"/>
      <c r="AX1192" s="188"/>
      <c r="AY1192" s="188"/>
      <c r="AZ1192" s="188"/>
      <c r="BA1192" s="188"/>
      <c r="BB1192" s="188"/>
      <c r="BC1192" s="188"/>
    </row>
    <row r="1193">
      <c r="A1193" s="188"/>
      <c r="B1193" s="188"/>
      <c r="C1193" s="188"/>
      <c r="D1193" s="188"/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188"/>
      <c r="Q1193" s="188"/>
      <c r="R1193" s="188"/>
      <c r="S1193" s="188"/>
      <c r="T1193" s="188"/>
      <c r="U1193" s="188"/>
      <c r="V1193" s="188"/>
      <c r="W1193" s="188"/>
      <c r="X1193" s="188"/>
      <c r="Y1193" s="188"/>
      <c r="Z1193" s="188"/>
      <c r="AA1193" s="188"/>
      <c r="AB1193" s="188"/>
      <c r="AC1193" s="188"/>
      <c r="AD1193" s="188"/>
      <c r="AE1193" s="188"/>
      <c r="AF1193" s="188"/>
      <c r="AG1193" s="188"/>
      <c r="AH1193" s="188"/>
      <c r="AI1193" s="188"/>
      <c r="AJ1193" s="188"/>
      <c r="AK1193" s="188"/>
      <c r="AL1193" s="188"/>
      <c r="AM1193" s="188"/>
      <c r="AN1193" s="188"/>
      <c r="AO1193" s="188"/>
      <c r="AP1193" s="188"/>
      <c r="AQ1193" s="188"/>
      <c r="AR1193" s="188"/>
      <c r="AS1193" s="188"/>
      <c r="AT1193" s="188"/>
      <c r="AU1193" s="188"/>
      <c r="AV1193" s="188"/>
      <c r="AW1193" s="188"/>
      <c r="AX1193" s="188"/>
      <c r="AY1193" s="188"/>
      <c r="AZ1193" s="188"/>
      <c r="BA1193" s="188"/>
      <c r="BB1193" s="188"/>
      <c r="BC1193" s="188"/>
    </row>
    <row r="1194">
      <c r="A1194" s="188"/>
      <c r="B1194" s="188"/>
      <c r="C1194" s="188"/>
      <c r="D1194" s="188"/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188"/>
      <c r="Q1194" s="188"/>
      <c r="R1194" s="188"/>
      <c r="S1194" s="188"/>
      <c r="T1194" s="188"/>
      <c r="U1194" s="188"/>
      <c r="V1194" s="188"/>
      <c r="W1194" s="188"/>
      <c r="X1194" s="188"/>
      <c r="Y1194" s="188"/>
      <c r="Z1194" s="188"/>
      <c r="AA1194" s="188"/>
      <c r="AB1194" s="188"/>
      <c r="AC1194" s="188"/>
      <c r="AD1194" s="188"/>
      <c r="AE1194" s="188"/>
      <c r="AF1194" s="188"/>
      <c r="AG1194" s="188"/>
      <c r="AH1194" s="188"/>
      <c r="AI1194" s="188"/>
      <c r="AJ1194" s="188"/>
      <c r="AK1194" s="188"/>
      <c r="AL1194" s="188"/>
      <c r="AM1194" s="188"/>
      <c r="AN1194" s="188"/>
      <c r="AO1194" s="188"/>
      <c r="AP1194" s="188"/>
      <c r="AQ1194" s="188"/>
      <c r="AR1194" s="188"/>
      <c r="AS1194" s="188"/>
      <c r="AT1194" s="188"/>
      <c r="AU1194" s="188"/>
      <c r="AV1194" s="188"/>
      <c r="AW1194" s="188"/>
      <c r="AX1194" s="188"/>
      <c r="AY1194" s="188"/>
      <c r="AZ1194" s="188"/>
      <c r="BA1194" s="188"/>
      <c r="BB1194" s="188"/>
      <c r="BC1194" s="188"/>
    </row>
    <row r="1195">
      <c r="A1195" s="188"/>
      <c r="B1195" s="188"/>
      <c r="C1195" s="188"/>
      <c r="D1195" s="188"/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188"/>
      <c r="Q1195" s="188"/>
      <c r="R1195" s="188"/>
      <c r="S1195" s="188"/>
      <c r="T1195" s="188"/>
      <c r="U1195" s="188"/>
      <c r="V1195" s="188"/>
      <c r="W1195" s="188"/>
      <c r="X1195" s="188"/>
      <c r="Y1195" s="188"/>
      <c r="Z1195" s="188"/>
      <c r="AA1195" s="188"/>
      <c r="AB1195" s="188"/>
      <c r="AC1195" s="188"/>
      <c r="AD1195" s="188"/>
      <c r="AE1195" s="188"/>
      <c r="AF1195" s="188"/>
      <c r="AG1195" s="188"/>
      <c r="AH1195" s="188"/>
      <c r="AI1195" s="188"/>
      <c r="AJ1195" s="188"/>
      <c r="AK1195" s="188"/>
      <c r="AL1195" s="188"/>
      <c r="AM1195" s="188"/>
      <c r="AN1195" s="188"/>
      <c r="AO1195" s="188"/>
      <c r="AP1195" s="188"/>
      <c r="AQ1195" s="188"/>
      <c r="AR1195" s="188"/>
      <c r="AS1195" s="188"/>
      <c r="AT1195" s="188"/>
      <c r="AU1195" s="188"/>
      <c r="AV1195" s="188"/>
      <c r="AW1195" s="188"/>
      <c r="AX1195" s="188"/>
      <c r="AY1195" s="188"/>
      <c r="AZ1195" s="188"/>
      <c r="BA1195" s="188"/>
      <c r="BB1195" s="188"/>
      <c r="BC1195" s="188"/>
    </row>
    <row r="1196">
      <c r="A1196" s="188"/>
      <c r="B1196" s="188"/>
      <c r="C1196" s="188"/>
      <c r="D1196" s="188"/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188"/>
      <c r="Q1196" s="188"/>
      <c r="R1196" s="188"/>
      <c r="S1196" s="188"/>
      <c r="T1196" s="188"/>
      <c r="U1196" s="188"/>
      <c r="V1196" s="188"/>
      <c r="W1196" s="188"/>
      <c r="X1196" s="188"/>
      <c r="Y1196" s="188"/>
      <c r="Z1196" s="188"/>
      <c r="AA1196" s="188"/>
      <c r="AB1196" s="188"/>
      <c r="AC1196" s="188"/>
      <c r="AD1196" s="188"/>
      <c r="AE1196" s="188"/>
      <c r="AF1196" s="188"/>
      <c r="AG1196" s="188"/>
      <c r="AH1196" s="188"/>
      <c r="AI1196" s="188"/>
      <c r="AJ1196" s="188"/>
      <c r="AK1196" s="188"/>
      <c r="AL1196" s="188"/>
      <c r="AM1196" s="188"/>
      <c r="AN1196" s="188"/>
      <c r="AO1196" s="188"/>
      <c r="AP1196" s="188"/>
      <c r="AQ1196" s="188"/>
      <c r="AR1196" s="188"/>
      <c r="AS1196" s="188"/>
      <c r="AT1196" s="188"/>
      <c r="AU1196" s="188"/>
      <c r="AV1196" s="188"/>
      <c r="AW1196" s="188"/>
      <c r="AX1196" s="188"/>
      <c r="AY1196" s="188"/>
      <c r="AZ1196" s="188"/>
      <c r="BA1196" s="188"/>
      <c r="BB1196" s="188"/>
      <c r="BC1196" s="188"/>
    </row>
    <row r="1197">
      <c r="A1197" s="188"/>
      <c r="B1197" s="188"/>
      <c r="C1197" s="188"/>
      <c r="D1197" s="188"/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188"/>
      <c r="Q1197" s="188"/>
      <c r="R1197" s="188"/>
      <c r="S1197" s="188"/>
      <c r="T1197" s="188"/>
      <c r="U1197" s="188"/>
      <c r="V1197" s="188"/>
      <c r="W1197" s="188"/>
      <c r="X1197" s="188"/>
      <c r="Y1197" s="188"/>
      <c r="Z1197" s="188"/>
      <c r="AA1197" s="188"/>
      <c r="AB1197" s="188"/>
      <c r="AC1197" s="188"/>
      <c r="AD1197" s="188"/>
      <c r="AE1197" s="188"/>
      <c r="AF1197" s="188"/>
      <c r="AG1197" s="188"/>
      <c r="AH1197" s="188"/>
      <c r="AI1197" s="188"/>
      <c r="AJ1197" s="188"/>
      <c r="AK1197" s="188"/>
      <c r="AL1197" s="188"/>
      <c r="AM1197" s="188"/>
      <c r="AN1197" s="188"/>
      <c r="AO1197" s="188"/>
      <c r="AP1197" s="188"/>
      <c r="AQ1197" s="188"/>
      <c r="AR1197" s="188"/>
      <c r="AS1197" s="188"/>
      <c r="AT1197" s="188"/>
      <c r="AU1197" s="188"/>
      <c r="AV1197" s="188"/>
      <c r="AW1197" s="188"/>
      <c r="AX1197" s="188"/>
      <c r="AY1197" s="188"/>
      <c r="AZ1197" s="188"/>
      <c r="BA1197" s="188"/>
      <c r="BB1197" s="188"/>
      <c r="BC1197" s="188"/>
    </row>
    <row r="1198">
      <c r="A1198" s="188"/>
      <c r="B1198" s="188"/>
      <c r="C1198" s="188"/>
      <c r="D1198" s="188"/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188"/>
      <c r="Q1198" s="188"/>
      <c r="R1198" s="188"/>
      <c r="S1198" s="188"/>
      <c r="T1198" s="188"/>
      <c r="U1198" s="188"/>
      <c r="V1198" s="188"/>
      <c r="W1198" s="188"/>
      <c r="X1198" s="188"/>
      <c r="Y1198" s="188"/>
      <c r="Z1198" s="188"/>
      <c r="AA1198" s="188"/>
      <c r="AB1198" s="188"/>
      <c r="AC1198" s="188"/>
      <c r="AD1198" s="188"/>
      <c r="AE1198" s="188"/>
      <c r="AF1198" s="188"/>
      <c r="AG1198" s="188"/>
      <c r="AH1198" s="188"/>
      <c r="AI1198" s="188"/>
      <c r="AJ1198" s="188"/>
      <c r="AK1198" s="188"/>
      <c r="AL1198" s="188"/>
      <c r="AM1198" s="188"/>
      <c r="AN1198" s="188"/>
      <c r="AO1198" s="188"/>
      <c r="AP1198" s="188"/>
      <c r="AQ1198" s="188"/>
      <c r="AR1198" s="188"/>
      <c r="AS1198" s="188"/>
      <c r="AT1198" s="188"/>
      <c r="AU1198" s="188"/>
      <c r="AV1198" s="188"/>
      <c r="AW1198" s="188"/>
      <c r="AX1198" s="188"/>
      <c r="AY1198" s="188"/>
      <c r="AZ1198" s="188"/>
      <c r="BA1198" s="188"/>
      <c r="BB1198" s="188"/>
      <c r="BC1198" s="188"/>
    </row>
    <row r="1199">
      <c r="A1199" s="188"/>
      <c r="B1199" s="188"/>
      <c r="C1199" s="188"/>
      <c r="D1199" s="188"/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188"/>
      <c r="Q1199" s="188"/>
      <c r="R1199" s="188"/>
      <c r="S1199" s="188"/>
      <c r="T1199" s="188"/>
      <c r="U1199" s="188"/>
      <c r="V1199" s="188"/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  <c r="AJ1199" s="188"/>
      <c r="AK1199" s="188"/>
      <c r="AL1199" s="188"/>
      <c r="AM1199" s="188"/>
      <c r="AN1199" s="188"/>
      <c r="AO1199" s="188"/>
      <c r="AP1199" s="188"/>
      <c r="AQ1199" s="188"/>
      <c r="AR1199" s="188"/>
      <c r="AS1199" s="188"/>
      <c r="AT1199" s="188"/>
      <c r="AU1199" s="188"/>
      <c r="AV1199" s="188"/>
      <c r="AW1199" s="188"/>
      <c r="AX1199" s="188"/>
      <c r="AY1199" s="188"/>
      <c r="AZ1199" s="188"/>
      <c r="BA1199" s="188"/>
      <c r="BB1199" s="188"/>
      <c r="BC1199" s="188"/>
    </row>
    <row r="1200">
      <c r="A1200" s="188"/>
      <c r="B1200" s="188"/>
      <c r="C1200" s="188"/>
      <c r="D1200" s="188"/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188"/>
      <c r="Q1200" s="188"/>
      <c r="R1200" s="188"/>
      <c r="S1200" s="188"/>
      <c r="T1200" s="188"/>
      <c r="U1200" s="188"/>
      <c r="V1200" s="188"/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  <c r="AJ1200" s="188"/>
      <c r="AK1200" s="188"/>
      <c r="AL1200" s="188"/>
      <c r="AM1200" s="188"/>
      <c r="AN1200" s="188"/>
      <c r="AO1200" s="188"/>
      <c r="AP1200" s="188"/>
      <c r="AQ1200" s="188"/>
      <c r="AR1200" s="188"/>
      <c r="AS1200" s="188"/>
      <c r="AT1200" s="188"/>
      <c r="AU1200" s="188"/>
      <c r="AV1200" s="188"/>
      <c r="AW1200" s="188"/>
      <c r="AX1200" s="188"/>
      <c r="AY1200" s="188"/>
      <c r="AZ1200" s="188"/>
      <c r="BA1200" s="188"/>
      <c r="BB1200" s="188"/>
      <c r="BC1200" s="188"/>
    </row>
    <row r="1201">
      <c r="A1201" s="188"/>
      <c r="B1201" s="188"/>
      <c r="C1201" s="188"/>
      <c r="D1201" s="188"/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188"/>
      <c r="Q1201" s="188"/>
      <c r="R1201" s="188"/>
      <c r="S1201" s="188"/>
      <c r="T1201" s="188"/>
      <c r="U1201" s="188"/>
      <c r="V1201" s="188"/>
      <c r="W1201" s="188"/>
      <c r="X1201" s="188"/>
      <c r="Y1201" s="188"/>
      <c r="Z1201" s="188"/>
      <c r="AA1201" s="188"/>
      <c r="AB1201" s="188"/>
      <c r="AC1201" s="188"/>
      <c r="AD1201" s="188"/>
      <c r="AE1201" s="188"/>
      <c r="AF1201" s="188"/>
      <c r="AG1201" s="188"/>
      <c r="AH1201" s="188"/>
      <c r="AI1201" s="188"/>
      <c r="AJ1201" s="188"/>
      <c r="AK1201" s="188"/>
      <c r="AL1201" s="188"/>
      <c r="AM1201" s="188"/>
      <c r="AN1201" s="188"/>
      <c r="AO1201" s="188"/>
      <c r="AP1201" s="188"/>
      <c r="AQ1201" s="188"/>
      <c r="AR1201" s="188"/>
      <c r="AS1201" s="188"/>
      <c r="AT1201" s="188"/>
      <c r="AU1201" s="188"/>
      <c r="AV1201" s="188"/>
      <c r="AW1201" s="188"/>
      <c r="AX1201" s="188"/>
      <c r="AY1201" s="188"/>
      <c r="AZ1201" s="188"/>
      <c r="BA1201" s="188"/>
      <c r="BB1201" s="188"/>
      <c r="BC1201" s="188"/>
    </row>
    <row r="1202">
      <c r="A1202" s="188"/>
      <c r="B1202" s="188"/>
      <c r="C1202" s="188"/>
      <c r="D1202" s="188"/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188"/>
      <c r="Q1202" s="188"/>
      <c r="R1202" s="188"/>
      <c r="S1202" s="188"/>
      <c r="T1202" s="188"/>
      <c r="U1202" s="188"/>
      <c r="V1202" s="188"/>
      <c r="W1202" s="188"/>
      <c r="X1202" s="188"/>
      <c r="Y1202" s="188"/>
      <c r="Z1202" s="188"/>
      <c r="AA1202" s="188"/>
      <c r="AB1202" s="188"/>
      <c r="AC1202" s="188"/>
      <c r="AD1202" s="188"/>
      <c r="AE1202" s="188"/>
      <c r="AF1202" s="188"/>
      <c r="AG1202" s="188"/>
      <c r="AH1202" s="188"/>
      <c r="AI1202" s="188"/>
      <c r="AJ1202" s="188"/>
      <c r="AK1202" s="188"/>
      <c r="AL1202" s="188"/>
      <c r="AM1202" s="188"/>
      <c r="AN1202" s="188"/>
      <c r="AO1202" s="188"/>
      <c r="AP1202" s="188"/>
      <c r="AQ1202" s="188"/>
      <c r="AR1202" s="188"/>
      <c r="AS1202" s="188"/>
      <c r="AT1202" s="188"/>
      <c r="AU1202" s="188"/>
      <c r="AV1202" s="188"/>
      <c r="AW1202" s="188"/>
      <c r="AX1202" s="188"/>
      <c r="AY1202" s="188"/>
      <c r="AZ1202" s="188"/>
      <c r="BA1202" s="188"/>
      <c r="BB1202" s="188"/>
      <c r="BC1202" s="188"/>
    </row>
    <row r="1203">
      <c r="A1203" s="188"/>
      <c r="B1203" s="188"/>
      <c r="C1203" s="188"/>
      <c r="D1203" s="188"/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188"/>
      <c r="Q1203" s="188"/>
      <c r="R1203" s="188"/>
      <c r="S1203" s="188"/>
      <c r="T1203" s="188"/>
      <c r="U1203" s="188"/>
      <c r="V1203" s="188"/>
      <c r="W1203" s="188"/>
      <c r="X1203" s="188"/>
      <c r="Y1203" s="188"/>
      <c r="Z1203" s="188"/>
      <c r="AA1203" s="188"/>
      <c r="AB1203" s="188"/>
      <c r="AC1203" s="188"/>
      <c r="AD1203" s="188"/>
      <c r="AE1203" s="188"/>
      <c r="AF1203" s="188"/>
      <c r="AG1203" s="188"/>
      <c r="AH1203" s="188"/>
      <c r="AI1203" s="188"/>
      <c r="AJ1203" s="188"/>
      <c r="AK1203" s="188"/>
      <c r="AL1203" s="188"/>
      <c r="AM1203" s="188"/>
      <c r="AN1203" s="188"/>
      <c r="AO1203" s="188"/>
      <c r="AP1203" s="188"/>
      <c r="AQ1203" s="188"/>
      <c r="AR1203" s="188"/>
      <c r="AS1203" s="188"/>
      <c r="AT1203" s="188"/>
      <c r="AU1203" s="188"/>
      <c r="AV1203" s="188"/>
      <c r="AW1203" s="188"/>
      <c r="AX1203" s="188"/>
      <c r="AY1203" s="188"/>
      <c r="AZ1203" s="188"/>
      <c r="BA1203" s="188"/>
      <c r="BB1203" s="188"/>
      <c r="BC1203" s="188"/>
    </row>
    <row r="1204">
      <c r="A1204" s="188"/>
      <c r="B1204" s="188"/>
      <c r="C1204" s="188"/>
      <c r="D1204" s="188"/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188"/>
      <c r="Q1204" s="188"/>
      <c r="R1204" s="188"/>
      <c r="S1204" s="188"/>
      <c r="T1204" s="188"/>
      <c r="U1204" s="188"/>
      <c r="V1204" s="188"/>
      <c r="W1204" s="188"/>
      <c r="X1204" s="188"/>
      <c r="Y1204" s="188"/>
      <c r="Z1204" s="188"/>
      <c r="AA1204" s="188"/>
      <c r="AB1204" s="188"/>
      <c r="AC1204" s="188"/>
      <c r="AD1204" s="188"/>
      <c r="AE1204" s="188"/>
      <c r="AF1204" s="188"/>
      <c r="AG1204" s="188"/>
      <c r="AH1204" s="188"/>
      <c r="AI1204" s="188"/>
      <c r="AJ1204" s="188"/>
      <c r="AK1204" s="188"/>
      <c r="AL1204" s="188"/>
      <c r="AM1204" s="188"/>
      <c r="AN1204" s="188"/>
      <c r="AO1204" s="188"/>
      <c r="AP1204" s="188"/>
      <c r="AQ1204" s="188"/>
      <c r="AR1204" s="188"/>
      <c r="AS1204" s="188"/>
      <c r="AT1204" s="188"/>
      <c r="AU1204" s="188"/>
      <c r="AV1204" s="188"/>
      <c r="AW1204" s="188"/>
      <c r="AX1204" s="188"/>
      <c r="AY1204" s="188"/>
      <c r="AZ1204" s="188"/>
      <c r="BA1204" s="188"/>
      <c r="BB1204" s="188"/>
      <c r="BC1204" s="188"/>
    </row>
    <row r="1205">
      <c r="A1205" s="188"/>
      <c r="B1205" s="188"/>
      <c r="C1205" s="188"/>
      <c r="D1205" s="188"/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188"/>
      <c r="Q1205" s="188"/>
      <c r="R1205" s="188"/>
      <c r="S1205" s="188"/>
      <c r="T1205" s="188"/>
      <c r="U1205" s="188"/>
      <c r="V1205" s="188"/>
      <c r="W1205" s="188"/>
      <c r="X1205" s="188"/>
      <c r="Y1205" s="188"/>
      <c r="Z1205" s="188"/>
      <c r="AA1205" s="188"/>
      <c r="AB1205" s="188"/>
      <c r="AC1205" s="188"/>
      <c r="AD1205" s="188"/>
      <c r="AE1205" s="188"/>
      <c r="AF1205" s="188"/>
      <c r="AG1205" s="188"/>
      <c r="AH1205" s="188"/>
      <c r="AI1205" s="188"/>
      <c r="AJ1205" s="188"/>
      <c r="AK1205" s="188"/>
      <c r="AL1205" s="188"/>
      <c r="AM1205" s="188"/>
      <c r="AN1205" s="188"/>
      <c r="AO1205" s="188"/>
      <c r="AP1205" s="188"/>
      <c r="AQ1205" s="188"/>
      <c r="AR1205" s="188"/>
      <c r="AS1205" s="188"/>
      <c r="AT1205" s="188"/>
      <c r="AU1205" s="188"/>
      <c r="AV1205" s="188"/>
      <c r="AW1205" s="188"/>
      <c r="AX1205" s="188"/>
      <c r="AY1205" s="188"/>
      <c r="AZ1205" s="188"/>
      <c r="BA1205" s="188"/>
      <c r="BB1205" s="188"/>
      <c r="BC1205" s="188"/>
    </row>
    <row r="1206">
      <c r="A1206" s="188"/>
      <c r="B1206" s="188"/>
      <c r="C1206" s="188"/>
      <c r="D1206" s="188"/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188"/>
      <c r="Q1206" s="188"/>
      <c r="R1206" s="188"/>
      <c r="S1206" s="188"/>
      <c r="T1206" s="188"/>
      <c r="U1206" s="188"/>
      <c r="V1206" s="188"/>
      <c r="W1206" s="188"/>
      <c r="X1206" s="188"/>
      <c r="Y1206" s="188"/>
      <c r="Z1206" s="188"/>
      <c r="AA1206" s="188"/>
      <c r="AB1206" s="188"/>
      <c r="AC1206" s="188"/>
      <c r="AD1206" s="188"/>
      <c r="AE1206" s="188"/>
      <c r="AF1206" s="188"/>
      <c r="AG1206" s="188"/>
      <c r="AH1206" s="188"/>
      <c r="AI1206" s="188"/>
      <c r="AJ1206" s="188"/>
      <c r="AK1206" s="188"/>
      <c r="AL1206" s="188"/>
      <c r="AM1206" s="188"/>
      <c r="AN1206" s="188"/>
      <c r="AO1206" s="188"/>
      <c r="AP1206" s="188"/>
      <c r="AQ1206" s="188"/>
      <c r="AR1206" s="188"/>
      <c r="AS1206" s="188"/>
      <c r="AT1206" s="188"/>
      <c r="AU1206" s="188"/>
      <c r="AV1206" s="188"/>
      <c r="AW1206" s="188"/>
      <c r="AX1206" s="188"/>
      <c r="AY1206" s="188"/>
      <c r="AZ1206" s="188"/>
      <c r="BA1206" s="188"/>
      <c r="BB1206" s="188"/>
      <c r="BC1206" s="188"/>
    </row>
    <row r="1207">
      <c r="A1207" s="188"/>
      <c r="B1207" s="188"/>
      <c r="C1207" s="188"/>
      <c r="D1207" s="188"/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188"/>
      <c r="Q1207" s="188"/>
      <c r="R1207" s="188"/>
      <c r="S1207" s="188"/>
      <c r="T1207" s="188"/>
      <c r="U1207" s="188"/>
      <c r="V1207" s="188"/>
      <c r="W1207" s="188"/>
      <c r="X1207" s="188"/>
      <c r="Y1207" s="188"/>
      <c r="Z1207" s="188"/>
      <c r="AA1207" s="188"/>
      <c r="AB1207" s="188"/>
      <c r="AC1207" s="188"/>
      <c r="AD1207" s="188"/>
      <c r="AE1207" s="188"/>
      <c r="AF1207" s="188"/>
      <c r="AG1207" s="188"/>
      <c r="AH1207" s="188"/>
      <c r="AI1207" s="188"/>
      <c r="AJ1207" s="188"/>
      <c r="AK1207" s="188"/>
      <c r="AL1207" s="188"/>
      <c r="AM1207" s="188"/>
      <c r="AN1207" s="188"/>
      <c r="AO1207" s="188"/>
      <c r="AP1207" s="188"/>
      <c r="AQ1207" s="188"/>
      <c r="AR1207" s="188"/>
      <c r="AS1207" s="188"/>
      <c r="AT1207" s="188"/>
      <c r="AU1207" s="188"/>
      <c r="AV1207" s="188"/>
      <c r="AW1207" s="188"/>
      <c r="AX1207" s="188"/>
      <c r="AY1207" s="188"/>
      <c r="AZ1207" s="188"/>
      <c r="BA1207" s="188"/>
      <c r="BB1207" s="188"/>
      <c r="BC1207" s="188"/>
    </row>
    <row r="1208">
      <c r="A1208" s="188"/>
      <c r="B1208" s="188"/>
      <c r="C1208" s="188"/>
      <c r="D1208" s="188"/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188"/>
      <c r="Q1208" s="188"/>
      <c r="R1208" s="188"/>
      <c r="S1208" s="188"/>
      <c r="T1208" s="188"/>
      <c r="U1208" s="188"/>
      <c r="V1208" s="188"/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  <c r="AJ1208" s="188"/>
      <c r="AK1208" s="188"/>
      <c r="AL1208" s="188"/>
      <c r="AM1208" s="188"/>
      <c r="AN1208" s="188"/>
      <c r="AO1208" s="188"/>
      <c r="AP1208" s="188"/>
      <c r="AQ1208" s="188"/>
      <c r="AR1208" s="188"/>
      <c r="AS1208" s="188"/>
      <c r="AT1208" s="188"/>
      <c r="AU1208" s="188"/>
      <c r="AV1208" s="188"/>
      <c r="AW1208" s="188"/>
      <c r="AX1208" s="188"/>
      <c r="AY1208" s="188"/>
      <c r="AZ1208" s="188"/>
      <c r="BA1208" s="188"/>
      <c r="BB1208" s="188"/>
      <c r="BC1208" s="188"/>
    </row>
    <row r="1209">
      <c r="A1209" s="188"/>
      <c r="B1209" s="188"/>
      <c r="C1209" s="188"/>
      <c r="D1209" s="188"/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188"/>
      <c r="Q1209" s="188"/>
      <c r="R1209" s="188"/>
      <c r="S1209" s="188"/>
      <c r="T1209" s="188"/>
      <c r="U1209" s="188"/>
      <c r="V1209" s="188"/>
      <c r="W1209" s="188"/>
      <c r="X1209" s="188"/>
      <c r="Y1209" s="188"/>
      <c r="Z1209" s="188"/>
      <c r="AA1209" s="188"/>
      <c r="AB1209" s="188"/>
      <c r="AC1209" s="188"/>
      <c r="AD1209" s="188"/>
      <c r="AE1209" s="188"/>
      <c r="AF1209" s="188"/>
      <c r="AG1209" s="188"/>
      <c r="AH1209" s="188"/>
      <c r="AI1209" s="188"/>
      <c r="AJ1209" s="188"/>
      <c r="AK1209" s="188"/>
      <c r="AL1209" s="188"/>
      <c r="AM1209" s="188"/>
      <c r="AN1209" s="188"/>
      <c r="AO1209" s="188"/>
      <c r="AP1209" s="188"/>
      <c r="AQ1209" s="188"/>
      <c r="AR1209" s="188"/>
      <c r="AS1209" s="188"/>
      <c r="AT1209" s="188"/>
      <c r="AU1209" s="188"/>
      <c r="AV1209" s="188"/>
      <c r="AW1209" s="188"/>
      <c r="AX1209" s="188"/>
      <c r="AY1209" s="188"/>
      <c r="AZ1209" s="188"/>
      <c r="BA1209" s="188"/>
      <c r="BB1209" s="188"/>
      <c r="BC1209" s="188"/>
    </row>
    <row r="1210">
      <c r="A1210" s="188"/>
      <c r="B1210" s="188"/>
      <c r="C1210" s="188"/>
      <c r="D1210" s="188"/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188"/>
      <c r="Q1210" s="188"/>
      <c r="R1210" s="188"/>
      <c r="S1210" s="188"/>
      <c r="T1210" s="188"/>
      <c r="U1210" s="188"/>
      <c r="V1210" s="188"/>
      <c r="W1210" s="188"/>
      <c r="X1210" s="188"/>
      <c r="Y1210" s="188"/>
      <c r="Z1210" s="188"/>
      <c r="AA1210" s="188"/>
      <c r="AB1210" s="188"/>
      <c r="AC1210" s="188"/>
      <c r="AD1210" s="188"/>
      <c r="AE1210" s="188"/>
      <c r="AF1210" s="188"/>
      <c r="AG1210" s="188"/>
      <c r="AH1210" s="188"/>
      <c r="AI1210" s="188"/>
      <c r="AJ1210" s="188"/>
      <c r="AK1210" s="188"/>
      <c r="AL1210" s="188"/>
      <c r="AM1210" s="188"/>
      <c r="AN1210" s="188"/>
      <c r="AO1210" s="188"/>
      <c r="AP1210" s="188"/>
      <c r="AQ1210" s="188"/>
      <c r="AR1210" s="188"/>
      <c r="AS1210" s="188"/>
      <c r="AT1210" s="188"/>
      <c r="AU1210" s="188"/>
      <c r="AV1210" s="188"/>
      <c r="AW1210" s="188"/>
      <c r="AX1210" s="188"/>
      <c r="AY1210" s="188"/>
      <c r="AZ1210" s="188"/>
      <c r="BA1210" s="188"/>
      <c r="BB1210" s="188"/>
      <c r="BC1210" s="188"/>
    </row>
    <row r="1211">
      <c r="A1211" s="188"/>
      <c r="B1211" s="188"/>
      <c r="C1211" s="188"/>
      <c r="D1211" s="188"/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188"/>
      <c r="Q1211" s="188"/>
      <c r="R1211" s="188"/>
      <c r="S1211" s="188"/>
      <c r="T1211" s="188"/>
      <c r="U1211" s="188"/>
      <c r="V1211" s="188"/>
      <c r="W1211" s="188"/>
      <c r="X1211" s="188"/>
      <c r="Y1211" s="188"/>
      <c r="Z1211" s="188"/>
      <c r="AA1211" s="188"/>
      <c r="AB1211" s="188"/>
      <c r="AC1211" s="188"/>
      <c r="AD1211" s="188"/>
      <c r="AE1211" s="188"/>
      <c r="AF1211" s="188"/>
      <c r="AG1211" s="188"/>
      <c r="AH1211" s="188"/>
      <c r="AI1211" s="188"/>
      <c r="AJ1211" s="188"/>
      <c r="AK1211" s="188"/>
      <c r="AL1211" s="188"/>
      <c r="AM1211" s="188"/>
      <c r="AN1211" s="188"/>
      <c r="AO1211" s="188"/>
      <c r="AP1211" s="188"/>
      <c r="AQ1211" s="188"/>
      <c r="AR1211" s="188"/>
      <c r="AS1211" s="188"/>
      <c r="AT1211" s="188"/>
      <c r="AU1211" s="188"/>
      <c r="AV1211" s="188"/>
      <c r="AW1211" s="188"/>
      <c r="AX1211" s="188"/>
      <c r="AY1211" s="188"/>
      <c r="AZ1211" s="188"/>
      <c r="BA1211" s="188"/>
      <c r="BB1211" s="188"/>
      <c r="BC1211" s="188"/>
    </row>
    <row r="1212">
      <c r="A1212" s="188"/>
      <c r="B1212" s="188"/>
      <c r="C1212" s="188"/>
      <c r="D1212" s="188"/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188"/>
      <c r="Q1212" s="188"/>
      <c r="R1212" s="188"/>
      <c r="S1212" s="188"/>
      <c r="T1212" s="188"/>
      <c r="U1212" s="188"/>
      <c r="V1212" s="188"/>
      <c r="W1212" s="188"/>
      <c r="X1212" s="188"/>
      <c r="Y1212" s="188"/>
      <c r="Z1212" s="188"/>
      <c r="AA1212" s="188"/>
      <c r="AB1212" s="188"/>
      <c r="AC1212" s="188"/>
      <c r="AD1212" s="188"/>
      <c r="AE1212" s="188"/>
      <c r="AF1212" s="188"/>
      <c r="AG1212" s="188"/>
      <c r="AH1212" s="188"/>
      <c r="AI1212" s="188"/>
      <c r="AJ1212" s="188"/>
      <c r="AK1212" s="188"/>
      <c r="AL1212" s="188"/>
      <c r="AM1212" s="188"/>
      <c r="AN1212" s="188"/>
      <c r="AO1212" s="188"/>
      <c r="AP1212" s="188"/>
      <c r="AQ1212" s="188"/>
      <c r="AR1212" s="188"/>
      <c r="AS1212" s="188"/>
      <c r="AT1212" s="188"/>
      <c r="AU1212" s="188"/>
      <c r="AV1212" s="188"/>
      <c r="AW1212" s="188"/>
      <c r="AX1212" s="188"/>
      <c r="AY1212" s="188"/>
      <c r="AZ1212" s="188"/>
      <c r="BA1212" s="188"/>
      <c r="BB1212" s="188"/>
      <c r="BC1212" s="188"/>
    </row>
    <row r="1213">
      <c r="A1213" s="188"/>
      <c r="B1213" s="188"/>
      <c r="C1213" s="188"/>
      <c r="D1213" s="188"/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188"/>
      <c r="Q1213" s="188"/>
      <c r="R1213" s="188"/>
      <c r="S1213" s="188"/>
      <c r="T1213" s="188"/>
      <c r="U1213" s="188"/>
      <c r="V1213" s="188"/>
      <c r="W1213" s="188"/>
      <c r="X1213" s="188"/>
      <c r="Y1213" s="188"/>
      <c r="Z1213" s="188"/>
      <c r="AA1213" s="188"/>
      <c r="AB1213" s="188"/>
      <c r="AC1213" s="188"/>
      <c r="AD1213" s="188"/>
      <c r="AE1213" s="188"/>
      <c r="AF1213" s="188"/>
      <c r="AG1213" s="188"/>
      <c r="AH1213" s="188"/>
      <c r="AI1213" s="188"/>
      <c r="AJ1213" s="188"/>
      <c r="AK1213" s="188"/>
      <c r="AL1213" s="188"/>
      <c r="AM1213" s="188"/>
      <c r="AN1213" s="188"/>
      <c r="AO1213" s="188"/>
      <c r="AP1213" s="188"/>
      <c r="AQ1213" s="188"/>
      <c r="AR1213" s="188"/>
      <c r="AS1213" s="188"/>
      <c r="AT1213" s="188"/>
      <c r="AU1213" s="188"/>
      <c r="AV1213" s="188"/>
      <c r="AW1213" s="188"/>
      <c r="AX1213" s="188"/>
      <c r="AY1213" s="188"/>
      <c r="AZ1213" s="188"/>
      <c r="BA1213" s="188"/>
      <c r="BB1213" s="188"/>
      <c r="BC1213" s="188"/>
    </row>
    <row r="1214">
      <c r="A1214" s="188"/>
      <c r="B1214" s="188"/>
      <c r="C1214" s="188"/>
      <c r="D1214" s="188"/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188"/>
      <c r="Q1214" s="188"/>
      <c r="R1214" s="188"/>
      <c r="S1214" s="188"/>
      <c r="T1214" s="188"/>
      <c r="U1214" s="188"/>
      <c r="V1214" s="188"/>
      <c r="W1214" s="188"/>
      <c r="X1214" s="188"/>
      <c r="Y1214" s="188"/>
      <c r="Z1214" s="188"/>
      <c r="AA1214" s="188"/>
      <c r="AB1214" s="188"/>
      <c r="AC1214" s="188"/>
      <c r="AD1214" s="188"/>
      <c r="AE1214" s="188"/>
      <c r="AF1214" s="188"/>
      <c r="AG1214" s="188"/>
      <c r="AH1214" s="188"/>
      <c r="AI1214" s="188"/>
      <c r="AJ1214" s="188"/>
      <c r="AK1214" s="188"/>
      <c r="AL1214" s="188"/>
      <c r="AM1214" s="188"/>
      <c r="AN1214" s="188"/>
      <c r="AO1214" s="188"/>
      <c r="AP1214" s="188"/>
      <c r="AQ1214" s="188"/>
      <c r="AR1214" s="188"/>
      <c r="AS1214" s="188"/>
      <c r="AT1214" s="188"/>
      <c r="AU1214" s="188"/>
      <c r="AV1214" s="188"/>
      <c r="AW1214" s="188"/>
      <c r="AX1214" s="188"/>
      <c r="AY1214" s="188"/>
      <c r="AZ1214" s="188"/>
      <c r="BA1214" s="188"/>
      <c r="BB1214" s="188"/>
      <c r="BC1214" s="188"/>
    </row>
    <row r="1215">
      <c r="A1215" s="188"/>
      <c r="B1215" s="188"/>
      <c r="C1215" s="188"/>
      <c r="D1215" s="188"/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188"/>
      <c r="Q1215" s="188"/>
      <c r="R1215" s="188"/>
      <c r="S1215" s="188"/>
      <c r="T1215" s="188"/>
      <c r="U1215" s="188"/>
      <c r="V1215" s="188"/>
      <c r="W1215" s="188"/>
      <c r="X1215" s="188"/>
      <c r="Y1215" s="188"/>
      <c r="Z1215" s="188"/>
      <c r="AA1215" s="188"/>
      <c r="AB1215" s="188"/>
      <c r="AC1215" s="188"/>
      <c r="AD1215" s="188"/>
      <c r="AE1215" s="188"/>
      <c r="AF1215" s="188"/>
      <c r="AG1215" s="188"/>
      <c r="AH1215" s="188"/>
      <c r="AI1215" s="188"/>
      <c r="AJ1215" s="188"/>
      <c r="AK1215" s="188"/>
      <c r="AL1215" s="188"/>
      <c r="AM1215" s="188"/>
      <c r="AN1215" s="188"/>
      <c r="AO1215" s="188"/>
      <c r="AP1215" s="188"/>
      <c r="AQ1215" s="188"/>
      <c r="AR1215" s="188"/>
      <c r="AS1215" s="188"/>
      <c r="AT1215" s="188"/>
      <c r="AU1215" s="188"/>
      <c r="AV1215" s="188"/>
      <c r="AW1215" s="188"/>
      <c r="AX1215" s="188"/>
      <c r="AY1215" s="188"/>
      <c r="AZ1215" s="188"/>
      <c r="BA1215" s="188"/>
      <c r="BB1215" s="188"/>
      <c r="BC1215" s="188"/>
    </row>
    <row r="1216">
      <c r="A1216" s="188"/>
      <c r="B1216" s="188"/>
      <c r="C1216" s="188"/>
      <c r="D1216" s="188"/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188"/>
      <c r="Q1216" s="188"/>
      <c r="R1216" s="188"/>
      <c r="S1216" s="188"/>
      <c r="T1216" s="188"/>
      <c r="U1216" s="188"/>
      <c r="V1216" s="188"/>
      <c r="W1216" s="188"/>
      <c r="X1216" s="188"/>
      <c r="Y1216" s="188"/>
      <c r="Z1216" s="188"/>
      <c r="AA1216" s="188"/>
      <c r="AB1216" s="188"/>
      <c r="AC1216" s="188"/>
      <c r="AD1216" s="188"/>
      <c r="AE1216" s="188"/>
      <c r="AF1216" s="188"/>
      <c r="AG1216" s="188"/>
      <c r="AH1216" s="188"/>
      <c r="AI1216" s="188"/>
      <c r="AJ1216" s="188"/>
      <c r="AK1216" s="188"/>
      <c r="AL1216" s="188"/>
      <c r="AM1216" s="188"/>
      <c r="AN1216" s="188"/>
      <c r="AO1216" s="188"/>
      <c r="AP1216" s="188"/>
      <c r="AQ1216" s="188"/>
      <c r="AR1216" s="188"/>
      <c r="AS1216" s="188"/>
      <c r="AT1216" s="188"/>
      <c r="AU1216" s="188"/>
      <c r="AV1216" s="188"/>
      <c r="AW1216" s="188"/>
      <c r="AX1216" s="188"/>
      <c r="AY1216" s="188"/>
      <c r="AZ1216" s="188"/>
      <c r="BA1216" s="188"/>
      <c r="BB1216" s="188"/>
      <c r="BC1216" s="188"/>
    </row>
    <row r="1217">
      <c r="A1217" s="188"/>
      <c r="B1217" s="188"/>
      <c r="C1217" s="188"/>
      <c r="D1217" s="188"/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188"/>
      <c r="Q1217" s="188"/>
      <c r="R1217" s="188"/>
      <c r="S1217" s="188"/>
      <c r="T1217" s="188"/>
      <c r="U1217" s="188"/>
      <c r="V1217" s="188"/>
      <c r="W1217" s="188"/>
      <c r="X1217" s="188"/>
      <c r="Y1217" s="188"/>
      <c r="Z1217" s="188"/>
      <c r="AA1217" s="188"/>
      <c r="AB1217" s="188"/>
      <c r="AC1217" s="188"/>
      <c r="AD1217" s="188"/>
      <c r="AE1217" s="188"/>
      <c r="AF1217" s="188"/>
      <c r="AG1217" s="188"/>
      <c r="AH1217" s="188"/>
      <c r="AI1217" s="188"/>
      <c r="AJ1217" s="188"/>
      <c r="AK1217" s="188"/>
      <c r="AL1217" s="188"/>
      <c r="AM1217" s="188"/>
      <c r="AN1217" s="188"/>
      <c r="AO1217" s="188"/>
      <c r="AP1217" s="188"/>
      <c r="AQ1217" s="188"/>
      <c r="AR1217" s="188"/>
      <c r="AS1217" s="188"/>
      <c r="AT1217" s="188"/>
      <c r="AU1217" s="188"/>
      <c r="AV1217" s="188"/>
      <c r="AW1217" s="188"/>
      <c r="AX1217" s="188"/>
      <c r="AY1217" s="188"/>
      <c r="AZ1217" s="188"/>
      <c r="BA1217" s="188"/>
      <c r="BB1217" s="188"/>
      <c r="BC1217" s="188"/>
    </row>
    <row r="1218">
      <c r="A1218" s="188"/>
      <c r="B1218" s="188"/>
      <c r="C1218" s="188"/>
      <c r="D1218" s="188"/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188"/>
      <c r="Q1218" s="188"/>
      <c r="R1218" s="188"/>
      <c r="S1218" s="188"/>
      <c r="T1218" s="188"/>
      <c r="U1218" s="188"/>
      <c r="V1218" s="188"/>
      <c r="W1218" s="188"/>
      <c r="X1218" s="188"/>
      <c r="Y1218" s="188"/>
      <c r="Z1218" s="188"/>
      <c r="AA1218" s="188"/>
      <c r="AB1218" s="188"/>
      <c r="AC1218" s="188"/>
      <c r="AD1218" s="188"/>
      <c r="AE1218" s="188"/>
      <c r="AF1218" s="188"/>
      <c r="AG1218" s="188"/>
      <c r="AH1218" s="188"/>
      <c r="AI1218" s="188"/>
      <c r="AJ1218" s="188"/>
      <c r="AK1218" s="188"/>
      <c r="AL1218" s="188"/>
      <c r="AM1218" s="188"/>
      <c r="AN1218" s="188"/>
      <c r="AO1218" s="188"/>
      <c r="AP1218" s="188"/>
      <c r="AQ1218" s="188"/>
      <c r="AR1218" s="188"/>
      <c r="AS1218" s="188"/>
      <c r="AT1218" s="188"/>
      <c r="AU1218" s="188"/>
      <c r="AV1218" s="188"/>
      <c r="AW1218" s="188"/>
      <c r="AX1218" s="188"/>
      <c r="AY1218" s="188"/>
      <c r="AZ1218" s="188"/>
      <c r="BA1218" s="188"/>
      <c r="BB1218" s="188"/>
      <c r="BC1218" s="188"/>
    </row>
    <row r="1219">
      <c r="A1219" s="188"/>
      <c r="B1219" s="188"/>
      <c r="C1219" s="188"/>
      <c r="D1219" s="188"/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188"/>
      <c r="Q1219" s="188"/>
      <c r="R1219" s="188"/>
      <c r="S1219" s="188"/>
      <c r="T1219" s="188"/>
      <c r="U1219" s="188"/>
      <c r="V1219" s="188"/>
      <c r="W1219" s="188"/>
      <c r="X1219" s="188"/>
      <c r="Y1219" s="188"/>
      <c r="Z1219" s="188"/>
      <c r="AA1219" s="188"/>
      <c r="AB1219" s="188"/>
      <c r="AC1219" s="188"/>
      <c r="AD1219" s="188"/>
      <c r="AE1219" s="188"/>
      <c r="AF1219" s="188"/>
      <c r="AG1219" s="188"/>
      <c r="AH1219" s="188"/>
      <c r="AI1219" s="188"/>
      <c r="AJ1219" s="188"/>
      <c r="AK1219" s="188"/>
      <c r="AL1219" s="188"/>
      <c r="AM1219" s="188"/>
      <c r="AN1219" s="188"/>
      <c r="AO1219" s="188"/>
      <c r="AP1219" s="188"/>
      <c r="AQ1219" s="188"/>
      <c r="AR1219" s="188"/>
      <c r="AS1219" s="188"/>
      <c r="AT1219" s="188"/>
      <c r="AU1219" s="188"/>
      <c r="AV1219" s="188"/>
      <c r="AW1219" s="188"/>
      <c r="AX1219" s="188"/>
      <c r="AY1219" s="188"/>
      <c r="AZ1219" s="188"/>
      <c r="BA1219" s="188"/>
      <c r="BB1219" s="188"/>
      <c r="BC1219" s="188"/>
    </row>
    <row r="1220">
      <c r="A1220" s="188"/>
      <c r="B1220" s="188"/>
      <c r="C1220" s="188"/>
      <c r="D1220" s="188"/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188"/>
      <c r="Q1220" s="188"/>
      <c r="R1220" s="188"/>
      <c r="S1220" s="188"/>
      <c r="T1220" s="188"/>
      <c r="U1220" s="188"/>
      <c r="V1220" s="188"/>
      <c r="W1220" s="188"/>
      <c r="X1220" s="188"/>
      <c r="Y1220" s="188"/>
      <c r="Z1220" s="188"/>
      <c r="AA1220" s="188"/>
      <c r="AB1220" s="188"/>
      <c r="AC1220" s="188"/>
      <c r="AD1220" s="188"/>
      <c r="AE1220" s="188"/>
      <c r="AF1220" s="188"/>
      <c r="AG1220" s="188"/>
      <c r="AH1220" s="188"/>
      <c r="AI1220" s="188"/>
      <c r="AJ1220" s="188"/>
      <c r="AK1220" s="188"/>
      <c r="AL1220" s="188"/>
      <c r="AM1220" s="188"/>
      <c r="AN1220" s="188"/>
      <c r="AO1220" s="188"/>
      <c r="AP1220" s="188"/>
      <c r="AQ1220" s="188"/>
      <c r="AR1220" s="188"/>
      <c r="AS1220" s="188"/>
      <c r="AT1220" s="188"/>
      <c r="AU1220" s="188"/>
      <c r="AV1220" s="188"/>
      <c r="AW1220" s="188"/>
      <c r="AX1220" s="188"/>
      <c r="AY1220" s="188"/>
      <c r="AZ1220" s="188"/>
      <c r="BA1220" s="188"/>
      <c r="BB1220" s="188"/>
      <c r="BC1220" s="188"/>
    </row>
    <row r="1221">
      <c r="A1221" s="188"/>
      <c r="B1221" s="188"/>
      <c r="C1221" s="188"/>
      <c r="D1221" s="188"/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188"/>
      <c r="Q1221" s="188"/>
      <c r="R1221" s="188"/>
      <c r="S1221" s="188"/>
      <c r="T1221" s="188"/>
      <c r="U1221" s="188"/>
      <c r="V1221" s="188"/>
      <c r="W1221" s="188"/>
      <c r="X1221" s="188"/>
      <c r="Y1221" s="188"/>
      <c r="Z1221" s="188"/>
      <c r="AA1221" s="188"/>
      <c r="AB1221" s="188"/>
      <c r="AC1221" s="188"/>
      <c r="AD1221" s="188"/>
      <c r="AE1221" s="188"/>
      <c r="AF1221" s="188"/>
      <c r="AG1221" s="188"/>
      <c r="AH1221" s="188"/>
      <c r="AI1221" s="188"/>
      <c r="AJ1221" s="188"/>
      <c r="AK1221" s="188"/>
      <c r="AL1221" s="188"/>
      <c r="AM1221" s="188"/>
      <c r="AN1221" s="188"/>
      <c r="AO1221" s="188"/>
      <c r="AP1221" s="188"/>
      <c r="AQ1221" s="188"/>
      <c r="AR1221" s="188"/>
      <c r="AS1221" s="188"/>
      <c r="AT1221" s="188"/>
      <c r="AU1221" s="188"/>
      <c r="AV1221" s="188"/>
      <c r="AW1221" s="188"/>
      <c r="AX1221" s="188"/>
      <c r="AY1221" s="188"/>
      <c r="AZ1221" s="188"/>
      <c r="BA1221" s="188"/>
      <c r="BB1221" s="188"/>
      <c r="BC1221" s="188"/>
    </row>
    <row r="1222">
      <c r="A1222" s="188"/>
      <c r="B1222" s="188"/>
      <c r="C1222" s="188"/>
      <c r="D1222" s="188"/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188"/>
      <c r="Q1222" s="188"/>
      <c r="R1222" s="188"/>
      <c r="S1222" s="188"/>
      <c r="T1222" s="188"/>
      <c r="U1222" s="188"/>
      <c r="V1222" s="188"/>
      <c r="W1222" s="188"/>
      <c r="X1222" s="188"/>
      <c r="Y1222" s="188"/>
      <c r="Z1222" s="188"/>
      <c r="AA1222" s="188"/>
      <c r="AB1222" s="188"/>
      <c r="AC1222" s="188"/>
      <c r="AD1222" s="188"/>
      <c r="AE1222" s="188"/>
      <c r="AF1222" s="188"/>
      <c r="AG1222" s="188"/>
      <c r="AH1222" s="188"/>
      <c r="AI1222" s="188"/>
      <c r="AJ1222" s="188"/>
      <c r="AK1222" s="188"/>
      <c r="AL1222" s="188"/>
      <c r="AM1222" s="188"/>
      <c r="AN1222" s="188"/>
      <c r="AO1222" s="188"/>
      <c r="AP1222" s="188"/>
      <c r="AQ1222" s="188"/>
      <c r="AR1222" s="188"/>
      <c r="AS1222" s="188"/>
      <c r="AT1222" s="188"/>
      <c r="AU1222" s="188"/>
      <c r="AV1222" s="188"/>
      <c r="AW1222" s="188"/>
      <c r="AX1222" s="188"/>
      <c r="AY1222" s="188"/>
      <c r="AZ1222" s="188"/>
      <c r="BA1222" s="188"/>
      <c r="BB1222" s="188"/>
      <c r="BC1222" s="188"/>
    </row>
    <row r="1223">
      <c r="A1223" s="188"/>
      <c r="B1223" s="188"/>
      <c r="C1223" s="188"/>
      <c r="D1223" s="188"/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188"/>
      <c r="Q1223" s="188"/>
      <c r="R1223" s="188"/>
      <c r="S1223" s="188"/>
      <c r="T1223" s="188"/>
      <c r="U1223" s="188"/>
      <c r="V1223" s="188"/>
      <c r="W1223" s="188"/>
      <c r="X1223" s="188"/>
      <c r="Y1223" s="188"/>
      <c r="Z1223" s="188"/>
      <c r="AA1223" s="188"/>
      <c r="AB1223" s="188"/>
      <c r="AC1223" s="188"/>
      <c r="AD1223" s="188"/>
      <c r="AE1223" s="188"/>
      <c r="AF1223" s="188"/>
      <c r="AG1223" s="188"/>
      <c r="AH1223" s="188"/>
      <c r="AI1223" s="188"/>
      <c r="AJ1223" s="188"/>
      <c r="AK1223" s="188"/>
      <c r="AL1223" s="188"/>
      <c r="AM1223" s="188"/>
      <c r="AN1223" s="188"/>
      <c r="AO1223" s="188"/>
      <c r="AP1223" s="188"/>
      <c r="AQ1223" s="188"/>
      <c r="AR1223" s="188"/>
      <c r="AS1223" s="188"/>
      <c r="AT1223" s="188"/>
      <c r="AU1223" s="188"/>
      <c r="AV1223" s="188"/>
      <c r="AW1223" s="188"/>
      <c r="AX1223" s="188"/>
      <c r="AY1223" s="188"/>
      <c r="AZ1223" s="188"/>
      <c r="BA1223" s="188"/>
      <c r="BB1223" s="188"/>
      <c r="BC1223" s="188"/>
    </row>
    <row r="1224">
      <c r="A1224" s="188"/>
      <c r="B1224" s="188"/>
      <c r="C1224" s="188"/>
      <c r="D1224" s="188"/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188"/>
      <c r="Q1224" s="188"/>
      <c r="R1224" s="188"/>
      <c r="S1224" s="188"/>
      <c r="T1224" s="188"/>
      <c r="U1224" s="188"/>
      <c r="V1224" s="188"/>
      <c r="W1224" s="188"/>
      <c r="X1224" s="188"/>
      <c r="Y1224" s="188"/>
      <c r="Z1224" s="188"/>
      <c r="AA1224" s="188"/>
      <c r="AB1224" s="188"/>
      <c r="AC1224" s="188"/>
      <c r="AD1224" s="188"/>
      <c r="AE1224" s="188"/>
      <c r="AF1224" s="188"/>
      <c r="AG1224" s="188"/>
      <c r="AH1224" s="188"/>
      <c r="AI1224" s="188"/>
      <c r="AJ1224" s="188"/>
      <c r="AK1224" s="188"/>
      <c r="AL1224" s="188"/>
      <c r="AM1224" s="188"/>
      <c r="AN1224" s="188"/>
      <c r="AO1224" s="188"/>
      <c r="AP1224" s="188"/>
      <c r="AQ1224" s="188"/>
      <c r="AR1224" s="188"/>
      <c r="AS1224" s="188"/>
      <c r="AT1224" s="188"/>
      <c r="AU1224" s="188"/>
      <c r="AV1224" s="188"/>
      <c r="AW1224" s="188"/>
      <c r="AX1224" s="188"/>
      <c r="AY1224" s="188"/>
      <c r="AZ1224" s="188"/>
      <c r="BA1224" s="188"/>
      <c r="BB1224" s="188"/>
      <c r="BC1224" s="188"/>
    </row>
    <row r="1225">
      <c r="A1225" s="188"/>
      <c r="B1225" s="188"/>
      <c r="C1225" s="188"/>
      <c r="D1225" s="188"/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188"/>
      <c r="Q1225" s="188"/>
      <c r="R1225" s="188"/>
      <c r="S1225" s="188"/>
      <c r="T1225" s="188"/>
      <c r="U1225" s="188"/>
      <c r="V1225" s="188"/>
      <c r="W1225" s="188"/>
      <c r="X1225" s="188"/>
      <c r="Y1225" s="188"/>
      <c r="Z1225" s="188"/>
      <c r="AA1225" s="188"/>
      <c r="AB1225" s="188"/>
      <c r="AC1225" s="188"/>
      <c r="AD1225" s="188"/>
      <c r="AE1225" s="188"/>
      <c r="AF1225" s="188"/>
      <c r="AG1225" s="188"/>
      <c r="AH1225" s="188"/>
      <c r="AI1225" s="188"/>
      <c r="AJ1225" s="188"/>
      <c r="AK1225" s="188"/>
      <c r="AL1225" s="188"/>
      <c r="AM1225" s="188"/>
      <c r="AN1225" s="188"/>
      <c r="AO1225" s="188"/>
      <c r="AP1225" s="188"/>
      <c r="AQ1225" s="188"/>
      <c r="AR1225" s="188"/>
      <c r="AS1225" s="188"/>
      <c r="AT1225" s="188"/>
      <c r="AU1225" s="188"/>
      <c r="AV1225" s="188"/>
      <c r="AW1225" s="188"/>
      <c r="AX1225" s="188"/>
      <c r="AY1225" s="188"/>
      <c r="AZ1225" s="188"/>
      <c r="BA1225" s="188"/>
      <c r="BB1225" s="188"/>
      <c r="BC1225" s="188"/>
    </row>
    <row r="1226">
      <c r="A1226" s="188"/>
      <c r="B1226" s="188"/>
      <c r="C1226" s="188"/>
      <c r="D1226" s="188"/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188"/>
      <c r="Q1226" s="188"/>
      <c r="R1226" s="188"/>
      <c r="S1226" s="188"/>
      <c r="T1226" s="188"/>
      <c r="U1226" s="188"/>
      <c r="V1226" s="188"/>
      <c r="W1226" s="188"/>
      <c r="X1226" s="188"/>
      <c r="Y1226" s="188"/>
      <c r="Z1226" s="188"/>
      <c r="AA1226" s="188"/>
      <c r="AB1226" s="188"/>
      <c r="AC1226" s="188"/>
      <c r="AD1226" s="188"/>
      <c r="AE1226" s="188"/>
      <c r="AF1226" s="188"/>
      <c r="AG1226" s="188"/>
      <c r="AH1226" s="188"/>
      <c r="AI1226" s="188"/>
      <c r="AJ1226" s="188"/>
      <c r="AK1226" s="188"/>
      <c r="AL1226" s="188"/>
      <c r="AM1226" s="188"/>
      <c r="AN1226" s="188"/>
      <c r="AO1226" s="188"/>
      <c r="AP1226" s="188"/>
      <c r="AQ1226" s="188"/>
      <c r="AR1226" s="188"/>
      <c r="AS1226" s="188"/>
      <c r="AT1226" s="188"/>
      <c r="AU1226" s="188"/>
      <c r="AV1226" s="188"/>
      <c r="AW1226" s="188"/>
      <c r="AX1226" s="188"/>
      <c r="AY1226" s="188"/>
      <c r="AZ1226" s="188"/>
      <c r="BA1226" s="188"/>
      <c r="BB1226" s="188"/>
      <c r="BC1226" s="188"/>
    </row>
    <row r="1227">
      <c r="A1227" s="188"/>
      <c r="B1227" s="188"/>
      <c r="C1227" s="188"/>
      <c r="D1227" s="188"/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188"/>
      <c r="Q1227" s="188"/>
      <c r="R1227" s="188"/>
      <c r="S1227" s="188"/>
      <c r="T1227" s="188"/>
      <c r="U1227" s="188"/>
      <c r="V1227" s="188"/>
      <c r="W1227" s="188"/>
      <c r="X1227" s="188"/>
      <c r="Y1227" s="188"/>
      <c r="Z1227" s="188"/>
      <c r="AA1227" s="188"/>
      <c r="AB1227" s="188"/>
      <c r="AC1227" s="188"/>
      <c r="AD1227" s="188"/>
      <c r="AE1227" s="188"/>
      <c r="AF1227" s="188"/>
      <c r="AG1227" s="188"/>
      <c r="AH1227" s="188"/>
      <c r="AI1227" s="188"/>
      <c r="AJ1227" s="188"/>
      <c r="AK1227" s="188"/>
      <c r="AL1227" s="188"/>
      <c r="AM1227" s="188"/>
      <c r="AN1227" s="188"/>
      <c r="AO1227" s="188"/>
      <c r="AP1227" s="188"/>
      <c r="AQ1227" s="188"/>
      <c r="AR1227" s="188"/>
      <c r="AS1227" s="188"/>
      <c r="AT1227" s="188"/>
      <c r="AU1227" s="188"/>
      <c r="AV1227" s="188"/>
      <c r="AW1227" s="188"/>
      <c r="AX1227" s="188"/>
      <c r="AY1227" s="188"/>
      <c r="AZ1227" s="188"/>
      <c r="BA1227" s="188"/>
      <c r="BB1227" s="188"/>
      <c r="BC1227" s="188"/>
    </row>
    <row r="1228">
      <c r="A1228" s="188"/>
      <c r="B1228" s="188"/>
      <c r="C1228" s="188"/>
      <c r="D1228" s="188"/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188"/>
      <c r="Q1228" s="188"/>
      <c r="R1228" s="188"/>
      <c r="S1228" s="188"/>
      <c r="T1228" s="188"/>
      <c r="U1228" s="188"/>
      <c r="V1228" s="188"/>
      <c r="W1228" s="188"/>
      <c r="X1228" s="188"/>
      <c r="Y1228" s="188"/>
      <c r="Z1228" s="188"/>
      <c r="AA1228" s="188"/>
      <c r="AB1228" s="188"/>
      <c r="AC1228" s="188"/>
      <c r="AD1228" s="188"/>
      <c r="AE1228" s="188"/>
      <c r="AF1228" s="188"/>
      <c r="AG1228" s="188"/>
      <c r="AH1228" s="188"/>
      <c r="AI1228" s="188"/>
      <c r="AJ1228" s="188"/>
      <c r="AK1228" s="188"/>
      <c r="AL1228" s="188"/>
      <c r="AM1228" s="188"/>
      <c r="AN1228" s="188"/>
      <c r="AO1228" s="188"/>
      <c r="AP1228" s="188"/>
      <c r="AQ1228" s="188"/>
      <c r="AR1228" s="188"/>
      <c r="AS1228" s="188"/>
      <c r="AT1228" s="188"/>
      <c r="AU1228" s="188"/>
      <c r="AV1228" s="188"/>
      <c r="AW1228" s="188"/>
      <c r="AX1228" s="188"/>
      <c r="AY1228" s="188"/>
      <c r="AZ1228" s="188"/>
      <c r="BA1228" s="188"/>
      <c r="BB1228" s="188"/>
      <c r="BC1228" s="188"/>
    </row>
    <row r="1229">
      <c r="A1229" s="188"/>
      <c r="B1229" s="188"/>
      <c r="C1229" s="188"/>
      <c r="D1229" s="188"/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188"/>
      <c r="Q1229" s="188"/>
      <c r="R1229" s="188"/>
      <c r="S1229" s="188"/>
      <c r="T1229" s="188"/>
      <c r="U1229" s="188"/>
      <c r="V1229" s="188"/>
      <c r="W1229" s="188"/>
      <c r="X1229" s="188"/>
      <c r="Y1229" s="188"/>
      <c r="Z1229" s="188"/>
      <c r="AA1229" s="188"/>
      <c r="AB1229" s="188"/>
      <c r="AC1229" s="188"/>
      <c r="AD1229" s="188"/>
      <c r="AE1229" s="188"/>
      <c r="AF1229" s="188"/>
      <c r="AG1229" s="188"/>
      <c r="AH1229" s="188"/>
      <c r="AI1229" s="188"/>
      <c r="AJ1229" s="188"/>
      <c r="AK1229" s="188"/>
      <c r="AL1229" s="188"/>
      <c r="AM1229" s="188"/>
      <c r="AN1229" s="188"/>
      <c r="AO1229" s="188"/>
      <c r="AP1229" s="188"/>
      <c r="AQ1229" s="188"/>
      <c r="AR1229" s="188"/>
      <c r="AS1229" s="188"/>
      <c r="AT1229" s="188"/>
      <c r="AU1229" s="188"/>
      <c r="AV1229" s="188"/>
      <c r="AW1229" s="188"/>
      <c r="AX1229" s="188"/>
      <c r="AY1229" s="188"/>
      <c r="AZ1229" s="188"/>
      <c r="BA1229" s="188"/>
      <c r="BB1229" s="188"/>
      <c r="BC1229" s="188"/>
    </row>
    <row r="1230">
      <c r="A1230" s="188"/>
      <c r="B1230" s="188"/>
      <c r="C1230" s="188"/>
      <c r="D1230" s="188"/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188"/>
      <c r="Q1230" s="188"/>
      <c r="R1230" s="188"/>
      <c r="S1230" s="188"/>
      <c r="T1230" s="188"/>
      <c r="U1230" s="188"/>
      <c r="V1230" s="188"/>
      <c r="W1230" s="188"/>
      <c r="X1230" s="188"/>
      <c r="Y1230" s="188"/>
      <c r="Z1230" s="188"/>
      <c r="AA1230" s="188"/>
      <c r="AB1230" s="188"/>
      <c r="AC1230" s="188"/>
      <c r="AD1230" s="188"/>
      <c r="AE1230" s="188"/>
      <c r="AF1230" s="188"/>
      <c r="AG1230" s="188"/>
      <c r="AH1230" s="188"/>
      <c r="AI1230" s="188"/>
      <c r="AJ1230" s="188"/>
      <c r="AK1230" s="188"/>
      <c r="AL1230" s="188"/>
      <c r="AM1230" s="188"/>
      <c r="AN1230" s="188"/>
      <c r="AO1230" s="188"/>
      <c r="AP1230" s="188"/>
      <c r="AQ1230" s="188"/>
      <c r="AR1230" s="188"/>
      <c r="AS1230" s="188"/>
      <c r="AT1230" s="188"/>
      <c r="AU1230" s="188"/>
      <c r="AV1230" s="188"/>
      <c r="AW1230" s="188"/>
      <c r="AX1230" s="188"/>
      <c r="AY1230" s="188"/>
      <c r="AZ1230" s="188"/>
      <c r="BA1230" s="188"/>
      <c r="BB1230" s="188"/>
      <c r="BC1230" s="188"/>
    </row>
    <row r="1231">
      <c r="A1231" s="188"/>
      <c r="B1231" s="188"/>
      <c r="C1231" s="188"/>
      <c r="D1231" s="188"/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188"/>
      <c r="Q1231" s="188"/>
      <c r="R1231" s="188"/>
      <c r="S1231" s="188"/>
      <c r="T1231" s="188"/>
      <c r="U1231" s="188"/>
      <c r="V1231" s="188"/>
      <c r="W1231" s="188"/>
      <c r="X1231" s="188"/>
      <c r="Y1231" s="188"/>
      <c r="Z1231" s="188"/>
      <c r="AA1231" s="188"/>
      <c r="AB1231" s="188"/>
      <c r="AC1231" s="188"/>
      <c r="AD1231" s="188"/>
      <c r="AE1231" s="188"/>
      <c r="AF1231" s="188"/>
      <c r="AG1231" s="188"/>
      <c r="AH1231" s="188"/>
      <c r="AI1231" s="188"/>
      <c r="AJ1231" s="188"/>
      <c r="AK1231" s="188"/>
      <c r="AL1231" s="188"/>
      <c r="AM1231" s="188"/>
      <c r="AN1231" s="188"/>
      <c r="AO1231" s="188"/>
      <c r="AP1231" s="188"/>
      <c r="AQ1231" s="188"/>
      <c r="AR1231" s="188"/>
      <c r="AS1231" s="188"/>
      <c r="AT1231" s="188"/>
      <c r="AU1231" s="188"/>
      <c r="AV1231" s="188"/>
      <c r="AW1231" s="188"/>
      <c r="AX1231" s="188"/>
      <c r="AY1231" s="188"/>
      <c r="AZ1231" s="188"/>
      <c r="BA1231" s="188"/>
      <c r="BB1231" s="188"/>
      <c r="BC1231" s="188"/>
    </row>
    <row r="1232">
      <c r="A1232" s="188"/>
      <c r="B1232" s="188"/>
      <c r="C1232" s="188"/>
      <c r="D1232" s="188"/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188"/>
      <c r="Q1232" s="188"/>
      <c r="R1232" s="188"/>
      <c r="S1232" s="188"/>
      <c r="T1232" s="188"/>
      <c r="U1232" s="188"/>
      <c r="V1232" s="188"/>
      <c r="W1232" s="188"/>
      <c r="X1232" s="188"/>
      <c r="Y1232" s="188"/>
      <c r="Z1232" s="188"/>
      <c r="AA1232" s="188"/>
      <c r="AB1232" s="188"/>
      <c r="AC1232" s="188"/>
      <c r="AD1232" s="188"/>
      <c r="AE1232" s="188"/>
      <c r="AF1232" s="188"/>
      <c r="AG1232" s="188"/>
      <c r="AH1232" s="188"/>
      <c r="AI1232" s="188"/>
      <c r="AJ1232" s="188"/>
      <c r="AK1232" s="188"/>
      <c r="AL1232" s="188"/>
      <c r="AM1232" s="188"/>
      <c r="AN1232" s="188"/>
      <c r="AO1232" s="188"/>
      <c r="AP1232" s="188"/>
      <c r="AQ1232" s="188"/>
      <c r="AR1232" s="188"/>
      <c r="AS1232" s="188"/>
      <c r="AT1232" s="188"/>
      <c r="AU1232" s="188"/>
      <c r="AV1232" s="188"/>
      <c r="AW1232" s="188"/>
      <c r="AX1232" s="188"/>
      <c r="AY1232" s="188"/>
      <c r="AZ1232" s="188"/>
      <c r="BA1232" s="188"/>
      <c r="BB1232" s="188"/>
      <c r="BC1232" s="188"/>
    </row>
    <row r="1233">
      <c r="A1233" s="188"/>
      <c r="B1233" s="188"/>
      <c r="C1233" s="188"/>
      <c r="D1233" s="188"/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188"/>
      <c r="Q1233" s="188"/>
      <c r="R1233" s="188"/>
      <c r="S1233" s="188"/>
      <c r="T1233" s="188"/>
      <c r="U1233" s="188"/>
      <c r="V1233" s="188"/>
      <c r="W1233" s="188"/>
      <c r="X1233" s="188"/>
      <c r="Y1233" s="188"/>
      <c r="Z1233" s="188"/>
      <c r="AA1233" s="188"/>
      <c r="AB1233" s="188"/>
      <c r="AC1233" s="188"/>
      <c r="AD1233" s="188"/>
      <c r="AE1233" s="188"/>
      <c r="AF1233" s="188"/>
      <c r="AG1233" s="188"/>
      <c r="AH1233" s="188"/>
      <c r="AI1233" s="188"/>
      <c r="AJ1233" s="188"/>
      <c r="AK1233" s="188"/>
      <c r="AL1233" s="188"/>
      <c r="AM1233" s="188"/>
      <c r="AN1233" s="188"/>
      <c r="AO1233" s="188"/>
      <c r="AP1233" s="188"/>
      <c r="AQ1233" s="188"/>
      <c r="AR1233" s="188"/>
      <c r="AS1233" s="188"/>
      <c r="AT1233" s="188"/>
      <c r="AU1233" s="188"/>
      <c r="AV1233" s="188"/>
      <c r="AW1233" s="188"/>
      <c r="AX1233" s="188"/>
      <c r="AY1233" s="188"/>
      <c r="AZ1233" s="188"/>
      <c r="BA1233" s="188"/>
      <c r="BB1233" s="188"/>
      <c r="BC1233" s="188"/>
    </row>
    <row r="1234">
      <c r="A1234" s="188"/>
      <c r="B1234" s="188"/>
      <c r="C1234" s="188"/>
      <c r="D1234" s="188"/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188"/>
      <c r="Q1234" s="188"/>
      <c r="R1234" s="188"/>
      <c r="S1234" s="188"/>
      <c r="T1234" s="188"/>
      <c r="U1234" s="188"/>
      <c r="V1234" s="188"/>
      <c r="W1234" s="188"/>
      <c r="X1234" s="188"/>
      <c r="Y1234" s="188"/>
      <c r="Z1234" s="188"/>
      <c r="AA1234" s="188"/>
      <c r="AB1234" s="188"/>
      <c r="AC1234" s="188"/>
      <c r="AD1234" s="188"/>
      <c r="AE1234" s="188"/>
      <c r="AF1234" s="188"/>
      <c r="AG1234" s="188"/>
      <c r="AH1234" s="188"/>
      <c r="AI1234" s="188"/>
      <c r="AJ1234" s="188"/>
      <c r="AK1234" s="188"/>
      <c r="AL1234" s="188"/>
      <c r="AM1234" s="188"/>
      <c r="AN1234" s="188"/>
      <c r="AO1234" s="188"/>
      <c r="AP1234" s="188"/>
      <c r="AQ1234" s="188"/>
      <c r="AR1234" s="188"/>
      <c r="AS1234" s="188"/>
      <c r="AT1234" s="188"/>
      <c r="AU1234" s="188"/>
      <c r="AV1234" s="188"/>
      <c r="AW1234" s="188"/>
      <c r="AX1234" s="188"/>
      <c r="AY1234" s="188"/>
      <c r="AZ1234" s="188"/>
      <c r="BA1234" s="188"/>
      <c r="BB1234" s="188"/>
      <c r="BC1234" s="188"/>
    </row>
    <row r="1235">
      <c r="A1235" s="188"/>
      <c r="B1235" s="188"/>
      <c r="C1235" s="188"/>
      <c r="D1235" s="188"/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188"/>
      <c r="Q1235" s="188"/>
      <c r="R1235" s="188"/>
      <c r="S1235" s="188"/>
      <c r="T1235" s="188"/>
      <c r="U1235" s="188"/>
      <c r="V1235" s="188"/>
      <c r="W1235" s="188"/>
      <c r="X1235" s="188"/>
      <c r="Y1235" s="188"/>
      <c r="Z1235" s="188"/>
      <c r="AA1235" s="188"/>
      <c r="AB1235" s="188"/>
      <c r="AC1235" s="188"/>
      <c r="AD1235" s="188"/>
      <c r="AE1235" s="188"/>
      <c r="AF1235" s="188"/>
      <c r="AG1235" s="188"/>
      <c r="AH1235" s="188"/>
      <c r="AI1235" s="188"/>
      <c r="AJ1235" s="188"/>
      <c r="AK1235" s="188"/>
      <c r="AL1235" s="188"/>
      <c r="AM1235" s="188"/>
      <c r="AN1235" s="188"/>
      <c r="AO1235" s="188"/>
      <c r="AP1235" s="188"/>
      <c r="AQ1235" s="188"/>
      <c r="AR1235" s="188"/>
      <c r="AS1235" s="188"/>
      <c r="AT1235" s="188"/>
      <c r="AU1235" s="188"/>
      <c r="AV1235" s="188"/>
      <c r="AW1235" s="188"/>
      <c r="AX1235" s="188"/>
      <c r="AY1235" s="188"/>
      <c r="AZ1235" s="188"/>
      <c r="BA1235" s="188"/>
      <c r="BB1235" s="188"/>
      <c r="BC1235" s="188"/>
    </row>
    <row r="1236">
      <c r="A1236" s="188"/>
      <c r="B1236" s="188"/>
      <c r="C1236" s="188"/>
      <c r="D1236" s="188"/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188"/>
      <c r="Q1236" s="188"/>
      <c r="R1236" s="188"/>
      <c r="S1236" s="188"/>
      <c r="T1236" s="188"/>
      <c r="U1236" s="188"/>
      <c r="V1236" s="188"/>
      <c r="W1236" s="188"/>
      <c r="X1236" s="188"/>
      <c r="Y1236" s="188"/>
      <c r="Z1236" s="188"/>
      <c r="AA1236" s="188"/>
      <c r="AB1236" s="188"/>
      <c r="AC1236" s="188"/>
      <c r="AD1236" s="188"/>
      <c r="AE1236" s="188"/>
      <c r="AF1236" s="188"/>
      <c r="AG1236" s="188"/>
      <c r="AH1236" s="188"/>
      <c r="AI1236" s="188"/>
      <c r="AJ1236" s="188"/>
      <c r="AK1236" s="188"/>
      <c r="AL1236" s="188"/>
      <c r="AM1236" s="188"/>
      <c r="AN1236" s="188"/>
      <c r="AO1236" s="188"/>
      <c r="AP1236" s="188"/>
      <c r="AQ1236" s="188"/>
      <c r="AR1236" s="188"/>
      <c r="AS1236" s="188"/>
      <c r="AT1236" s="188"/>
      <c r="AU1236" s="188"/>
      <c r="AV1236" s="188"/>
      <c r="AW1236" s="188"/>
      <c r="AX1236" s="188"/>
      <c r="AY1236" s="188"/>
      <c r="AZ1236" s="188"/>
      <c r="BA1236" s="188"/>
      <c r="BB1236" s="188"/>
      <c r="BC1236" s="188"/>
    </row>
    <row r="1237">
      <c r="A1237" s="188"/>
      <c r="B1237" s="188"/>
      <c r="C1237" s="188"/>
      <c r="D1237" s="188"/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188"/>
      <c r="Q1237" s="188"/>
      <c r="R1237" s="188"/>
      <c r="S1237" s="188"/>
      <c r="T1237" s="188"/>
      <c r="U1237" s="188"/>
      <c r="V1237" s="188"/>
      <c r="W1237" s="188"/>
      <c r="X1237" s="188"/>
      <c r="Y1237" s="188"/>
      <c r="Z1237" s="188"/>
      <c r="AA1237" s="188"/>
      <c r="AB1237" s="188"/>
      <c r="AC1237" s="188"/>
      <c r="AD1237" s="188"/>
      <c r="AE1237" s="188"/>
      <c r="AF1237" s="188"/>
      <c r="AG1237" s="188"/>
      <c r="AH1237" s="188"/>
      <c r="AI1237" s="188"/>
      <c r="AJ1237" s="188"/>
      <c r="AK1237" s="188"/>
      <c r="AL1237" s="188"/>
      <c r="AM1237" s="188"/>
      <c r="AN1237" s="188"/>
      <c r="AO1237" s="188"/>
      <c r="AP1237" s="188"/>
      <c r="AQ1237" s="188"/>
      <c r="AR1237" s="188"/>
      <c r="AS1237" s="188"/>
      <c r="AT1237" s="188"/>
      <c r="AU1237" s="188"/>
      <c r="AV1237" s="188"/>
      <c r="AW1237" s="188"/>
      <c r="AX1237" s="188"/>
      <c r="AY1237" s="188"/>
      <c r="AZ1237" s="188"/>
      <c r="BA1237" s="188"/>
      <c r="BB1237" s="188"/>
      <c r="BC1237" s="188"/>
    </row>
    <row r="1238">
      <c r="A1238" s="188"/>
      <c r="B1238" s="188"/>
      <c r="C1238" s="188"/>
      <c r="D1238" s="188"/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188"/>
      <c r="Q1238" s="188"/>
      <c r="R1238" s="188"/>
      <c r="S1238" s="188"/>
      <c r="T1238" s="188"/>
      <c r="U1238" s="188"/>
      <c r="V1238" s="188"/>
      <c r="W1238" s="188"/>
      <c r="X1238" s="188"/>
      <c r="Y1238" s="188"/>
      <c r="Z1238" s="188"/>
      <c r="AA1238" s="188"/>
      <c r="AB1238" s="188"/>
      <c r="AC1238" s="188"/>
      <c r="AD1238" s="188"/>
      <c r="AE1238" s="188"/>
      <c r="AF1238" s="188"/>
      <c r="AG1238" s="188"/>
      <c r="AH1238" s="188"/>
      <c r="AI1238" s="188"/>
      <c r="AJ1238" s="188"/>
      <c r="AK1238" s="188"/>
      <c r="AL1238" s="188"/>
      <c r="AM1238" s="188"/>
      <c r="AN1238" s="188"/>
      <c r="AO1238" s="188"/>
      <c r="AP1238" s="188"/>
      <c r="AQ1238" s="188"/>
      <c r="AR1238" s="188"/>
      <c r="AS1238" s="188"/>
      <c r="AT1238" s="188"/>
      <c r="AU1238" s="188"/>
      <c r="AV1238" s="188"/>
      <c r="AW1238" s="188"/>
      <c r="AX1238" s="188"/>
      <c r="AY1238" s="188"/>
      <c r="AZ1238" s="188"/>
      <c r="BA1238" s="188"/>
      <c r="BB1238" s="188"/>
      <c r="BC1238" s="188"/>
    </row>
    <row r="1239">
      <c r="A1239" s="188"/>
      <c r="B1239" s="188"/>
      <c r="C1239" s="188"/>
      <c r="D1239" s="188"/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188"/>
      <c r="Q1239" s="188"/>
      <c r="R1239" s="188"/>
      <c r="S1239" s="188"/>
      <c r="T1239" s="188"/>
      <c r="U1239" s="188"/>
      <c r="V1239" s="188"/>
      <c r="W1239" s="188"/>
      <c r="X1239" s="188"/>
      <c r="Y1239" s="188"/>
      <c r="Z1239" s="188"/>
      <c r="AA1239" s="188"/>
      <c r="AB1239" s="188"/>
      <c r="AC1239" s="188"/>
      <c r="AD1239" s="188"/>
      <c r="AE1239" s="188"/>
      <c r="AF1239" s="188"/>
      <c r="AG1239" s="188"/>
      <c r="AH1239" s="188"/>
      <c r="AI1239" s="188"/>
      <c r="AJ1239" s="188"/>
      <c r="AK1239" s="188"/>
      <c r="AL1239" s="188"/>
      <c r="AM1239" s="188"/>
      <c r="AN1239" s="188"/>
      <c r="AO1239" s="188"/>
      <c r="AP1239" s="188"/>
      <c r="AQ1239" s="188"/>
      <c r="AR1239" s="188"/>
      <c r="AS1239" s="188"/>
      <c r="AT1239" s="188"/>
      <c r="AU1239" s="188"/>
      <c r="AV1239" s="188"/>
      <c r="AW1239" s="188"/>
      <c r="AX1239" s="188"/>
      <c r="AY1239" s="188"/>
      <c r="AZ1239" s="188"/>
      <c r="BA1239" s="188"/>
      <c r="BB1239" s="188"/>
      <c r="BC1239" s="188"/>
    </row>
    <row r="1240">
      <c r="A1240" s="188"/>
      <c r="B1240" s="188"/>
      <c r="C1240" s="188"/>
      <c r="D1240" s="188"/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188"/>
      <c r="Q1240" s="188"/>
      <c r="R1240" s="188"/>
      <c r="S1240" s="188"/>
      <c r="T1240" s="188"/>
      <c r="U1240" s="188"/>
      <c r="V1240" s="188"/>
      <c r="W1240" s="188"/>
      <c r="X1240" s="188"/>
      <c r="Y1240" s="188"/>
      <c r="Z1240" s="188"/>
      <c r="AA1240" s="188"/>
      <c r="AB1240" s="188"/>
      <c r="AC1240" s="188"/>
      <c r="AD1240" s="188"/>
      <c r="AE1240" s="188"/>
      <c r="AF1240" s="188"/>
      <c r="AG1240" s="188"/>
      <c r="AH1240" s="188"/>
      <c r="AI1240" s="188"/>
      <c r="AJ1240" s="188"/>
      <c r="AK1240" s="188"/>
      <c r="AL1240" s="188"/>
      <c r="AM1240" s="188"/>
      <c r="AN1240" s="188"/>
      <c r="AO1240" s="188"/>
      <c r="AP1240" s="188"/>
      <c r="AQ1240" s="188"/>
      <c r="AR1240" s="188"/>
      <c r="AS1240" s="188"/>
      <c r="AT1240" s="188"/>
      <c r="AU1240" s="188"/>
      <c r="AV1240" s="188"/>
      <c r="AW1240" s="188"/>
      <c r="AX1240" s="188"/>
      <c r="AY1240" s="188"/>
      <c r="AZ1240" s="188"/>
      <c r="BA1240" s="188"/>
      <c r="BB1240" s="188"/>
      <c r="BC1240" s="188"/>
    </row>
    <row r="1241">
      <c r="A1241" s="188"/>
      <c r="B1241" s="188"/>
      <c r="C1241" s="188"/>
      <c r="D1241" s="188"/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188"/>
      <c r="Q1241" s="188"/>
      <c r="R1241" s="188"/>
      <c r="S1241" s="188"/>
      <c r="T1241" s="188"/>
      <c r="U1241" s="188"/>
      <c r="V1241" s="188"/>
      <c r="W1241" s="188"/>
      <c r="X1241" s="188"/>
      <c r="Y1241" s="188"/>
      <c r="Z1241" s="188"/>
      <c r="AA1241" s="188"/>
      <c r="AB1241" s="188"/>
      <c r="AC1241" s="188"/>
      <c r="AD1241" s="188"/>
      <c r="AE1241" s="188"/>
      <c r="AF1241" s="188"/>
      <c r="AG1241" s="188"/>
      <c r="AH1241" s="188"/>
      <c r="AI1241" s="188"/>
      <c r="AJ1241" s="188"/>
      <c r="AK1241" s="188"/>
      <c r="AL1241" s="188"/>
      <c r="AM1241" s="188"/>
      <c r="AN1241" s="188"/>
      <c r="AO1241" s="188"/>
      <c r="AP1241" s="188"/>
      <c r="AQ1241" s="188"/>
      <c r="AR1241" s="188"/>
      <c r="AS1241" s="188"/>
      <c r="AT1241" s="188"/>
      <c r="AU1241" s="188"/>
      <c r="AV1241" s="188"/>
      <c r="AW1241" s="188"/>
      <c r="AX1241" s="188"/>
      <c r="AY1241" s="188"/>
      <c r="AZ1241" s="188"/>
      <c r="BA1241" s="188"/>
      <c r="BB1241" s="188"/>
      <c r="BC1241" s="188"/>
    </row>
    <row r="1242">
      <c r="A1242" s="188"/>
      <c r="B1242" s="188"/>
      <c r="C1242" s="188"/>
      <c r="D1242" s="188"/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188"/>
      <c r="Q1242" s="188"/>
      <c r="R1242" s="188"/>
      <c r="S1242" s="188"/>
      <c r="T1242" s="188"/>
      <c r="U1242" s="188"/>
      <c r="V1242" s="188"/>
      <c r="W1242" s="188"/>
      <c r="X1242" s="188"/>
      <c r="Y1242" s="188"/>
      <c r="Z1242" s="188"/>
      <c r="AA1242" s="188"/>
      <c r="AB1242" s="188"/>
      <c r="AC1242" s="188"/>
      <c r="AD1242" s="188"/>
      <c r="AE1242" s="188"/>
      <c r="AF1242" s="188"/>
      <c r="AG1242" s="188"/>
      <c r="AH1242" s="188"/>
      <c r="AI1242" s="188"/>
      <c r="AJ1242" s="188"/>
      <c r="AK1242" s="188"/>
      <c r="AL1242" s="188"/>
      <c r="AM1242" s="188"/>
      <c r="AN1242" s="188"/>
      <c r="AO1242" s="188"/>
      <c r="AP1242" s="188"/>
      <c r="AQ1242" s="188"/>
      <c r="AR1242" s="188"/>
      <c r="AS1242" s="188"/>
      <c r="AT1242" s="188"/>
      <c r="AU1242" s="188"/>
      <c r="AV1242" s="188"/>
      <c r="AW1242" s="188"/>
      <c r="AX1242" s="188"/>
      <c r="AY1242" s="188"/>
      <c r="AZ1242" s="188"/>
      <c r="BA1242" s="188"/>
      <c r="BB1242" s="188"/>
      <c r="BC1242" s="188"/>
    </row>
    <row r="1243">
      <c r="A1243" s="188"/>
      <c r="B1243" s="188"/>
      <c r="C1243" s="188"/>
      <c r="D1243" s="188"/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188"/>
      <c r="Q1243" s="188"/>
      <c r="R1243" s="188"/>
      <c r="S1243" s="188"/>
      <c r="T1243" s="188"/>
      <c r="U1243" s="188"/>
      <c r="V1243" s="188"/>
      <c r="W1243" s="188"/>
      <c r="X1243" s="188"/>
      <c r="Y1243" s="188"/>
      <c r="Z1243" s="188"/>
      <c r="AA1243" s="188"/>
      <c r="AB1243" s="188"/>
      <c r="AC1243" s="188"/>
      <c r="AD1243" s="188"/>
      <c r="AE1243" s="188"/>
      <c r="AF1243" s="188"/>
      <c r="AG1243" s="188"/>
      <c r="AH1243" s="188"/>
      <c r="AI1243" s="188"/>
      <c r="AJ1243" s="188"/>
      <c r="AK1243" s="188"/>
      <c r="AL1243" s="188"/>
      <c r="AM1243" s="188"/>
      <c r="AN1243" s="188"/>
      <c r="AO1243" s="188"/>
      <c r="AP1243" s="188"/>
      <c r="AQ1243" s="188"/>
      <c r="AR1243" s="188"/>
      <c r="AS1243" s="188"/>
      <c r="AT1243" s="188"/>
      <c r="AU1243" s="188"/>
      <c r="AV1243" s="188"/>
      <c r="AW1243" s="188"/>
      <c r="AX1243" s="188"/>
      <c r="AY1243" s="188"/>
      <c r="AZ1243" s="188"/>
      <c r="BA1243" s="188"/>
      <c r="BB1243" s="188"/>
      <c r="BC1243" s="188"/>
    </row>
    <row r="1244">
      <c r="A1244" s="188"/>
      <c r="B1244" s="188"/>
      <c r="C1244" s="188"/>
      <c r="D1244" s="188"/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188"/>
      <c r="Q1244" s="188"/>
      <c r="R1244" s="188"/>
      <c r="S1244" s="188"/>
      <c r="T1244" s="188"/>
      <c r="U1244" s="188"/>
      <c r="V1244" s="188"/>
      <c r="W1244" s="188"/>
      <c r="X1244" s="188"/>
      <c r="Y1244" s="188"/>
      <c r="Z1244" s="188"/>
      <c r="AA1244" s="188"/>
      <c r="AB1244" s="188"/>
      <c r="AC1244" s="188"/>
      <c r="AD1244" s="188"/>
      <c r="AE1244" s="188"/>
      <c r="AF1244" s="188"/>
      <c r="AG1244" s="188"/>
      <c r="AH1244" s="188"/>
      <c r="AI1244" s="188"/>
      <c r="AJ1244" s="188"/>
      <c r="AK1244" s="188"/>
      <c r="AL1244" s="188"/>
      <c r="AM1244" s="188"/>
      <c r="AN1244" s="188"/>
      <c r="AO1244" s="188"/>
      <c r="AP1244" s="188"/>
      <c r="AQ1244" s="188"/>
      <c r="AR1244" s="188"/>
      <c r="AS1244" s="188"/>
      <c r="AT1244" s="188"/>
      <c r="AU1244" s="188"/>
      <c r="AV1244" s="188"/>
      <c r="AW1244" s="188"/>
      <c r="AX1244" s="188"/>
      <c r="AY1244" s="188"/>
      <c r="AZ1244" s="188"/>
      <c r="BA1244" s="188"/>
      <c r="BB1244" s="188"/>
      <c r="BC1244" s="188"/>
    </row>
    <row r="1245">
      <c r="A1245" s="188"/>
      <c r="B1245" s="188"/>
      <c r="C1245" s="188"/>
      <c r="D1245" s="188"/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188"/>
      <c r="Q1245" s="188"/>
      <c r="R1245" s="188"/>
      <c r="S1245" s="188"/>
      <c r="T1245" s="188"/>
      <c r="U1245" s="188"/>
      <c r="V1245" s="188"/>
      <c r="W1245" s="188"/>
      <c r="X1245" s="188"/>
      <c r="Y1245" s="188"/>
      <c r="Z1245" s="188"/>
      <c r="AA1245" s="188"/>
      <c r="AB1245" s="188"/>
      <c r="AC1245" s="188"/>
      <c r="AD1245" s="188"/>
      <c r="AE1245" s="188"/>
      <c r="AF1245" s="188"/>
      <c r="AG1245" s="188"/>
      <c r="AH1245" s="188"/>
      <c r="AI1245" s="188"/>
      <c r="AJ1245" s="188"/>
      <c r="AK1245" s="188"/>
      <c r="AL1245" s="188"/>
      <c r="AM1245" s="188"/>
      <c r="AN1245" s="188"/>
      <c r="AO1245" s="188"/>
      <c r="AP1245" s="188"/>
      <c r="AQ1245" s="188"/>
      <c r="AR1245" s="188"/>
      <c r="AS1245" s="188"/>
      <c r="AT1245" s="188"/>
      <c r="AU1245" s="188"/>
      <c r="AV1245" s="188"/>
      <c r="AW1245" s="188"/>
      <c r="AX1245" s="188"/>
      <c r="AY1245" s="188"/>
      <c r="AZ1245" s="188"/>
      <c r="BA1245" s="188"/>
      <c r="BB1245" s="188"/>
      <c r="BC1245" s="188"/>
    </row>
    <row r="1246">
      <c r="A1246" s="188"/>
      <c r="B1246" s="188"/>
      <c r="C1246" s="188"/>
      <c r="D1246" s="188"/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188"/>
      <c r="Q1246" s="188"/>
      <c r="R1246" s="188"/>
      <c r="S1246" s="188"/>
      <c r="T1246" s="188"/>
      <c r="U1246" s="188"/>
      <c r="V1246" s="188"/>
      <c r="W1246" s="188"/>
      <c r="X1246" s="188"/>
      <c r="Y1246" s="188"/>
      <c r="Z1246" s="188"/>
      <c r="AA1246" s="188"/>
      <c r="AB1246" s="188"/>
      <c r="AC1246" s="188"/>
      <c r="AD1246" s="188"/>
      <c r="AE1246" s="188"/>
      <c r="AF1246" s="188"/>
      <c r="AG1246" s="188"/>
      <c r="AH1246" s="188"/>
      <c r="AI1246" s="188"/>
      <c r="AJ1246" s="188"/>
      <c r="AK1246" s="188"/>
      <c r="AL1246" s="188"/>
      <c r="AM1246" s="188"/>
      <c r="AN1246" s="188"/>
      <c r="AO1246" s="188"/>
      <c r="AP1246" s="188"/>
      <c r="AQ1246" s="188"/>
      <c r="AR1246" s="188"/>
      <c r="AS1246" s="188"/>
      <c r="AT1246" s="188"/>
      <c r="AU1246" s="188"/>
      <c r="AV1246" s="188"/>
      <c r="AW1246" s="188"/>
      <c r="AX1246" s="188"/>
      <c r="AY1246" s="188"/>
      <c r="AZ1246" s="188"/>
      <c r="BA1246" s="188"/>
      <c r="BB1246" s="188"/>
      <c r="BC1246" s="188"/>
    </row>
    <row r="1247">
      <c r="A1247" s="188"/>
      <c r="B1247" s="188"/>
      <c r="C1247" s="188"/>
      <c r="D1247" s="188"/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188"/>
      <c r="Q1247" s="188"/>
      <c r="R1247" s="188"/>
      <c r="S1247" s="188"/>
      <c r="T1247" s="188"/>
      <c r="U1247" s="188"/>
      <c r="V1247" s="188"/>
      <c r="W1247" s="188"/>
      <c r="X1247" s="188"/>
      <c r="Y1247" s="188"/>
      <c r="Z1247" s="188"/>
      <c r="AA1247" s="188"/>
      <c r="AB1247" s="188"/>
      <c r="AC1247" s="188"/>
      <c r="AD1247" s="188"/>
      <c r="AE1247" s="188"/>
      <c r="AF1247" s="188"/>
      <c r="AG1247" s="188"/>
      <c r="AH1247" s="188"/>
      <c r="AI1247" s="188"/>
      <c r="AJ1247" s="188"/>
      <c r="AK1247" s="188"/>
      <c r="AL1247" s="188"/>
      <c r="AM1247" s="188"/>
      <c r="AN1247" s="188"/>
      <c r="AO1247" s="188"/>
      <c r="AP1247" s="188"/>
      <c r="AQ1247" s="188"/>
      <c r="AR1247" s="188"/>
      <c r="AS1247" s="188"/>
      <c r="AT1247" s="188"/>
      <c r="AU1247" s="188"/>
      <c r="AV1247" s="188"/>
      <c r="AW1247" s="188"/>
      <c r="AX1247" s="188"/>
      <c r="AY1247" s="188"/>
      <c r="AZ1247" s="188"/>
      <c r="BA1247" s="188"/>
      <c r="BB1247" s="188"/>
      <c r="BC1247" s="188"/>
    </row>
    <row r="1248">
      <c r="A1248" s="188"/>
      <c r="B1248" s="188"/>
      <c r="C1248" s="188"/>
      <c r="D1248" s="188"/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188"/>
      <c r="Q1248" s="188"/>
      <c r="R1248" s="188"/>
      <c r="S1248" s="188"/>
      <c r="T1248" s="188"/>
      <c r="U1248" s="188"/>
      <c r="V1248" s="188"/>
      <c r="W1248" s="188"/>
      <c r="X1248" s="188"/>
      <c r="Y1248" s="188"/>
      <c r="Z1248" s="188"/>
      <c r="AA1248" s="188"/>
      <c r="AB1248" s="188"/>
      <c r="AC1248" s="188"/>
      <c r="AD1248" s="188"/>
      <c r="AE1248" s="188"/>
      <c r="AF1248" s="188"/>
      <c r="AG1248" s="188"/>
      <c r="AH1248" s="188"/>
      <c r="AI1248" s="188"/>
      <c r="AJ1248" s="188"/>
      <c r="AK1248" s="188"/>
      <c r="AL1248" s="188"/>
      <c r="AM1248" s="188"/>
      <c r="AN1248" s="188"/>
      <c r="AO1248" s="188"/>
      <c r="AP1248" s="188"/>
      <c r="AQ1248" s="188"/>
      <c r="AR1248" s="188"/>
      <c r="AS1248" s="188"/>
      <c r="AT1248" s="188"/>
      <c r="AU1248" s="188"/>
      <c r="AV1248" s="188"/>
      <c r="AW1248" s="188"/>
      <c r="AX1248" s="188"/>
      <c r="AY1248" s="188"/>
      <c r="AZ1248" s="188"/>
      <c r="BA1248" s="188"/>
      <c r="BB1248" s="188"/>
      <c r="BC1248" s="188"/>
    </row>
    <row r="1249">
      <c r="A1249" s="188"/>
      <c r="B1249" s="188"/>
      <c r="C1249" s="188"/>
      <c r="D1249" s="188"/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188"/>
      <c r="Q1249" s="188"/>
      <c r="R1249" s="188"/>
      <c r="S1249" s="188"/>
      <c r="T1249" s="188"/>
      <c r="U1249" s="188"/>
      <c r="V1249" s="188"/>
      <c r="W1249" s="188"/>
      <c r="X1249" s="188"/>
      <c r="Y1249" s="188"/>
      <c r="Z1249" s="188"/>
      <c r="AA1249" s="188"/>
      <c r="AB1249" s="188"/>
      <c r="AC1249" s="188"/>
      <c r="AD1249" s="188"/>
      <c r="AE1249" s="188"/>
      <c r="AF1249" s="188"/>
      <c r="AG1249" s="188"/>
      <c r="AH1249" s="188"/>
      <c r="AI1249" s="188"/>
      <c r="AJ1249" s="188"/>
      <c r="AK1249" s="188"/>
      <c r="AL1249" s="188"/>
      <c r="AM1249" s="188"/>
      <c r="AN1249" s="188"/>
      <c r="AO1249" s="188"/>
      <c r="AP1249" s="188"/>
      <c r="AQ1249" s="188"/>
      <c r="AR1249" s="188"/>
      <c r="AS1249" s="188"/>
      <c r="AT1249" s="188"/>
      <c r="AU1249" s="188"/>
      <c r="AV1249" s="188"/>
      <c r="AW1249" s="188"/>
      <c r="AX1249" s="188"/>
      <c r="AY1249" s="188"/>
      <c r="AZ1249" s="188"/>
      <c r="BA1249" s="188"/>
      <c r="BB1249" s="188"/>
      <c r="BC1249" s="188"/>
    </row>
    <row r="1250">
      <c r="A1250" s="188"/>
      <c r="B1250" s="188"/>
      <c r="C1250" s="188"/>
      <c r="D1250" s="188"/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188"/>
      <c r="Q1250" s="188"/>
      <c r="R1250" s="188"/>
      <c r="S1250" s="188"/>
      <c r="T1250" s="188"/>
      <c r="U1250" s="188"/>
      <c r="V1250" s="188"/>
      <c r="W1250" s="188"/>
      <c r="X1250" s="188"/>
      <c r="Y1250" s="188"/>
      <c r="Z1250" s="188"/>
      <c r="AA1250" s="188"/>
      <c r="AB1250" s="188"/>
      <c r="AC1250" s="188"/>
      <c r="AD1250" s="188"/>
      <c r="AE1250" s="188"/>
      <c r="AF1250" s="188"/>
      <c r="AG1250" s="188"/>
      <c r="AH1250" s="188"/>
      <c r="AI1250" s="188"/>
      <c r="AJ1250" s="188"/>
      <c r="AK1250" s="188"/>
      <c r="AL1250" s="188"/>
      <c r="AM1250" s="188"/>
      <c r="AN1250" s="188"/>
      <c r="AO1250" s="188"/>
      <c r="AP1250" s="188"/>
      <c r="AQ1250" s="188"/>
      <c r="AR1250" s="188"/>
      <c r="AS1250" s="188"/>
      <c r="AT1250" s="188"/>
      <c r="AU1250" s="188"/>
      <c r="AV1250" s="188"/>
      <c r="AW1250" s="188"/>
      <c r="AX1250" s="188"/>
      <c r="AY1250" s="188"/>
      <c r="AZ1250" s="188"/>
      <c r="BA1250" s="188"/>
      <c r="BB1250" s="188"/>
      <c r="BC1250" s="188"/>
    </row>
    <row r="1251">
      <c r="A1251" s="188"/>
      <c r="B1251" s="188"/>
      <c r="C1251" s="188"/>
      <c r="D1251" s="188"/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188"/>
      <c r="Q1251" s="188"/>
      <c r="R1251" s="188"/>
      <c r="S1251" s="188"/>
      <c r="T1251" s="188"/>
      <c r="U1251" s="188"/>
      <c r="V1251" s="188"/>
      <c r="W1251" s="188"/>
      <c r="X1251" s="188"/>
      <c r="Y1251" s="188"/>
      <c r="Z1251" s="188"/>
      <c r="AA1251" s="188"/>
      <c r="AB1251" s="188"/>
      <c r="AC1251" s="188"/>
      <c r="AD1251" s="188"/>
      <c r="AE1251" s="188"/>
      <c r="AF1251" s="188"/>
      <c r="AG1251" s="188"/>
      <c r="AH1251" s="188"/>
      <c r="AI1251" s="188"/>
      <c r="AJ1251" s="188"/>
      <c r="AK1251" s="188"/>
      <c r="AL1251" s="188"/>
      <c r="AM1251" s="188"/>
      <c r="AN1251" s="188"/>
      <c r="AO1251" s="188"/>
      <c r="AP1251" s="188"/>
      <c r="AQ1251" s="188"/>
      <c r="AR1251" s="188"/>
      <c r="AS1251" s="188"/>
      <c r="AT1251" s="188"/>
      <c r="AU1251" s="188"/>
      <c r="AV1251" s="188"/>
      <c r="AW1251" s="188"/>
      <c r="AX1251" s="188"/>
      <c r="AY1251" s="188"/>
      <c r="AZ1251" s="188"/>
      <c r="BA1251" s="188"/>
      <c r="BB1251" s="188"/>
      <c r="BC1251" s="188"/>
    </row>
    <row r="1252">
      <c r="A1252" s="188"/>
      <c r="B1252" s="188"/>
      <c r="C1252" s="188"/>
      <c r="D1252" s="188"/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188"/>
      <c r="Q1252" s="188"/>
      <c r="R1252" s="188"/>
      <c r="S1252" s="188"/>
      <c r="T1252" s="188"/>
      <c r="U1252" s="188"/>
      <c r="V1252" s="188"/>
      <c r="W1252" s="188"/>
      <c r="X1252" s="188"/>
      <c r="Y1252" s="188"/>
      <c r="Z1252" s="188"/>
      <c r="AA1252" s="188"/>
      <c r="AB1252" s="188"/>
      <c r="AC1252" s="188"/>
      <c r="AD1252" s="188"/>
      <c r="AE1252" s="188"/>
      <c r="AF1252" s="188"/>
      <c r="AG1252" s="188"/>
      <c r="AH1252" s="188"/>
      <c r="AI1252" s="188"/>
      <c r="AJ1252" s="188"/>
      <c r="AK1252" s="188"/>
      <c r="AL1252" s="188"/>
      <c r="AM1252" s="188"/>
      <c r="AN1252" s="188"/>
      <c r="AO1252" s="188"/>
      <c r="AP1252" s="188"/>
      <c r="AQ1252" s="188"/>
      <c r="AR1252" s="188"/>
      <c r="AS1252" s="188"/>
      <c r="AT1252" s="188"/>
      <c r="AU1252" s="188"/>
      <c r="AV1252" s="188"/>
      <c r="AW1252" s="188"/>
      <c r="AX1252" s="188"/>
      <c r="AY1252" s="188"/>
      <c r="AZ1252" s="188"/>
      <c r="BA1252" s="188"/>
      <c r="BB1252" s="188"/>
      <c r="BC1252" s="188"/>
    </row>
    <row r="1253">
      <c r="A1253" s="188"/>
      <c r="B1253" s="188"/>
      <c r="C1253" s="188"/>
      <c r="D1253" s="188"/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188"/>
      <c r="Q1253" s="188"/>
      <c r="R1253" s="188"/>
      <c r="S1253" s="188"/>
      <c r="T1253" s="188"/>
      <c r="U1253" s="188"/>
      <c r="V1253" s="188"/>
      <c r="W1253" s="188"/>
      <c r="X1253" s="188"/>
      <c r="Y1253" s="188"/>
      <c r="Z1253" s="188"/>
      <c r="AA1253" s="188"/>
      <c r="AB1253" s="188"/>
      <c r="AC1253" s="188"/>
      <c r="AD1253" s="188"/>
      <c r="AE1253" s="188"/>
      <c r="AF1253" s="188"/>
      <c r="AG1253" s="188"/>
      <c r="AH1253" s="188"/>
      <c r="AI1253" s="188"/>
      <c r="AJ1253" s="188"/>
      <c r="AK1253" s="188"/>
      <c r="AL1253" s="188"/>
      <c r="AM1253" s="188"/>
      <c r="AN1253" s="188"/>
      <c r="AO1253" s="188"/>
      <c r="AP1253" s="188"/>
      <c r="AQ1253" s="188"/>
      <c r="AR1253" s="188"/>
      <c r="AS1253" s="188"/>
      <c r="AT1253" s="188"/>
      <c r="AU1253" s="188"/>
      <c r="AV1253" s="188"/>
      <c r="AW1253" s="188"/>
      <c r="AX1253" s="188"/>
      <c r="AY1253" s="188"/>
      <c r="AZ1253" s="188"/>
      <c r="BA1253" s="188"/>
      <c r="BB1253" s="188"/>
      <c r="BC1253" s="188"/>
    </row>
    <row r="1254">
      <c r="A1254" s="188"/>
      <c r="B1254" s="188"/>
      <c r="C1254" s="188"/>
      <c r="D1254" s="188"/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188"/>
      <c r="Q1254" s="188"/>
      <c r="R1254" s="188"/>
      <c r="S1254" s="188"/>
      <c r="T1254" s="188"/>
      <c r="U1254" s="188"/>
      <c r="V1254" s="188"/>
      <c r="W1254" s="188"/>
      <c r="X1254" s="188"/>
      <c r="Y1254" s="188"/>
      <c r="Z1254" s="188"/>
      <c r="AA1254" s="188"/>
      <c r="AB1254" s="188"/>
      <c r="AC1254" s="188"/>
      <c r="AD1254" s="188"/>
      <c r="AE1254" s="188"/>
      <c r="AF1254" s="188"/>
      <c r="AG1254" s="188"/>
      <c r="AH1254" s="188"/>
      <c r="AI1254" s="188"/>
      <c r="AJ1254" s="188"/>
      <c r="AK1254" s="188"/>
      <c r="AL1254" s="188"/>
      <c r="AM1254" s="188"/>
      <c r="AN1254" s="188"/>
      <c r="AO1254" s="188"/>
      <c r="AP1254" s="188"/>
      <c r="AQ1254" s="188"/>
      <c r="AR1254" s="188"/>
      <c r="AS1254" s="188"/>
      <c r="AT1254" s="188"/>
      <c r="AU1254" s="188"/>
      <c r="AV1254" s="188"/>
      <c r="AW1254" s="188"/>
      <c r="AX1254" s="188"/>
      <c r="AY1254" s="188"/>
      <c r="AZ1254" s="188"/>
      <c r="BA1254" s="188"/>
      <c r="BB1254" s="188"/>
      <c r="BC1254" s="188"/>
    </row>
    <row r="1255">
      <c r="A1255" s="188"/>
      <c r="B1255" s="188"/>
      <c r="C1255" s="188"/>
      <c r="D1255" s="188"/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188"/>
      <c r="Q1255" s="188"/>
      <c r="R1255" s="188"/>
      <c r="S1255" s="188"/>
      <c r="T1255" s="188"/>
      <c r="U1255" s="188"/>
      <c r="V1255" s="188"/>
      <c r="W1255" s="188"/>
      <c r="X1255" s="188"/>
      <c r="Y1255" s="188"/>
      <c r="Z1255" s="188"/>
      <c r="AA1255" s="188"/>
      <c r="AB1255" s="188"/>
      <c r="AC1255" s="188"/>
      <c r="AD1255" s="188"/>
      <c r="AE1255" s="188"/>
      <c r="AF1255" s="188"/>
      <c r="AG1255" s="188"/>
      <c r="AH1255" s="188"/>
      <c r="AI1255" s="188"/>
      <c r="AJ1255" s="188"/>
      <c r="AK1255" s="188"/>
      <c r="AL1255" s="188"/>
      <c r="AM1255" s="188"/>
      <c r="AN1255" s="188"/>
      <c r="AO1255" s="188"/>
      <c r="AP1255" s="188"/>
      <c r="AQ1255" s="188"/>
      <c r="AR1255" s="188"/>
      <c r="AS1255" s="188"/>
      <c r="AT1255" s="188"/>
      <c r="AU1255" s="188"/>
      <c r="AV1255" s="188"/>
      <c r="AW1255" s="188"/>
      <c r="AX1255" s="188"/>
      <c r="AY1255" s="188"/>
      <c r="AZ1255" s="188"/>
      <c r="BA1255" s="188"/>
      <c r="BB1255" s="188"/>
      <c r="BC1255" s="188"/>
    </row>
    <row r="1256">
      <c r="A1256" s="188"/>
      <c r="B1256" s="188"/>
      <c r="C1256" s="188"/>
      <c r="D1256" s="188"/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188"/>
      <c r="Q1256" s="188"/>
      <c r="R1256" s="188"/>
      <c r="S1256" s="188"/>
      <c r="T1256" s="188"/>
      <c r="U1256" s="188"/>
      <c r="V1256" s="188"/>
      <c r="W1256" s="188"/>
      <c r="X1256" s="188"/>
      <c r="Y1256" s="188"/>
      <c r="Z1256" s="188"/>
      <c r="AA1256" s="188"/>
      <c r="AB1256" s="188"/>
      <c r="AC1256" s="188"/>
      <c r="AD1256" s="188"/>
      <c r="AE1256" s="188"/>
      <c r="AF1256" s="188"/>
      <c r="AG1256" s="188"/>
      <c r="AH1256" s="188"/>
      <c r="AI1256" s="188"/>
      <c r="AJ1256" s="188"/>
      <c r="AK1256" s="188"/>
      <c r="AL1256" s="188"/>
      <c r="AM1256" s="188"/>
      <c r="AN1256" s="188"/>
      <c r="AO1256" s="188"/>
      <c r="AP1256" s="188"/>
      <c r="AQ1256" s="188"/>
      <c r="AR1256" s="188"/>
      <c r="AS1256" s="188"/>
      <c r="AT1256" s="188"/>
      <c r="AU1256" s="188"/>
      <c r="AV1256" s="188"/>
      <c r="AW1256" s="188"/>
      <c r="AX1256" s="188"/>
      <c r="AY1256" s="188"/>
      <c r="AZ1256" s="188"/>
      <c r="BA1256" s="188"/>
      <c r="BB1256" s="188"/>
      <c r="BC1256" s="188"/>
    </row>
    <row r="1257">
      <c r="A1257" s="188"/>
      <c r="B1257" s="188"/>
      <c r="C1257" s="188"/>
      <c r="D1257" s="188"/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188"/>
      <c r="Q1257" s="188"/>
      <c r="R1257" s="188"/>
      <c r="S1257" s="188"/>
      <c r="T1257" s="188"/>
      <c r="U1257" s="188"/>
      <c r="V1257" s="188"/>
      <c r="W1257" s="188"/>
      <c r="X1257" s="188"/>
      <c r="Y1257" s="188"/>
      <c r="Z1257" s="188"/>
      <c r="AA1257" s="188"/>
      <c r="AB1257" s="188"/>
      <c r="AC1257" s="188"/>
      <c r="AD1257" s="188"/>
      <c r="AE1257" s="188"/>
      <c r="AF1257" s="188"/>
      <c r="AG1257" s="188"/>
      <c r="AH1257" s="188"/>
      <c r="AI1257" s="188"/>
      <c r="AJ1257" s="188"/>
      <c r="AK1257" s="188"/>
      <c r="AL1257" s="188"/>
      <c r="AM1257" s="188"/>
      <c r="AN1257" s="188"/>
      <c r="AO1257" s="188"/>
      <c r="AP1257" s="188"/>
      <c r="AQ1257" s="188"/>
      <c r="AR1257" s="188"/>
      <c r="AS1257" s="188"/>
      <c r="AT1257" s="188"/>
      <c r="AU1257" s="188"/>
      <c r="AV1257" s="188"/>
      <c r="AW1257" s="188"/>
      <c r="AX1257" s="188"/>
      <c r="AY1257" s="188"/>
      <c r="AZ1257" s="188"/>
      <c r="BA1257" s="188"/>
      <c r="BB1257" s="188"/>
      <c r="BC1257" s="188"/>
    </row>
    <row r="1258">
      <c r="A1258" s="188"/>
      <c r="B1258" s="188"/>
      <c r="C1258" s="188"/>
      <c r="D1258" s="188"/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188"/>
      <c r="Q1258" s="188"/>
      <c r="R1258" s="188"/>
      <c r="S1258" s="188"/>
      <c r="T1258" s="188"/>
      <c r="U1258" s="188"/>
      <c r="V1258" s="188"/>
      <c r="W1258" s="188"/>
      <c r="X1258" s="188"/>
      <c r="Y1258" s="188"/>
      <c r="Z1258" s="188"/>
      <c r="AA1258" s="188"/>
      <c r="AB1258" s="188"/>
      <c r="AC1258" s="188"/>
      <c r="AD1258" s="188"/>
      <c r="AE1258" s="188"/>
      <c r="AF1258" s="188"/>
      <c r="AG1258" s="188"/>
      <c r="AH1258" s="188"/>
      <c r="AI1258" s="188"/>
      <c r="AJ1258" s="188"/>
      <c r="AK1258" s="188"/>
      <c r="AL1258" s="188"/>
      <c r="AM1258" s="188"/>
      <c r="AN1258" s="188"/>
      <c r="AO1258" s="188"/>
      <c r="AP1258" s="188"/>
      <c r="AQ1258" s="188"/>
      <c r="AR1258" s="188"/>
      <c r="AS1258" s="188"/>
      <c r="AT1258" s="188"/>
      <c r="AU1258" s="188"/>
      <c r="AV1258" s="188"/>
      <c r="AW1258" s="188"/>
      <c r="AX1258" s="188"/>
      <c r="AY1258" s="188"/>
      <c r="AZ1258" s="188"/>
      <c r="BA1258" s="188"/>
      <c r="BB1258" s="188"/>
      <c r="BC1258" s="188"/>
    </row>
    <row r="1259">
      <c r="A1259" s="188"/>
      <c r="B1259" s="188"/>
      <c r="C1259" s="188"/>
      <c r="D1259" s="188"/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188"/>
      <c r="Q1259" s="188"/>
      <c r="R1259" s="188"/>
      <c r="S1259" s="188"/>
      <c r="T1259" s="188"/>
      <c r="U1259" s="188"/>
      <c r="V1259" s="188"/>
      <c r="W1259" s="188"/>
      <c r="X1259" s="188"/>
      <c r="Y1259" s="188"/>
      <c r="Z1259" s="188"/>
      <c r="AA1259" s="188"/>
      <c r="AB1259" s="188"/>
      <c r="AC1259" s="188"/>
      <c r="AD1259" s="188"/>
      <c r="AE1259" s="188"/>
      <c r="AF1259" s="188"/>
      <c r="AG1259" s="188"/>
      <c r="AH1259" s="188"/>
      <c r="AI1259" s="188"/>
      <c r="AJ1259" s="188"/>
      <c r="AK1259" s="188"/>
      <c r="AL1259" s="188"/>
      <c r="AM1259" s="188"/>
      <c r="AN1259" s="188"/>
      <c r="AO1259" s="188"/>
      <c r="AP1259" s="188"/>
      <c r="AQ1259" s="188"/>
      <c r="AR1259" s="188"/>
      <c r="AS1259" s="188"/>
      <c r="AT1259" s="188"/>
      <c r="AU1259" s="188"/>
      <c r="AV1259" s="188"/>
      <c r="AW1259" s="188"/>
      <c r="AX1259" s="188"/>
      <c r="AY1259" s="188"/>
      <c r="AZ1259" s="188"/>
      <c r="BA1259" s="188"/>
      <c r="BB1259" s="188"/>
      <c r="BC1259" s="188"/>
    </row>
    <row r="1260">
      <c r="A1260" s="188"/>
      <c r="B1260" s="188"/>
      <c r="C1260" s="188"/>
      <c r="D1260" s="188"/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188"/>
      <c r="Q1260" s="188"/>
      <c r="R1260" s="188"/>
      <c r="S1260" s="188"/>
      <c r="T1260" s="188"/>
      <c r="U1260" s="188"/>
      <c r="V1260" s="188"/>
      <c r="W1260" s="188"/>
      <c r="X1260" s="188"/>
      <c r="Y1260" s="188"/>
      <c r="Z1260" s="188"/>
      <c r="AA1260" s="188"/>
      <c r="AB1260" s="188"/>
      <c r="AC1260" s="188"/>
      <c r="AD1260" s="188"/>
      <c r="AE1260" s="188"/>
      <c r="AF1260" s="188"/>
      <c r="AG1260" s="188"/>
      <c r="AH1260" s="188"/>
      <c r="AI1260" s="188"/>
      <c r="AJ1260" s="188"/>
      <c r="AK1260" s="188"/>
      <c r="AL1260" s="188"/>
      <c r="AM1260" s="188"/>
      <c r="AN1260" s="188"/>
      <c r="AO1260" s="188"/>
      <c r="AP1260" s="188"/>
      <c r="AQ1260" s="188"/>
      <c r="AR1260" s="188"/>
      <c r="AS1260" s="188"/>
      <c r="AT1260" s="188"/>
      <c r="AU1260" s="188"/>
      <c r="AV1260" s="188"/>
      <c r="AW1260" s="188"/>
      <c r="AX1260" s="188"/>
      <c r="AY1260" s="188"/>
      <c r="AZ1260" s="188"/>
      <c r="BA1260" s="188"/>
      <c r="BB1260" s="188"/>
      <c r="BC1260" s="188"/>
    </row>
    <row r="1261">
      <c r="A1261" s="188"/>
      <c r="B1261" s="188"/>
      <c r="C1261" s="188"/>
      <c r="D1261" s="188"/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188"/>
      <c r="Q1261" s="188"/>
      <c r="R1261" s="188"/>
      <c r="S1261" s="188"/>
      <c r="T1261" s="188"/>
      <c r="U1261" s="188"/>
      <c r="V1261" s="188"/>
      <c r="W1261" s="188"/>
      <c r="X1261" s="188"/>
      <c r="Y1261" s="188"/>
      <c r="Z1261" s="188"/>
      <c r="AA1261" s="188"/>
      <c r="AB1261" s="188"/>
      <c r="AC1261" s="188"/>
      <c r="AD1261" s="188"/>
      <c r="AE1261" s="188"/>
      <c r="AF1261" s="188"/>
      <c r="AG1261" s="188"/>
      <c r="AH1261" s="188"/>
      <c r="AI1261" s="188"/>
      <c r="AJ1261" s="188"/>
      <c r="AK1261" s="188"/>
      <c r="AL1261" s="188"/>
      <c r="AM1261" s="188"/>
      <c r="AN1261" s="188"/>
      <c r="AO1261" s="188"/>
      <c r="AP1261" s="188"/>
      <c r="AQ1261" s="188"/>
      <c r="AR1261" s="188"/>
      <c r="AS1261" s="188"/>
      <c r="AT1261" s="188"/>
      <c r="AU1261" s="188"/>
      <c r="AV1261" s="188"/>
      <c r="AW1261" s="188"/>
      <c r="AX1261" s="188"/>
      <c r="AY1261" s="188"/>
      <c r="AZ1261" s="188"/>
      <c r="BA1261" s="188"/>
      <c r="BB1261" s="188"/>
      <c r="BC1261" s="188"/>
    </row>
    <row r="1262">
      <c r="A1262" s="188"/>
      <c r="B1262" s="188"/>
      <c r="C1262" s="188"/>
      <c r="D1262" s="188"/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188"/>
      <c r="Q1262" s="188"/>
      <c r="R1262" s="188"/>
      <c r="S1262" s="188"/>
      <c r="T1262" s="188"/>
      <c r="U1262" s="188"/>
      <c r="V1262" s="188"/>
      <c r="W1262" s="188"/>
      <c r="X1262" s="188"/>
      <c r="Y1262" s="188"/>
      <c r="Z1262" s="188"/>
      <c r="AA1262" s="188"/>
      <c r="AB1262" s="188"/>
      <c r="AC1262" s="188"/>
      <c r="AD1262" s="188"/>
      <c r="AE1262" s="188"/>
      <c r="AF1262" s="188"/>
      <c r="AG1262" s="188"/>
      <c r="AH1262" s="188"/>
      <c r="AI1262" s="188"/>
      <c r="AJ1262" s="188"/>
      <c r="AK1262" s="188"/>
      <c r="AL1262" s="188"/>
      <c r="AM1262" s="188"/>
      <c r="AN1262" s="188"/>
      <c r="AO1262" s="188"/>
      <c r="AP1262" s="188"/>
      <c r="AQ1262" s="188"/>
      <c r="AR1262" s="188"/>
      <c r="AS1262" s="188"/>
      <c r="AT1262" s="188"/>
      <c r="AU1262" s="188"/>
      <c r="AV1262" s="188"/>
      <c r="AW1262" s="188"/>
      <c r="AX1262" s="188"/>
      <c r="AY1262" s="188"/>
      <c r="AZ1262" s="188"/>
      <c r="BA1262" s="188"/>
      <c r="BB1262" s="188"/>
      <c r="BC1262" s="188"/>
    </row>
    <row r="1263">
      <c r="A1263" s="188"/>
      <c r="B1263" s="188"/>
      <c r="C1263" s="188"/>
      <c r="D1263" s="188"/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188"/>
      <c r="Q1263" s="188"/>
      <c r="R1263" s="188"/>
      <c r="S1263" s="188"/>
      <c r="T1263" s="188"/>
      <c r="U1263" s="188"/>
      <c r="V1263" s="188"/>
      <c r="W1263" s="188"/>
      <c r="X1263" s="188"/>
      <c r="Y1263" s="188"/>
      <c r="Z1263" s="188"/>
      <c r="AA1263" s="188"/>
      <c r="AB1263" s="188"/>
      <c r="AC1263" s="188"/>
      <c r="AD1263" s="188"/>
      <c r="AE1263" s="188"/>
      <c r="AF1263" s="188"/>
      <c r="AG1263" s="188"/>
      <c r="AH1263" s="188"/>
      <c r="AI1263" s="188"/>
      <c r="AJ1263" s="188"/>
      <c r="AK1263" s="188"/>
      <c r="AL1263" s="188"/>
      <c r="AM1263" s="188"/>
      <c r="AN1263" s="188"/>
      <c r="AO1263" s="188"/>
      <c r="AP1263" s="188"/>
      <c r="AQ1263" s="188"/>
      <c r="AR1263" s="188"/>
      <c r="AS1263" s="188"/>
      <c r="AT1263" s="188"/>
      <c r="AU1263" s="188"/>
      <c r="AV1263" s="188"/>
      <c r="AW1263" s="188"/>
      <c r="AX1263" s="188"/>
      <c r="AY1263" s="188"/>
      <c r="AZ1263" s="188"/>
      <c r="BA1263" s="188"/>
      <c r="BB1263" s="188"/>
      <c r="BC1263" s="188"/>
    </row>
    <row r="1264">
      <c r="A1264" s="188"/>
      <c r="B1264" s="188"/>
      <c r="C1264" s="188"/>
      <c r="D1264" s="188"/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188"/>
      <c r="Q1264" s="188"/>
      <c r="R1264" s="188"/>
      <c r="S1264" s="188"/>
      <c r="T1264" s="188"/>
      <c r="U1264" s="188"/>
      <c r="V1264" s="188"/>
      <c r="W1264" s="188"/>
      <c r="X1264" s="188"/>
      <c r="Y1264" s="188"/>
      <c r="Z1264" s="188"/>
      <c r="AA1264" s="188"/>
      <c r="AB1264" s="188"/>
      <c r="AC1264" s="188"/>
      <c r="AD1264" s="188"/>
      <c r="AE1264" s="188"/>
      <c r="AF1264" s="188"/>
      <c r="AG1264" s="188"/>
      <c r="AH1264" s="188"/>
      <c r="AI1264" s="188"/>
      <c r="AJ1264" s="188"/>
      <c r="AK1264" s="188"/>
      <c r="AL1264" s="188"/>
      <c r="AM1264" s="188"/>
      <c r="AN1264" s="188"/>
      <c r="AO1264" s="188"/>
      <c r="AP1264" s="188"/>
      <c r="AQ1264" s="188"/>
      <c r="AR1264" s="188"/>
      <c r="AS1264" s="188"/>
      <c r="AT1264" s="188"/>
      <c r="AU1264" s="188"/>
      <c r="AV1264" s="188"/>
      <c r="AW1264" s="188"/>
      <c r="AX1264" s="188"/>
      <c r="AY1264" s="188"/>
      <c r="AZ1264" s="188"/>
      <c r="BA1264" s="188"/>
      <c r="BB1264" s="188"/>
      <c r="BC1264" s="188"/>
    </row>
    <row r="1265">
      <c r="A1265" s="188"/>
      <c r="B1265" s="188"/>
      <c r="C1265" s="188"/>
      <c r="D1265" s="188"/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188"/>
      <c r="Q1265" s="188"/>
      <c r="R1265" s="188"/>
      <c r="S1265" s="188"/>
      <c r="T1265" s="188"/>
      <c r="U1265" s="188"/>
      <c r="V1265" s="188"/>
      <c r="W1265" s="188"/>
      <c r="X1265" s="188"/>
      <c r="Y1265" s="188"/>
      <c r="Z1265" s="188"/>
      <c r="AA1265" s="188"/>
      <c r="AB1265" s="188"/>
      <c r="AC1265" s="188"/>
      <c r="AD1265" s="188"/>
      <c r="AE1265" s="188"/>
      <c r="AF1265" s="188"/>
      <c r="AG1265" s="188"/>
      <c r="AH1265" s="188"/>
      <c r="AI1265" s="188"/>
      <c r="AJ1265" s="188"/>
      <c r="AK1265" s="188"/>
      <c r="AL1265" s="188"/>
      <c r="AM1265" s="188"/>
      <c r="AN1265" s="188"/>
      <c r="AO1265" s="188"/>
      <c r="AP1265" s="188"/>
      <c r="AQ1265" s="188"/>
      <c r="AR1265" s="188"/>
      <c r="AS1265" s="188"/>
      <c r="AT1265" s="188"/>
      <c r="AU1265" s="188"/>
      <c r="AV1265" s="188"/>
      <c r="AW1265" s="188"/>
      <c r="AX1265" s="188"/>
      <c r="AY1265" s="188"/>
      <c r="AZ1265" s="188"/>
      <c r="BA1265" s="188"/>
      <c r="BB1265" s="188"/>
      <c r="BC1265" s="188"/>
    </row>
    <row r="1266">
      <c r="A1266" s="188"/>
      <c r="B1266" s="188"/>
      <c r="C1266" s="188"/>
      <c r="D1266" s="188"/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188"/>
      <c r="Q1266" s="188"/>
      <c r="R1266" s="188"/>
      <c r="S1266" s="188"/>
      <c r="T1266" s="188"/>
      <c r="U1266" s="188"/>
      <c r="V1266" s="188"/>
      <c r="W1266" s="188"/>
      <c r="X1266" s="188"/>
      <c r="Y1266" s="188"/>
      <c r="Z1266" s="188"/>
      <c r="AA1266" s="188"/>
      <c r="AB1266" s="188"/>
      <c r="AC1266" s="188"/>
      <c r="AD1266" s="188"/>
      <c r="AE1266" s="188"/>
      <c r="AF1266" s="188"/>
      <c r="AG1266" s="188"/>
      <c r="AH1266" s="188"/>
      <c r="AI1266" s="188"/>
      <c r="AJ1266" s="188"/>
      <c r="AK1266" s="188"/>
      <c r="AL1266" s="188"/>
      <c r="AM1266" s="188"/>
      <c r="AN1266" s="188"/>
      <c r="AO1266" s="188"/>
      <c r="AP1266" s="188"/>
      <c r="AQ1266" s="188"/>
      <c r="AR1266" s="188"/>
      <c r="AS1266" s="188"/>
      <c r="AT1266" s="188"/>
      <c r="AU1266" s="188"/>
      <c r="AV1266" s="188"/>
      <c r="AW1266" s="188"/>
      <c r="AX1266" s="188"/>
      <c r="AY1266" s="188"/>
      <c r="AZ1266" s="188"/>
      <c r="BA1266" s="188"/>
      <c r="BB1266" s="188"/>
      <c r="BC1266" s="188"/>
    </row>
    <row r="1267">
      <c r="A1267" s="188"/>
      <c r="B1267" s="188"/>
      <c r="C1267" s="188"/>
      <c r="D1267" s="188"/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188"/>
      <c r="Q1267" s="188"/>
      <c r="R1267" s="188"/>
      <c r="S1267" s="188"/>
      <c r="T1267" s="188"/>
      <c r="U1267" s="188"/>
      <c r="V1267" s="188"/>
      <c r="W1267" s="188"/>
      <c r="X1267" s="188"/>
      <c r="Y1267" s="188"/>
      <c r="Z1267" s="188"/>
      <c r="AA1267" s="188"/>
      <c r="AB1267" s="188"/>
      <c r="AC1267" s="188"/>
      <c r="AD1267" s="188"/>
      <c r="AE1267" s="188"/>
      <c r="AF1267" s="188"/>
      <c r="AG1267" s="188"/>
      <c r="AH1267" s="188"/>
      <c r="AI1267" s="188"/>
      <c r="AJ1267" s="188"/>
      <c r="AK1267" s="188"/>
      <c r="AL1267" s="188"/>
      <c r="AM1267" s="188"/>
      <c r="AN1267" s="188"/>
      <c r="AO1267" s="188"/>
      <c r="AP1267" s="188"/>
      <c r="AQ1267" s="188"/>
      <c r="AR1267" s="188"/>
      <c r="AS1267" s="188"/>
      <c r="AT1267" s="188"/>
      <c r="AU1267" s="188"/>
      <c r="AV1267" s="188"/>
      <c r="AW1267" s="188"/>
      <c r="AX1267" s="188"/>
      <c r="AY1267" s="188"/>
      <c r="AZ1267" s="188"/>
      <c r="BA1267" s="188"/>
      <c r="BB1267" s="188"/>
      <c r="BC1267" s="188"/>
    </row>
    <row r="1268">
      <c r="A1268" s="188"/>
      <c r="B1268" s="188"/>
      <c r="C1268" s="188"/>
      <c r="D1268" s="188"/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188"/>
      <c r="Q1268" s="188"/>
      <c r="R1268" s="188"/>
      <c r="S1268" s="188"/>
      <c r="T1268" s="188"/>
      <c r="U1268" s="188"/>
      <c r="V1268" s="188"/>
      <c r="W1268" s="188"/>
      <c r="X1268" s="188"/>
      <c r="Y1268" s="188"/>
      <c r="Z1268" s="188"/>
      <c r="AA1268" s="188"/>
      <c r="AB1268" s="188"/>
      <c r="AC1268" s="188"/>
      <c r="AD1268" s="188"/>
      <c r="AE1268" s="188"/>
      <c r="AF1268" s="188"/>
      <c r="AG1268" s="188"/>
      <c r="AH1268" s="188"/>
      <c r="AI1268" s="188"/>
      <c r="AJ1268" s="188"/>
      <c r="AK1268" s="188"/>
      <c r="AL1268" s="188"/>
      <c r="AM1268" s="188"/>
      <c r="AN1268" s="188"/>
      <c r="AO1268" s="188"/>
      <c r="AP1268" s="188"/>
      <c r="AQ1268" s="188"/>
      <c r="AR1268" s="188"/>
      <c r="AS1268" s="188"/>
      <c r="AT1268" s="188"/>
      <c r="AU1268" s="188"/>
      <c r="AV1268" s="188"/>
      <c r="AW1268" s="188"/>
      <c r="AX1268" s="188"/>
      <c r="AY1268" s="188"/>
      <c r="AZ1268" s="188"/>
      <c r="BA1268" s="188"/>
      <c r="BB1268" s="188"/>
      <c r="BC1268" s="188"/>
    </row>
    <row r="1269">
      <c r="A1269" s="188"/>
      <c r="B1269" s="188"/>
      <c r="C1269" s="188"/>
      <c r="D1269" s="188"/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188"/>
      <c r="Q1269" s="188"/>
      <c r="R1269" s="188"/>
      <c r="S1269" s="188"/>
      <c r="T1269" s="188"/>
      <c r="U1269" s="188"/>
      <c r="V1269" s="188"/>
      <c r="W1269" s="188"/>
      <c r="X1269" s="188"/>
      <c r="Y1269" s="188"/>
      <c r="Z1269" s="188"/>
      <c r="AA1269" s="188"/>
      <c r="AB1269" s="188"/>
      <c r="AC1269" s="188"/>
      <c r="AD1269" s="188"/>
      <c r="AE1269" s="188"/>
      <c r="AF1269" s="188"/>
      <c r="AG1269" s="188"/>
      <c r="AH1269" s="188"/>
      <c r="AI1269" s="188"/>
      <c r="AJ1269" s="188"/>
      <c r="AK1269" s="188"/>
      <c r="AL1269" s="188"/>
      <c r="AM1269" s="188"/>
      <c r="AN1269" s="188"/>
      <c r="AO1269" s="188"/>
      <c r="AP1269" s="188"/>
      <c r="AQ1269" s="188"/>
      <c r="AR1269" s="188"/>
      <c r="AS1269" s="188"/>
      <c r="AT1269" s="188"/>
      <c r="AU1269" s="188"/>
      <c r="AV1269" s="188"/>
      <c r="AW1269" s="188"/>
      <c r="AX1269" s="188"/>
      <c r="AY1269" s="188"/>
      <c r="AZ1269" s="188"/>
      <c r="BA1269" s="188"/>
      <c r="BB1269" s="188"/>
      <c r="BC1269" s="188"/>
    </row>
    <row r="1270">
      <c r="A1270" s="188"/>
      <c r="B1270" s="188"/>
      <c r="C1270" s="188"/>
      <c r="D1270" s="188"/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188"/>
      <c r="Q1270" s="188"/>
      <c r="R1270" s="188"/>
      <c r="S1270" s="188"/>
      <c r="T1270" s="188"/>
      <c r="U1270" s="188"/>
      <c r="V1270" s="188"/>
      <c r="W1270" s="188"/>
      <c r="X1270" s="188"/>
      <c r="Y1270" s="188"/>
      <c r="Z1270" s="188"/>
      <c r="AA1270" s="188"/>
      <c r="AB1270" s="188"/>
      <c r="AC1270" s="188"/>
      <c r="AD1270" s="188"/>
      <c r="AE1270" s="188"/>
      <c r="AF1270" s="188"/>
      <c r="AG1270" s="188"/>
      <c r="AH1270" s="188"/>
      <c r="AI1270" s="188"/>
      <c r="AJ1270" s="188"/>
      <c r="AK1270" s="188"/>
      <c r="AL1270" s="188"/>
      <c r="AM1270" s="188"/>
      <c r="AN1270" s="188"/>
      <c r="AO1270" s="188"/>
      <c r="AP1270" s="188"/>
      <c r="AQ1270" s="188"/>
      <c r="AR1270" s="188"/>
      <c r="AS1270" s="188"/>
      <c r="AT1270" s="188"/>
      <c r="AU1270" s="188"/>
      <c r="AV1270" s="188"/>
      <c r="AW1270" s="188"/>
      <c r="AX1270" s="188"/>
      <c r="AY1270" s="188"/>
      <c r="AZ1270" s="188"/>
      <c r="BA1270" s="188"/>
      <c r="BB1270" s="188"/>
      <c r="BC1270" s="188"/>
    </row>
    <row r="1271">
      <c r="A1271" s="188"/>
      <c r="B1271" s="188"/>
      <c r="C1271" s="188"/>
      <c r="D1271" s="188"/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188"/>
      <c r="Q1271" s="188"/>
      <c r="R1271" s="188"/>
      <c r="S1271" s="188"/>
      <c r="T1271" s="188"/>
      <c r="U1271" s="188"/>
      <c r="V1271" s="188"/>
      <c r="W1271" s="188"/>
      <c r="X1271" s="188"/>
      <c r="Y1271" s="188"/>
      <c r="Z1271" s="188"/>
      <c r="AA1271" s="188"/>
      <c r="AB1271" s="188"/>
      <c r="AC1271" s="188"/>
      <c r="AD1271" s="188"/>
      <c r="AE1271" s="188"/>
      <c r="AF1271" s="188"/>
      <c r="AG1271" s="188"/>
      <c r="AH1271" s="188"/>
      <c r="AI1271" s="188"/>
      <c r="AJ1271" s="188"/>
      <c r="AK1271" s="188"/>
      <c r="AL1271" s="188"/>
      <c r="AM1271" s="188"/>
      <c r="AN1271" s="188"/>
      <c r="AO1271" s="188"/>
      <c r="AP1271" s="188"/>
      <c r="AQ1271" s="188"/>
      <c r="AR1271" s="188"/>
      <c r="AS1271" s="188"/>
      <c r="AT1271" s="188"/>
      <c r="AU1271" s="188"/>
      <c r="AV1271" s="188"/>
      <c r="AW1271" s="188"/>
      <c r="AX1271" s="188"/>
      <c r="AY1271" s="188"/>
      <c r="AZ1271" s="188"/>
      <c r="BA1271" s="188"/>
      <c r="BB1271" s="188"/>
      <c r="BC1271" s="188"/>
    </row>
    <row r="1272">
      <c r="A1272" s="188"/>
      <c r="B1272" s="188"/>
      <c r="C1272" s="188"/>
      <c r="D1272" s="188"/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188"/>
      <c r="Q1272" s="188"/>
      <c r="R1272" s="188"/>
      <c r="S1272" s="188"/>
      <c r="T1272" s="188"/>
      <c r="U1272" s="188"/>
      <c r="V1272" s="188"/>
      <c r="W1272" s="188"/>
      <c r="X1272" s="188"/>
      <c r="Y1272" s="188"/>
      <c r="Z1272" s="188"/>
      <c r="AA1272" s="188"/>
      <c r="AB1272" s="188"/>
      <c r="AC1272" s="188"/>
      <c r="AD1272" s="188"/>
      <c r="AE1272" s="188"/>
      <c r="AF1272" s="188"/>
      <c r="AG1272" s="188"/>
      <c r="AH1272" s="188"/>
      <c r="AI1272" s="188"/>
      <c r="AJ1272" s="188"/>
      <c r="AK1272" s="188"/>
      <c r="AL1272" s="188"/>
      <c r="AM1272" s="188"/>
      <c r="AN1272" s="188"/>
      <c r="AO1272" s="188"/>
      <c r="AP1272" s="188"/>
      <c r="AQ1272" s="188"/>
      <c r="AR1272" s="188"/>
      <c r="AS1272" s="188"/>
      <c r="AT1272" s="188"/>
      <c r="AU1272" s="188"/>
      <c r="AV1272" s="188"/>
      <c r="AW1272" s="188"/>
      <c r="AX1272" s="188"/>
      <c r="AY1272" s="188"/>
      <c r="AZ1272" s="188"/>
      <c r="BA1272" s="188"/>
      <c r="BB1272" s="188"/>
      <c r="BC1272" s="188"/>
    </row>
    <row r="1273">
      <c r="A1273" s="188"/>
      <c r="B1273" s="188"/>
      <c r="C1273" s="188"/>
      <c r="D1273" s="188"/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188"/>
      <c r="Q1273" s="188"/>
      <c r="R1273" s="188"/>
      <c r="S1273" s="188"/>
      <c r="T1273" s="188"/>
      <c r="U1273" s="188"/>
      <c r="V1273" s="188"/>
      <c r="W1273" s="188"/>
      <c r="X1273" s="188"/>
      <c r="Y1273" s="188"/>
      <c r="Z1273" s="188"/>
      <c r="AA1273" s="188"/>
      <c r="AB1273" s="188"/>
      <c r="AC1273" s="188"/>
      <c r="AD1273" s="188"/>
      <c r="AE1273" s="188"/>
      <c r="AF1273" s="188"/>
      <c r="AG1273" s="188"/>
      <c r="AH1273" s="188"/>
      <c r="AI1273" s="188"/>
      <c r="AJ1273" s="188"/>
      <c r="AK1273" s="188"/>
      <c r="AL1273" s="188"/>
      <c r="AM1273" s="188"/>
      <c r="AN1273" s="188"/>
      <c r="AO1273" s="188"/>
      <c r="AP1273" s="188"/>
      <c r="AQ1273" s="188"/>
      <c r="AR1273" s="188"/>
      <c r="AS1273" s="188"/>
      <c r="AT1273" s="188"/>
      <c r="AU1273" s="188"/>
      <c r="AV1273" s="188"/>
      <c r="AW1273" s="188"/>
      <c r="AX1273" s="188"/>
      <c r="AY1273" s="188"/>
      <c r="AZ1273" s="188"/>
      <c r="BA1273" s="188"/>
      <c r="BB1273" s="188"/>
      <c r="BC1273" s="188"/>
    </row>
    <row r="1274">
      <c r="A1274" s="188"/>
      <c r="B1274" s="188"/>
      <c r="C1274" s="188"/>
      <c r="D1274" s="188"/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188"/>
      <c r="Q1274" s="188"/>
      <c r="R1274" s="188"/>
      <c r="S1274" s="188"/>
      <c r="T1274" s="188"/>
      <c r="U1274" s="188"/>
      <c r="V1274" s="188"/>
      <c r="W1274" s="188"/>
      <c r="X1274" s="188"/>
      <c r="Y1274" s="188"/>
      <c r="Z1274" s="188"/>
      <c r="AA1274" s="188"/>
      <c r="AB1274" s="188"/>
      <c r="AC1274" s="188"/>
      <c r="AD1274" s="188"/>
      <c r="AE1274" s="188"/>
      <c r="AF1274" s="188"/>
      <c r="AG1274" s="188"/>
      <c r="AH1274" s="188"/>
      <c r="AI1274" s="188"/>
      <c r="AJ1274" s="188"/>
      <c r="AK1274" s="188"/>
      <c r="AL1274" s="188"/>
      <c r="AM1274" s="188"/>
      <c r="AN1274" s="188"/>
      <c r="AO1274" s="188"/>
      <c r="AP1274" s="188"/>
      <c r="AQ1274" s="188"/>
      <c r="AR1274" s="188"/>
      <c r="AS1274" s="188"/>
      <c r="AT1274" s="188"/>
      <c r="AU1274" s="188"/>
      <c r="AV1274" s="188"/>
      <c r="AW1274" s="188"/>
      <c r="AX1274" s="188"/>
      <c r="AY1274" s="188"/>
      <c r="AZ1274" s="188"/>
      <c r="BA1274" s="188"/>
      <c r="BB1274" s="188"/>
      <c r="BC1274" s="188"/>
    </row>
    <row r="1275">
      <c r="A1275" s="188"/>
      <c r="B1275" s="188"/>
      <c r="C1275" s="188"/>
      <c r="D1275" s="188"/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188"/>
      <c r="Q1275" s="188"/>
      <c r="R1275" s="188"/>
      <c r="S1275" s="188"/>
      <c r="T1275" s="188"/>
      <c r="U1275" s="188"/>
      <c r="V1275" s="188"/>
      <c r="W1275" s="188"/>
      <c r="X1275" s="188"/>
      <c r="Y1275" s="188"/>
      <c r="Z1275" s="188"/>
      <c r="AA1275" s="188"/>
      <c r="AB1275" s="188"/>
      <c r="AC1275" s="188"/>
      <c r="AD1275" s="188"/>
      <c r="AE1275" s="188"/>
      <c r="AF1275" s="188"/>
      <c r="AG1275" s="188"/>
      <c r="AH1275" s="188"/>
      <c r="AI1275" s="188"/>
      <c r="AJ1275" s="188"/>
      <c r="AK1275" s="188"/>
      <c r="AL1275" s="188"/>
      <c r="AM1275" s="188"/>
      <c r="AN1275" s="188"/>
      <c r="AO1275" s="188"/>
      <c r="AP1275" s="188"/>
      <c r="AQ1275" s="188"/>
      <c r="AR1275" s="188"/>
      <c r="AS1275" s="188"/>
      <c r="AT1275" s="188"/>
      <c r="AU1275" s="188"/>
      <c r="AV1275" s="188"/>
      <c r="AW1275" s="188"/>
      <c r="AX1275" s="188"/>
      <c r="AY1275" s="188"/>
      <c r="AZ1275" s="188"/>
      <c r="BA1275" s="188"/>
      <c r="BB1275" s="188"/>
      <c r="BC1275" s="188"/>
    </row>
    <row r="1276">
      <c r="A1276" s="188"/>
      <c r="B1276" s="188"/>
      <c r="C1276" s="188"/>
      <c r="D1276" s="188"/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188"/>
      <c r="Q1276" s="188"/>
      <c r="R1276" s="188"/>
      <c r="S1276" s="188"/>
      <c r="T1276" s="188"/>
      <c r="U1276" s="188"/>
      <c r="V1276" s="188"/>
      <c r="W1276" s="188"/>
      <c r="X1276" s="188"/>
      <c r="Y1276" s="188"/>
      <c r="Z1276" s="188"/>
      <c r="AA1276" s="188"/>
      <c r="AB1276" s="188"/>
      <c r="AC1276" s="188"/>
      <c r="AD1276" s="188"/>
      <c r="AE1276" s="188"/>
      <c r="AF1276" s="188"/>
      <c r="AG1276" s="188"/>
      <c r="AH1276" s="188"/>
      <c r="AI1276" s="188"/>
      <c r="AJ1276" s="188"/>
      <c r="AK1276" s="188"/>
      <c r="AL1276" s="188"/>
      <c r="AM1276" s="188"/>
      <c r="AN1276" s="188"/>
      <c r="AO1276" s="188"/>
      <c r="AP1276" s="188"/>
      <c r="AQ1276" s="188"/>
      <c r="AR1276" s="188"/>
      <c r="AS1276" s="188"/>
      <c r="AT1276" s="188"/>
      <c r="AU1276" s="188"/>
      <c r="AV1276" s="188"/>
      <c r="AW1276" s="188"/>
      <c r="AX1276" s="188"/>
      <c r="AY1276" s="188"/>
      <c r="AZ1276" s="188"/>
      <c r="BA1276" s="188"/>
      <c r="BB1276" s="188"/>
      <c r="BC1276" s="188"/>
    </row>
    <row r="1277">
      <c r="A1277" s="188"/>
      <c r="B1277" s="188"/>
      <c r="C1277" s="188"/>
      <c r="D1277" s="188"/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188"/>
      <c r="Q1277" s="188"/>
      <c r="R1277" s="188"/>
      <c r="S1277" s="188"/>
      <c r="T1277" s="188"/>
      <c r="U1277" s="188"/>
      <c r="V1277" s="188"/>
      <c r="W1277" s="188"/>
      <c r="X1277" s="188"/>
      <c r="Y1277" s="188"/>
      <c r="Z1277" s="188"/>
      <c r="AA1277" s="188"/>
      <c r="AB1277" s="188"/>
      <c r="AC1277" s="188"/>
      <c r="AD1277" s="188"/>
      <c r="AE1277" s="188"/>
      <c r="AF1277" s="188"/>
      <c r="AG1277" s="188"/>
      <c r="AH1277" s="188"/>
      <c r="AI1277" s="188"/>
      <c r="AJ1277" s="188"/>
      <c r="AK1277" s="188"/>
      <c r="AL1277" s="188"/>
      <c r="AM1277" s="188"/>
      <c r="AN1277" s="188"/>
      <c r="AO1277" s="188"/>
      <c r="AP1277" s="188"/>
      <c r="AQ1277" s="188"/>
      <c r="AR1277" s="188"/>
      <c r="AS1277" s="188"/>
      <c r="AT1277" s="188"/>
      <c r="AU1277" s="188"/>
      <c r="AV1277" s="188"/>
      <c r="AW1277" s="188"/>
      <c r="AX1277" s="188"/>
      <c r="AY1277" s="188"/>
      <c r="AZ1277" s="188"/>
      <c r="BA1277" s="188"/>
      <c r="BB1277" s="188"/>
      <c r="BC1277" s="188"/>
    </row>
    <row r="1278">
      <c r="A1278" s="188"/>
      <c r="B1278" s="188"/>
      <c r="C1278" s="188"/>
      <c r="D1278" s="188"/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188"/>
      <c r="Q1278" s="188"/>
      <c r="R1278" s="188"/>
      <c r="S1278" s="188"/>
      <c r="T1278" s="188"/>
      <c r="U1278" s="188"/>
      <c r="V1278" s="188"/>
      <c r="W1278" s="188"/>
      <c r="X1278" s="188"/>
      <c r="Y1278" s="188"/>
      <c r="Z1278" s="188"/>
      <c r="AA1278" s="188"/>
      <c r="AB1278" s="188"/>
      <c r="AC1278" s="188"/>
      <c r="AD1278" s="188"/>
      <c r="AE1278" s="188"/>
      <c r="AF1278" s="188"/>
      <c r="AG1278" s="188"/>
      <c r="AH1278" s="188"/>
      <c r="AI1278" s="188"/>
      <c r="AJ1278" s="188"/>
      <c r="AK1278" s="188"/>
      <c r="AL1278" s="188"/>
      <c r="AM1278" s="188"/>
      <c r="AN1278" s="188"/>
      <c r="AO1278" s="188"/>
      <c r="AP1278" s="188"/>
      <c r="AQ1278" s="188"/>
      <c r="AR1278" s="188"/>
      <c r="AS1278" s="188"/>
      <c r="AT1278" s="188"/>
      <c r="AU1278" s="188"/>
      <c r="AV1278" s="188"/>
      <c r="AW1278" s="188"/>
      <c r="AX1278" s="188"/>
      <c r="AY1278" s="188"/>
      <c r="AZ1278" s="188"/>
      <c r="BA1278" s="188"/>
      <c r="BB1278" s="188"/>
      <c r="BC1278" s="188"/>
    </row>
    <row r="1279">
      <c r="A1279" s="188"/>
      <c r="B1279" s="188"/>
      <c r="C1279" s="188"/>
      <c r="D1279" s="188"/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188"/>
      <c r="Q1279" s="188"/>
      <c r="R1279" s="188"/>
      <c r="S1279" s="188"/>
      <c r="T1279" s="188"/>
      <c r="U1279" s="188"/>
      <c r="V1279" s="188"/>
      <c r="W1279" s="188"/>
      <c r="X1279" s="188"/>
      <c r="Y1279" s="188"/>
      <c r="Z1279" s="188"/>
      <c r="AA1279" s="188"/>
      <c r="AB1279" s="188"/>
      <c r="AC1279" s="188"/>
      <c r="AD1279" s="188"/>
      <c r="AE1279" s="188"/>
      <c r="AF1279" s="188"/>
      <c r="AG1279" s="188"/>
      <c r="AH1279" s="188"/>
      <c r="AI1279" s="188"/>
      <c r="AJ1279" s="188"/>
      <c r="AK1279" s="188"/>
      <c r="AL1279" s="188"/>
      <c r="AM1279" s="188"/>
      <c r="AN1279" s="188"/>
      <c r="AO1279" s="188"/>
      <c r="AP1279" s="188"/>
      <c r="AQ1279" s="188"/>
      <c r="AR1279" s="188"/>
      <c r="AS1279" s="188"/>
      <c r="AT1279" s="188"/>
      <c r="AU1279" s="188"/>
      <c r="AV1279" s="188"/>
      <c r="AW1279" s="188"/>
      <c r="AX1279" s="188"/>
      <c r="AY1279" s="188"/>
      <c r="AZ1279" s="188"/>
      <c r="BA1279" s="188"/>
      <c r="BB1279" s="188"/>
      <c r="BC1279" s="188"/>
    </row>
    <row r="1280">
      <c r="A1280" s="188"/>
      <c r="B1280" s="188"/>
      <c r="C1280" s="188"/>
      <c r="D1280" s="188"/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188"/>
      <c r="Q1280" s="188"/>
      <c r="R1280" s="188"/>
      <c r="S1280" s="188"/>
      <c r="T1280" s="188"/>
      <c r="U1280" s="188"/>
      <c r="V1280" s="188"/>
      <c r="W1280" s="188"/>
      <c r="X1280" s="188"/>
      <c r="Y1280" s="188"/>
      <c r="Z1280" s="188"/>
      <c r="AA1280" s="188"/>
      <c r="AB1280" s="188"/>
      <c r="AC1280" s="188"/>
      <c r="AD1280" s="188"/>
      <c r="AE1280" s="188"/>
      <c r="AF1280" s="188"/>
      <c r="AG1280" s="188"/>
      <c r="AH1280" s="188"/>
      <c r="AI1280" s="188"/>
      <c r="AJ1280" s="188"/>
      <c r="AK1280" s="188"/>
      <c r="AL1280" s="188"/>
      <c r="AM1280" s="188"/>
      <c r="AN1280" s="188"/>
      <c r="AO1280" s="188"/>
      <c r="AP1280" s="188"/>
      <c r="AQ1280" s="188"/>
      <c r="AR1280" s="188"/>
      <c r="AS1280" s="188"/>
      <c r="AT1280" s="188"/>
      <c r="AU1280" s="188"/>
      <c r="AV1280" s="188"/>
      <c r="AW1280" s="188"/>
      <c r="AX1280" s="188"/>
      <c r="AY1280" s="188"/>
      <c r="AZ1280" s="188"/>
      <c r="BA1280" s="188"/>
      <c r="BB1280" s="188"/>
      <c r="BC1280" s="188"/>
    </row>
    <row r="1281">
      <c r="A1281" s="188"/>
      <c r="B1281" s="188"/>
      <c r="C1281" s="188"/>
      <c r="D1281" s="188"/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188"/>
      <c r="Q1281" s="188"/>
      <c r="R1281" s="188"/>
      <c r="S1281" s="188"/>
      <c r="T1281" s="188"/>
      <c r="U1281" s="188"/>
      <c r="V1281" s="188"/>
      <c r="W1281" s="188"/>
      <c r="X1281" s="188"/>
      <c r="Y1281" s="188"/>
      <c r="Z1281" s="188"/>
      <c r="AA1281" s="188"/>
      <c r="AB1281" s="188"/>
      <c r="AC1281" s="188"/>
      <c r="AD1281" s="188"/>
      <c r="AE1281" s="188"/>
      <c r="AF1281" s="188"/>
      <c r="AG1281" s="188"/>
      <c r="AH1281" s="188"/>
      <c r="AI1281" s="188"/>
      <c r="AJ1281" s="188"/>
      <c r="AK1281" s="188"/>
      <c r="AL1281" s="188"/>
      <c r="AM1281" s="188"/>
      <c r="AN1281" s="188"/>
      <c r="AO1281" s="188"/>
      <c r="AP1281" s="188"/>
      <c r="AQ1281" s="188"/>
      <c r="AR1281" s="188"/>
      <c r="AS1281" s="188"/>
      <c r="AT1281" s="188"/>
      <c r="AU1281" s="188"/>
      <c r="AV1281" s="188"/>
      <c r="AW1281" s="188"/>
      <c r="AX1281" s="188"/>
      <c r="AY1281" s="188"/>
      <c r="AZ1281" s="188"/>
      <c r="BA1281" s="188"/>
      <c r="BB1281" s="188"/>
      <c r="BC1281" s="188"/>
    </row>
    <row r="1282">
      <c r="A1282" s="188"/>
      <c r="B1282" s="188"/>
      <c r="C1282" s="188"/>
      <c r="D1282" s="188"/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188"/>
      <c r="Q1282" s="188"/>
      <c r="R1282" s="188"/>
      <c r="S1282" s="188"/>
      <c r="T1282" s="188"/>
      <c r="U1282" s="188"/>
      <c r="V1282" s="188"/>
      <c r="W1282" s="188"/>
      <c r="X1282" s="188"/>
      <c r="Y1282" s="188"/>
      <c r="Z1282" s="188"/>
      <c r="AA1282" s="188"/>
      <c r="AB1282" s="188"/>
      <c r="AC1282" s="188"/>
      <c r="AD1282" s="188"/>
      <c r="AE1282" s="188"/>
      <c r="AF1282" s="188"/>
      <c r="AG1282" s="188"/>
      <c r="AH1282" s="188"/>
      <c r="AI1282" s="188"/>
      <c r="AJ1282" s="188"/>
      <c r="AK1282" s="188"/>
      <c r="AL1282" s="188"/>
      <c r="AM1282" s="188"/>
      <c r="AN1282" s="188"/>
      <c r="AO1282" s="188"/>
      <c r="AP1282" s="188"/>
      <c r="AQ1282" s="188"/>
      <c r="AR1282" s="188"/>
      <c r="AS1282" s="188"/>
      <c r="AT1282" s="188"/>
      <c r="AU1282" s="188"/>
      <c r="AV1282" s="188"/>
      <c r="AW1282" s="188"/>
      <c r="AX1282" s="188"/>
      <c r="AY1282" s="188"/>
      <c r="AZ1282" s="188"/>
      <c r="BA1282" s="188"/>
      <c r="BB1282" s="188"/>
      <c r="BC1282" s="188"/>
    </row>
    <row r="1283">
      <c r="A1283" s="188"/>
      <c r="B1283" s="188"/>
      <c r="C1283" s="188"/>
      <c r="D1283" s="188"/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188"/>
      <c r="Q1283" s="188"/>
      <c r="R1283" s="188"/>
      <c r="S1283" s="188"/>
      <c r="T1283" s="188"/>
      <c r="U1283" s="188"/>
      <c r="V1283" s="188"/>
      <c r="W1283" s="188"/>
      <c r="X1283" s="188"/>
      <c r="Y1283" s="188"/>
      <c r="Z1283" s="188"/>
      <c r="AA1283" s="188"/>
      <c r="AB1283" s="188"/>
      <c r="AC1283" s="188"/>
      <c r="AD1283" s="188"/>
      <c r="AE1283" s="188"/>
      <c r="AF1283" s="188"/>
      <c r="AG1283" s="188"/>
      <c r="AH1283" s="188"/>
      <c r="AI1283" s="188"/>
      <c r="AJ1283" s="188"/>
      <c r="AK1283" s="188"/>
      <c r="AL1283" s="188"/>
      <c r="AM1283" s="188"/>
      <c r="AN1283" s="188"/>
      <c r="AO1283" s="188"/>
      <c r="AP1283" s="188"/>
      <c r="AQ1283" s="188"/>
      <c r="AR1283" s="188"/>
      <c r="AS1283" s="188"/>
      <c r="AT1283" s="188"/>
      <c r="AU1283" s="188"/>
      <c r="AV1283" s="188"/>
      <c r="AW1283" s="188"/>
      <c r="AX1283" s="188"/>
      <c r="AY1283" s="188"/>
      <c r="AZ1283" s="188"/>
      <c r="BA1283" s="188"/>
      <c r="BB1283" s="188"/>
      <c r="BC1283" s="188"/>
    </row>
    <row r="1284">
      <c r="A1284" s="188"/>
      <c r="B1284" s="188"/>
      <c r="C1284" s="188"/>
      <c r="D1284" s="188"/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188"/>
      <c r="Q1284" s="188"/>
      <c r="R1284" s="188"/>
      <c r="S1284" s="188"/>
      <c r="T1284" s="188"/>
      <c r="U1284" s="188"/>
      <c r="V1284" s="188"/>
      <c r="W1284" s="188"/>
      <c r="X1284" s="188"/>
      <c r="Y1284" s="188"/>
      <c r="Z1284" s="188"/>
      <c r="AA1284" s="188"/>
      <c r="AB1284" s="188"/>
      <c r="AC1284" s="188"/>
      <c r="AD1284" s="188"/>
      <c r="AE1284" s="188"/>
      <c r="AF1284" s="188"/>
      <c r="AG1284" s="188"/>
      <c r="AH1284" s="188"/>
      <c r="AI1284" s="188"/>
      <c r="AJ1284" s="188"/>
      <c r="AK1284" s="188"/>
      <c r="AL1284" s="188"/>
      <c r="AM1284" s="188"/>
      <c r="AN1284" s="188"/>
      <c r="AO1284" s="188"/>
      <c r="AP1284" s="188"/>
      <c r="AQ1284" s="188"/>
      <c r="AR1284" s="188"/>
      <c r="AS1284" s="188"/>
      <c r="AT1284" s="188"/>
      <c r="AU1284" s="188"/>
      <c r="AV1284" s="188"/>
      <c r="AW1284" s="188"/>
      <c r="AX1284" s="188"/>
      <c r="AY1284" s="188"/>
      <c r="AZ1284" s="188"/>
      <c r="BA1284" s="188"/>
      <c r="BB1284" s="188"/>
      <c r="BC1284" s="188"/>
    </row>
    <row r="1285">
      <c r="A1285" s="188"/>
      <c r="B1285" s="188"/>
      <c r="C1285" s="188"/>
      <c r="D1285" s="188"/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188"/>
      <c r="Q1285" s="188"/>
      <c r="R1285" s="188"/>
      <c r="S1285" s="188"/>
      <c r="T1285" s="188"/>
      <c r="U1285" s="188"/>
      <c r="V1285" s="188"/>
      <c r="W1285" s="188"/>
      <c r="X1285" s="188"/>
      <c r="Y1285" s="188"/>
      <c r="Z1285" s="188"/>
      <c r="AA1285" s="188"/>
      <c r="AB1285" s="188"/>
      <c r="AC1285" s="188"/>
      <c r="AD1285" s="188"/>
      <c r="AE1285" s="188"/>
      <c r="AF1285" s="188"/>
      <c r="AG1285" s="188"/>
      <c r="AH1285" s="188"/>
      <c r="AI1285" s="188"/>
      <c r="AJ1285" s="188"/>
      <c r="AK1285" s="188"/>
      <c r="AL1285" s="188"/>
      <c r="AM1285" s="188"/>
      <c r="AN1285" s="188"/>
      <c r="AO1285" s="188"/>
      <c r="AP1285" s="188"/>
      <c r="AQ1285" s="188"/>
      <c r="AR1285" s="188"/>
      <c r="AS1285" s="188"/>
      <c r="AT1285" s="188"/>
      <c r="AU1285" s="188"/>
      <c r="AV1285" s="188"/>
      <c r="AW1285" s="188"/>
      <c r="AX1285" s="188"/>
      <c r="AY1285" s="188"/>
      <c r="AZ1285" s="188"/>
      <c r="BA1285" s="188"/>
      <c r="BB1285" s="188"/>
      <c r="BC1285" s="188"/>
    </row>
    <row r="1286">
      <c r="A1286" s="188"/>
      <c r="B1286" s="188"/>
      <c r="C1286" s="188"/>
      <c r="D1286" s="188"/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188"/>
      <c r="Q1286" s="188"/>
      <c r="R1286" s="188"/>
      <c r="S1286" s="188"/>
      <c r="T1286" s="188"/>
      <c r="U1286" s="188"/>
      <c r="V1286" s="188"/>
      <c r="W1286" s="188"/>
      <c r="X1286" s="188"/>
      <c r="Y1286" s="188"/>
      <c r="Z1286" s="188"/>
      <c r="AA1286" s="188"/>
      <c r="AB1286" s="188"/>
      <c r="AC1286" s="188"/>
      <c r="AD1286" s="188"/>
      <c r="AE1286" s="188"/>
      <c r="AF1286" s="188"/>
      <c r="AG1286" s="188"/>
      <c r="AH1286" s="188"/>
      <c r="AI1286" s="188"/>
      <c r="AJ1286" s="188"/>
      <c r="AK1286" s="188"/>
      <c r="AL1286" s="188"/>
      <c r="AM1286" s="188"/>
      <c r="AN1286" s="188"/>
      <c r="AO1286" s="188"/>
      <c r="AP1286" s="188"/>
      <c r="AQ1286" s="188"/>
      <c r="AR1286" s="188"/>
      <c r="AS1286" s="188"/>
      <c r="AT1286" s="188"/>
      <c r="AU1286" s="188"/>
      <c r="AV1286" s="188"/>
      <c r="AW1286" s="188"/>
      <c r="AX1286" s="188"/>
      <c r="AY1286" s="188"/>
      <c r="AZ1286" s="188"/>
      <c r="BA1286" s="188"/>
      <c r="BB1286" s="188"/>
      <c r="BC1286" s="188"/>
    </row>
    <row r="1287">
      <c r="A1287" s="188"/>
      <c r="B1287" s="188"/>
      <c r="C1287" s="188"/>
      <c r="D1287" s="188"/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188"/>
      <c r="Q1287" s="188"/>
      <c r="R1287" s="188"/>
      <c r="S1287" s="188"/>
      <c r="T1287" s="188"/>
      <c r="U1287" s="188"/>
      <c r="V1287" s="188"/>
      <c r="W1287" s="188"/>
      <c r="X1287" s="188"/>
      <c r="Y1287" s="188"/>
      <c r="Z1287" s="188"/>
      <c r="AA1287" s="188"/>
      <c r="AB1287" s="188"/>
      <c r="AC1287" s="188"/>
      <c r="AD1287" s="188"/>
      <c r="AE1287" s="188"/>
      <c r="AF1287" s="188"/>
      <c r="AG1287" s="188"/>
      <c r="AH1287" s="188"/>
      <c r="AI1287" s="188"/>
      <c r="AJ1287" s="188"/>
      <c r="AK1287" s="188"/>
      <c r="AL1287" s="188"/>
      <c r="AM1287" s="188"/>
      <c r="AN1287" s="188"/>
      <c r="AO1287" s="188"/>
      <c r="AP1287" s="188"/>
      <c r="AQ1287" s="188"/>
      <c r="AR1287" s="188"/>
      <c r="AS1287" s="188"/>
      <c r="AT1287" s="188"/>
      <c r="AU1287" s="188"/>
      <c r="AV1287" s="188"/>
      <c r="AW1287" s="188"/>
      <c r="AX1287" s="188"/>
      <c r="AY1287" s="188"/>
      <c r="AZ1287" s="188"/>
      <c r="BA1287" s="188"/>
      <c r="BB1287" s="188"/>
      <c r="BC1287" s="188"/>
    </row>
    <row r="1288">
      <c r="A1288" s="188"/>
      <c r="B1288" s="188"/>
      <c r="C1288" s="188"/>
      <c r="D1288" s="188"/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188"/>
      <c r="Q1288" s="188"/>
      <c r="R1288" s="188"/>
      <c r="S1288" s="188"/>
      <c r="T1288" s="188"/>
      <c r="U1288" s="188"/>
      <c r="V1288" s="188"/>
      <c r="W1288" s="188"/>
      <c r="X1288" s="188"/>
      <c r="Y1288" s="188"/>
      <c r="Z1288" s="188"/>
      <c r="AA1288" s="188"/>
      <c r="AB1288" s="188"/>
      <c r="AC1288" s="188"/>
      <c r="AD1288" s="188"/>
      <c r="AE1288" s="188"/>
      <c r="AF1288" s="188"/>
      <c r="AG1288" s="188"/>
      <c r="AH1288" s="188"/>
      <c r="AI1288" s="188"/>
      <c r="AJ1288" s="188"/>
      <c r="AK1288" s="188"/>
      <c r="AL1288" s="188"/>
      <c r="AM1288" s="188"/>
      <c r="AN1288" s="188"/>
      <c r="AO1288" s="188"/>
      <c r="AP1288" s="188"/>
      <c r="AQ1288" s="188"/>
      <c r="AR1288" s="188"/>
      <c r="AS1288" s="188"/>
      <c r="AT1288" s="188"/>
      <c r="AU1288" s="188"/>
      <c r="AV1288" s="188"/>
      <c r="AW1288" s="188"/>
      <c r="AX1288" s="188"/>
      <c r="AY1288" s="188"/>
      <c r="AZ1288" s="188"/>
      <c r="BA1288" s="188"/>
      <c r="BB1288" s="188"/>
      <c r="BC1288" s="188"/>
    </row>
    <row r="1289">
      <c r="A1289" s="188"/>
      <c r="B1289" s="188"/>
      <c r="C1289" s="188"/>
      <c r="D1289" s="188"/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188"/>
      <c r="Q1289" s="188"/>
      <c r="R1289" s="188"/>
      <c r="S1289" s="188"/>
      <c r="T1289" s="188"/>
      <c r="U1289" s="188"/>
      <c r="V1289" s="188"/>
      <c r="W1289" s="188"/>
      <c r="X1289" s="188"/>
      <c r="Y1289" s="188"/>
      <c r="Z1289" s="188"/>
      <c r="AA1289" s="188"/>
      <c r="AB1289" s="188"/>
      <c r="AC1289" s="188"/>
      <c r="AD1289" s="188"/>
      <c r="AE1289" s="188"/>
      <c r="AF1289" s="188"/>
      <c r="AG1289" s="188"/>
      <c r="AH1289" s="188"/>
      <c r="AI1289" s="188"/>
      <c r="AJ1289" s="188"/>
      <c r="AK1289" s="188"/>
      <c r="AL1289" s="188"/>
      <c r="AM1289" s="188"/>
      <c r="AN1289" s="188"/>
      <c r="AO1289" s="188"/>
      <c r="AP1289" s="188"/>
      <c r="AQ1289" s="188"/>
      <c r="AR1289" s="188"/>
      <c r="AS1289" s="188"/>
      <c r="AT1289" s="188"/>
      <c r="AU1289" s="188"/>
      <c r="AV1289" s="188"/>
      <c r="AW1289" s="188"/>
      <c r="AX1289" s="188"/>
      <c r="AY1289" s="188"/>
      <c r="AZ1289" s="188"/>
      <c r="BA1289" s="188"/>
      <c r="BB1289" s="188"/>
      <c r="BC1289" s="188"/>
    </row>
    <row r="1290">
      <c r="A1290" s="188"/>
      <c r="B1290" s="188"/>
      <c r="C1290" s="188"/>
      <c r="D1290" s="188"/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188"/>
      <c r="Q1290" s="188"/>
      <c r="R1290" s="188"/>
      <c r="S1290" s="188"/>
      <c r="T1290" s="188"/>
      <c r="U1290" s="188"/>
      <c r="V1290" s="188"/>
      <c r="W1290" s="188"/>
      <c r="X1290" s="188"/>
      <c r="Y1290" s="188"/>
      <c r="Z1290" s="188"/>
      <c r="AA1290" s="188"/>
      <c r="AB1290" s="188"/>
      <c r="AC1290" s="188"/>
      <c r="AD1290" s="188"/>
      <c r="AE1290" s="188"/>
      <c r="AF1290" s="188"/>
      <c r="AG1290" s="188"/>
      <c r="AH1290" s="188"/>
      <c r="AI1290" s="188"/>
      <c r="AJ1290" s="188"/>
      <c r="AK1290" s="188"/>
      <c r="AL1290" s="188"/>
      <c r="AM1290" s="188"/>
      <c r="AN1290" s="188"/>
      <c r="AO1290" s="188"/>
      <c r="AP1290" s="188"/>
      <c r="AQ1290" s="188"/>
      <c r="AR1290" s="188"/>
      <c r="AS1290" s="188"/>
      <c r="AT1290" s="188"/>
      <c r="AU1290" s="188"/>
      <c r="AV1290" s="188"/>
      <c r="AW1290" s="188"/>
      <c r="AX1290" s="188"/>
      <c r="AY1290" s="188"/>
      <c r="AZ1290" s="188"/>
      <c r="BA1290" s="188"/>
      <c r="BB1290" s="188"/>
      <c r="BC1290" s="188"/>
    </row>
    <row r="1291">
      <c r="A1291" s="188"/>
      <c r="B1291" s="188"/>
      <c r="C1291" s="188"/>
      <c r="D1291" s="188"/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188"/>
      <c r="Q1291" s="188"/>
      <c r="R1291" s="188"/>
      <c r="S1291" s="188"/>
      <c r="T1291" s="188"/>
      <c r="U1291" s="188"/>
      <c r="V1291" s="188"/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188"/>
      <c r="AH1291" s="188"/>
      <c r="AI1291" s="188"/>
      <c r="AJ1291" s="188"/>
      <c r="AK1291" s="188"/>
      <c r="AL1291" s="188"/>
      <c r="AM1291" s="188"/>
      <c r="AN1291" s="188"/>
      <c r="AO1291" s="188"/>
      <c r="AP1291" s="188"/>
      <c r="AQ1291" s="188"/>
      <c r="AR1291" s="188"/>
      <c r="AS1291" s="188"/>
      <c r="AT1291" s="188"/>
      <c r="AU1291" s="188"/>
      <c r="AV1291" s="188"/>
      <c r="AW1291" s="188"/>
      <c r="AX1291" s="188"/>
      <c r="AY1291" s="188"/>
      <c r="AZ1291" s="188"/>
      <c r="BA1291" s="188"/>
      <c r="BB1291" s="188"/>
      <c r="BC1291" s="188"/>
    </row>
    <row r="1292">
      <c r="A1292" s="188"/>
      <c r="B1292" s="188"/>
      <c r="C1292" s="188"/>
      <c r="D1292" s="188"/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188"/>
      <c r="Q1292" s="188"/>
      <c r="R1292" s="188"/>
      <c r="S1292" s="188"/>
      <c r="T1292" s="188"/>
      <c r="U1292" s="188"/>
      <c r="V1292" s="188"/>
      <c r="W1292" s="188"/>
      <c r="X1292" s="188"/>
      <c r="Y1292" s="188"/>
      <c r="Z1292" s="188"/>
      <c r="AA1292" s="188"/>
      <c r="AB1292" s="188"/>
      <c r="AC1292" s="188"/>
      <c r="AD1292" s="188"/>
      <c r="AE1292" s="188"/>
      <c r="AF1292" s="188"/>
      <c r="AG1292" s="188"/>
      <c r="AH1292" s="188"/>
      <c r="AI1292" s="188"/>
      <c r="AJ1292" s="188"/>
      <c r="AK1292" s="188"/>
      <c r="AL1292" s="188"/>
      <c r="AM1292" s="188"/>
      <c r="AN1292" s="188"/>
      <c r="AO1292" s="188"/>
      <c r="AP1292" s="188"/>
      <c r="AQ1292" s="188"/>
      <c r="AR1292" s="188"/>
      <c r="AS1292" s="188"/>
      <c r="AT1292" s="188"/>
      <c r="AU1292" s="188"/>
      <c r="AV1292" s="188"/>
      <c r="AW1292" s="188"/>
      <c r="AX1292" s="188"/>
      <c r="AY1292" s="188"/>
      <c r="AZ1292" s="188"/>
      <c r="BA1292" s="188"/>
      <c r="BB1292" s="188"/>
      <c r="BC1292" s="188"/>
    </row>
    <row r="1293">
      <c r="A1293" s="188"/>
      <c r="B1293" s="188"/>
      <c r="C1293" s="188"/>
      <c r="D1293" s="188"/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188"/>
      <c r="Q1293" s="188"/>
      <c r="R1293" s="188"/>
      <c r="S1293" s="188"/>
      <c r="T1293" s="188"/>
      <c r="U1293" s="188"/>
      <c r="V1293" s="188"/>
      <c r="W1293" s="188"/>
      <c r="X1293" s="188"/>
      <c r="Y1293" s="188"/>
      <c r="Z1293" s="188"/>
      <c r="AA1293" s="188"/>
      <c r="AB1293" s="188"/>
      <c r="AC1293" s="188"/>
      <c r="AD1293" s="188"/>
      <c r="AE1293" s="188"/>
      <c r="AF1293" s="188"/>
      <c r="AG1293" s="188"/>
      <c r="AH1293" s="188"/>
      <c r="AI1293" s="188"/>
      <c r="AJ1293" s="188"/>
      <c r="AK1293" s="188"/>
      <c r="AL1293" s="188"/>
      <c r="AM1293" s="188"/>
      <c r="AN1293" s="188"/>
      <c r="AO1293" s="188"/>
      <c r="AP1293" s="188"/>
      <c r="AQ1293" s="188"/>
      <c r="AR1293" s="188"/>
      <c r="AS1293" s="188"/>
      <c r="AT1293" s="188"/>
      <c r="AU1293" s="188"/>
      <c r="AV1293" s="188"/>
      <c r="AW1293" s="188"/>
      <c r="AX1293" s="188"/>
      <c r="AY1293" s="188"/>
      <c r="AZ1293" s="188"/>
      <c r="BA1293" s="188"/>
      <c r="BB1293" s="188"/>
      <c r="BC1293" s="188"/>
    </row>
    <row r="1294">
      <c r="A1294" s="188"/>
      <c r="B1294" s="188"/>
      <c r="C1294" s="188"/>
      <c r="D1294" s="188"/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188"/>
      <c r="Q1294" s="188"/>
      <c r="R1294" s="188"/>
      <c r="S1294" s="188"/>
      <c r="T1294" s="188"/>
      <c r="U1294" s="188"/>
      <c r="V1294" s="188"/>
      <c r="W1294" s="188"/>
      <c r="X1294" s="188"/>
      <c r="Y1294" s="188"/>
      <c r="Z1294" s="188"/>
      <c r="AA1294" s="188"/>
      <c r="AB1294" s="188"/>
      <c r="AC1294" s="188"/>
      <c r="AD1294" s="188"/>
      <c r="AE1294" s="188"/>
      <c r="AF1294" s="188"/>
      <c r="AG1294" s="188"/>
      <c r="AH1294" s="188"/>
      <c r="AI1294" s="188"/>
      <c r="AJ1294" s="188"/>
      <c r="AK1294" s="188"/>
      <c r="AL1294" s="188"/>
      <c r="AM1294" s="188"/>
      <c r="AN1294" s="188"/>
      <c r="AO1294" s="188"/>
      <c r="AP1294" s="188"/>
      <c r="AQ1294" s="188"/>
      <c r="AR1294" s="188"/>
      <c r="AS1294" s="188"/>
      <c r="AT1294" s="188"/>
      <c r="AU1294" s="188"/>
      <c r="AV1294" s="188"/>
      <c r="AW1294" s="188"/>
      <c r="AX1294" s="188"/>
      <c r="AY1294" s="188"/>
      <c r="AZ1294" s="188"/>
      <c r="BA1294" s="188"/>
      <c r="BB1294" s="188"/>
      <c r="BC1294" s="188"/>
    </row>
    <row r="1295">
      <c r="A1295" s="188"/>
      <c r="B1295" s="188"/>
      <c r="C1295" s="188"/>
      <c r="D1295" s="188"/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188"/>
      <c r="Q1295" s="188"/>
      <c r="R1295" s="188"/>
      <c r="S1295" s="188"/>
      <c r="T1295" s="188"/>
      <c r="U1295" s="188"/>
      <c r="V1295" s="188"/>
      <c r="W1295" s="188"/>
      <c r="X1295" s="188"/>
      <c r="Y1295" s="188"/>
      <c r="Z1295" s="188"/>
      <c r="AA1295" s="188"/>
      <c r="AB1295" s="188"/>
      <c r="AC1295" s="188"/>
      <c r="AD1295" s="188"/>
      <c r="AE1295" s="188"/>
      <c r="AF1295" s="188"/>
      <c r="AG1295" s="188"/>
      <c r="AH1295" s="188"/>
      <c r="AI1295" s="188"/>
      <c r="AJ1295" s="188"/>
      <c r="AK1295" s="188"/>
      <c r="AL1295" s="188"/>
      <c r="AM1295" s="188"/>
      <c r="AN1295" s="188"/>
      <c r="AO1295" s="188"/>
      <c r="AP1295" s="188"/>
      <c r="AQ1295" s="188"/>
      <c r="AR1295" s="188"/>
      <c r="AS1295" s="188"/>
      <c r="AT1295" s="188"/>
      <c r="AU1295" s="188"/>
      <c r="AV1295" s="188"/>
      <c r="AW1295" s="188"/>
      <c r="AX1295" s="188"/>
      <c r="AY1295" s="188"/>
      <c r="AZ1295" s="188"/>
      <c r="BA1295" s="188"/>
      <c r="BB1295" s="188"/>
      <c r="BC1295" s="188"/>
    </row>
    <row r="1296">
      <c r="A1296" s="188"/>
      <c r="B1296" s="188"/>
      <c r="C1296" s="188"/>
      <c r="D1296" s="188"/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188"/>
      <c r="Q1296" s="188"/>
      <c r="R1296" s="188"/>
      <c r="S1296" s="188"/>
      <c r="T1296" s="188"/>
      <c r="U1296" s="188"/>
      <c r="V1296" s="188"/>
      <c r="W1296" s="188"/>
      <c r="X1296" s="188"/>
      <c r="Y1296" s="188"/>
      <c r="Z1296" s="188"/>
      <c r="AA1296" s="188"/>
      <c r="AB1296" s="188"/>
      <c r="AC1296" s="188"/>
      <c r="AD1296" s="188"/>
      <c r="AE1296" s="188"/>
      <c r="AF1296" s="188"/>
      <c r="AG1296" s="188"/>
      <c r="AH1296" s="188"/>
      <c r="AI1296" s="188"/>
      <c r="AJ1296" s="188"/>
      <c r="AK1296" s="188"/>
      <c r="AL1296" s="188"/>
      <c r="AM1296" s="188"/>
      <c r="AN1296" s="188"/>
      <c r="AO1296" s="188"/>
      <c r="AP1296" s="188"/>
      <c r="AQ1296" s="188"/>
      <c r="AR1296" s="188"/>
      <c r="AS1296" s="188"/>
      <c r="AT1296" s="188"/>
      <c r="AU1296" s="188"/>
      <c r="AV1296" s="188"/>
      <c r="AW1296" s="188"/>
      <c r="AX1296" s="188"/>
      <c r="AY1296" s="188"/>
      <c r="AZ1296" s="188"/>
      <c r="BA1296" s="188"/>
      <c r="BB1296" s="188"/>
      <c r="BC1296" s="188"/>
    </row>
    <row r="1297">
      <c r="A1297" s="188"/>
      <c r="B1297" s="188"/>
      <c r="C1297" s="188"/>
      <c r="D1297" s="188"/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188"/>
      <c r="Q1297" s="188"/>
      <c r="R1297" s="188"/>
      <c r="S1297" s="188"/>
      <c r="T1297" s="188"/>
      <c r="U1297" s="188"/>
      <c r="V1297" s="188"/>
      <c r="W1297" s="188"/>
      <c r="X1297" s="188"/>
      <c r="Y1297" s="188"/>
      <c r="Z1297" s="188"/>
      <c r="AA1297" s="188"/>
      <c r="AB1297" s="188"/>
      <c r="AC1297" s="188"/>
      <c r="AD1297" s="188"/>
      <c r="AE1297" s="188"/>
      <c r="AF1297" s="188"/>
      <c r="AG1297" s="188"/>
      <c r="AH1297" s="188"/>
      <c r="AI1297" s="188"/>
      <c r="AJ1297" s="188"/>
      <c r="AK1297" s="188"/>
      <c r="AL1297" s="188"/>
      <c r="AM1297" s="188"/>
      <c r="AN1297" s="188"/>
      <c r="AO1297" s="188"/>
      <c r="AP1297" s="188"/>
      <c r="AQ1297" s="188"/>
      <c r="AR1297" s="188"/>
      <c r="AS1297" s="188"/>
      <c r="AT1297" s="188"/>
      <c r="AU1297" s="188"/>
      <c r="AV1297" s="188"/>
      <c r="AW1297" s="188"/>
      <c r="AX1297" s="188"/>
      <c r="AY1297" s="188"/>
      <c r="AZ1297" s="188"/>
      <c r="BA1297" s="188"/>
      <c r="BB1297" s="188"/>
      <c r="BC1297" s="188"/>
    </row>
    <row r="1298">
      <c r="A1298" s="188"/>
      <c r="B1298" s="188"/>
      <c r="C1298" s="188"/>
      <c r="D1298" s="188"/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188"/>
      <c r="Q1298" s="188"/>
      <c r="R1298" s="188"/>
      <c r="S1298" s="188"/>
      <c r="T1298" s="188"/>
      <c r="U1298" s="188"/>
      <c r="V1298" s="188"/>
      <c r="W1298" s="188"/>
      <c r="X1298" s="188"/>
      <c r="Y1298" s="188"/>
      <c r="Z1298" s="188"/>
      <c r="AA1298" s="188"/>
      <c r="AB1298" s="188"/>
      <c r="AC1298" s="188"/>
      <c r="AD1298" s="188"/>
      <c r="AE1298" s="188"/>
      <c r="AF1298" s="188"/>
      <c r="AG1298" s="188"/>
      <c r="AH1298" s="188"/>
      <c r="AI1298" s="188"/>
      <c r="AJ1298" s="188"/>
      <c r="AK1298" s="188"/>
      <c r="AL1298" s="188"/>
      <c r="AM1298" s="188"/>
      <c r="AN1298" s="188"/>
      <c r="AO1298" s="188"/>
      <c r="AP1298" s="188"/>
      <c r="AQ1298" s="188"/>
      <c r="AR1298" s="188"/>
      <c r="AS1298" s="188"/>
      <c r="AT1298" s="188"/>
      <c r="AU1298" s="188"/>
      <c r="AV1298" s="188"/>
      <c r="AW1298" s="188"/>
      <c r="AX1298" s="188"/>
      <c r="AY1298" s="188"/>
      <c r="AZ1298" s="188"/>
      <c r="BA1298" s="188"/>
      <c r="BB1298" s="188"/>
      <c r="BC1298" s="188"/>
    </row>
    <row r="1299">
      <c r="A1299" s="188"/>
      <c r="B1299" s="188"/>
      <c r="C1299" s="188"/>
      <c r="D1299" s="188"/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188"/>
      <c r="Q1299" s="188"/>
      <c r="R1299" s="188"/>
      <c r="S1299" s="188"/>
      <c r="T1299" s="188"/>
      <c r="U1299" s="188"/>
      <c r="V1299" s="188"/>
      <c r="W1299" s="188"/>
      <c r="X1299" s="188"/>
      <c r="Y1299" s="188"/>
      <c r="Z1299" s="188"/>
      <c r="AA1299" s="188"/>
      <c r="AB1299" s="188"/>
      <c r="AC1299" s="188"/>
      <c r="AD1299" s="188"/>
      <c r="AE1299" s="188"/>
      <c r="AF1299" s="188"/>
      <c r="AG1299" s="188"/>
      <c r="AH1299" s="188"/>
      <c r="AI1299" s="188"/>
      <c r="AJ1299" s="188"/>
      <c r="AK1299" s="188"/>
      <c r="AL1299" s="188"/>
      <c r="AM1299" s="188"/>
      <c r="AN1299" s="188"/>
      <c r="AO1299" s="188"/>
      <c r="AP1299" s="188"/>
      <c r="AQ1299" s="188"/>
      <c r="AR1299" s="188"/>
      <c r="AS1299" s="188"/>
      <c r="AT1299" s="188"/>
      <c r="AU1299" s="188"/>
      <c r="AV1299" s="188"/>
      <c r="AW1299" s="188"/>
      <c r="AX1299" s="188"/>
      <c r="AY1299" s="188"/>
      <c r="AZ1299" s="188"/>
      <c r="BA1299" s="188"/>
      <c r="BB1299" s="188"/>
      <c r="BC1299" s="188"/>
    </row>
    <row r="1300">
      <c r="A1300" s="188"/>
      <c r="B1300" s="188"/>
      <c r="C1300" s="188"/>
      <c r="D1300" s="188"/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188"/>
      <c r="Q1300" s="188"/>
      <c r="R1300" s="188"/>
      <c r="S1300" s="188"/>
      <c r="T1300" s="188"/>
      <c r="U1300" s="188"/>
      <c r="V1300" s="188"/>
      <c r="W1300" s="188"/>
      <c r="X1300" s="188"/>
      <c r="Y1300" s="188"/>
      <c r="Z1300" s="188"/>
      <c r="AA1300" s="188"/>
      <c r="AB1300" s="188"/>
      <c r="AC1300" s="188"/>
      <c r="AD1300" s="188"/>
      <c r="AE1300" s="188"/>
      <c r="AF1300" s="188"/>
      <c r="AG1300" s="188"/>
      <c r="AH1300" s="188"/>
      <c r="AI1300" s="188"/>
      <c r="AJ1300" s="188"/>
      <c r="AK1300" s="188"/>
      <c r="AL1300" s="188"/>
      <c r="AM1300" s="188"/>
      <c r="AN1300" s="188"/>
      <c r="AO1300" s="188"/>
      <c r="AP1300" s="188"/>
      <c r="AQ1300" s="188"/>
      <c r="AR1300" s="188"/>
      <c r="AS1300" s="188"/>
      <c r="AT1300" s="188"/>
      <c r="AU1300" s="188"/>
      <c r="AV1300" s="188"/>
      <c r="AW1300" s="188"/>
      <c r="AX1300" s="188"/>
      <c r="AY1300" s="188"/>
      <c r="AZ1300" s="188"/>
      <c r="BA1300" s="188"/>
      <c r="BB1300" s="188"/>
      <c r="BC1300" s="188"/>
    </row>
    <row r="1301">
      <c r="A1301" s="188"/>
      <c r="B1301" s="188"/>
      <c r="C1301" s="188"/>
      <c r="D1301" s="188"/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188"/>
      <c r="Q1301" s="188"/>
      <c r="R1301" s="188"/>
      <c r="S1301" s="188"/>
      <c r="T1301" s="188"/>
      <c r="U1301" s="188"/>
      <c r="V1301" s="188"/>
      <c r="W1301" s="188"/>
      <c r="X1301" s="188"/>
      <c r="Y1301" s="188"/>
      <c r="Z1301" s="188"/>
      <c r="AA1301" s="188"/>
      <c r="AB1301" s="188"/>
      <c r="AC1301" s="188"/>
      <c r="AD1301" s="188"/>
      <c r="AE1301" s="188"/>
      <c r="AF1301" s="188"/>
      <c r="AG1301" s="188"/>
      <c r="AH1301" s="188"/>
      <c r="AI1301" s="188"/>
      <c r="AJ1301" s="188"/>
      <c r="AK1301" s="188"/>
      <c r="AL1301" s="188"/>
      <c r="AM1301" s="188"/>
      <c r="AN1301" s="188"/>
      <c r="AO1301" s="188"/>
      <c r="AP1301" s="188"/>
      <c r="AQ1301" s="188"/>
      <c r="AR1301" s="188"/>
      <c r="AS1301" s="188"/>
      <c r="AT1301" s="188"/>
      <c r="AU1301" s="188"/>
      <c r="AV1301" s="188"/>
      <c r="AW1301" s="188"/>
      <c r="AX1301" s="188"/>
      <c r="AY1301" s="188"/>
      <c r="AZ1301" s="188"/>
      <c r="BA1301" s="188"/>
      <c r="BB1301" s="188"/>
      <c r="BC1301" s="188"/>
    </row>
    <row r="1302">
      <c r="A1302" s="188"/>
      <c r="B1302" s="188"/>
      <c r="C1302" s="188"/>
      <c r="D1302" s="188"/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188"/>
      <c r="Q1302" s="188"/>
      <c r="R1302" s="188"/>
      <c r="S1302" s="188"/>
      <c r="T1302" s="188"/>
      <c r="U1302" s="188"/>
      <c r="V1302" s="188"/>
      <c r="W1302" s="188"/>
      <c r="X1302" s="188"/>
      <c r="Y1302" s="188"/>
      <c r="Z1302" s="188"/>
      <c r="AA1302" s="188"/>
      <c r="AB1302" s="188"/>
      <c r="AC1302" s="188"/>
      <c r="AD1302" s="188"/>
      <c r="AE1302" s="188"/>
      <c r="AF1302" s="188"/>
      <c r="AG1302" s="188"/>
      <c r="AH1302" s="188"/>
      <c r="AI1302" s="188"/>
      <c r="AJ1302" s="188"/>
      <c r="AK1302" s="188"/>
      <c r="AL1302" s="188"/>
      <c r="AM1302" s="188"/>
      <c r="AN1302" s="188"/>
      <c r="AO1302" s="188"/>
      <c r="AP1302" s="188"/>
      <c r="AQ1302" s="188"/>
      <c r="AR1302" s="188"/>
      <c r="AS1302" s="188"/>
      <c r="AT1302" s="188"/>
      <c r="AU1302" s="188"/>
      <c r="AV1302" s="188"/>
      <c r="AW1302" s="188"/>
      <c r="AX1302" s="188"/>
      <c r="AY1302" s="188"/>
      <c r="AZ1302" s="188"/>
      <c r="BA1302" s="188"/>
      <c r="BB1302" s="188"/>
      <c r="BC1302" s="188"/>
    </row>
    <row r="1303">
      <c r="A1303" s="188"/>
      <c r="B1303" s="188"/>
      <c r="C1303" s="188"/>
      <c r="D1303" s="188"/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188"/>
      <c r="Q1303" s="188"/>
      <c r="R1303" s="188"/>
      <c r="S1303" s="188"/>
      <c r="T1303" s="188"/>
      <c r="U1303" s="188"/>
      <c r="V1303" s="188"/>
      <c r="W1303" s="188"/>
      <c r="X1303" s="188"/>
      <c r="Y1303" s="188"/>
      <c r="Z1303" s="188"/>
      <c r="AA1303" s="188"/>
      <c r="AB1303" s="188"/>
      <c r="AC1303" s="188"/>
      <c r="AD1303" s="188"/>
      <c r="AE1303" s="188"/>
      <c r="AF1303" s="188"/>
      <c r="AG1303" s="188"/>
      <c r="AH1303" s="188"/>
      <c r="AI1303" s="188"/>
      <c r="AJ1303" s="188"/>
      <c r="AK1303" s="188"/>
      <c r="AL1303" s="188"/>
      <c r="AM1303" s="188"/>
      <c r="AN1303" s="188"/>
      <c r="AO1303" s="188"/>
      <c r="AP1303" s="188"/>
      <c r="AQ1303" s="188"/>
      <c r="AR1303" s="188"/>
      <c r="AS1303" s="188"/>
      <c r="AT1303" s="188"/>
      <c r="AU1303" s="188"/>
      <c r="AV1303" s="188"/>
      <c r="AW1303" s="188"/>
      <c r="AX1303" s="188"/>
      <c r="AY1303" s="188"/>
      <c r="AZ1303" s="188"/>
      <c r="BA1303" s="188"/>
      <c r="BB1303" s="188"/>
      <c r="BC1303" s="188"/>
    </row>
    <row r="1304">
      <c r="A1304" s="188"/>
      <c r="B1304" s="188"/>
      <c r="C1304" s="188"/>
      <c r="D1304" s="188"/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188"/>
      <c r="Q1304" s="188"/>
      <c r="R1304" s="188"/>
      <c r="S1304" s="188"/>
      <c r="T1304" s="188"/>
      <c r="U1304" s="188"/>
      <c r="V1304" s="188"/>
      <c r="W1304" s="188"/>
      <c r="X1304" s="188"/>
      <c r="Y1304" s="188"/>
      <c r="Z1304" s="188"/>
      <c r="AA1304" s="188"/>
      <c r="AB1304" s="188"/>
      <c r="AC1304" s="188"/>
      <c r="AD1304" s="188"/>
      <c r="AE1304" s="188"/>
      <c r="AF1304" s="188"/>
      <c r="AG1304" s="188"/>
      <c r="AH1304" s="188"/>
      <c r="AI1304" s="188"/>
      <c r="AJ1304" s="188"/>
      <c r="AK1304" s="188"/>
      <c r="AL1304" s="188"/>
      <c r="AM1304" s="188"/>
      <c r="AN1304" s="188"/>
      <c r="AO1304" s="188"/>
      <c r="AP1304" s="188"/>
      <c r="AQ1304" s="188"/>
      <c r="AR1304" s="188"/>
      <c r="AS1304" s="188"/>
      <c r="AT1304" s="188"/>
      <c r="AU1304" s="188"/>
      <c r="AV1304" s="188"/>
      <c r="AW1304" s="188"/>
      <c r="AX1304" s="188"/>
      <c r="AY1304" s="188"/>
      <c r="AZ1304" s="188"/>
      <c r="BA1304" s="188"/>
      <c r="BB1304" s="188"/>
      <c r="BC1304" s="188"/>
    </row>
    <row r="1305">
      <c r="A1305" s="188"/>
      <c r="B1305" s="188"/>
      <c r="C1305" s="188"/>
      <c r="D1305" s="188"/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188"/>
      <c r="Q1305" s="188"/>
      <c r="R1305" s="188"/>
      <c r="S1305" s="188"/>
      <c r="T1305" s="188"/>
      <c r="U1305" s="188"/>
      <c r="V1305" s="188"/>
      <c r="W1305" s="188"/>
      <c r="X1305" s="188"/>
      <c r="Y1305" s="188"/>
      <c r="Z1305" s="188"/>
      <c r="AA1305" s="188"/>
      <c r="AB1305" s="188"/>
      <c r="AC1305" s="188"/>
      <c r="AD1305" s="188"/>
      <c r="AE1305" s="188"/>
      <c r="AF1305" s="188"/>
      <c r="AG1305" s="188"/>
      <c r="AH1305" s="188"/>
      <c r="AI1305" s="188"/>
      <c r="AJ1305" s="188"/>
      <c r="AK1305" s="188"/>
      <c r="AL1305" s="188"/>
      <c r="AM1305" s="188"/>
      <c r="AN1305" s="188"/>
      <c r="AO1305" s="188"/>
      <c r="AP1305" s="188"/>
      <c r="AQ1305" s="188"/>
      <c r="AR1305" s="188"/>
      <c r="AS1305" s="188"/>
      <c r="AT1305" s="188"/>
      <c r="AU1305" s="188"/>
      <c r="AV1305" s="188"/>
      <c r="AW1305" s="188"/>
      <c r="AX1305" s="188"/>
      <c r="AY1305" s="188"/>
      <c r="AZ1305" s="188"/>
      <c r="BA1305" s="188"/>
      <c r="BB1305" s="188"/>
      <c r="BC1305" s="188"/>
    </row>
    <row r="1306">
      <c r="A1306" s="188"/>
      <c r="B1306" s="188"/>
      <c r="C1306" s="188"/>
      <c r="D1306" s="188"/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188"/>
      <c r="Q1306" s="188"/>
      <c r="R1306" s="188"/>
      <c r="S1306" s="188"/>
      <c r="T1306" s="188"/>
      <c r="U1306" s="188"/>
      <c r="V1306" s="188"/>
      <c r="W1306" s="188"/>
      <c r="X1306" s="188"/>
      <c r="Y1306" s="188"/>
      <c r="Z1306" s="188"/>
      <c r="AA1306" s="188"/>
      <c r="AB1306" s="188"/>
      <c r="AC1306" s="188"/>
      <c r="AD1306" s="188"/>
      <c r="AE1306" s="188"/>
      <c r="AF1306" s="188"/>
      <c r="AG1306" s="188"/>
      <c r="AH1306" s="188"/>
      <c r="AI1306" s="188"/>
      <c r="AJ1306" s="188"/>
      <c r="AK1306" s="188"/>
      <c r="AL1306" s="188"/>
      <c r="AM1306" s="188"/>
      <c r="AN1306" s="188"/>
      <c r="AO1306" s="188"/>
      <c r="AP1306" s="188"/>
      <c r="AQ1306" s="188"/>
      <c r="AR1306" s="188"/>
      <c r="AS1306" s="188"/>
      <c r="AT1306" s="188"/>
      <c r="AU1306" s="188"/>
      <c r="AV1306" s="188"/>
      <c r="AW1306" s="188"/>
      <c r="AX1306" s="188"/>
      <c r="AY1306" s="188"/>
      <c r="AZ1306" s="188"/>
      <c r="BA1306" s="188"/>
      <c r="BB1306" s="188"/>
      <c r="BC1306" s="188"/>
    </row>
    <row r="1307">
      <c r="A1307" s="188"/>
      <c r="B1307" s="188"/>
      <c r="C1307" s="188"/>
      <c r="D1307" s="188"/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188"/>
      <c r="Q1307" s="188"/>
      <c r="R1307" s="188"/>
      <c r="S1307" s="188"/>
      <c r="T1307" s="188"/>
      <c r="U1307" s="188"/>
      <c r="V1307" s="188"/>
      <c r="W1307" s="188"/>
      <c r="X1307" s="188"/>
      <c r="Y1307" s="188"/>
      <c r="Z1307" s="188"/>
      <c r="AA1307" s="188"/>
      <c r="AB1307" s="188"/>
      <c r="AC1307" s="188"/>
      <c r="AD1307" s="188"/>
      <c r="AE1307" s="188"/>
      <c r="AF1307" s="188"/>
      <c r="AG1307" s="188"/>
      <c r="AH1307" s="188"/>
      <c r="AI1307" s="188"/>
      <c r="AJ1307" s="188"/>
      <c r="AK1307" s="188"/>
      <c r="AL1307" s="188"/>
      <c r="AM1307" s="188"/>
      <c r="AN1307" s="188"/>
      <c r="AO1307" s="188"/>
      <c r="AP1307" s="188"/>
      <c r="AQ1307" s="188"/>
      <c r="AR1307" s="188"/>
      <c r="AS1307" s="188"/>
      <c r="AT1307" s="188"/>
      <c r="AU1307" s="188"/>
      <c r="AV1307" s="188"/>
      <c r="AW1307" s="188"/>
      <c r="AX1307" s="188"/>
      <c r="AY1307" s="188"/>
      <c r="AZ1307" s="188"/>
      <c r="BA1307" s="188"/>
      <c r="BB1307" s="188"/>
      <c r="BC1307" s="188"/>
    </row>
    <row r="1308">
      <c r="A1308" s="188"/>
      <c r="B1308" s="188"/>
      <c r="C1308" s="188"/>
      <c r="D1308" s="188"/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188"/>
      <c r="Q1308" s="188"/>
      <c r="R1308" s="188"/>
      <c r="S1308" s="188"/>
      <c r="T1308" s="188"/>
      <c r="U1308" s="188"/>
      <c r="V1308" s="188"/>
      <c r="W1308" s="188"/>
      <c r="X1308" s="188"/>
      <c r="Y1308" s="188"/>
      <c r="Z1308" s="188"/>
      <c r="AA1308" s="188"/>
      <c r="AB1308" s="188"/>
      <c r="AC1308" s="188"/>
      <c r="AD1308" s="188"/>
      <c r="AE1308" s="188"/>
      <c r="AF1308" s="188"/>
      <c r="AG1308" s="188"/>
      <c r="AH1308" s="188"/>
      <c r="AI1308" s="188"/>
      <c r="AJ1308" s="188"/>
      <c r="AK1308" s="188"/>
      <c r="AL1308" s="188"/>
      <c r="AM1308" s="188"/>
      <c r="AN1308" s="188"/>
      <c r="AO1308" s="188"/>
      <c r="AP1308" s="188"/>
      <c r="AQ1308" s="188"/>
      <c r="AR1308" s="188"/>
      <c r="AS1308" s="188"/>
      <c r="AT1308" s="188"/>
      <c r="AU1308" s="188"/>
      <c r="AV1308" s="188"/>
      <c r="AW1308" s="188"/>
      <c r="AX1308" s="188"/>
      <c r="AY1308" s="188"/>
      <c r="AZ1308" s="188"/>
      <c r="BA1308" s="188"/>
      <c r="BB1308" s="188"/>
      <c r="BC1308" s="188"/>
    </row>
    <row r="1309">
      <c r="A1309" s="188"/>
      <c r="B1309" s="188"/>
      <c r="C1309" s="188"/>
      <c r="D1309" s="188"/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188"/>
      <c r="Q1309" s="188"/>
      <c r="R1309" s="188"/>
      <c r="S1309" s="188"/>
      <c r="T1309" s="188"/>
      <c r="U1309" s="188"/>
      <c r="V1309" s="188"/>
      <c r="W1309" s="188"/>
      <c r="X1309" s="188"/>
      <c r="Y1309" s="188"/>
      <c r="Z1309" s="188"/>
      <c r="AA1309" s="188"/>
      <c r="AB1309" s="188"/>
      <c r="AC1309" s="188"/>
      <c r="AD1309" s="188"/>
      <c r="AE1309" s="188"/>
      <c r="AF1309" s="188"/>
      <c r="AG1309" s="188"/>
      <c r="AH1309" s="188"/>
      <c r="AI1309" s="188"/>
      <c r="AJ1309" s="188"/>
      <c r="AK1309" s="188"/>
      <c r="AL1309" s="188"/>
      <c r="AM1309" s="188"/>
      <c r="AN1309" s="188"/>
      <c r="AO1309" s="188"/>
      <c r="AP1309" s="188"/>
      <c r="AQ1309" s="188"/>
      <c r="AR1309" s="188"/>
      <c r="AS1309" s="188"/>
      <c r="AT1309" s="188"/>
      <c r="AU1309" s="188"/>
      <c r="AV1309" s="188"/>
      <c r="AW1309" s="188"/>
      <c r="AX1309" s="188"/>
      <c r="AY1309" s="188"/>
      <c r="AZ1309" s="188"/>
      <c r="BA1309" s="188"/>
      <c r="BB1309" s="188"/>
      <c r="BC1309" s="188"/>
    </row>
    <row r="1310">
      <c r="A1310" s="188"/>
      <c r="B1310" s="188"/>
      <c r="C1310" s="188"/>
      <c r="D1310" s="188"/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188"/>
      <c r="Q1310" s="188"/>
      <c r="R1310" s="188"/>
      <c r="S1310" s="188"/>
      <c r="T1310" s="188"/>
      <c r="U1310" s="188"/>
      <c r="V1310" s="188"/>
      <c r="W1310" s="188"/>
      <c r="X1310" s="188"/>
      <c r="Y1310" s="188"/>
      <c r="Z1310" s="188"/>
      <c r="AA1310" s="188"/>
      <c r="AB1310" s="188"/>
      <c r="AC1310" s="188"/>
      <c r="AD1310" s="188"/>
      <c r="AE1310" s="188"/>
      <c r="AF1310" s="188"/>
      <c r="AG1310" s="188"/>
      <c r="AH1310" s="188"/>
      <c r="AI1310" s="188"/>
      <c r="AJ1310" s="188"/>
      <c r="AK1310" s="188"/>
      <c r="AL1310" s="188"/>
      <c r="AM1310" s="188"/>
      <c r="AN1310" s="188"/>
      <c r="AO1310" s="188"/>
      <c r="AP1310" s="188"/>
      <c r="AQ1310" s="188"/>
      <c r="AR1310" s="188"/>
      <c r="AS1310" s="188"/>
      <c r="AT1310" s="188"/>
      <c r="AU1310" s="188"/>
      <c r="AV1310" s="188"/>
      <c r="AW1310" s="188"/>
      <c r="AX1310" s="188"/>
      <c r="AY1310" s="188"/>
      <c r="AZ1310" s="188"/>
      <c r="BA1310" s="188"/>
      <c r="BB1310" s="188"/>
      <c r="BC1310" s="188"/>
    </row>
    <row r="1311">
      <c r="A1311" s="188"/>
      <c r="B1311" s="188"/>
      <c r="C1311" s="188"/>
      <c r="D1311" s="188"/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188"/>
      <c r="Q1311" s="188"/>
      <c r="R1311" s="188"/>
      <c r="S1311" s="188"/>
      <c r="T1311" s="188"/>
      <c r="U1311" s="188"/>
      <c r="V1311" s="188"/>
      <c r="W1311" s="188"/>
      <c r="X1311" s="188"/>
      <c r="Y1311" s="188"/>
      <c r="Z1311" s="188"/>
      <c r="AA1311" s="188"/>
      <c r="AB1311" s="188"/>
      <c r="AC1311" s="188"/>
      <c r="AD1311" s="188"/>
      <c r="AE1311" s="188"/>
      <c r="AF1311" s="188"/>
      <c r="AG1311" s="188"/>
      <c r="AH1311" s="188"/>
      <c r="AI1311" s="188"/>
      <c r="AJ1311" s="188"/>
      <c r="AK1311" s="188"/>
      <c r="AL1311" s="188"/>
      <c r="AM1311" s="188"/>
      <c r="AN1311" s="188"/>
      <c r="AO1311" s="188"/>
      <c r="AP1311" s="188"/>
      <c r="AQ1311" s="188"/>
      <c r="AR1311" s="188"/>
      <c r="AS1311" s="188"/>
      <c r="AT1311" s="188"/>
      <c r="AU1311" s="188"/>
      <c r="AV1311" s="188"/>
      <c r="AW1311" s="188"/>
      <c r="AX1311" s="188"/>
      <c r="AY1311" s="188"/>
      <c r="AZ1311" s="188"/>
      <c r="BA1311" s="188"/>
      <c r="BB1311" s="188"/>
      <c r="BC1311" s="188"/>
    </row>
    <row r="1312">
      <c r="A1312" s="188"/>
      <c r="B1312" s="188"/>
      <c r="C1312" s="188"/>
      <c r="D1312" s="188"/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188"/>
      <c r="Q1312" s="188"/>
      <c r="R1312" s="188"/>
      <c r="S1312" s="188"/>
      <c r="T1312" s="188"/>
      <c r="U1312" s="188"/>
      <c r="V1312" s="188"/>
      <c r="W1312" s="188"/>
      <c r="X1312" s="188"/>
      <c r="Y1312" s="188"/>
      <c r="Z1312" s="188"/>
      <c r="AA1312" s="188"/>
      <c r="AB1312" s="188"/>
      <c r="AC1312" s="188"/>
      <c r="AD1312" s="188"/>
      <c r="AE1312" s="188"/>
      <c r="AF1312" s="188"/>
      <c r="AG1312" s="188"/>
      <c r="AH1312" s="188"/>
      <c r="AI1312" s="188"/>
      <c r="AJ1312" s="188"/>
      <c r="AK1312" s="188"/>
      <c r="AL1312" s="188"/>
      <c r="AM1312" s="188"/>
      <c r="AN1312" s="188"/>
      <c r="AO1312" s="188"/>
      <c r="AP1312" s="188"/>
      <c r="AQ1312" s="188"/>
      <c r="AR1312" s="188"/>
      <c r="AS1312" s="188"/>
      <c r="AT1312" s="188"/>
      <c r="AU1312" s="188"/>
      <c r="AV1312" s="188"/>
      <c r="AW1312" s="188"/>
      <c r="AX1312" s="188"/>
      <c r="AY1312" s="188"/>
      <c r="AZ1312" s="188"/>
      <c r="BA1312" s="188"/>
      <c r="BB1312" s="188"/>
      <c r="BC1312" s="188"/>
    </row>
    <row r="1313">
      <c r="A1313" s="188"/>
      <c r="B1313" s="188"/>
      <c r="C1313" s="188"/>
      <c r="D1313" s="188"/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188"/>
      <c r="Q1313" s="188"/>
      <c r="R1313" s="188"/>
      <c r="S1313" s="188"/>
      <c r="T1313" s="188"/>
      <c r="U1313" s="188"/>
      <c r="V1313" s="188"/>
      <c r="W1313" s="188"/>
      <c r="X1313" s="188"/>
      <c r="Y1313" s="188"/>
      <c r="Z1313" s="188"/>
      <c r="AA1313" s="188"/>
      <c r="AB1313" s="188"/>
      <c r="AC1313" s="188"/>
      <c r="AD1313" s="188"/>
      <c r="AE1313" s="188"/>
      <c r="AF1313" s="188"/>
      <c r="AG1313" s="188"/>
      <c r="AH1313" s="188"/>
      <c r="AI1313" s="188"/>
      <c r="AJ1313" s="188"/>
      <c r="AK1313" s="188"/>
      <c r="AL1313" s="188"/>
      <c r="AM1313" s="188"/>
      <c r="AN1313" s="188"/>
      <c r="AO1313" s="188"/>
      <c r="AP1313" s="188"/>
      <c r="AQ1313" s="188"/>
      <c r="AR1313" s="188"/>
      <c r="AS1313" s="188"/>
      <c r="AT1313" s="188"/>
      <c r="AU1313" s="188"/>
      <c r="AV1313" s="188"/>
      <c r="AW1313" s="188"/>
      <c r="AX1313" s="188"/>
      <c r="AY1313" s="188"/>
      <c r="AZ1313" s="188"/>
      <c r="BA1313" s="188"/>
      <c r="BB1313" s="188"/>
      <c r="BC1313" s="188"/>
    </row>
    <row r="1314">
      <c r="A1314" s="188"/>
      <c r="B1314" s="188"/>
      <c r="C1314" s="188"/>
      <c r="D1314" s="188"/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188"/>
      <c r="Q1314" s="188"/>
      <c r="R1314" s="188"/>
      <c r="S1314" s="188"/>
      <c r="T1314" s="188"/>
      <c r="U1314" s="188"/>
      <c r="V1314" s="188"/>
      <c r="W1314" s="188"/>
      <c r="X1314" s="188"/>
      <c r="Y1314" s="188"/>
      <c r="Z1314" s="188"/>
      <c r="AA1314" s="188"/>
      <c r="AB1314" s="188"/>
      <c r="AC1314" s="188"/>
      <c r="AD1314" s="188"/>
      <c r="AE1314" s="188"/>
      <c r="AF1314" s="188"/>
      <c r="AG1314" s="188"/>
      <c r="AH1314" s="188"/>
      <c r="AI1314" s="188"/>
      <c r="AJ1314" s="188"/>
      <c r="AK1314" s="188"/>
      <c r="AL1314" s="188"/>
      <c r="AM1314" s="188"/>
      <c r="AN1314" s="188"/>
      <c r="AO1314" s="188"/>
      <c r="AP1314" s="188"/>
      <c r="AQ1314" s="188"/>
      <c r="AR1314" s="188"/>
      <c r="AS1314" s="188"/>
      <c r="AT1314" s="188"/>
      <c r="AU1314" s="188"/>
      <c r="AV1314" s="188"/>
      <c r="AW1314" s="188"/>
      <c r="AX1314" s="188"/>
      <c r="AY1314" s="188"/>
      <c r="AZ1314" s="188"/>
      <c r="BA1314" s="188"/>
      <c r="BB1314" s="188"/>
      <c r="BC1314" s="188"/>
    </row>
    <row r="1315">
      <c r="A1315" s="188"/>
      <c r="B1315" s="188"/>
      <c r="C1315" s="188"/>
      <c r="D1315" s="188"/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188"/>
      <c r="Q1315" s="188"/>
      <c r="R1315" s="188"/>
      <c r="S1315" s="188"/>
      <c r="T1315" s="188"/>
      <c r="U1315" s="188"/>
      <c r="V1315" s="188"/>
      <c r="W1315" s="188"/>
      <c r="X1315" s="188"/>
      <c r="Y1315" s="188"/>
      <c r="Z1315" s="188"/>
      <c r="AA1315" s="188"/>
      <c r="AB1315" s="188"/>
      <c r="AC1315" s="188"/>
      <c r="AD1315" s="188"/>
      <c r="AE1315" s="188"/>
      <c r="AF1315" s="188"/>
      <c r="AG1315" s="188"/>
      <c r="AH1315" s="188"/>
      <c r="AI1315" s="188"/>
      <c r="AJ1315" s="188"/>
      <c r="AK1315" s="188"/>
      <c r="AL1315" s="188"/>
      <c r="AM1315" s="188"/>
      <c r="AN1315" s="188"/>
      <c r="AO1315" s="188"/>
      <c r="AP1315" s="188"/>
      <c r="AQ1315" s="188"/>
      <c r="AR1315" s="188"/>
      <c r="AS1315" s="188"/>
      <c r="AT1315" s="188"/>
      <c r="AU1315" s="188"/>
      <c r="AV1315" s="188"/>
      <c r="AW1315" s="188"/>
      <c r="AX1315" s="188"/>
      <c r="AY1315" s="188"/>
      <c r="AZ1315" s="188"/>
      <c r="BA1315" s="188"/>
      <c r="BB1315" s="188"/>
      <c r="BC1315" s="188"/>
    </row>
    <row r="1316">
      <c r="A1316" s="188"/>
      <c r="B1316" s="188"/>
      <c r="C1316" s="188"/>
      <c r="D1316" s="188"/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188"/>
      <c r="Q1316" s="188"/>
      <c r="R1316" s="188"/>
      <c r="S1316" s="188"/>
      <c r="T1316" s="188"/>
      <c r="U1316" s="188"/>
      <c r="V1316" s="188"/>
      <c r="W1316" s="188"/>
      <c r="X1316" s="188"/>
      <c r="Y1316" s="188"/>
      <c r="Z1316" s="188"/>
      <c r="AA1316" s="188"/>
      <c r="AB1316" s="188"/>
      <c r="AC1316" s="188"/>
      <c r="AD1316" s="188"/>
      <c r="AE1316" s="188"/>
      <c r="AF1316" s="188"/>
      <c r="AG1316" s="188"/>
      <c r="AH1316" s="188"/>
      <c r="AI1316" s="188"/>
      <c r="AJ1316" s="188"/>
      <c r="AK1316" s="188"/>
      <c r="AL1316" s="188"/>
      <c r="AM1316" s="188"/>
      <c r="AN1316" s="188"/>
      <c r="AO1316" s="188"/>
      <c r="AP1316" s="188"/>
      <c r="AQ1316" s="188"/>
      <c r="AR1316" s="188"/>
      <c r="AS1316" s="188"/>
      <c r="AT1316" s="188"/>
      <c r="AU1316" s="188"/>
      <c r="AV1316" s="188"/>
      <c r="AW1316" s="188"/>
      <c r="AX1316" s="188"/>
      <c r="AY1316" s="188"/>
      <c r="AZ1316" s="188"/>
      <c r="BA1316" s="188"/>
      <c r="BB1316" s="188"/>
      <c r="BC1316" s="188"/>
    </row>
    <row r="1317">
      <c r="A1317" s="188"/>
      <c r="B1317" s="188"/>
      <c r="C1317" s="188"/>
      <c r="D1317" s="188"/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188"/>
      <c r="Q1317" s="188"/>
      <c r="R1317" s="188"/>
      <c r="S1317" s="188"/>
      <c r="T1317" s="188"/>
      <c r="U1317" s="188"/>
      <c r="V1317" s="188"/>
      <c r="W1317" s="188"/>
      <c r="X1317" s="188"/>
      <c r="Y1317" s="188"/>
      <c r="Z1317" s="188"/>
      <c r="AA1317" s="188"/>
      <c r="AB1317" s="188"/>
      <c r="AC1317" s="188"/>
      <c r="AD1317" s="188"/>
      <c r="AE1317" s="188"/>
      <c r="AF1317" s="188"/>
      <c r="AG1317" s="188"/>
      <c r="AH1317" s="188"/>
      <c r="AI1317" s="188"/>
      <c r="AJ1317" s="188"/>
      <c r="AK1317" s="188"/>
      <c r="AL1317" s="188"/>
      <c r="AM1317" s="188"/>
      <c r="AN1317" s="188"/>
      <c r="AO1317" s="188"/>
      <c r="AP1317" s="188"/>
      <c r="AQ1317" s="188"/>
      <c r="AR1317" s="188"/>
      <c r="AS1317" s="188"/>
      <c r="AT1317" s="188"/>
      <c r="AU1317" s="188"/>
      <c r="AV1317" s="188"/>
      <c r="AW1317" s="188"/>
      <c r="AX1317" s="188"/>
      <c r="AY1317" s="188"/>
      <c r="AZ1317" s="188"/>
      <c r="BA1317" s="188"/>
      <c r="BB1317" s="188"/>
      <c r="BC1317" s="188"/>
    </row>
    <row r="1318">
      <c r="A1318" s="188"/>
      <c r="B1318" s="188"/>
      <c r="C1318" s="188"/>
      <c r="D1318" s="188"/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188"/>
      <c r="Q1318" s="188"/>
      <c r="R1318" s="188"/>
      <c r="S1318" s="188"/>
      <c r="T1318" s="188"/>
      <c r="U1318" s="188"/>
      <c r="V1318" s="188"/>
      <c r="W1318" s="188"/>
      <c r="X1318" s="188"/>
      <c r="Y1318" s="188"/>
      <c r="Z1318" s="188"/>
      <c r="AA1318" s="188"/>
      <c r="AB1318" s="188"/>
      <c r="AC1318" s="188"/>
      <c r="AD1318" s="188"/>
      <c r="AE1318" s="188"/>
      <c r="AF1318" s="188"/>
      <c r="AG1318" s="188"/>
      <c r="AH1318" s="188"/>
      <c r="AI1318" s="188"/>
      <c r="AJ1318" s="188"/>
      <c r="AK1318" s="188"/>
      <c r="AL1318" s="188"/>
      <c r="AM1318" s="188"/>
      <c r="AN1318" s="188"/>
      <c r="AO1318" s="188"/>
      <c r="AP1318" s="188"/>
      <c r="AQ1318" s="188"/>
      <c r="AR1318" s="188"/>
      <c r="AS1318" s="188"/>
      <c r="AT1318" s="188"/>
      <c r="AU1318" s="188"/>
      <c r="AV1318" s="188"/>
      <c r="AW1318" s="188"/>
      <c r="AX1318" s="188"/>
      <c r="AY1318" s="188"/>
      <c r="AZ1318" s="188"/>
      <c r="BA1318" s="188"/>
      <c r="BB1318" s="188"/>
      <c r="BC1318" s="188"/>
    </row>
    <row r="1319">
      <c r="A1319" s="188"/>
      <c r="B1319" s="188"/>
      <c r="C1319" s="188"/>
      <c r="D1319" s="188"/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188"/>
      <c r="Q1319" s="188"/>
      <c r="R1319" s="188"/>
      <c r="S1319" s="188"/>
      <c r="T1319" s="188"/>
      <c r="U1319" s="188"/>
      <c r="V1319" s="188"/>
      <c r="W1319" s="188"/>
      <c r="X1319" s="188"/>
      <c r="Y1319" s="188"/>
      <c r="Z1319" s="188"/>
      <c r="AA1319" s="188"/>
      <c r="AB1319" s="188"/>
      <c r="AC1319" s="188"/>
      <c r="AD1319" s="188"/>
      <c r="AE1319" s="188"/>
      <c r="AF1319" s="188"/>
      <c r="AG1319" s="188"/>
      <c r="AH1319" s="188"/>
      <c r="AI1319" s="188"/>
      <c r="AJ1319" s="188"/>
      <c r="AK1319" s="188"/>
      <c r="AL1319" s="188"/>
      <c r="AM1319" s="188"/>
      <c r="AN1319" s="188"/>
      <c r="AO1319" s="188"/>
      <c r="AP1319" s="188"/>
      <c r="AQ1319" s="188"/>
      <c r="AR1319" s="188"/>
      <c r="AS1319" s="188"/>
      <c r="AT1319" s="188"/>
      <c r="AU1319" s="188"/>
      <c r="AV1319" s="188"/>
      <c r="AW1319" s="188"/>
      <c r="AX1319" s="188"/>
      <c r="AY1319" s="188"/>
      <c r="AZ1319" s="188"/>
      <c r="BA1319" s="188"/>
      <c r="BB1319" s="188"/>
      <c r="BC1319" s="188"/>
    </row>
    <row r="1320">
      <c r="A1320" s="188"/>
      <c r="B1320" s="188"/>
      <c r="C1320" s="188"/>
      <c r="D1320" s="188"/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188"/>
      <c r="Q1320" s="188"/>
      <c r="R1320" s="188"/>
      <c r="S1320" s="188"/>
      <c r="T1320" s="188"/>
      <c r="U1320" s="188"/>
      <c r="V1320" s="188"/>
      <c r="W1320" s="188"/>
      <c r="X1320" s="188"/>
      <c r="Y1320" s="188"/>
      <c r="Z1320" s="188"/>
      <c r="AA1320" s="188"/>
      <c r="AB1320" s="188"/>
      <c r="AC1320" s="188"/>
      <c r="AD1320" s="188"/>
      <c r="AE1320" s="188"/>
      <c r="AF1320" s="188"/>
      <c r="AG1320" s="188"/>
      <c r="AH1320" s="188"/>
      <c r="AI1320" s="188"/>
      <c r="AJ1320" s="188"/>
      <c r="AK1320" s="188"/>
      <c r="AL1320" s="188"/>
      <c r="AM1320" s="188"/>
      <c r="AN1320" s="188"/>
      <c r="AO1320" s="188"/>
      <c r="AP1320" s="188"/>
      <c r="AQ1320" s="188"/>
      <c r="AR1320" s="188"/>
      <c r="AS1320" s="188"/>
      <c r="AT1320" s="188"/>
      <c r="AU1320" s="188"/>
      <c r="AV1320" s="188"/>
      <c r="AW1320" s="188"/>
      <c r="AX1320" s="188"/>
      <c r="AY1320" s="188"/>
      <c r="AZ1320" s="188"/>
      <c r="BA1320" s="188"/>
      <c r="BB1320" s="188"/>
      <c r="BC1320" s="188"/>
    </row>
    <row r="1321">
      <c r="A1321" s="188"/>
      <c r="B1321" s="188"/>
      <c r="C1321" s="188"/>
      <c r="D1321" s="188"/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188"/>
      <c r="Q1321" s="188"/>
      <c r="R1321" s="188"/>
      <c r="S1321" s="188"/>
      <c r="T1321" s="188"/>
      <c r="U1321" s="188"/>
      <c r="V1321" s="188"/>
      <c r="W1321" s="188"/>
      <c r="X1321" s="188"/>
      <c r="Y1321" s="188"/>
      <c r="Z1321" s="188"/>
      <c r="AA1321" s="188"/>
      <c r="AB1321" s="188"/>
      <c r="AC1321" s="188"/>
      <c r="AD1321" s="188"/>
      <c r="AE1321" s="188"/>
      <c r="AF1321" s="188"/>
      <c r="AG1321" s="188"/>
      <c r="AH1321" s="188"/>
      <c r="AI1321" s="188"/>
      <c r="AJ1321" s="188"/>
      <c r="AK1321" s="188"/>
      <c r="AL1321" s="188"/>
      <c r="AM1321" s="188"/>
      <c r="AN1321" s="188"/>
      <c r="AO1321" s="188"/>
      <c r="AP1321" s="188"/>
      <c r="AQ1321" s="188"/>
      <c r="AR1321" s="188"/>
      <c r="AS1321" s="188"/>
      <c r="AT1321" s="188"/>
      <c r="AU1321" s="188"/>
      <c r="AV1321" s="188"/>
      <c r="AW1321" s="188"/>
      <c r="AX1321" s="188"/>
      <c r="AY1321" s="188"/>
      <c r="AZ1321" s="188"/>
      <c r="BA1321" s="188"/>
      <c r="BB1321" s="188"/>
      <c r="BC1321" s="188"/>
    </row>
    <row r="1322">
      <c r="A1322" s="188"/>
      <c r="B1322" s="188"/>
      <c r="C1322" s="188"/>
      <c r="D1322" s="188"/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188"/>
      <c r="Q1322" s="188"/>
      <c r="R1322" s="188"/>
      <c r="S1322" s="188"/>
      <c r="T1322" s="188"/>
      <c r="U1322" s="188"/>
      <c r="V1322" s="188"/>
      <c r="W1322" s="188"/>
      <c r="X1322" s="188"/>
      <c r="Y1322" s="188"/>
      <c r="Z1322" s="188"/>
      <c r="AA1322" s="188"/>
      <c r="AB1322" s="188"/>
      <c r="AC1322" s="188"/>
      <c r="AD1322" s="188"/>
      <c r="AE1322" s="188"/>
      <c r="AF1322" s="188"/>
      <c r="AG1322" s="188"/>
      <c r="AH1322" s="188"/>
      <c r="AI1322" s="188"/>
      <c r="AJ1322" s="188"/>
      <c r="AK1322" s="188"/>
      <c r="AL1322" s="188"/>
      <c r="AM1322" s="188"/>
      <c r="AN1322" s="188"/>
      <c r="AO1322" s="188"/>
      <c r="AP1322" s="188"/>
      <c r="AQ1322" s="188"/>
      <c r="AR1322" s="188"/>
      <c r="AS1322" s="188"/>
      <c r="AT1322" s="188"/>
      <c r="AU1322" s="188"/>
      <c r="AV1322" s="188"/>
      <c r="AW1322" s="188"/>
      <c r="AX1322" s="188"/>
      <c r="AY1322" s="188"/>
      <c r="AZ1322" s="188"/>
      <c r="BA1322" s="188"/>
      <c r="BB1322" s="188"/>
      <c r="BC1322" s="188"/>
    </row>
    <row r="1323">
      <c r="A1323" s="188"/>
      <c r="B1323" s="188"/>
      <c r="C1323" s="188"/>
      <c r="D1323" s="188"/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188"/>
      <c r="Q1323" s="188"/>
      <c r="R1323" s="188"/>
      <c r="S1323" s="188"/>
      <c r="T1323" s="188"/>
      <c r="U1323" s="188"/>
      <c r="V1323" s="188"/>
      <c r="W1323" s="188"/>
      <c r="X1323" s="188"/>
      <c r="Y1323" s="188"/>
      <c r="Z1323" s="188"/>
      <c r="AA1323" s="188"/>
      <c r="AB1323" s="188"/>
      <c r="AC1323" s="188"/>
      <c r="AD1323" s="188"/>
      <c r="AE1323" s="188"/>
      <c r="AF1323" s="188"/>
      <c r="AG1323" s="188"/>
      <c r="AH1323" s="188"/>
      <c r="AI1323" s="188"/>
      <c r="AJ1323" s="188"/>
      <c r="AK1323" s="188"/>
      <c r="AL1323" s="188"/>
      <c r="AM1323" s="188"/>
      <c r="AN1323" s="188"/>
      <c r="AO1323" s="188"/>
      <c r="AP1323" s="188"/>
      <c r="AQ1323" s="188"/>
      <c r="AR1323" s="188"/>
      <c r="AS1323" s="188"/>
      <c r="AT1323" s="188"/>
      <c r="AU1323" s="188"/>
      <c r="AV1323" s="188"/>
      <c r="AW1323" s="188"/>
      <c r="AX1323" s="188"/>
      <c r="AY1323" s="188"/>
      <c r="AZ1323" s="188"/>
      <c r="BA1323" s="188"/>
      <c r="BB1323" s="188"/>
      <c r="BC1323" s="188"/>
    </row>
    <row r="1324">
      <c r="A1324" s="188"/>
      <c r="B1324" s="188"/>
      <c r="C1324" s="188"/>
      <c r="D1324" s="188"/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188"/>
      <c r="Q1324" s="188"/>
      <c r="R1324" s="188"/>
      <c r="S1324" s="188"/>
      <c r="T1324" s="188"/>
      <c r="U1324" s="188"/>
      <c r="V1324" s="188"/>
      <c r="W1324" s="188"/>
      <c r="X1324" s="188"/>
      <c r="Y1324" s="188"/>
      <c r="Z1324" s="188"/>
      <c r="AA1324" s="188"/>
      <c r="AB1324" s="188"/>
      <c r="AC1324" s="188"/>
      <c r="AD1324" s="188"/>
      <c r="AE1324" s="188"/>
      <c r="AF1324" s="188"/>
      <c r="AG1324" s="188"/>
      <c r="AH1324" s="188"/>
      <c r="AI1324" s="188"/>
      <c r="AJ1324" s="188"/>
      <c r="AK1324" s="188"/>
      <c r="AL1324" s="188"/>
      <c r="AM1324" s="188"/>
      <c r="AN1324" s="188"/>
      <c r="AO1324" s="188"/>
      <c r="AP1324" s="188"/>
      <c r="AQ1324" s="188"/>
      <c r="AR1324" s="188"/>
      <c r="AS1324" s="188"/>
      <c r="AT1324" s="188"/>
      <c r="AU1324" s="188"/>
      <c r="AV1324" s="188"/>
      <c r="AW1324" s="188"/>
      <c r="AX1324" s="188"/>
      <c r="AY1324" s="188"/>
      <c r="AZ1324" s="188"/>
      <c r="BA1324" s="188"/>
      <c r="BB1324" s="188"/>
      <c r="BC1324" s="188"/>
    </row>
    <row r="1325">
      <c r="A1325" s="188"/>
      <c r="B1325" s="188"/>
      <c r="C1325" s="188"/>
      <c r="D1325" s="188"/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188"/>
      <c r="Q1325" s="188"/>
      <c r="R1325" s="188"/>
      <c r="S1325" s="188"/>
      <c r="T1325" s="188"/>
      <c r="U1325" s="188"/>
      <c r="V1325" s="188"/>
      <c r="W1325" s="188"/>
      <c r="X1325" s="188"/>
      <c r="Y1325" s="188"/>
      <c r="Z1325" s="188"/>
      <c r="AA1325" s="188"/>
      <c r="AB1325" s="188"/>
      <c r="AC1325" s="188"/>
      <c r="AD1325" s="188"/>
      <c r="AE1325" s="188"/>
      <c r="AF1325" s="188"/>
      <c r="AG1325" s="188"/>
      <c r="AH1325" s="188"/>
      <c r="AI1325" s="188"/>
      <c r="AJ1325" s="188"/>
      <c r="AK1325" s="188"/>
      <c r="AL1325" s="188"/>
      <c r="AM1325" s="188"/>
      <c r="AN1325" s="188"/>
      <c r="AO1325" s="188"/>
      <c r="AP1325" s="188"/>
      <c r="AQ1325" s="188"/>
      <c r="AR1325" s="188"/>
      <c r="AS1325" s="188"/>
      <c r="AT1325" s="188"/>
      <c r="AU1325" s="188"/>
      <c r="AV1325" s="188"/>
      <c r="AW1325" s="188"/>
      <c r="AX1325" s="188"/>
      <c r="AY1325" s="188"/>
      <c r="AZ1325" s="188"/>
      <c r="BA1325" s="188"/>
      <c r="BB1325" s="188"/>
      <c r="BC1325" s="188"/>
    </row>
    <row r="1326">
      <c r="A1326" s="188"/>
      <c r="B1326" s="188"/>
      <c r="C1326" s="188"/>
      <c r="D1326" s="188"/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188"/>
      <c r="Q1326" s="188"/>
      <c r="R1326" s="188"/>
      <c r="S1326" s="188"/>
      <c r="T1326" s="188"/>
      <c r="U1326" s="188"/>
      <c r="V1326" s="188"/>
      <c r="W1326" s="188"/>
      <c r="X1326" s="188"/>
      <c r="Y1326" s="188"/>
      <c r="Z1326" s="188"/>
      <c r="AA1326" s="188"/>
      <c r="AB1326" s="188"/>
      <c r="AC1326" s="188"/>
      <c r="AD1326" s="188"/>
      <c r="AE1326" s="188"/>
      <c r="AF1326" s="188"/>
      <c r="AG1326" s="188"/>
      <c r="AH1326" s="188"/>
      <c r="AI1326" s="188"/>
      <c r="AJ1326" s="188"/>
      <c r="AK1326" s="188"/>
      <c r="AL1326" s="188"/>
      <c r="AM1326" s="188"/>
      <c r="AN1326" s="188"/>
      <c r="AO1326" s="188"/>
      <c r="AP1326" s="188"/>
      <c r="AQ1326" s="188"/>
      <c r="AR1326" s="188"/>
      <c r="AS1326" s="188"/>
      <c r="AT1326" s="188"/>
      <c r="AU1326" s="188"/>
      <c r="AV1326" s="188"/>
      <c r="AW1326" s="188"/>
      <c r="AX1326" s="188"/>
      <c r="AY1326" s="188"/>
      <c r="AZ1326" s="188"/>
      <c r="BA1326" s="188"/>
      <c r="BB1326" s="188"/>
      <c r="BC1326" s="188"/>
    </row>
    <row r="1327">
      <c r="A1327" s="188"/>
      <c r="B1327" s="188"/>
      <c r="C1327" s="188"/>
      <c r="D1327" s="188"/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188"/>
      <c r="Q1327" s="188"/>
      <c r="R1327" s="188"/>
      <c r="S1327" s="188"/>
      <c r="T1327" s="188"/>
      <c r="U1327" s="188"/>
      <c r="V1327" s="188"/>
      <c r="W1327" s="188"/>
      <c r="X1327" s="188"/>
      <c r="Y1327" s="188"/>
      <c r="Z1327" s="188"/>
      <c r="AA1327" s="188"/>
      <c r="AB1327" s="188"/>
      <c r="AC1327" s="188"/>
      <c r="AD1327" s="188"/>
      <c r="AE1327" s="188"/>
      <c r="AF1327" s="188"/>
      <c r="AG1327" s="188"/>
      <c r="AH1327" s="188"/>
      <c r="AI1327" s="188"/>
      <c r="AJ1327" s="188"/>
      <c r="AK1327" s="188"/>
      <c r="AL1327" s="188"/>
      <c r="AM1327" s="188"/>
      <c r="AN1327" s="188"/>
      <c r="AO1327" s="188"/>
      <c r="AP1327" s="188"/>
      <c r="AQ1327" s="188"/>
      <c r="AR1327" s="188"/>
      <c r="AS1327" s="188"/>
      <c r="AT1327" s="188"/>
      <c r="AU1327" s="188"/>
      <c r="AV1327" s="188"/>
      <c r="AW1327" s="188"/>
      <c r="AX1327" s="188"/>
      <c r="AY1327" s="188"/>
      <c r="AZ1327" s="188"/>
      <c r="BA1327" s="188"/>
      <c r="BB1327" s="188"/>
      <c r="BC1327" s="188"/>
    </row>
    <row r="1328">
      <c r="A1328" s="188"/>
      <c r="B1328" s="188"/>
      <c r="C1328" s="188"/>
      <c r="D1328" s="188"/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188"/>
      <c r="Q1328" s="188"/>
      <c r="R1328" s="188"/>
      <c r="S1328" s="188"/>
      <c r="T1328" s="188"/>
      <c r="U1328" s="188"/>
      <c r="V1328" s="188"/>
      <c r="W1328" s="188"/>
      <c r="X1328" s="188"/>
      <c r="Y1328" s="188"/>
      <c r="Z1328" s="188"/>
      <c r="AA1328" s="188"/>
      <c r="AB1328" s="188"/>
      <c r="AC1328" s="188"/>
      <c r="AD1328" s="188"/>
      <c r="AE1328" s="188"/>
      <c r="AF1328" s="188"/>
      <c r="AG1328" s="188"/>
      <c r="AH1328" s="188"/>
      <c r="AI1328" s="188"/>
      <c r="AJ1328" s="188"/>
      <c r="AK1328" s="188"/>
      <c r="AL1328" s="188"/>
      <c r="AM1328" s="188"/>
      <c r="AN1328" s="188"/>
      <c r="AO1328" s="188"/>
      <c r="AP1328" s="188"/>
      <c r="AQ1328" s="188"/>
      <c r="AR1328" s="188"/>
      <c r="AS1328" s="188"/>
      <c r="AT1328" s="188"/>
      <c r="AU1328" s="188"/>
      <c r="AV1328" s="188"/>
      <c r="AW1328" s="188"/>
      <c r="AX1328" s="188"/>
      <c r="AY1328" s="188"/>
      <c r="AZ1328" s="188"/>
      <c r="BA1328" s="188"/>
      <c r="BB1328" s="188"/>
      <c r="BC1328" s="188"/>
    </row>
    <row r="1329">
      <c r="A1329" s="188"/>
      <c r="B1329" s="188"/>
      <c r="C1329" s="188"/>
      <c r="D1329" s="188"/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188"/>
      <c r="Q1329" s="188"/>
      <c r="R1329" s="188"/>
      <c r="S1329" s="188"/>
      <c r="T1329" s="188"/>
      <c r="U1329" s="188"/>
      <c r="V1329" s="188"/>
      <c r="W1329" s="188"/>
      <c r="X1329" s="188"/>
      <c r="Y1329" s="188"/>
      <c r="Z1329" s="188"/>
      <c r="AA1329" s="188"/>
      <c r="AB1329" s="188"/>
      <c r="AC1329" s="188"/>
      <c r="AD1329" s="188"/>
      <c r="AE1329" s="188"/>
      <c r="AF1329" s="188"/>
      <c r="AG1329" s="188"/>
      <c r="AH1329" s="188"/>
      <c r="AI1329" s="188"/>
      <c r="AJ1329" s="188"/>
      <c r="AK1329" s="188"/>
      <c r="AL1329" s="188"/>
      <c r="AM1329" s="188"/>
      <c r="AN1329" s="188"/>
      <c r="AO1329" s="188"/>
      <c r="AP1329" s="188"/>
      <c r="AQ1329" s="188"/>
      <c r="AR1329" s="188"/>
      <c r="AS1329" s="188"/>
      <c r="AT1329" s="188"/>
      <c r="AU1329" s="188"/>
      <c r="AV1329" s="188"/>
      <c r="AW1329" s="188"/>
      <c r="AX1329" s="188"/>
      <c r="AY1329" s="188"/>
      <c r="AZ1329" s="188"/>
      <c r="BA1329" s="188"/>
      <c r="BB1329" s="188"/>
      <c r="BC1329" s="188"/>
    </row>
    <row r="1330">
      <c r="A1330" s="188"/>
      <c r="B1330" s="188"/>
      <c r="C1330" s="188"/>
      <c r="D1330" s="188"/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188"/>
      <c r="Q1330" s="188"/>
      <c r="R1330" s="188"/>
      <c r="S1330" s="188"/>
      <c r="T1330" s="188"/>
      <c r="U1330" s="188"/>
      <c r="V1330" s="188"/>
      <c r="W1330" s="188"/>
      <c r="X1330" s="188"/>
      <c r="Y1330" s="188"/>
      <c r="Z1330" s="188"/>
      <c r="AA1330" s="188"/>
      <c r="AB1330" s="188"/>
      <c r="AC1330" s="188"/>
      <c r="AD1330" s="188"/>
      <c r="AE1330" s="188"/>
      <c r="AF1330" s="188"/>
      <c r="AG1330" s="188"/>
      <c r="AH1330" s="188"/>
      <c r="AI1330" s="188"/>
      <c r="AJ1330" s="188"/>
      <c r="AK1330" s="188"/>
      <c r="AL1330" s="188"/>
      <c r="AM1330" s="188"/>
      <c r="AN1330" s="188"/>
      <c r="AO1330" s="188"/>
      <c r="AP1330" s="188"/>
      <c r="AQ1330" s="188"/>
      <c r="AR1330" s="188"/>
      <c r="AS1330" s="188"/>
      <c r="AT1330" s="188"/>
      <c r="AU1330" s="188"/>
      <c r="AV1330" s="188"/>
      <c r="AW1330" s="188"/>
      <c r="AX1330" s="188"/>
      <c r="AY1330" s="188"/>
      <c r="AZ1330" s="188"/>
      <c r="BA1330" s="188"/>
      <c r="BB1330" s="188"/>
      <c r="BC1330" s="188"/>
    </row>
    <row r="1331">
      <c r="A1331" s="188"/>
      <c r="B1331" s="188"/>
      <c r="C1331" s="188"/>
      <c r="D1331" s="188"/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188"/>
      <c r="Q1331" s="188"/>
      <c r="R1331" s="188"/>
      <c r="S1331" s="188"/>
      <c r="T1331" s="188"/>
      <c r="U1331" s="188"/>
      <c r="V1331" s="188"/>
      <c r="W1331" s="188"/>
      <c r="X1331" s="188"/>
      <c r="Y1331" s="188"/>
      <c r="Z1331" s="188"/>
      <c r="AA1331" s="188"/>
      <c r="AB1331" s="188"/>
      <c r="AC1331" s="188"/>
      <c r="AD1331" s="188"/>
      <c r="AE1331" s="188"/>
      <c r="AF1331" s="188"/>
      <c r="AG1331" s="188"/>
      <c r="AH1331" s="188"/>
      <c r="AI1331" s="188"/>
      <c r="AJ1331" s="188"/>
      <c r="AK1331" s="188"/>
      <c r="AL1331" s="188"/>
      <c r="AM1331" s="188"/>
      <c r="AN1331" s="188"/>
      <c r="AO1331" s="188"/>
      <c r="AP1331" s="188"/>
      <c r="AQ1331" s="188"/>
      <c r="AR1331" s="188"/>
      <c r="AS1331" s="188"/>
      <c r="AT1331" s="188"/>
      <c r="AU1331" s="188"/>
      <c r="AV1331" s="188"/>
      <c r="AW1331" s="188"/>
      <c r="AX1331" s="188"/>
      <c r="AY1331" s="188"/>
      <c r="AZ1331" s="188"/>
      <c r="BA1331" s="188"/>
      <c r="BB1331" s="188"/>
      <c r="BC1331" s="188"/>
    </row>
    <row r="1332">
      <c r="A1332" s="188"/>
      <c r="B1332" s="188"/>
      <c r="C1332" s="188"/>
      <c r="D1332" s="188"/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188"/>
      <c r="Q1332" s="188"/>
      <c r="R1332" s="188"/>
      <c r="S1332" s="188"/>
      <c r="T1332" s="188"/>
      <c r="U1332" s="188"/>
      <c r="V1332" s="188"/>
      <c r="W1332" s="188"/>
      <c r="X1332" s="188"/>
      <c r="Y1332" s="188"/>
      <c r="Z1332" s="188"/>
      <c r="AA1332" s="188"/>
      <c r="AB1332" s="188"/>
      <c r="AC1332" s="188"/>
      <c r="AD1332" s="188"/>
      <c r="AE1332" s="188"/>
      <c r="AF1332" s="188"/>
      <c r="AG1332" s="188"/>
      <c r="AH1332" s="188"/>
      <c r="AI1332" s="188"/>
      <c r="AJ1332" s="188"/>
      <c r="AK1332" s="188"/>
      <c r="AL1332" s="188"/>
      <c r="AM1332" s="188"/>
      <c r="AN1332" s="188"/>
      <c r="AO1332" s="188"/>
      <c r="AP1332" s="188"/>
      <c r="AQ1332" s="188"/>
      <c r="AR1332" s="188"/>
      <c r="AS1332" s="188"/>
      <c r="AT1332" s="188"/>
      <c r="AU1332" s="188"/>
      <c r="AV1332" s="188"/>
      <c r="AW1332" s="188"/>
      <c r="AX1332" s="188"/>
      <c r="AY1332" s="188"/>
      <c r="AZ1332" s="188"/>
      <c r="BA1332" s="188"/>
      <c r="BB1332" s="188"/>
      <c r="BC1332" s="188"/>
    </row>
    <row r="1333">
      <c r="A1333" s="188"/>
      <c r="B1333" s="188"/>
      <c r="C1333" s="188"/>
      <c r="D1333" s="188"/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188"/>
      <c r="Q1333" s="188"/>
      <c r="R1333" s="188"/>
      <c r="S1333" s="188"/>
      <c r="T1333" s="188"/>
      <c r="U1333" s="188"/>
      <c r="V1333" s="188"/>
      <c r="W1333" s="188"/>
      <c r="X1333" s="188"/>
      <c r="Y1333" s="188"/>
      <c r="Z1333" s="188"/>
      <c r="AA1333" s="188"/>
      <c r="AB1333" s="188"/>
      <c r="AC1333" s="188"/>
      <c r="AD1333" s="188"/>
      <c r="AE1333" s="188"/>
      <c r="AF1333" s="188"/>
      <c r="AG1333" s="188"/>
      <c r="AH1333" s="188"/>
      <c r="AI1333" s="188"/>
      <c r="AJ1333" s="188"/>
      <c r="AK1333" s="188"/>
      <c r="AL1333" s="188"/>
      <c r="AM1333" s="188"/>
      <c r="AN1333" s="188"/>
      <c r="AO1333" s="188"/>
      <c r="AP1333" s="188"/>
      <c r="AQ1333" s="188"/>
      <c r="AR1333" s="188"/>
      <c r="AS1333" s="188"/>
      <c r="AT1333" s="188"/>
      <c r="AU1333" s="188"/>
      <c r="AV1333" s="188"/>
      <c r="AW1333" s="188"/>
      <c r="AX1333" s="188"/>
      <c r="AY1333" s="188"/>
      <c r="AZ1333" s="188"/>
      <c r="BA1333" s="188"/>
      <c r="BB1333" s="188"/>
      <c r="BC1333" s="188"/>
    </row>
    <row r="1334">
      <c r="A1334" s="188"/>
      <c r="B1334" s="188"/>
      <c r="C1334" s="188"/>
      <c r="D1334" s="188"/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188"/>
      <c r="Q1334" s="188"/>
      <c r="R1334" s="188"/>
      <c r="S1334" s="188"/>
      <c r="T1334" s="188"/>
      <c r="U1334" s="188"/>
      <c r="V1334" s="188"/>
      <c r="W1334" s="188"/>
      <c r="X1334" s="188"/>
      <c r="Y1334" s="188"/>
      <c r="Z1334" s="188"/>
      <c r="AA1334" s="188"/>
      <c r="AB1334" s="188"/>
      <c r="AC1334" s="188"/>
      <c r="AD1334" s="188"/>
      <c r="AE1334" s="188"/>
      <c r="AF1334" s="188"/>
      <c r="AG1334" s="188"/>
      <c r="AH1334" s="188"/>
      <c r="AI1334" s="188"/>
      <c r="AJ1334" s="188"/>
      <c r="AK1334" s="188"/>
      <c r="AL1334" s="188"/>
      <c r="AM1334" s="188"/>
      <c r="AN1334" s="188"/>
      <c r="AO1334" s="188"/>
      <c r="AP1334" s="188"/>
      <c r="AQ1334" s="188"/>
      <c r="AR1334" s="188"/>
      <c r="AS1334" s="188"/>
      <c r="AT1334" s="188"/>
      <c r="AU1334" s="188"/>
      <c r="AV1334" s="188"/>
      <c r="AW1334" s="188"/>
      <c r="AX1334" s="188"/>
      <c r="AY1334" s="188"/>
      <c r="AZ1334" s="188"/>
      <c r="BA1334" s="188"/>
      <c r="BB1334" s="188"/>
      <c r="BC1334" s="188"/>
    </row>
    <row r="1335">
      <c r="A1335" s="188"/>
      <c r="B1335" s="188"/>
      <c r="C1335" s="188"/>
      <c r="D1335" s="188"/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188"/>
      <c r="Q1335" s="188"/>
      <c r="R1335" s="188"/>
      <c r="S1335" s="188"/>
      <c r="T1335" s="188"/>
      <c r="U1335" s="188"/>
      <c r="V1335" s="188"/>
      <c r="W1335" s="188"/>
      <c r="X1335" s="188"/>
      <c r="Y1335" s="188"/>
      <c r="Z1335" s="188"/>
      <c r="AA1335" s="188"/>
      <c r="AB1335" s="188"/>
      <c r="AC1335" s="188"/>
      <c r="AD1335" s="188"/>
      <c r="AE1335" s="188"/>
      <c r="AF1335" s="188"/>
      <c r="AG1335" s="188"/>
      <c r="AH1335" s="188"/>
      <c r="AI1335" s="188"/>
      <c r="AJ1335" s="188"/>
      <c r="AK1335" s="188"/>
      <c r="AL1335" s="188"/>
      <c r="AM1335" s="188"/>
      <c r="AN1335" s="188"/>
      <c r="AO1335" s="188"/>
      <c r="AP1335" s="188"/>
      <c r="AQ1335" s="188"/>
      <c r="AR1335" s="188"/>
      <c r="AS1335" s="188"/>
      <c r="AT1335" s="188"/>
      <c r="AU1335" s="188"/>
      <c r="AV1335" s="188"/>
      <c r="AW1335" s="188"/>
      <c r="AX1335" s="188"/>
      <c r="AY1335" s="188"/>
      <c r="AZ1335" s="188"/>
      <c r="BA1335" s="188"/>
      <c r="BB1335" s="188"/>
      <c r="BC1335" s="188"/>
    </row>
    <row r="1336">
      <c r="A1336" s="188"/>
      <c r="B1336" s="188"/>
      <c r="C1336" s="188"/>
      <c r="D1336" s="188"/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188"/>
      <c r="Q1336" s="188"/>
      <c r="R1336" s="188"/>
      <c r="S1336" s="188"/>
      <c r="T1336" s="188"/>
      <c r="U1336" s="188"/>
      <c r="V1336" s="188"/>
      <c r="W1336" s="188"/>
      <c r="X1336" s="188"/>
      <c r="Y1336" s="188"/>
      <c r="Z1336" s="188"/>
      <c r="AA1336" s="188"/>
      <c r="AB1336" s="188"/>
      <c r="AC1336" s="188"/>
      <c r="AD1336" s="188"/>
      <c r="AE1336" s="188"/>
      <c r="AF1336" s="188"/>
      <c r="AG1336" s="188"/>
      <c r="AH1336" s="188"/>
      <c r="AI1336" s="188"/>
      <c r="AJ1336" s="188"/>
      <c r="AK1336" s="188"/>
      <c r="AL1336" s="188"/>
      <c r="AM1336" s="188"/>
      <c r="AN1336" s="188"/>
      <c r="AO1336" s="188"/>
      <c r="AP1336" s="188"/>
      <c r="AQ1336" s="188"/>
      <c r="AR1336" s="188"/>
      <c r="AS1336" s="188"/>
      <c r="AT1336" s="188"/>
      <c r="AU1336" s="188"/>
      <c r="AV1336" s="188"/>
      <c r="AW1336" s="188"/>
      <c r="AX1336" s="188"/>
      <c r="AY1336" s="188"/>
      <c r="AZ1336" s="188"/>
      <c r="BA1336" s="188"/>
      <c r="BB1336" s="188"/>
      <c r="BC1336" s="188"/>
    </row>
    <row r="1337">
      <c r="A1337" s="188"/>
      <c r="B1337" s="188"/>
      <c r="C1337" s="188"/>
      <c r="D1337" s="188"/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188"/>
      <c r="Q1337" s="188"/>
      <c r="R1337" s="188"/>
      <c r="S1337" s="188"/>
      <c r="T1337" s="188"/>
      <c r="U1337" s="188"/>
      <c r="V1337" s="188"/>
      <c r="W1337" s="188"/>
      <c r="X1337" s="188"/>
      <c r="Y1337" s="188"/>
      <c r="Z1337" s="188"/>
      <c r="AA1337" s="188"/>
      <c r="AB1337" s="188"/>
      <c r="AC1337" s="188"/>
      <c r="AD1337" s="188"/>
      <c r="AE1337" s="188"/>
      <c r="AF1337" s="188"/>
      <c r="AG1337" s="188"/>
      <c r="AH1337" s="188"/>
      <c r="AI1337" s="188"/>
      <c r="AJ1337" s="188"/>
      <c r="AK1337" s="188"/>
      <c r="AL1337" s="188"/>
      <c r="AM1337" s="188"/>
      <c r="AN1337" s="188"/>
      <c r="AO1337" s="188"/>
      <c r="AP1337" s="188"/>
      <c r="AQ1337" s="188"/>
      <c r="AR1337" s="188"/>
      <c r="AS1337" s="188"/>
      <c r="AT1337" s="188"/>
      <c r="AU1337" s="188"/>
      <c r="AV1337" s="188"/>
      <c r="AW1337" s="188"/>
      <c r="AX1337" s="188"/>
      <c r="AY1337" s="188"/>
      <c r="AZ1337" s="188"/>
      <c r="BA1337" s="188"/>
      <c r="BB1337" s="188"/>
      <c r="BC1337" s="188"/>
    </row>
    <row r="1338">
      <c r="A1338" s="188"/>
      <c r="B1338" s="188"/>
      <c r="C1338" s="188"/>
      <c r="D1338" s="188"/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188"/>
      <c r="Q1338" s="188"/>
      <c r="R1338" s="188"/>
      <c r="S1338" s="188"/>
      <c r="T1338" s="188"/>
      <c r="U1338" s="188"/>
      <c r="V1338" s="188"/>
      <c r="W1338" s="188"/>
      <c r="X1338" s="188"/>
      <c r="Y1338" s="188"/>
      <c r="Z1338" s="188"/>
      <c r="AA1338" s="188"/>
      <c r="AB1338" s="188"/>
      <c r="AC1338" s="188"/>
      <c r="AD1338" s="188"/>
      <c r="AE1338" s="188"/>
      <c r="AF1338" s="188"/>
      <c r="AG1338" s="188"/>
      <c r="AH1338" s="188"/>
      <c r="AI1338" s="188"/>
      <c r="AJ1338" s="188"/>
      <c r="AK1338" s="188"/>
      <c r="AL1338" s="188"/>
      <c r="AM1338" s="188"/>
      <c r="AN1338" s="188"/>
      <c r="AO1338" s="188"/>
      <c r="AP1338" s="188"/>
      <c r="AQ1338" s="188"/>
      <c r="AR1338" s="188"/>
      <c r="AS1338" s="188"/>
      <c r="AT1338" s="188"/>
      <c r="AU1338" s="188"/>
      <c r="AV1338" s="188"/>
      <c r="AW1338" s="188"/>
      <c r="AX1338" s="188"/>
      <c r="AY1338" s="188"/>
      <c r="AZ1338" s="188"/>
      <c r="BA1338" s="188"/>
      <c r="BB1338" s="188"/>
      <c r="BC1338" s="188"/>
    </row>
    <row r="1339">
      <c r="A1339" s="188"/>
      <c r="B1339" s="188"/>
      <c r="C1339" s="188"/>
      <c r="D1339" s="188"/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188"/>
      <c r="Q1339" s="188"/>
      <c r="R1339" s="188"/>
      <c r="S1339" s="188"/>
      <c r="T1339" s="188"/>
      <c r="U1339" s="188"/>
      <c r="V1339" s="188"/>
      <c r="W1339" s="188"/>
      <c r="X1339" s="188"/>
      <c r="Y1339" s="188"/>
      <c r="Z1339" s="188"/>
      <c r="AA1339" s="188"/>
      <c r="AB1339" s="188"/>
      <c r="AC1339" s="188"/>
      <c r="AD1339" s="188"/>
      <c r="AE1339" s="188"/>
      <c r="AF1339" s="188"/>
      <c r="AG1339" s="188"/>
      <c r="AH1339" s="188"/>
      <c r="AI1339" s="188"/>
      <c r="AJ1339" s="188"/>
      <c r="AK1339" s="188"/>
      <c r="AL1339" s="188"/>
      <c r="AM1339" s="188"/>
      <c r="AN1339" s="188"/>
      <c r="AO1339" s="188"/>
      <c r="AP1339" s="188"/>
      <c r="AQ1339" s="188"/>
      <c r="AR1339" s="188"/>
      <c r="AS1339" s="188"/>
      <c r="AT1339" s="188"/>
      <c r="AU1339" s="188"/>
      <c r="AV1339" s="188"/>
      <c r="AW1339" s="188"/>
      <c r="AX1339" s="188"/>
      <c r="AY1339" s="188"/>
      <c r="AZ1339" s="188"/>
      <c r="BA1339" s="188"/>
      <c r="BB1339" s="188"/>
      <c r="BC1339" s="188"/>
    </row>
    <row r="1340">
      <c r="A1340" s="188"/>
      <c r="B1340" s="188"/>
      <c r="C1340" s="188"/>
      <c r="D1340" s="188"/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188"/>
      <c r="Q1340" s="188"/>
      <c r="R1340" s="188"/>
      <c r="S1340" s="188"/>
      <c r="T1340" s="188"/>
      <c r="U1340" s="188"/>
      <c r="V1340" s="188"/>
      <c r="W1340" s="188"/>
      <c r="X1340" s="188"/>
      <c r="Y1340" s="188"/>
      <c r="Z1340" s="188"/>
      <c r="AA1340" s="188"/>
      <c r="AB1340" s="188"/>
      <c r="AC1340" s="188"/>
      <c r="AD1340" s="188"/>
      <c r="AE1340" s="188"/>
      <c r="AF1340" s="188"/>
      <c r="AG1340" s="188"/>
      <c r="AH1340" s="188"/>
      <c r="AI1340" s="188"/>
      <c r="AJ1340" s="188"/>
      <c r="AK1340" s="188"/>
      <c r="AL1340" s="188"/>
      <c r="AM1340" s="188"/>
      <c r="AN1340" s="188"/>
      <c r="AO1340" s="188"/>
      <c r="AP1340" s="188"/>
      <c r="AQ1340" s="188"/>
      <c r="AR1340" s="188"/>
      <c r="AS1340" s="188"/>
      <c r="AT1340" s="188"/>
      <c r="AU1340" s="188"/>
      <c r="AV1340" s="188"/>
      <c r="AW1340" s="188"/>
      <c r="AX1340" s="188"/>
      <c r="AY1340" s="188"/>
      <c r="AZ1340" s="188"/>
      <c r="BA1340" s="188"/>
      <c r="BB1340" s="188"/>
      <c r="BC1340" s="188"/>
    </row>
    <row r="1341">
      <c r="A1341" s="188"/>
      <c r="B1341" s="188"/>
      <c r="C1341" s="188"/>
      <c r="D1341" s="188"/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188"/>
      <c r="Q1341" s="188"/>
      <c r="R1341" s="188"/>
      <c r="S1341" s="188"/>
      <c r="T1341" s="188"/>
      <c r="U1341" s="188"/>
      <c r="V1341" s="188"/>
      <c r="W1341" s="188"/>
      <c r="X1341" s="188"/>
      <c r="Y1341" s="188"/>
      <c r="Z1341" s="188"/>
      <c r="AA1341" s="188"/>
      <c r="AB1341" s="188"/>
      <c r="AC1341" s="188"/>
      <c r="AD1341" s="188"/>
      <c r="AE1341" s="188"/>
      <c r="AF1341" s="188"/>
      <c r="AG1341" s="188"/>
      <c r="AH1341" s="188"/>
      <c r="AI1341" s="188"/>
      <c r="AJ1341" s="188"/>
      <c r="AK1341" s="188"/>
      <c r="AL1341" s="188"/>
      <c r="AM1341" s="188"/>
      <c r="AN1341" s="188"/>
      <c r="AO1341" s="188"/>
      <c r="AP1341" s="188"/>
      <c r="AQ1341" s="188"/>
      <c r="AR1341" s="188"/>
      <c r="AS1341" s="188"/>
      <c r="AT1341" s="188"/>
      <c r="AU1341" s="188"/>
      <c r="AV1341" s="188"/>
      <c r="AW1341" s="188"/>
      <c r="AX1341" s="188"/>
      <c r="AY1341" s="188"/>
      <c r="AZ1341" s="188"/>
      <c r="BA1341" s="188"/>
      <c r="BB1341" s="188"/>
      <c r="BC1341" s="188"/>
    </row>
    <row r="1342">
      <c r="A1342" s="188"/>
      <c r="B1342" s="188"/>
      <c r="C1342" s="188"/>
      <c r="D1342" s="188"/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188"/>
      <c r="Q1342" s="188"/>
      <c r="R1342" s="188"/>
      <c r="S1342" s="188"/>
      <c r="T1342" s="188"/>
      <c r="U1342" s="188"/>
      <c r="V1342" s="188"/>
      <c r="W1342" s="188"/>
      <c r="X1342" s="188"/>
      <c r="Y1342" s="188"/>
      <c r="Z1342" s="188"/>
      <c r="AA1342" s="188"/>
      <c r="AB1342" s="188"/>
      <c r="AC1342" s="188"/>
      <c r="AD1342" s="188"/>
      <c r="AE1342" s="188"/>
      <c r="AF1342" s="188"/>
      <c r="AG1342" s="188"/>
      <c r="AH1342" s="188"/>
      <c r="AI1342" s="188"/>
      <c r="AJ1342" s="188"/>
      <c r="AK1342" s="188"/>
      <c r="AL1342" s="188"/>
      <c r="AM1342" s="188"/>
      <c r="AN1342" s="188"/>
      <c r="AO1342" s="188"/>
      <c r="AP1342" s="188"/>
      <c r="AQ1342" s="188"/>
      <c r="AR1342" s="188"/>
      <c r="AS1342" s="188"/>
      <c r="AT1342" s="188"/>
      <c r="AU1342" s="188"/>
      <c r="AV1342" s="188"/>
      <c r="AW1342" s="188"/>
      <c r="AX1342" s="188"/>
      <c r="AY1342" s="188"/>
      <c r="AZ1342" s="188"/>
      <c r="BA1342" s="188"/>
      <c r="BB1342" s="188"/>
      <c r="BC1342" s="188"/>
    </row>
    <row r="1343">
      <c r="A1343" s="188"/>
      <c r="B1343" s="188"/>
      <c r="C1343" s="188"/>
      <c r="D1343" s="188"/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188"/>
      <c r="Q1343" s="188"/>
      <c r="R1343" s="188"/>
      <c r="S1343" s="188"/>
      <c r="T1343" s="188"/>
      <c r="U1343" s="188"/>
      <c r="V1343" s="188"/>
      <c r="W1343" s="188"/>
      <c r="X1343" s="188"/>
      <c r="Y1343" s="188"/>
      <c r="Z1343" s="188"/>
      <c r="AA1343" s="188"/>
      <c r="AB1343" s="188"/>
      <c r="AC1343" s="188"/>
      <c r="AD1343" s="188"/>
      <c r="AE1343" s="188"/>
      <c r="AF1343" s="188"/>
      <c r="AG1343" s="188"/>
      <c r="AH1343" s="188"/>
      <c r="AI1343" s="188"/>
      <c r="AJ1343" s="188"/>
      <c r="AK1343" s="188"/>
      <c r="AL1343" s="188"/>
      <c r="AM1343" s="188"/>
      <c r="AN1343" s="188"/>
      <c r="AO1343" s="188"/>
      <c r="AP1343" s="188"/>
      <c r="AQ1343" s="188"/>
      <c r="AR1343" s="188"/>
      <c r="AS1343" s="188"/>
      <c r="AT1343" s="188"/>
      <c r="AU1343" s="188"/>
      <c r="AV1343" s="188"/>
      <c r="AW1343" s="188"/>
      <c r="AX1343" s="188"/>
      <c r="AY1343" s="188"/>
      <c r="AZ1343" s="188"/>
      <c r="BA1343" s="188"/>
      <c r="BB1343" s="188"/>
      <c r="BC1343" s="188"/>
    </row>
    <row r="1344">
      <c r="A1344" s="188"/>
      <c r="B1344" s="188"/>
      <c r="C1344" s="188"/>
      <c r="D1344" s="188"/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188"/>
      <c r="Q1344" s="188"/>
      <c r="R1344" s="188"/>
      <c r="S1344" s="188"/>
      <c r="T1344" s="188"/>
      <c r="U1344" s="188"/>
      <c r="V1344" s="188"/>
      <c r="W1344" s="188"/>
      <c r="X1344" s="188"/>
      <c r="Y1344" s="188"/>
      <c r="Z1344" s="188"/>
      <c r="AA1344" s="188"/>
      <c r="AB1344" s="188"/>
      <c r="AC1344" s="188"/>
      <c r="AD1344" s="188"/>
      <c r="AE1344" s="188"/>
      <c r="AF1344" s="188"/>
      <c r="AG1344" s="188"/>
      <c r="AH1344" s="188"/>
      <c r="AI1344" s="188"/>
      <c r="AJ1344" s="188"/>
      <c r="AK1344" s="188"/>
      <c r="AL1344" s="188"/>
      <c r="AM1344" s="188"/>
      <c r="AN1344" s="188"/>
      <c r="AO1344" s="188"/>
      <c r="AP1344" s="188"/>
      <c r="AQ1344" s="188"/>
      <c r="AR1344" s="188"/>
      <c r="AS1344" s="188"/>
      <c r="AT1344" s="188"/>
      <c r="AU1344" s="188"/>
      <c r="AV1344" s="188"/>
      <c r="AW1344" s="188"/>
      <c r="AX1344" s="188"/>
      <c r="AY1344" s="188"/>
      <c r="AZ1344" s="188"/>
      <c r="BA1344" s="188"/>
      <c r="BB1344" s="188"/>
      <c r="BC1344" s="188"/>
    </row>
    <row r="1345">
      <c r="A1345" s="188"/>
      <c r="B1345" s="188"/>
      <c r="C1345" s="188"/>
      <c r="D1345" s="188"/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188"/>
      <c r="Q1345" s="188"/>
      <c r="R1345" s="188"/>
      <c r="S1345" s="188"/>
      <c r="T1345" s="188"/>
      <c r="U1345" s="188"/>
      <c r="V1345" s="188"/>
      <c r="W1345" s="188"/>
      <c r="X1345" s="188"/>
      <c r="Y1345" s="188"/>
      <c r="Z1345" s="188"/>
      <c r="AA1345" s="188"/>
      <c r="AB1345" s="188"/>
      <c r="AC1345" s="188"/>
      <c r="AD1345" s="188"/>
      <c r="AE1345" s="188"/>
      <c r="AF1345" s="188"/>
      <c r="AG1345" s="188"/>
      <c r="AH1345" s="188"/>
      <c r="AI1345" s="188"/>
      <c r="AJ1345" s="188"/>
      <c r="AK1345" s="188"/>
      <c r="AL1345" s="188"/>
      <c r="AM1345" s="188"/>
      <c r="AN1345" s="188"/>
      <c r="AO1345" s="188"/>
      <c r="AP1345" s="188"/>
      <c r="AQ1345" s="188"/>
      <c r="AR1345" s="188"/>
      <c r="AS1345" s="188"/>
      <c r="AT1345" s="188"/>
      <c r="AU1345" s="188"/>
      <c r="AV1345" s="188"/>
      <c r="AW1345" s="188"/>
      <c r="AX1345" s="188"/>
      <c r="AY1345" s="188"/>
      <c r="AZ1345" s="188"/>
      <c r="BA1345" s="188"/>
      <c r="BB1345" s="188"/>
      <c r="BC1345" s="188"/>
    </row>
    <row r="1346">
      <c r="A1346" s="188"/>
      <c r="B1346" s="188"/>
      <c r="C1346" s="188"/>
      <c r="D1346" s="188"/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188"/>
      <c r="Q1346" s="188"/>
      <c r="R1346" s="188"/>
      <c r="S1346" s="188"/>
      <c r="T1346" s="188"/>
      <c r="U1346" s="188"/>
      <c r="V1346" s="188"/>
      <c r="W1346" s="188"/>
      <c r="X1346" s="188"/>
      <c r="Y1346" s="188"/>
      <c r="Z1346" s="188"/>
      <c r="AA1346" s="188"/>
      <c r="AB1346" s="188"/>
      <c r="AC1346" s="188"/>
      <c r="AD1346" s="188"/>
      <c r="AE1346" s="188"/>
      <c r="AF1346" s="188"/>
      <c r="AG1346" s="188"/>
      <c r="AH1346" s="188"/>
      <c r="AI1346" s="188"/>
      <c r="AJ1346" s="188"/>
      <c r="AK1346" s="188"/>
      <c r="AL1346" s="188"/>
      <c r="AM1346" s="188"/>
      <c r="AN1346" s="188"/>
      <c r="AO1346" s="188"/>
      <c r="AP1346" s="188"/>
      <c r="AQ1346" s="188"/>
      <c r="AR1346" s="188"/>
      <c r="AS1346" s="188"/>
      <c r="AT1346" s="188"/>
      <c r="AU1346" s="188"/>
      <c r="AV1346" s="188"/>
      <c r="AW1346" s="188"/>
      <c r="AX1346" s="188"/>
      <c r="AY1346" s="188"/>
      <c r="AZ1346" s="188"/>
      <c r="BA1346" s="188"/>
      <c r="BB1346" s="188"/>
      <c r="BC1346" s="188"/>
    </row>
    <row r="1347">
      <c r="A1347" s="188"/>
      <c r="B1347" s="188"/>
      <c r="C1347" s="188"/>
      <c r="D1347" s="188"/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188"/>
      <c r="Q1347" s="188"/>
      <c r="R1347" s="188"/>
      <c r="S1347" s="188"/>
      <c r="T1347" s="188"/>
      <c r="U1347" s="188"/>
      <c r="V1347" s="188"/>
      <c r="W1347" s="188"/>
      <c r="X1347" s="188"/>
      <c r="Y1347" s="188"/>
      <c r="Z1347" s="188"/>
      <c r="AA1347" s="188"/>
      <c r="AB1347" s="188"/>
      <c r="AC1347" s="188"/>
      <c r="AD1347" s="188"/>
      <c r="AE1347" s="188"/>
      <c r="AF1347" s="188"/>
      <c r="AG1347" s="188"/>
      <c r="AH1347" s="188"/>
      <c r="AI1347" s="188"/>
      <c r="AJ1347" s="188"/>
      <c r="AK1347" s="188"/>
      <c r="AL1347" s="188"/>
      <c r="AM1347" s="188"/>
      <c r="AN1347" s="188"/>
      <c r="AO1347" s="188"/>
      <c r="AP1347" s="188"/>
      <c r="AQ1347" s="188"/>
      <c r="AR1347" s="188"/>
      <c r="AS1347" s="188"/>
      <c r="AT1347" s="188"/>
      <c r="AU1347" s="188"/>
      <c r="AV1347" s="188"/>
      <c r="AW1347" s="188"/>
      <c r="AX1347" s="188"/>
      <c r="AY1347" s="188"/>
      <c r="AZ1347" s="188"/>
      <c r="BA1347" s="188"/>
      <c r="BB1347" s="188"/>
      <c r="BC1347" s="188"/>
    </row>
    <row r="1348">
      <c r="A1348" s="188"/>
      <c r="B1348" s="188"/>
      <c r="C1348" s="188"/>
      <c r="D1348" s="188"/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188"/>
      <c r="Q1348" s="188"/>
      <c r="R1348" s="188"/>
      <c r="S1348" s="188"/>
      <c r="T1348" s="188"/>
      <c r="U1348" s="188"/>
      <c r="V1348" s="188"/>
      <c r="W1348" s="188"/>
      <c r="X1348" s="188"/>
      <c r="Y1348" s="188"/>
      <c r="Z1348" s="188"/>
      <c r="AA1348" s="188"/>
      <c r="AB1348" s="188"/>
      <c r="AC1348" s="188"/>
      <c r="AD1348" s="188"/>
      <c r="AE1348" s="188"/>
      <c r="AF1348" s="188"/>
      <c r="AG1348" s="188"/>
      <c r="AH1348" s="188"/>
      <c r="AI1348" s="188"/>
      <c r="AJ1348" s="188"/>
      <c r="AK1348" s="188"/>
      <c r="AL1348" s="188"/>
      <c r="AM1348" s="188"/>
      <c r="AN1348" s="188"/>
      <c r="AO1348" s="188"/>
      <c r="AP1348" s="188"/>
      <c r="AQ1348" s="188"/>
      <c r="AR1348" s="188"/>
      <c r="AS1348" s="188"/>
      <c r="AT1348" s="188"/>
      <c r="AU1348" s="188"/>
      <c r="AV1348" s="188"/>
      <c r="AW1348" s="188"/>
      <c r="AX1348" s="188"/>
      <c r="AY1348" s="188"/>
      <c r="AZ1348" s="188"/>
      <c r="BA1348" s="188"/>
      <c r="BB1348" s="188"/>
      <c r="BC1348" s="188"/>
    </row>
    <row r="1349">
      <c r="A1349" s="188"/>
      <c r="B1349" s="188"/>
      <c r="C1349" s="188"/>
      <c r="D1349" s="188"/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188"/>
      <c r="Q1349" s="188"/>
      <c r="R1349" s="188"/>
      <c r="S1349" s="188"/>
      <c r="T1349" s="188"/>
      <c r="U1349" s="188"/>
      <c r="V1349" s="188"/>
      <c r="W1349" s="188"/>
      <c r="X1349" s="188"/>
      <c r="Y1349" s="188"/>
      <c r="Z1349" s="188"/>
      <c r="AA1349" s="188"/>
      <c r="AB1349" s="188"/>
      <c r="AC1349" s="188"/>
      <c r="AD1349" s="188"/>
      <c r="AE1349" s="188"/>
      <c r="AF1349" s="188"/>
      <c r="AG1349" s="188"/>
      <c r="AH1349" s="188"/>
      <c r="AI1349" s="188"/>
      <c r="AJ1349" s="188"/>
      <c r="AK1349" s="188"/>
      <c r="AL1349" s="188"/>
      <c r="AM1349" s="188"/>
      <c r="AN1349" s="188"/>
      <c r="AO1349" s="188"/>
      <c r="AP1349" s="188"/>
      <c r="AQ1349" s="188"/>
      <c r="AR1349" s="188"/>
      <c r="AS1349" s="188"/>
      <c r="AT1349" s="188"/>
      <c r="AU1349" s="188"/>
      <c r="AV1349" s="188"/>
      <c r="AW1349" s="188"/>
      <c r="AX1349" s="188"/>
      <c r="AY1349" s="188"/>
      <c r="AZ1349" s="188"/>
      <c r="BA1349" s="188"/>
      <c r="BB1349" s="188"/>
      <c r="BC1349" s="188"/>
    </row>
    <row r="1350">
      <c r="A1350" s="188"/>
      <c r="B1350" s="188"/>
      <c r="C1350" s="188"/>
      <c r="D1350" s="188"/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188"/>
      <c r="Q1350" s="188"/>
      <c r="R1350" s="188"/>
      <c r="S1350" s="188"/>
      <c r="T1350" s="188"/>
      <c r="U1350" s="188"/>
      <c r="V1350" s="188"/>
      <c r="W1350" s="188"/>
      <c r="X1350" s="188"/>
      <c r="Y1350" s="188"/>
      <c r="Z1350" s="188"/>
      <c r="AA1350" s="188"/>
      <c r="AB1350" s="188"/>
      <c r="AC1350" s="188"/>
      <c r="AD1350" s="188"/>
      <c r="AE1350" s="188"/>
      <c r="AF1350" s="188"/>
      <c r="AG1350" s="188"/>
      <c r="AH1350" s="188"/>
      <c r="AI1350" s="188"/>
      <c r="AJ1350" s="188"/>
      <c r="AK1350" s="188"/>
      <c r="AL1350" s="188"/>
      <c r="AM1350" s="188"/>
      <c r="AN1350" s="188"/>
      <c r="AO1350" s="188"/>
      <c r="AP1350" s="188"/>
      <c r="AQ1350" s="188"/>
      <c r="AR1350" s="188"/>
      <c r="AS1350" s="188"/>
      <c r="AT1350" s="188"/>
      <c r="AU1350" s="188"/>
      <c r="AV1350" s="188"/>
      <c r="AW1350" s="188"/>
      <c r="AX1350" s="188"/>
      <c r="AY1350" s="188"/>
      <c r="AZ1350" s="188"/>
      <c r="BA1350" s="188"/>
      <c r="BB1350" s="188"/>
      <c r="BC1350" s="188"/>
    </row>
    <row r="1351">
      <c r="A1351" s="188"/>
      <c r="B1351" s="188"/>
      <c r="C1351" s="188"/>
      <c r="D1351" s="188"/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188"/>
      <c r="Q1351" s="188"/>
      <c r="R1351" s="188"/>
      <c r="S1351" s="188"/>
      <c r="T1351" s="188"/>
      <c r="U1351" s="188"/>
      <c r="V1351" s="188"/>
      <c r="W1351" s="188"/>
      <c r="X1351" s="188"/>
      <c r="Y1351" s="188"/>
      <c r="Z1351" s="188"/>
      <c r="AA1351" s="188"/>
      <c r="AB1351" s="188"/>
      <c r="AC1351" s="188"/>
      <c r="AD1351" s="188"/>
      <c r="AE1351" s="188"/>
      <c r="AF1351" s="188"/>
      <c r="AG1351" s="188"/>
      <c r="AH1351" s="188"/>
      <c r="AI1351" s="188"/>
      <c r="AJ1351" s="188"/>
      <c r="AK1351" s="188"/>
      <c r="AL1351" s="188"/>
      <c r="AM1351" s="188"/>
      <c r="AN1351" s="188"/>
      <c r="AO1351" s="188"/>
      <c r="AP1351" s="188"/>
      <c r="AQ1351" s="188"/>
      <c r="AR1351" s="188"/>
      <c r="AS1351" s="188"/>
      <c r="AT1351" s="188"/>
      <c r="AU1351" s="188"/>
      <c r="AV1351" s="188"/>
      <c r="AW1351" s="188"/>
      <c r="AX1351" s="188"/>
      <c r="AY1351" s="188"/>
      <c r="AZ1351" s="188"/>
      <c r="BA1351" s="188"/>
      <c r="BB1351" s="188"/>
      <c r="BC1351" s="188"/>
    </row>
    <row r="1352">
      <c r="A1352" s="188"/>
      <c r="B1352" s="188"/>
      <c r="C1352" s="188"/>
      <c r="D1352" s="188"/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188"/>
      <c r="Q1352" s="188"/>
      <c r="R1352" s="188"/>
      <c r="S1352" s="188"/>
      <c r="T1352" s="188"/>
      <c r="U1352" s="188"/>
      <c r="V1352" s="188"/>
      <c r="W1352" s="188"/>
      <c r="X1352" s="188"/>
      <c r="Y1352" s="188"/>
      <c r="Z1352" s="188"/>
      <c r="AA1352" s="188"/>
      <c r="AB1352" s="188"/>
      <c r="AC1352" s="188"/>
      <c r="AD1352" s="188"/>
      <c r="AE1352" s="188"/>
      <c r="AF1352" s="188"/>
      <c r="AG1352" s="188"/>
      <c r="AH1352" s="188"/>
      <c r="AI1352" s="188"/>
      <c r="AJ1352" s="188"/>
      <c r="AK1352" s="188"/>
      <c r="AL1352" s="188"/>
      <c r="AM1352" s="188"/>
      <c r="AN1352" s="188"/>
      <c r="AO1352" s="188"/>
      <c r="AP1352" s="188"/>
      <c r="AQ1352" s="188"/>
      <c r="AR1352" s="188"/>
      <c r="AS1352" s="188"/>
      <c r="AT1352" s="188"/>
      <c r="AU1352" s="188"/>
      <c r="AV1352" s="188"/>
      <c r="AW1352" s="188"/>
      <c r="AX1352" s="188"/>
      <c r="AY1352" s="188"/>
      <c r="AZ1352" s="188"/>
      <c r="BA1352" s="188"/>
      <c r="BB1352" s="188"/>
      <c r="BC1352" s="188"/>
    </row>
    <row r="1353">
      <c r="A1353" s="188"/>
      <c r="B1353" s="188"/>
      <c r="C1353" s="188"/>
      <c r="D1353" s="188"/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188"/>
      <c r="Q1353" s="188"/>
      <c r="R1353" s="188"/>
      <c r="S1353" s="188"/>
      <c r="T1353" s="188"/>
      <c r="U1353" s="188"/>
      <c r="V1353" s="188"/>
      <c r="W1353" s="188"/>
      <c r="X1353" s="188"/>
      <c r="Y1353" s="188"/>
      <c r="Z1353" s="188"/>
      <c r="AA1353" s="188"/>
      <c r="AB1353" s="188"/>
      <c r="AC1353" s="188"/>
      <c r="AD1353" s="188"/>
      <c r="AE1353" s="188"/>
      <c r="AF1353" s="188"/>
      <c r="AG1353" s="188"/>
      <c r="AH1353" s="188"/>
      <c r="AI1353" s="188"/>
      <c r="AJ1353" s="188"/>
      <c r="AK1353" s="188"/>
      <c r="AL1353" s="188"/>
      <c r="AM1353" s="188"/>
      <c r="AN1353" s="188"/>
      <c r="AO1353" s="188"/>
      <c r="AP1353" s="188"/>
      <c r="AQ1353" s="188"/>
      <c r="AR1353" s="188"/>
      <c r="AS1353" s="188"/>
      <c r="AT1353" s="188"/>
      <c r="AU1353" s="188"/>
      <c r="AV1353" s="188"/>
      <c r="AW1353" s="188"/>
      <c r="AX1353" s="188"/>
      <c r="AY1353" s="188"/>
      <c r="AZ1353" s="188"/>
      <c r="BA1353" s="188"/>
      <c r="BB1353" s="188"/>
      <c r="BC1353" s="188"/>
    </row>
    <row r="1354">
      <c r="A1354" s="188"/>
      <c r="B1354" s="188"/>
      <c r="C1354" s="188"/>
      <c r="D1354" s="188"/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188"/>
      <c r="Q1354" s="188"/>
      <c r="R1354" s="188"/>
      <c r="S1354" s="188"/>
      <c r="T1354" s="188"/>
      <c r="U1354" s="188"/>
      <c r="V1354" s="188"/>
      <c r="W1354" s="188"/>
      <c r="X1354" s="188"/>
      <c r="Y1354" s="188"/>
      <c r="Z1354" s="188"/>
      <c r="AA1354" s="188"/>
      <c r="AB1354" s="188"/>
      <c r="AC1354" s="188"/>
      <c r="AD1354" s="188"/>
      <c r="AE1354" s="188"/>
      <c r="AF1354" s="188"/>
      <c r="AG1354" s="188"/>
      <c r="AH1354" s="188"/>
      <c r="AI1354" s="188"/>
      <c r="AJ1354" s="188"/>
      <c r="AK1354" s="188"/>
      <c r="AL1354" s="188"/>
      <c r="AM1354" s="188"/>
      <c r="AN1354" s="188"/>
      <c r="AO1354" s="188"/>
      <c r="AP1354" s="188"/>
      <c r="AQ1354" s="188"/>
      <c r="AR1354" s="188"/>
      <c r="AS1354" s="188"/>
      <c r="AT1354" s="188"/>
      <c r="AU1354" s="188"/>
      <c r="AV1354" s="188"/>
      <c r="AW1354" s="188"/>
      <c r="AX1354" s="188"/>
      <c r="AY1354" s="188"/>
      <c r="AZ1354" s="188"/>
      <c r="BA1354" s="188"/>
      <c r="BB1354" s="188"/>
      <c r="BC1354" s="188"/>
    </row>
    <row r="1355">
      <c r="A1355" s="188"/>
      <c r="B1355" s="188"/>
      <c r="C1355" s="188"/>
      <c r="D1355" s="188"/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188"/>
      <c r="Q1355" s="188"/>
      <c r="R1355" s="188"/>
      <c r="S1355" s="188"/>
      <c r="T1355" s="188"/>
      <c r="U1355" s="188"/>
      <c r="V1355" s="188"/>
      <c r="W1355" s="188"/>
      <c r="X1355" s="188"/>
      <c r="Y1355" s="188"/>
      <c r="Z1355" s="188"/>
      <c r="AA1355" s="188"/>
      <c r="AB1355" s="188"/>
      <c r="AC1355" s="188"/>
      <c r="AD1355" s="188"/>
      <c r="AE1355" s="188"/>
      <c r="AF1355" s="188"/>
      <c r="AG1355" s="188"/>
      <c r="AH1355" s="188"/>
      <c r="AI1355" s="188"/>
      <c r="AJ1355" s="188"/>
      <c r="AK1355" s="188"/>
      <c r="AL1355" s="188"/>
      <c r="AM1355" s="188"/>
      <c r="AN1355" s="188"/>
      <c r="AO1355" s="188"/>
      <c r="AP1355" s="188"/>
      <c r="AQ1355" s="188"/>
      <c r="AR1355" s="188"/>
      <c r="AS1355" s="188"/>
      <c r="AT1355" s="188"/>
      <c r="AU1355" s="188"/>
      <c r="AV1355" s="188"/>
      <c r="AW1355" s="188"/>
      <c r="AX1355" s="188"/>
      <c r="AY1355" s="188"/>
      <c r="AZ1355" s="188"/>
      <c r="BA1355" s="188"/>
      <c r="BB1355" s="188"/>
      <c r="BC1355" s="188"/>
    </row>
    <row r="1356">
      <c r="A1356" s="188"/>
      <c r="B1356" s="188"/>
      <c r="C1356" s="188"/>
      <c r="D1356" s="188"/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188"/>
      <c r="Q1356" s="188"/>
      <c r="R1356" s="188"/>
      <c r="S1356" s="188"/>
      <c r="T1356" s="188"/>
      <c r="U1356" s="188"/>
      <c r="V1356" s="188"/>
      <c r="W1356" s="188"/>
      <c r="X1356" s="188"/>
      <c r="Y1356" s="188"/>
      <c r="Z1356" s="188"/>
      <c r="AA1356" s="188"/>
      <c r="AB1356" s="188"/>
      <c r="AC1356" s="188"/>
      <c r="AD1356" s="188"/>
      <c r="AE1356" s="188"/>
      <c r="AF1356" s="188"/>
      <c r="AG1356" s="188"/>
      <c r="AH1356" s="188"/>
      <c r="AI1356" s="188"/>
      <c r="AJ1356" s="188"/>
      <c r="AK1356" s="188"/>
      <c r="AL1356" s="188"/>
      <c r="AM1356" s="188"/>
      <c r="AN1356" s="188"/>
      <c r="AO1356" s="188"/>
      <c r="AP1356" s="188"/>
      <c r="AQ1356" s="188"/>
      <c r="AR1356" s="188"/>
      <c r="AS1356" s="188"/>
      <c r="AT1356" s="188"/>
      <c r="AU1356" s="188"/>
      <c r="AV1356" s="188"/>
      <c r="AW1356" s="188"/>
      <c r="AX1356" s="188"/>
      <c r="AY1356" s="188"/>
      <c r="AZ1356" s="188"/>
      <c r="BA1356" s="188"/>
      <c r="BB1356" s="188"/>
      <c r="BC1356" s="188"/>
    </row>
    <row r="1357">
      <c r="A1357" s="188"/>
      <c r="B1357" s="188"/>
      <c r="C1357" s="188"/>
      <c r="D1357" s="188"/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188"/>
      <c r="Q1357" s="188"/>
      <c r="R1357" s="188"/>
      <c r="S1357" s="188"/>
      <c r="T1357" s="188"/>
      <c r="U1357" s="188"/>
      <c r="V1357" s="188"/>
      <c r="W1357" s="188"/>
      <c r="X1357" s="188"/>
      <c r="Y1357" s="188"/>
      <c r="Z1357" s="188"/>
      <c r="AA1357" s="188"/>
      <c r="AB1357" s="188"/>
      <c r="AC1357" s="188"/>
      <c r="AD1357" s="188"/>
      <c r="AE1357" s="188"/>
      <c r="AF1357" s="188"/>
      <c r="AG1357" s="188"/>
      <c r="AH1357" s="188"/>
      <c r="AI1357" s="188"/>
      <c r="AJ1357" s="188"/>
      <c r="AK1357" s="188"/>
      <c r="AL1357" s="188"/>
      <c r="AM1357" s="188"/>
      <c r="AN1357" s="188"/>
      <c r="AO1357" s="188"/>
      <c r="AP1357" s="188"/>
      <c r="AQ1357" s="188"/>
      <c r="AR1357" s="188"/>
      <c r="AS1357" s="188"/>
      <c r="AT1357" s="188"/>
      <c r="AU1357" s="188"/>
      <c r="AV1357" s="188"/>
      <c r="AW1357" s="188"/>
      <c r="AX1357" s="188"/>
      <c r="AY1357" s="188"/>
      <c r="AZ1357" s="188"/>
      <c r="BA1357" s="188"/>
      <c r="BB1357" s="188"/>
      <c r="BC1357" s="188"/>
    </row>
    <row r="1358">
      <c r="A1358" s="188"/>
      <c r="B1358" s="188"/>
      <c r="C1358" s="188"/>
      <c r="D1358" s="188"/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188"/>
      <c r="Q1358" s="188"/>
      <c r="R1358" s="188"/>
      <c r="S1358" s="188"/>
      <c r="T1358" s="188"/>
      <c r="U1358" s="188"/>
      <c r="V1358" s="188"/>
      <c r="W1358" s="188"/>
      <c r="X1358" s="188"/>
      <c r="Y1358" s="188"/>
      <c r="Z1358" s="188"/>
      <c r="AA1358" s="188"/>
      <c r="AB1358" s="188"/>
      <c r="AC1358" s="188"/>
      <c r="AD1358" s="188"/>
      <c r="AE1358" s="188"/>
      <c r="AF1358" s="188"/>
      <c r="AG1358" s="188"/>
      <c r="AH1358" s="188"/>
      <c r="AI1358" s="188"/>
      <c r="AJ1358" s="188"/>
      <c r="AK1358" s="188"/>
      <c r="AL1358" s="188"/>
      <c r="AM1358" s="188"/>
      <c r="AN1358" s="188"/>
      <c r="AO1358" s="188"/>
      <c r="AP1358" s="188"/>
      <c r="AQ1358" s="188"/>
      <c r="AR1358" s="188"/>
      <c r="AS1358" s="188"/>
      <c r="AT1358" s="188"/>
      <c r="AU1358" s="188"/>
      <c r="AV1358" s="188"/>
      <c r="AW1358" s="188"/>
      <c r="AX1358" s="188"/>
      <c r="AY1358" s="188"/>
      <c r="AZ1358" s="188"/>
      <c r="BA1358" s="188"/>
      <c r="BB1358" s="188"/>
      <c r="BC1358" s="188"/>
    </row>
    <row r="1359">
      <c r="A1359" s="188"/>
      <c r="B1359" s="188"/>
      <c r="C1359" s="188"/>
      <c r="D1359" s="188"/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188"/>
      <c r="Q1359" s="188"/>
      <c r="R1359" s="188"/>
      <c r="S1359" s="188"/>
      <c r="T1359" s="188"/>
      <c r="U1359" s="188"/>
      <c r="V1359" s="188"/>
      <c r="W1359" s="188"/>
      <c r="X1359" s="188"/>
      <c r="Y1359" s="188"/>
      <c r="Z1359" s="188"/>
      <c r="AA1359" s="188"/>
      <c r="AB1359" s="188"/>
      <c r="AC1359" s="188"/>
      <c r="AD1359" s="188"/>
      <c r="AE1359" s="188"/>
      <c r="AF1359" s="188"/>
      <c r="AG1359" s="188"/>
      <c r="AH1359" s="188"/>
      <c r="AI1359" s="188"/>
      <c r="AJ1359" s="188"/>
      <c r="AK1359" s="188"/>
      <c r="AL1359" s="188"/>
      <c r="AM1359" s="188"/>
      <c r="AN1359" s="188"/>
      <c r="AO1359" s="188"/>
      <c r="AP1359" s="188"/>
      <c r="AQ1359" s="188"/>
      <c r="AR1359" s="188"/>
      <c r="AS1359" s="188"/>
      <c r="AT1359" s="188"/>
      <c r="AU1359" s="188"/>
      <c r="AV1359" s="188"/>
      <c r="AW1359" s="188"/>
      <c r="AX1359" s="188"/>
      <c r="AY1359" s="188"/>
      <c r="AZ1359" s="188"/>
      <c r="BA1359" s="188"/>
      <c r="BB1359" s="188"/>
      <c r="BC1359" s="188"/>
    </row>
    <row r="1360">
      <c r="A1360" s="188"/>
      <c r="B1360" s="188"/>
      <c r="C1360" s="188"/>
      <c r="D1360" s="188"/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188"/>
      <c r="Q1360" s="188"/>
      <c r="R1360" s="188"/>
      <c r="S1360" s="188"/>
      <c r="T1360" s="188"/>
      <c r="U1360" s="188"/>
      <c r="V1360" s="188"/>
      <c r="W1360" s="188"/>
      <c r="X1360" s="188"/>
      <c r="Y1360" s="188"/>
      <c r="Z1360" s="188"/>
      <c r="AA1360" s="188"/>
      <c r="AB1360" s="188"/>
      <c r="AC1360" s="188"/>
      <c r="AD1360" s="188"/>
      <c r="AE1360" s="188"/>
      <c r="AF1360" s="188"/>
      <c r="AG1360" s="188"/>
      <c r="AH1360" s="188"/>
      <c r="AI1360" s="188"/>
      <c r="AJ1360" s="188"/>
      <c r="AK1360" s="188"/>
      <c r="AL1360" s="188"/>
      <c r="AM1360" s="188"/>
      <c r="AN1360" s="188"/>
      <c r="AO1360" s="188"/>
      <c r="AP1360" s="188"/>
      <c r="AQ1360" s="188"/>
      <c r="AR1360" s="188"/>
      <c r="AS1360" s="188"/>
      <c r="AT1360" s="188"/>
      <c r="AU1360" s="188"/>
      <c r="AV1360" s="188"/>
      <c r="AW1360" s="188"/>
      <c r="AX1360" s="188"/>
      <c r="AY1360" s="188"/>
      <c r="AZ1360" s="188"/>
      <c r="BA1360" s="188"/>
      <c r="BB1360" s="188"/>
      <c r="BC1360" s="188"/>
    </row>
    <row r="1361">
      <c r="A1361" s="188"/>
      <c r="B1361" s="188"/>
      <c r="C1361" s="188"/>
      <c r="D1361" s="188"/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188"/>
      <c r="Q1361" s="188"/>
      <c r="R1361" s="188"/>
      <c r="S1361" s="188"/>
      <c r="T1361" s="188"/>
      <c r="U1361" s="188"/>
      <c r="V1361" s="188"/>
      <c r="W1361" s="188"/>
      <c r="X1361" s="188"/>
      <c r="Y1361" s="188"/>
      <c r="Z1361" s="188"/>
      <c r="AA1361" s="188"/>
      <c r="AB1361" s="188"/>
      <c r="AC1361" s="188"/>
      <c r="AD1361" s="188"/>
      <c r="AE1361" s="188"/>
      <c r="AF1361" s="188"/>
      <c r="AG1361" s="188"/>
      <c r="AH1361" s="188"/>
      <c r="AI1361" s="188"/>
      <c r="AJ1361" s="188"/>
      <c r="AK1361" s="188"/>
      <c r="AL1361" s="188"/>
      <c r="AM1361" s="188"/>
      <c r="AN1361" s="188"/>
      <c r="AO1361" s="188"/>
      <c r="AP1361" s="188"/>
      <c r="AQ1361" s="188"/>
      <c r="AR1361" s="188"/>
      <c r="AS1361" s="188"/>
      <c r="AT1361" s="188"/>
      <c r="AU1361" s="188"/>
      <c r="AV1361" s="188"/>
      <c r="AW1361" s="188"/>
      <c r="AX1361" s="188"/>
      <c r="AY1361" s="188"/>
      <c r="AZ1361" s="188"/>
      <c r="BA1361" s="188"/>
      <c r="BB1361" s="188"/>
      <c r="BC1361" s="188"/>
    </row>
    <row r="1362">
      <c r="A1362" s="188"/>
      <c r="B1362" s="188"/>
      <c r="C1362" s="188"/>
      <c r="D1362" s="188"/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188"/>
      <c r="Q1362" s="188"/>
      <c r="R1362" s="188"/>
      <c r="S1362" s="188"/>
      <c r="T1362" s="188"/>
      <c r="U1362" s="188"/>
      <c r="V1362" s="188"/>
      <c r="W1362" s="188"/>
      <c r="X1362" s="188"/>
      <c r="Y1362" s="188"/>
      <c r="Z1362" s="188"/>
      <c r="AA1362" s="188"/>
      <c r="AB1362" s="188"/>
      <c r="AC1362" s="188"/>
      <c r="AD1362" s="188"/>
      <c r="AE1362" s="188"/>
      <c r="AF1362" s="188"/>
      <c r="AG1362" s="188"/>
      <c r="AH1362" s="188"/>
      <c r="AI1362" s="188"/>
      <c r="AJ1362" s="188"/>
      <c r="AK1362" s="188"/>
      <c r="AL1362" s="188"/>
      <c r="AM1362" s="188"/>
      <c r="AN1362" s="188"/>
      <c r="AO1362" s="188"/>
      <c r="AP1362" s="188"/>
      <c r="AQ1362" s="188"/>
      <c r="AR1362" s="188"/>
      <c r="AS1362" s="188"/>
      <c r="AT1362" s="188"/>
      <c r="AU1362" s="188"/>
      <c r="AV1362" s="188"/>
      <c r="AW1362" s="188"/>
      <c r="AX1362" s="188"/>
      <c r="AY1362" s="188"/>
      <c r="AZ1362" s="188"/>
      <c r="BA1362" s="188"/>
      <c r="BB1362" s="188"/>
      <c r="BC1362" s="188"/>
    </row>
    <row r="1363">
      <c r="A1363" s="188"/>
      <c r="B1363" s="188"/>
      <c r="C1363" s="188"/>
      <c r="D1363" s="188"/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188"/>
      <c r="Q1363" s="188"/>
      <c r="R1363" s="188"/>
      <c r="S1363" s="188"/>
      <c r="T1363" s="188"/>
      <c r="U1363" s="188"/>
      <c r="V1363" s="188"/>
      <c r="W1363" s="188"/>
      <c r="X1363" s="188"/>
      <c r="Y1363" s="188"/>
      <c r="Z1363" s="188"/>
      <c r="AA1363" s="188"/>
      <c r="AB1363" s="188"/>
      <c r="AC1363" s="188"/>
      <c r="AD1363" s="188"/>
      <c r="AE1363" s="188"/>
      <c r="AF1363" s="188"/>
      <c r="AG1363" s="188"/>
      <c r="AH1363" s="188"/>
      <c r="AI1363" s="188"/>
      <c r="AJ1363" s="188"/>
      <c r="AK1363" s="188"/>
      <c r="AL1363" s="188"/>
      <c r="AM1363" s="188"/>
      <c r="AN1363" s="188"/>
      <c r="AO1363" s="188"/>
      <c r="AP1363" s="188"/>
      <c r="AQ1363" s="188"/>
      <c r="AR1363" s="188"/>
      <c r="AS1363" s="188"/>
      <c r="AT1363" s="188"/>
      <c r="AU1363" s="188"/>
      <c r="AV1363" s="188"/>
      <c r="AW1363" s="188"/>
      <c r="AX1363" s="188"/>
      <c r="AY1363" s="188"/>
      <c r="AZ1363" s="188"/>
      <c r="BA1363" s="188"/>
      <c r="BB1363" s="188"/>
      <c r="BC1363" s="188"/>
    </row>
    <row r="1364">
      <c r="A1364" s="188"/>
      <c r="B1364" s="188"/>
      <c r="C1364" s="188"/>
      <c r="D1364" s="188"/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188"/>
      <c r="Q1364" s="188"/>
      <c r="R1364" s="188"/>
      <c r="S1364" s="188"/>
      <c r="T1364" s="188"/>
      <c r="U1364" s="188"/>
      <c r="V1364" s="188"/>
      <c r="W1364" s="188"/>
      <c r="X1364" s="188"/>
      <c r="Y1364" s="188"/>
      <c r="Z1364" s="188"/>
      <c r="AA1364" s="188"/>
      <c r="AB1364" s="188"/>
      <c r="AC1364" s="188"/>
      <c r="AD1364" s="188"/>
      <c r="AE1364" s="188"/>
      <c r="AF1364" s="188"/>
      <c r="AG1364" s="188"/>
      <c r="AH1364" s="188"/>
      <c r="AI1364" s="188"/>
      <c r="AJ1364" s="188"/>
      <c r="AK1364" s="188"/>
      <c r="AL1364" s="188"/>
      <c r="AM1364" s="188"/>
      <c r="AN1364" s="188"/>
      <c r="AO1364" s="188"/>
      <c r="AP1364" s="188"/>
      <c r="AQ1364" s="188"/>
      <c r="AR1364" s="188"/>
      <c r="AS1364" s="188"/>
      <c r="AT1364" s="188"/>
      <c r="AU1364" s="188"/>
      <c r="AV1364" s="188"/>
      <c r="AW1364" s="188"/>
      <c r="AX1364" s="188"/>
      <c r="AY1364" s="188"/>
      <c r="AZ1364" s="188"/>
      <c r="BA1364" s="188"/>
      <c r="BB1364" s="188"/>
      <c r="BC1364" s="188"/>
    </row>
    <row r="1365">
      <c r="A1365" s="188"/>
      <c r="B1365" s="188"/>
      <c r="C1365" s="188"/>
      <c r="D1365" s="188"/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188"/>
      <c r="Q1365" s="188"/>
      <c r="R1365" s="188"/>
      <c r="S1365" s="188"/>
      <c r="T1365" s="188"/>
      <c r="U1365" s="188"/>
      <c r="V1365" s="188"/>
      <c r="W1365" s="188"/>
      <c r="X1365" s="188"/>
      <c r="Y1365" s="188"/>
      <c r="Z1365" s="188"/>
      <c r="AA1365" s="188"/>
      <c r="AB1365" s="188"/>
      <c r="AC1365" s="188"/>
      <c r="AD1365" s="188"/>
      <c r="AE1365" s="188"/>
      <c r="AF1365" s="188"/>
      <c r="AG1365" s="188"/>
      <c r="AH1365" s="188"/>
      <c r="AI1365" s="188"/>
      <c r="AJ1365" s="188"/>
      <c r="AK1365" s="188"/>
      <c r="AL1365" s="188"/>
      <c r="AM1365" s="188"/>
      <c r="AN1365" s="188"/>
      <c r="AO1365" s="188"/>
      <c r="AP1365" s="188"/>
      <c r="AQ1365" s="188"/>
      <c r="AR1365" s="188"/>
      <c r="AS1365" s="188"/>
      <c r="AT1365" s="188"/>
      <c r="AU1365" s="188"/>
      <c r="AV1365" s="188"/>
      <c r="AW1365" s="188"/>
      <c r="AX1365" s="188"/>
      <c r="AY1365" s="188"/>
      <c r="AZ1365" s="188"/>
      <c r="BA1365" s="188"/>
      <c r="BB1365" s="188"/>
      <c r="BC1365" s="188"/>
    </row>
    <row r="1366">
      <c r="A1366" s="188"/>
      <c r="B1366" s="188"/>
      <c r="C1366" s="188"/>
      <c r="D1366" s="188"/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188"/>
      <c r="Q1366" s="188"/>
      <c r="R1366" s="188"/>
      <c r="S1366" s="188"/>
      <c r="T1366" s="188"/>
      <c r="U1366" s="188"/>
      <c r="V1366" s="188"/>
      <c r="W1366" s="188"/>
      <c r="X1366" s="188"/>
      <c r="Y1366" s="188"/>
      <c r="Z1366" s="188"/>
      <c r="AA1366" s="188"/>
      <c r="AB1366" s="188"/>
      <c r="AC1366" s="188"/>
      <c r="AD1366" s="188"/>
      <c r="AE1366" s="188"/>
      <c r="AF1366" s="188"/>
      <c r="AG1366" s="188"/>
      <c r="AH1366" s="188"/>
      <c r="AI1366" s="188"/>
      <c r="AJ1366" s="188"/>
      <c r="AK1366" s="188"/>
      <c r="AL1366" s="188"/>
      <c r="AM1366" s="188"/>
      <c r="AN1366" s="188"/>
      <c r="AO1366" s="188"/>
      <c r="AP1366" s="188"/>
      <c r="AQ1366" s="188"/>
      <c r="AR1366" s="188"/>
      <c r="AS1366" s="188"/>
      <c r="AT1366" s="188"/>
      <c r="AU1366" s="188"/>
      <c r="AV1366" s="188"/>
      <c r="AW1366" s="188"/>
      <c r="AX1366" s="188"/>
      <c r="AY1366" s="188"/>
      <c r="AZ1366" s="188"/>
      <c r="BA1366" s="188"/>
      <c r="BB1366" s="188"/>
      <c r="BC1366" s="188"/>
    </row>
    <row r="1367">
      <c r="A1367" s="188"/>
      <c r="B1367" s="188"/>
      <c r="C1367" s="188"/>
      <c r="D1367" s="188"/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188"/>
      <c r="Q1367" s="188"/>
      <c r="R1367" s="188"/>
      <c r="S1367" s="188"/>
      <c r="T1367" s="188"/>
      <c r="U1367" s="188"/>
      <c r="V1367" s="188"/>
      <c r="W1367" s="188"/>
      <c r="X1367" s="188"/>
      <c r="Y1367" s="188"/>
      <c r="Z1367" s="188"/>
      <c r="AA1367" s="188"/>
      <c r="AB1367" s="188"/>
      <c r="AC1367" s="188"/>
      <c r="AD1367" s="188"/>
      <c r="AE1367" s="188"/>
      <c r="AF1367" s="188"/>
      <c r="AG1367" s="188"/>
      <c r="AH1367" s="188"/>
      <c r="AI1367" s="188"/>
      <c r="AJ1367" s="188"/>
      <c r="AK1367" s="188"/>
      <c r="AL1367" s="188"/>
      <c r="AM1367" s="188"/>
      <c r="AN1367" s="188"/>
      <c r="AO1367" s="188"/>
      <c r="AP1367" s="188"/>
      <c r="AQ1367" s="188"/>
      <c r="AR1367" s="188"/>
      <c r="AS1367" s="188"/>
      <c r="AT1367" s="188"/>
      <c r="AU1367" s="188"/>
      <c r="AV1367" s="188"/>
      <c r="AW1367" s="188"/>
      <c r="AX1367" s="188"/>
      <c r="AY1367" s="188"/>
      <c r="AZ1367" s="188"/>
      <c r="BA1367" s="188"/>
      <c r="BB1367" s="188"/>
      <c r="BC1367" s="188"/>
    </row>
    <row r="1368">
      <c r="A1368" s="188"/>
      <c r="B1368" s="188"/>
      <c r="C1368" s="188"/>
      <c r="D1368" s="188"/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188"/>
      <c r="Q1368" s="188"/>
      <c r="R1368" s="188"/>
      <c r="S1368" s="188"/>
      <c r="T1368" s="188"/>
      <c r="U1368" s="188"/>
      <c r="V1368" s="188"/>
      <c r="W1368" s="188"/>
      <c r="X1368" s="188"/>
      <c r="Y1368" s="188"/>
      <c r="Z1368" s="188"/>
      <c r="AA1368" s="188"/>
      <c r="AB1368" s="188"/>
      <c r="AC1368" s="188"/>
      <c r="AD1368" s="188"/>
      <c r="AE1368" s="188"/>
      <c r="AF1368" s="188"/>
      <c r="AG1368" s="188"/>
      <c r="AH1368" s="188"/>
      <c r="AI1368" s="188"/>
      <c r="AJ1368" s="188"/>
      <c r="AK1368" s="188"/>
      <c r="AL1368" s="188"/>
      <c r="AM1368" s="188"/>
      <c r="AN1368" s="188"/>
      <c r="AO1368" s="188"/>
      <c r="AP1368" s="188"/>
      <c r="AQ1368" s="188"/>
      <c r="AR1368" s="188"/>
      <c r="AS1368" s="188"/>
      <c r="AT1368" s="188"/>
      <c r="AU1368" s="188"/>
      <c r="AV1368" s="188"/>
      <c r="AW1368" s="188"/>
      <c r="AX1368" s="188"/>
      <c r="AY1368" s="188"/>
      <c r="AZ1368" s="188"/>
      <c r="BA1368" s="188"/>
      <c r="BB1368" s="188"/>
      <c r="BC1368" s="188"/>
    </row>
    <row r="1369">
      <c r="A1369" s="188"/>
      <c r="B1369" s="188"/>
      <c r="C1369" s="188"/>
      <c r="D1369" s="188"/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188"/>
      <c r="Q1369" s="188"/>
      <c r="R1369" s="188"/>
      <c r="S1369" s="188"/>
      <c r="T1369" s="188"/>
      <c r="U1369" s="188"/>
      <c r="V1369" s="188"/>
      <c r="W1369" s="188"/>
      <c r="X1369" s="188"/>
      <c r="Y1369" s="188"/>
      <c r="Z1369" s="188"/>
      <c r="AA1369" s="188"/>
      <c r="AB1369" s="188"/>
      <c r="AC1369" s="188"/>
      <c r="AD1369" s="188"/>
      <c r="AE1369" s="188"/>
      <c r="AF1369" s="188"/>
      <c r="AG1369" s="188"/>
      <c r="AH1369" s="188"/>
      <c r="AI1369" s="188"/>
      <c r="AJ1369" s="188"/>
      <c r="AK1369" s="188"/>
      <c r="AL1369" s="188"/>
      <c r="AM1369" s="188"/>
      <c r="AN1369" s="188"/>
      <c r="AO1369" s="188"/>
      <c r="AP1369" s="188"/>
      <c r="AQ1369" s="188"/>
      <c r="AR1369" s="188"/>
      <c r="AS1369" s="188"/>
      <c r="AT1369" s="188"/>
      <c r="AU1369" s="188"/>
      <c r="AV1369" s="188"/>
      <c r="AW1369" s="188"/>
      <c r="AX1369" s="188"/>
      <c r="AY1369" s="188"/>
      <c r="AZ1369" s="188"/>
      <c r="BA1369" s="188"/>
      <c r="BB1369" s="188"/>
      <c r="BC1369" s="188"/>
    </row>
    <row r="1370">
      <c r="A1370" s="188"/>
      <c r="B1370" s="188"/>
      <c r="C1370" s="188"/>
      <c r="D1370" s="188"/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188"/>
      <c r="Q1370" s="188"/>
      <c r="R1370" s="188"/>
      <c r="S1370" s="188"/>
      <c r="T1370" s="188"/>
      <c r="U1370" s="188"/>
      <c r="V1370" s="188"/>
      <c r="W1370" s="188"/>
      <c r="X1370" s="188"/>
      <c r="Y1370" s="188"/>
      <c r="Z1370" s="188"/>
      <c r="AA1370" s="188"/>
      <c r="AB1370" s="188"/>
      <c r="AC1370" s="188"/>
      <c r="AD1370" s="188"/>
      <c r="AE1370" s="188"/>
      <c r="AF1370" s="188"/>
      <c r="AG1370" s="188"/>
      <c r="AH1370" s="188"/>
      <c r="AI1370" s="188"/>
      <c r="AJ1370" s="188"/>
      <c r="AK1370" s="188"/>
      <c r="AL1370" s="188"/>
      <c r="AM1370" s="188"/>
      <c r="AN1370" s="188"/>
      <c r="AO1370" s="188"/>
      <c r="AP1370" s="188"/>
      <c r="AQ1370" s="188"/>
      <c r="AR1370" s="188"/>
      <c r="AS1370" s="188"/>
      <c r="AT1370" s="188"/>
      <c r="AU1370" s="188"/>
      <c r="AV1370" s="188"/>
      <c r="AW1370" s="188"/>
      <c r="AX1370" s="188"/>
      <c r="AY1370" s="188"/>
      <c r="AZ1370" s="188"/>
      <c r="BA1370" s="188"/>
      <c r="BB1370" s="188"/>
      <c r="BC1370" s="188"/>
    </row>
    <row r="1371">
      <c r="A1371" s="188"/>
      <c r="B1371" s="188"/>
      <c r="C1371" s="188"/>
      <c r="D1371" s="188"/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188"/>
      <c r="Q1371" s="188"/>
      <c r="R1371" s="188"/>
      <c r="S1371" s="188"/>
      <c r="T1371" s="188"/>
      <c r="U1371" s="188"/>
      <c r="V1371" s="188"/>
      <c r="W1371" s="188"/>
      <c r="X1371" s="188"/>
      <c r="Y1371" s="188"/>
      <c r="Z1371" s="188"/>
      <c r="AA1371" s="188"/>
      <c r="AB1371" s="188"/>
      <c r="AC1371" s="188"/>
      <c r="AD1371" s="188"/>
      <c r="AE1371" s="188"/>
      <c r="AF1371" s="188"/>
      <c r="AG1371" s="188"/>
      <c r="AH1371" s="188"/>
      <c r="AI1371" s="188"/>
      <c r="AJ1371" s="188"/>
      <c r="AK1371" s="188"/>
      <c r="AL1371" s="188"/>
      <c r="AM1371" s="188"/>
      <c r="AN1371" s="188"/>
      <c r="AO1371" s="188"/>
      <c r="AP1371" s="188"/>
      <c r="AQ1371" s="188"/>
      <c r="AR1371" s="188"/>
      <c r="AS1371" s="188"/>
      <c r="AT1371" s="188"/>
      <c r="AU1371" s="188"/>
      <c r="AV1371" s="188"/>
      <c r="AW1371" s="188"/>
      <c r="AX1371" s="188"/>
      <c r="AY1371" s="188"/>
      <c r="AZ1371" s="188"/>
      <c r="BA1371" s="188"/>
      <c r="BB1371" s="188"/>
      <c r="BC1371" s="188"/>
    </row>
    <row r="1372">
      <c r="A1372" s="188"/>
      <c r="B1372" s="188"/>
      <c r="C1372" s="188"/>
      <c r="D1372" s="188"/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188"/>
      <c r="Q1372" s="188"/>
      <c r="R1372" s="188"/>
      <c r="S1372" s="188"/>
      <c r="T1372" s="188"/>
      <c r="U1372" s="188"/>
      <c r="V1372" s="188"/>
      <c r="W1372" s="188"/>
      <c r="X1372" s="188"/>
      <c r="Y1372" s="188"/>
      <c r="Z1372" s="188"/>
      <c r="AA1372" s="188"/>
      <c r="AB1372" s="188"/>
      <c r="AC1372" s="188"/>
      <c r="AD1372" s="188"/>
      <c r="AE1372" s="188"/>
      <c r="AF1372" s="188"/>
      <c r="AG1372" s="188"/>
      <c r="AH1372" s="188"/>
      <c r="AI1372" s="188"/>
      <c r="AJ1372" s="188"/>
      <c r="AK1372" s="188"/>
      <c r="AL1372" s="188"/>
      <c r="AM1372" s="188"/>
      <c r="AN1372" s="188"/>
      <c r="AO1372" s="188"/>
      <c r="AP1372" s="188"/>
      <c r="AQ1372" s="188"/>
      <c r="AR1372" s="188"/>
      <c r="AS1372" s="188"/>
      <c r="AT1372" s="188"/>
      <c r="AU1372" s="188"/>
      <c r="AV1372" s="188"/>
      <c r="AW1372" s="188"/>
      <c r="AX1372" s="188"/>
      <c r="AY1372" s="188"/>
      <c r="AZ1372" s="188"/>
      <c r="BA1372" s="188"/>
      <c r="BB1372" s="188"/>
      <c r="BC1372" s="188"/>
    </row>
    <row r="1373">
      <c r="A1373" s="188"/>
      <c r="B1373" s="188"/>
      <c r="C1373" s="188"/>
      <c r="D1373" s="188"/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188"/>
      <c r="Q1373" s="188"/>
      <c r="R1373" s="188"/>
      <c r="S1373" s="188"/>
      <c r="T1373" s="188"/>
      <c r="U1373" s="188"/>
      <c r="V1373" s="188"/>
      <c r="W1373" s="188"/>
      <c r="X1373" s="188"/>
      <c r="Y1373" s="188"/>
      <c r="Z1373" s="188"/>
      <c r="AA1373" s="188"/>
      <c r="AB1373" s="188"/>
      <c r="AC1373" s="188"/>
      <c r="AD1373" s="188"/>
      <c r="AE1373" s="188"/>
      <c r="AF1373" s="188"/>
      <c r="AG1373" s="188"/>
      <c r="AH1373" s="188"/>
      <c r="AI1373" s="188"/>
      <c r="AJ1373" s="188"/>
      <c r="AK1373" s="188"/>
      <c r="AL1373" s="188"/>
      <c r="AM1373" s="188"/>
      <c r="AN1373" s="188"/>
      <c r="AO1373" s="188"/>
      <c r="AP1373" s="188"/>
      <c r="AQ1373" s="188"/>
      <c r="AR1373" s="188"/>
      <c r="AS1373" s="188"/>
      <c r="AT1373" s="188"/>
      <c r="AU1373" s="188"/>
      <c r="AV1373" s="188"/>
      <c r="AW1373" s="188"/>
      <c r="AX1373" s="188"/>
      <c r="AY1373" s="188"/>
      <c r="AZ1373" s="188"/>
      <c r="BA1373" s="188"/>
      <c r="BB1373" s="188"/>
      <c r="BC1373" s="188"/>
    </row>
    <row r="1374">
      <c r="A1374" s="188"/>
      <c r="B1374" s="188"/>
      <c r="C1374" s="188"/>
      <c r="D1374" s="188"/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188"/>
      <c r="Q1374" s="188"/>
      <c r="R1374" s="188"/>
      <c r="S1374" s="188"/>
      <c r="T1374" s="188"/>
      <c r="U1374" s="188"/>
      <c r="V1374" s="188"/>
      <c r="W1374" s="188"/>
      <c r="X1374" s="188"/>
      <c r="Y1374" s="188"/>
      <c r="Z1374" s="188"/>
      <c r="AA1374" s="188"/>
      <c r="AB1374" s="188"/>
      <c r="AC1374" s="188"/>
      <c r="AD1374" s="188"/>
      <c r="AE1374" s="188"/>
      <c r="AF1374" s="188"/>
      <c r="AG1374" s="188"/>
      <c r="AH1374" s="188"/>
      <c r="AI1374" s="188"/>
      <c r="AJ1374" s="188"/>
      <c r="AK1374" s="188"/>
      <c r="AL1374" s="188"/>
      <c r="AM1374" s="188"/>
      <c r="AN1374" s="188"/>
      <c r="AO1374" s="188"/>
      <c r="AP1374" s="188"/>
      <c r="AQ1374" s="188"/>
      <c r="AR1374" s="188"/>
      <c r="AS1374" s="188"/>
      <c r="AT1374" s="188"/>
      <c r="AU1374" s="188"/>
      <c r="AV1374" s="188"/>
      <c r="AW1374" s="188"/>
      <c r="AX1374" s="188"/>
      <c r="AY1374" s="188"/>
      <c r="AZ1374" s="188"/>
      <c r="BA1374" s="188"/>
      <c r="BB1374" s="188"/>
      <c r="BC1374" s="188"/>
    </row>
    <row r="1375">
      <c r="A1375" s="188"/>
      <c r="B1375" s="188"/>
      <c r="C1375" s="188"/>
      <c r="D1375" s="188"/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188"/>
      <c r="Q1375" s="188"/>
      <c r="R1375" s="188"/>
      <c r="S1375" s="188"/>
      <c r="T1375" s="188"/>
      <c r="U1375" s="188"/>
      <c r="V1375" s="188"/>
      <c r="W1375" s="188"/>
      <c r="X1375" s="188"/>
      <c r="Y1375" s="188"/>
      <c r="Z1375" s="188"/>
      <c r="AA1375" s="188"/>
      <c r="AB1375" s="188"/>
      <c r="AC1375" s="188"/>
      <c r="AD1375" s="188"/>
      <c r="AE1375" s="188"/>
      <c r="AF1375" s="188"/>
      <c r="AG1375" s="188"/>
      <c r="AH1375" s="188"/>
      <c r="AI1375" s="188"/>
      <c r="AJ1375" s="188"/>
      <c r="AK1375" s="188"/>
      <c r="AL1375" s="188"/>
      <c r="AM1375" s="188"/>
      <c r="AN1375" s="188"/>
      <c r="AO1375" s="188"/>
      <c r="AP1375" s="188"/>
      <c r="AQ1375" s="188"/>
      <c r="AR1375" s="188"/>
      <c r="AS1375" s="188"/>
      <c r="AT1375" s="188"/>
      <c r="AU1375" s="188"/>
      <c r="AV1375" s="188"/>
      <c r="AW1375" s="188"/>
      <c r="AX1375" s="188"/>
      <c r="AY1375" s="188"/>
      <c r="AZ1375" s="188"/>
      <c r="BA1375" s="188"/>
      <c r="BB1375" s="188"/>
      <c r="BC1375" s="188"/>
    </row>
    <row r="1376">
      <c r="A1376" s="188"/>
      <c r="B1376" s="188"/>
      <c r="C1376" s="188"/>
      <c r="D1376" s="188"/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188"/>
      <c r="Q1376" s="188"/>
      <c r="R1376" s="188"/>
      <c r="S1376" s="188"/>
      <c r="T1376" s="188"/>
      <c r="U1376" s="188"/>
      <c r="V1376" s="188"/>
      <c r="W1376" s="188"/>
      <c r="X1376" s="188"/>
      <c r="Y1376" s="188"/>
      <c r="Z1376" s="188"/>
      <c r="AA1376" s="188"/>
      <c r="AB1376" s="188"/>
      <c r="AC1376" s="188"/>
      <c r="AD1376" s="188"/>
      <c r="AE1376" s="188"/>
      <c r="AF1376" s="188"/>
      <c r="AG1376" s="188"/>
      <c r="AH1376" s="188"/>
      <c r="AI1376" s="188"/>
      <c r="AJ1376" s="188"/>
      <c r="AK1376" s="188"/>
      <c r="AL1376" s="188"/>
      <c r="AM1376" s="188"/>
      <c r="AN1376" s="188"/>
      <c r="AO1376" s="188"/>
      <c r="AP1376" s="188"/>
      <c r="AQ1376" s="188"/>
      <c r="AR1376" s="188"/>
      <c r="AS1376" s="188"/>
      <c r="AT1376" s="188"/>
      <c r="AU1376" s="188"/>
      <c r="AV1376" s="188"/>
      <c r="AW1376" s="188"/>
      <c r="AX1376" s="188"/>
      <c r="AY1376" s="188"/>
      <c r="AZ1376" s="188"/>
      <c r="BA1376" s="188"/>
      <c r="BB1376" s="188"/>
      <c r="BC1376" s="188"/>
    </row>
    <row r="1377">
      <c r="A1377" s="188"/>
      <c r="B1377" s="188"/>
      <c r="C1377" s="188"/>
      <c r="D1377" s="188"/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188"/>
      <c r="Q1377" s="188"/>
      <c r="R1377" s="188"/>
      <c r="S1377" s="188"/>
      <c r="T1377" s="188"/>
      <c r="U1377" s="188"/>
      <c r="V1377" s="188"/>
      <c r="W1377" s="188"/>
      <c r="X1377" s="188"/>
      <c r="Y1377" s="188"/>
      <c r="Z1377" s="188"/>
      <c r="AA1377" s="188"/>
      <c r="AB1377" s="188"/>
      <c r="AC1377" s="188"/>
      <c r="AD1377" s="188"/>
      <c r="AE1377" s="188"/>
      <c r="AF1377" s="188"/>
      <c r="AG1377" s="188"/>
      <c r="AH1377" s="188"/>
      <c r="AI1377" s="188"/>
      <c r="AJ1377" s="188"/>
      <c r="AK1377" s="188"/>
      <c r="AL1377" s="188"/>
      <c r="AM1377" s="188"/>
      <c r="AN1377" s="188"/>
      <c r="AO1377" s="188"/>
      <c r="AP1377" s="188"/>
      <c r="AQ1377" s="188"/>
      <c r="AR1377" s="188"/>
      <c r="AS1377" s="188"/>
      <c r="AT1377" s="188"/>
      <c r="AU1377" s="188"/>
      <c r="AV1377" s="188"/>
      <c r="AW1377" s="188"/>
      <c r="AX1377" s="188"/>
      <c r="AY1377" s="188"/>
      <c r="AZ1377" s="188"/>
      <c r="BA1377" s="188"/>
      <c r="BB1377" s="188"/>
      <c r="BC1377" s="188"/>
    </row>
    <row r="1378">
      <c r="A1378" s="188"/>
      <c r="B1378" s="188"/>
      <c r="C1378" s="188"/>
      <c r="D1378" s="188"/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188"/>
      <c r="Q1378" s="188"/>
      <c r="R1378" s="188"/>
      <c r="S1378" s="188"/>
      <c r="T1378" s="188"/>
      <c r="U1378" s="188"/>
      <c r="V1378" s="188"/>
      <c r="W1378" s="188"/>
      <c r="X1378" s="188"/>
      <c r="Y1378" s="188"/>
      <c r="Z1378" s="188"/>
      <c r="AA1378" s="188"/>
      <c r="AB1378" s="188"/>
      <c r="AC1378" s="188"/>
      <c r="AD1378" s="188"/>
      <c r="AE1378" s="188"/>
      <c r="AF1378" s="188"/>
      <c r="AG1378" s="188"/>
      <c r="AH1378" s="188"/>
      <c r="AI1378" s="188"/>
      <c r="AJ1378" s="188"/>
      <c r="AK1378" s="188"/>
      <c r="AL1378" s="188"/>
      <c r="AM1378" s="188"/>
      <c r="AN1378" s="188"/>
      <c r="AO1378" s="188"/>
      <c r="AP1378" s="188"/>
      <c r="AQ1378" s="188"/>
      <c r="AR1378" s="188"/>
      <c r="AS1378" s="188"/>
      <c r="AT1378" s="188"/>
      <c r="AU1378" s="188"/>
      <c r="AV1378" s="188"/>
      <c r="AW1378" s="188"/>
      <c r="AX1378" s="188"/>
      <c r="AY1378" s="188"/>
      <c r="AZ1378" s="188"/>
      <c r="BA1378" s="188"/>
      <c r="BB1378" s="188"/>
      <c r="BC1378" s="188"/>
    </row>
    <row r="1379">
      <c r="A1379" s="188"/>
      <c r="B1379" s="188"/>
      <c r="C1379" s="188"/>
      <c r="D1379" s="188"/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188"/>
      <c r="Q1379" s="188"/>
      <c r="R1379" s="188"/>
      <c r="S1379" s="188"/>
      <c r="T1379" s="188"/>
      <c r="U1379" s="188"/>
      <c r="V1379" s="188"/>
      <c r="W1379" s="188"/>
      <c r="X1379" s="188"/>
      <c r="Y1379" s="188"/>
      <c r="Z1379" s="188"/>
      <c r="AA1379" s="188"/>
      <c r="AB1379" s="188"/>
      <c r="AC1379" s="188"/>
      <c r="AD1379" s="188"/>
      <c r="AE1379" s="188"/>
      <c r="AF1379" s="188"/>
      <c r="AG1379" s="188"/>
      <c r="AH1379" s="188"/>
      <c r="AI1379" s="188"/>
      <c r="AJ1379" s="188"/>
      <c r="AK1379" s="188"/>
      <c r="AL1379" s="188"/>
      <c r="AM1379" s="188"/>
      <c r="AN1379" s="188"/>
      <c r="AO1379" s="188"/>
      <c r="AP1379" s="188"/>
      <c r="AQ1379" s="188"/>
      <c r="AR1379" s="188"/>
      <c r="AS1379" s="188"/>
      <c r="AT1379" s="188"/>
      <c r="AU1379" s="188"/>
      <c r="AV1379" s="188"/>
      <c r="AW1379" s="188"/>
      <c r="AX1379" s="188"/>
      <c r="AY1379" s="188"/>
      <c r="AZ1379" s="188"/>
      <c r="BA1379" s="188"/>
      <c r="BB1379" s="188"/>
      <c r="BC1379" s="188"/>
    </row>
    <row r="1380">
      <c r="A1380" s="188"/>
      <c r="B1380" s="188"/>
      <c r="C1380" s="188"/>
      <c r="D1380" s="188"/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188"/>
      <c r="Q1380" s="188"/>
      <c r="R1380" s="188"/>
      <c r="S1380" s="188"/>
      <c r="T1380" s="188"/>
      <c r="U1380" s="188"/>
      <c r="V1380" s="188"/>
      <c r="W1380" s="188"/>
      <c r="X1380" s="188"/>
      <c r="Y1380" s="188"/>
      <c r="Z1380" s="188"/>
      <c r="AA1380" s="188"/>
      <c r="AB1380" s="188"/>
      <c r="AC1380" s="188"/>
      <c r="AD1380" s="188"/>
      <c r="AE1380" s="188"/>
      <c r="AF1380" s="188"/>
      <c r="AG1380" s="188"/>
      <c r="AH1380" s="188"/>
      <c r="AI1380" s="188"/>
      <c r="AJ1380" s="188"/>
      <c r="AK1380" s="188"/>
      <c r="AL1380" s="188"/>
      <c r="AM1380" s="188"/>
      <c r="AN1380" s="188"/>
      <c r="AO1380" s="188"/>
      <c r="AP1380" s="188"/>
      <c r="AQ1380" s="188"/>
      <c r="AR1380" s="188"/>
      <c r="AS1380" s="188"/>
      <c r="AT1380" s="188"/>
      <c r="AU1380" s="188"/>
      <c r="AV1380" s="188"/>
      <c r="AW1380" s="188"/>
      <c r="AX1380" s="188"/>
      <c r="AY1380" s="188"/>
      <c r="AZ1380" s="188"/>
      <c r="BA1380" s="188"/>
      <c r="BB1380" s="188"/>
      <c r="BC1380" s="188"/>
    </row>
    <row r="1381">
      <c r="A1381" s="188"/>
      <c r="B1381" s="188"/>
      <c r="C1381" s="188"/>
      <c r="D1381" s="188"/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188"/>
      <c r="Q1381" s="188"/>
      <c r="R1381" s="188"/>
      <c r="S1381" s="188"/>
      <c r="T1381" s="188"/>
      <c r="U1381" s="188"/>
      <c r="V1381" s="188"/>
      <c r="W1381" s="188"/>
      <c r="X1381" s="188"/>
      <c r="Y1381" s="188"/>
      <c r="Z1381" s="188"/>
      <c r="AA1381" s="188"/>
      <c r="AB1381" s="188"/>
      <c r="AC1381" s="188"/>
      <c r="AD1381" s="188"/>
      <c r="AE1381" s="188"/>
      <c r="AF1381" s="188"/>
      <c r="AG1381" s="188"/>
      <c r="AH1381" s="188"/>
      <c r="AI1381" s="188"/>
      <c r="AJ1381" s="188"/>
      <c r="AK1381" s="188"/>
      <c r="AL1381" s="188"/>
      <c r="AM1381" s="188"/>
      <c r="AN1381" s="188"/>
      <c r="AO1381" s="188"/>
      <c r="AP1381" s="188"/>
      <c r="AQ1381" s="188"/>
      <c r="AR1381" s="188"/>
      <c r="AS1381" s="188"/>
      <c r="AT1381" s="188"/>
      <c r="AU1381" s="188"/>
      <c r="AV1381" s="188"/>
      <c r="AW1381" s="188"/>
      <c r="AX1381" s="188"/>
      <c r="AY1381" s="188"/>
      <c r="AZ1381" s="188"/>
      <c r="BA1381" s="188"/>
      <c r="BB1381" s="188"/>
      <c r="BC1381" s="188"/>
    </row>
    <row r="1382">
      <c r="A1382" s="188"/>
      <c r="B1382" s="188"/>
      <c r="C1382" s="188"/>
      <c r="D1382" s="188"/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188"/>
      <c r="Q1382" s="188"/>
      <c r="R1382" s="188"/>
      <c r="S1382" s="188"/>
      <c r="T1382" s="188"/>
      <c r="U1382" s="188"/>
      <c r="V1382" s="188"/>
      <c r="W1382" s="188"/>
      <c r="X1382" s="188"/>
      <c r="Y1382" s="188"/>
      <c r="Z1382" s="188"/>
      <c r="AA1382" s="188"/>
      <c r="AB1382" s="188"/>
      <c r="AC1382" s="188"/>
      <c r="AD1382" s="188"/>
      <c r="AE1382" s="188"/>
      <c r="AF1382" s="188"/>
      <c r="AG1382" s="188"/>
      <c r="AH1382" s="188"/>
      <c r="AI1382" s="188"/>
      <c r="AJ1382" s="188"/>
      <c r="AK1382" s="188"/>
      <c r="AL1382" s="188"/>
      <c r="AM1382" s="188"/>
      <c r="AN1382" s="188"/>
      <c r="AO1382" s="188"/>
      <c r="AP1382" s="188"/>
      <c r="AQ1382" s="188"/>
      <c r="AR1382" s="188"/>
      <c r="AS1382" s="188"/>
      <c r="AT1382" s="188"/>
      <c r="AU1382" s="188"/>
      <c r="AV1382" s="188"/>
      <c r="AW1382" s="188"/>
      <c r="AX1382" s="188"/>
      <c r="AY1382" s="188"/>
      <c r="AZ1382" s="188"/>
      <c r="BA1382" s="188"/>
      <c r="BB1382" s="188"/>
      <c r="BC1382" s="188"/>
    </row>
    <row r="1383">
      <c r="A1383" s="188"/>
      <c r="B1383" s="188"/>
      <c r="C1383" s="188"/>
      <c r="D1383" s="188"/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188"/>
      <c r="Q1383" s="188"/>
      <c r="R1383" s="188"/>
      <c r="S1383" s="188"/>
      <c r="T1383" s="188"/>
      <c r="U1383" s="188"/>
      <c r="V1383" s="188"/>
      <c r="W1383" s="188"/>
      <c r="X1383" s="188"/>
      <c r="Y1383" s="188"/>
      <c r="Z1383" s="188"/>
      <c r="AA1383" s="188"/>
      <c r="AB1383" s="188"/>
      <c r="AC1383" s="188"/>
      <c r="AD1383" s="188"/>
      <c r="AE1383" s="188"/>
      <c r="AF1383" s="188"/>
      <c r="AG1383" s="188"/>
      <c r="AH1383" s="188"/>
      <c r="AI1383" s="188"/>
      <c r="AJ1383" s="188"/>
      <c r="AK1383" s="188"/>
      <c r="AL1383" s="188"/>
      <c r="AM1383" s="188"/>
      <c r="AN1383" s="188"/>
      <c r="AO1383" s="188"/>
      <c r="AP1383" s="188"/>
      <c r="AQ1383" s="188"/>
      <c r="AR1383" s="188"/>
      <c r="AS1383" s="188"/>
      <c r="AT1383" s="188"/>
      <c r="AU1383" s="188"/>
      <c r="AV1383" s="188"/>
      <c r="AW1383" s="188"/>
      <c r="AX1383" s="188"/>
      <c r="AY1383" s="188"/>
      <c r="AZ1383" s="188"/>
      <c r="BA1383" s="188"/>
      <c r="BB1383" s="188"/>
      <c r="BC1383" s="188"/>
    </row>
    <row r="1384">
      <c r="A1384" s="188"/>
      <c r="B1384" s="188"/>
      <c r="C1384" s="188"/>
      <c r="D1384" s="188"/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188"/>
      <c r="Q1384" s="188"/>
      <c r="R1384" s="188"/>
      <c r="S1384" s="188"/>
      <c r="T1384" s="188"/>
      <c r="U1384" s="188"/>
      <c r="V1384" s="188"/>
      <c r="W1384" s="188"/>
      <c r="X1384" s="188"/>
      <c r="Y1384" s="188"/>
      <c r="Z1384" s="188"/>
      <c r="AA1384" s="188"/>
      <c r="AB1384" s="188"/>
      <c r="AC1384" s="188"/>
      <c r="AD1384" s="188"/>
      <c r="AE1384" s="188"/>
      <c r="AF1384" s="188"/>
      <c r="AG1384" s="188"/>
      <c r="AH1384" s="188"/>
      <c r="AI1384" s="188"/>
      <c r="AJ1384" s="188"/>
      <c r="AK1384" s="188"/>
      <c r="AL1384" s="188"/>
      <c r="AM1384" s="188"/>
      <c r="AN1384" s="188"/>
      <c r="AO1384" s="188"/>
      <c r="AP1384" s="188"/>
      <c r="AQ1384" s="188"/>
      <c r="AR1384" s="188"/>
      <c r="AS1384" s="188"/>
      <c r="AT1384" s="188"/>
      <c r="AU1384" s="188"/>
      <c r="AV1384" s="188"/>
      <c r="AW1384" s="188"/>
      <c r="AX1384" s="188"/>
      <c r="AY1384" s="188"/>
      <c r="AZ1384" s="188"/>
      <c r="BA1384" s="188"/>
      <c r="BB1384" s="188"/>
      <c r="BC1384" s="188"/>
    </row>
    <row r="1385">
      <c r="A1385" s="188"/>
      <c r="B1385" s="188"/>
      <c r="C1385" s="188"/>
      <c r="D1385" s="188"/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188"/>
      <c r="Q1385" s="188"/>
      <c r="R1385" s="188"/>
      <c r="S1385" s="188"/>
      <c r="T1385" s="188"/>
      <c r="U1385" s="188"/>
      <c r="V1385" s="188"/>
      <c r="W1385" s="188"/>
      <c r="X1385" s="188"/>
      <c r="Y1385" s="188"/>
      <c r="Z1385" s="188"/>
      <c r="AA1385" s="188"/>
      <c r="AB1385" s="188"/>
      <c r="AC1385" s="188"/>
      <c r="AD1385" s="188"/>
      <c r="AE1385" s="188"/>
      <c r="AF1385" s="188"/>
      <c r="AG1385" s="188"/>
      <c r="AH1385" s="188"/>
      <c r="AI1385" s="188"/>
      <c r="AJ1385" s="188"/>
      <c r="AK1385" s="188"/>
      <c r="AL1385" s="188"/>
      <c r="AM1385" s="188"/>
      <c r="AN1385" s="188"/>
      <c r="AO1385" s="188"/>
      <c r="AP1385" s="188"/>
      <c r="AQ1385" s="188"/>
      <c r="AR1385" s="188"/>
      <c r="AS1385" s="188"/>
      <c r="AT1385" s="188"/>
      <c r="AU1385" s="188"/>
      <c r="AV1385" s="188"/>
      <c r="AW1385" s="188"/>
      <c r="AX1385" s="188"/>
      <c r="AY1385" s="188"/>
      <c r="AZ1385" s="188"/>
      <c r="BA1385" s="188"/>
      <c r="BB1385" s="188"/>
      <c r="BC1385" s="188"/>
    </row>
    <row r="1386">
      <c r="A1386" s="188"/>
      <c r="B1386" s="188"/>
      <c r="C1386" s="188"/>
      <c r="D1386" s="188"/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188"/>
      <c r="Q1386" s="188"/>
      <c r="R1386" s="188"/>
      <c r="S1386" s="188"/>
      <c r="T1386" s="188"/>
      <c r="U1386" s="188"/>
      <c r="V1386" s="188"/>
      <c r="W1386" s="188"/>
      <c r="X1386" s="188"/>
      <c r="Y1386" s="188"/>
      <c r="Z1386" s="188"/>
      <c r="AA1386" s="188"/>
      <c r="AB1386" s="188"/>
      <c r="AC1386" s="188"/>
      <c r="AD1386" s="188"/>
      <c r="AE1386" s="188"/>
      <c r="AF1386" s="188"/>
      <c r="AG1386" s="188"/>
      <c r="AH1386" s="188"/>
      <c r="AI1386" s="188"/>
      <c r="AJ1386" s="188"/>
      <c r="AK1386" s="188"/>
      <c r="AL1386" s="188"/>
      <c r="AM1386" s="188"/>
      <c r="AN1386" s="188"/>
      <c r="AO1386" s="188"/>
      <c r="AP1386" s="188"/>
      <c r="AQ1386" s="188"/>
      <c r="AR1386" s="188"/>
      <c r="AS1386" s="188"/>
      <c r="AT1386" s="188"/>
      <c r="AU1386" s="188"/>
      <c r="AV1386" s="188"/>
      <c r="AW1386" s="188"/>
      <c r="AX1386" s="188"/>
      <c r="AY1386" s="188"/>
      <c r="AZ1386" s="188"/>
      <c r="BA1386" s="188"/>
      <c r="BB1386" s="188"/>
      <c r="BC1386" s="188"/>
    </row>
    <row r="1387">
      <c r="A1387" s="188"/>
      <c r="B1387" s="188"/>
      <c r="C1387" s="188"/>
      <c r="D1387" s="188"/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188"/>
      <c r="Q1387" s="188"/>
      <c r="R1387" s="188"/>
      <c r="S1387" s="188"/>
      <c r="T1387" s="188"/>
      <c r="U1387" s="188"/>
      <c r="V1387" s="188"/>
      <c r="W1387" s="188"/>
      <c r="X1387" s="188"/>
      <c r="Y1387" s="188"/>
      <c r="Z1387" s="188"/>
      <c r="AA1387" s="188"/>
      <c r="AB1387" s="188"/>
      <c r="AC1387" s="188"/>
      <c r="AD1387" s="188"/>
      <c r="AE1387" s="188"/>
      <c r="AF1387" s="188"/>
      <c r="AG1387" s="188"/>
      <c r="AH1387" s="188"/>
      <c r="AI1387" s="188"/>
      <c r="AJ1387" s="188"/>
      <c r="AK1387" s="188"/>
      <c r="AL1387" s="188"/>
      <c r="AM1387" s="188"/>
      <c r="AN1387" s="188"/>
      <c r="AO1387" s="188"/>
      <c r="AP1387" s="188"/>
      <c r="AQ1387" s="188"/>
      <c r="AR1387" s="188"/>
      <c r="AS1387" s="188"/>
      <c r="AT1387" s="188"/>
      <c r="AU1387" s="188"/>
      <c r="AV1387" s="188"/>
      <c r="AW1387" s="188"/>
      <c r="AX1387" s="188"/>
      <c r="AY1387" s="188"/>
      <c r="AZ1387" s="188"/>
      <c r="BA1387" s="188"/>
      <c r="BB1387" s="188"/>
      <c r="BC1387" s="188"/>
    </row>
    <row r="1388">
      <c r="A1388" s="188"/>
      <c r="B1388" s="188"/>
      <c r="C1388" s="188"/>
      <c r="D1388" s="188"/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188"/>
      <c r="Q1388" s="188"/>
      <c r="R1388" s="188"/>
      <c r="S1388" s="188"/>
      <c r="T1388" s="188"/>
      <c r="U1388" s="188"/>
      <c r="V1388" s="188"/>
      <c r="W1388" s="188"/>
      <c r="X1388" s="188"/>
      <c r="Y1388" s="188"/>
      <c r="Z1388" s="188"/>
      <c r="AA1388" s="188"/>
      <c r="AB1388" s="188"/>
      <c r="AC1388" s="188"/>
      <c r="AD1388" s="188"/>
      <c r="AE1388" s="188"/>
      <c r="AF1388" s="188"/>
      <c r="AG1388" s="188"/>
      <c r="AH1388" s="188"/>
      <c r="AI1388" s="188"/>
      <c r="AJ1388" s="188"/>
      <c r="AK1388" s="188"/>
      <c r="AL1388" s="188"/>
      <c r="AM1388" s="188"/>
      <c r="AN1388" s="188"/>
      <c r="AO1388" s="188"/>
      <c r="AP1388" s="188"/>
      <c r="AQ1388" s="188"/>
      <c r="AR1388" s="188"/>
      <c r="AS1388" s="188"/>
      <c r="AT1388" s="188"/>
      <c r="AU1388" s="188"/>
      <c r="AV1388" s="188"/>
      <c r="AW1388" s="188"/>
      <c r="AX1388" s="188"/>
      <c r="AY1388" s="188"/>
      <c r="AZ1388" s="188"/>
      <c r="BA1388" s="188"/>
      <c r="BB1388" s="188"/>
      <c r="BC1388" s="188"/>
    </row>
    <row r="1389">
      <c r="A1389" s="188"/>
      <c r="B1389" s="188"/>
      <c r="C1389" s="188"/>
      <c r="D1389" s="188"/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188"/>
      <c r="Q1389" s="188"/>
      <c r="R1389" s="188"/>
      <c r="S1389" s="188"/>
      <c r="T1389" s="188"/>
      <c r="U1389" s="188"/>
      <c r="V1389" s="188"/>
      <c r="W1389" s="188"/>
      <c r="X1389" s="188"/>
      <c r="Y1389" s="188"/>
      <c r="Z1389" s="188"/>
      <c r="AA1389" s="188"/>
      <c r="AB1389" s="188"/>
      <c r="AC1389" s="188"/>
      <c r="AD1389" s="188"/>
      <c r="AE1389" s="188"/>
      <c r="AF1389" s="188"/>
      <c r="AG1389" s="188"/>
      <c r="AH1389" s="188"/>
      <c r="AI1389" s="188"/>
      <c r="AJ1389" s="188"/>
      <c r="AK1389" s="188"/>
      <c r="AL1389" s="188"/>
      <c r="AM1389" s="188"/>
      <c r="AN1389" s="188"/>
      <c r="AO1389" s="188"/>
      <c r="AP1389" s="188"/>
      <c r="AQ1389" s="188"/>
      <c r="AR1389" s="188"/>
      <c r="AS1389" s="188"/>
      <c r="AT1389" s="188"/>
      <c r="AU1389" s="188"/>
      <c r="AV1389" s="188"/>
      <c r="AW1389" s="188"/>
      <c r="AX1389" s="188"/>
      <c r="AY1389" s="188"/>
      <c r="AZ1389" s="188"/>
      <c r="BA1389" s="188"/>
      <c r="BB1389" s="188"/>
      <c r="BC1389" s="188"/>
    </row>
    <row r="1390">
      <c r="A1390" s="188"/>
      <c r="B1390" s="188"/>
      <c r="C1390" s="188"/>
      <c r="D1390" s="188"/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188"/>
      <c r="Q1390" s="188"/>
      <c r="R1390" s="188"/>
      <c r="S1390" s="188"/>
      <c r="T1390" s="188"/>
      <c r="U1390" s="188"/>
      <c r="V1390" s="188"/>
      <c r="W1390" s="188"/>
      <c r="X1390" s="188"/>
      <c r="Y1390" s="188"/>
      <c r="Z1390" s="188"/>
      <c r="AA1390" s="188"/>
      <c r="AB1390" s="188"/>
      <c r="AC1390" s="188"/>
      <c r="AD1390" s="188"/>
      <c r="AE1390" s="188"/>
      <c r="AF1390" s="188"/>
      <c r="AG1390" s="188"/>
      <c r="AH1390" s="188"/>
      <c r="AI1390" s="188"/>
      <c r="AJ1390" s="188"/>
      <c r="AK1390" s="188"/>
      <c r="AL1390" s="188"/>
      <c r="AM1390" s="188"/>
      <c r="AN1390" s="188"/>
      <c r="AO1390" s="188"/>
      <c r="AP1390" s="188"/>
      <c r="AQ1390" s="188"/>
      <c r="AR1390" s="188"/>
      <c r="AS1390" s="188"/>
      <c r="AT1390" s="188"/>
      <c r="AU1390" s="188"/>
      <c r="AV1390" s="188"/>
      <c r="AW1390" s="188"/>
      <c r="AX1390" s="188"/>
      <c r="AY1390" s="188"/>
      <c r="AZ1390" s="188"/>
      <c r="BA1390" s="188"/>
      <c r="BB1390" s="188"/>
      <c r="BC1390" s="188"/>
    </row>
    <row r="1391">
      <c r="A1391" s="188"/>
      <c r="B1391" s="188"/>
      <c r="C1391" s="188"/>
      <c r="D1391" s="188"/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188"/>
      <c r="Q1391" s="188"/>
      <c r="R1391" s="188"/>
      <c r="S1391" s="188"/>
      <c r="T1391" s="188"/>
      <c r="U1391" s="188"/>
      <c r="V1391" s="188"/>
      <c r="W1391" s="188"/>
      <c r="X1391" s="188"/>
      <c r="Y1391" s="188"/>
      <c r="Z1391" s="188"/>
      <c r="AA1391" s="188"/>
      <c r="AB1391" s="188"/>
      <c r="AC1391" s="188"/>
      <c r="AD1391" s="188"/>
      <c r="AE1391" s="188"/>
      <c r="AF1391" s="188"/>
      <c r="AG1391" s="188"/>
      <c r="AH1391" s="188"/>
      <c r="AI1391" s="188"/>
      <c r="AJ1391" s="188"/>
      <c r="AK1391" s="188"/>
      <c r="AL1391" s="188"/>
      <c r="AM1391" s="188"/>
      <c r="AN1391" s="188"/>
      <c r="AO1391" s="188"/>
      <c r="AP1391" s="188"/>
      <c r="AQ1391" s="188"/>
      <c r="AR1391" s="188"/>
      <c r="AS1391" s="188"/>
      <c r="AT1391" s="188"/>
      <c r="AU1391" s="188"/>
      <c r="AV1391" s="188"/>
      <c r="AW1391" s="188"/>
      <c r="AX1391" s="188"/>
      <c r="AY1391" s="188"/>
      <c r="AZ1391" s="188"/>
      <c r="BA1391" s="188"/>
      <c r="BB1391" s="188"/>
      <c r="BC1391" s="188"/>
    </row>
    <row r="1392">
      <c r="A1392" s="188"/>
      <c r="B1392" s="188"/>
      <c r="C1392" s="188"/>
      <c r="D1392" s="188"/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188"/>
      <c r="Q1392" s="188"/>
      <c r="R1392" s="188"/>
      <c r="S1392" s="188"/>
      <c r="T1392" s="188"/>
      <c r="U1392" s="188"/>
      <c r="V1392" s="188"/>
      <c r="W1392" s="188"/>
      <c r="X1392" s="188"/>
      <c r="Y1392" s="188"/>
      <c r="Z1392" s="188"/>
      <c r="AA1392" s="188"/>
      <c r="AB1392" s="188"/>
      <c r="AC1392" s="188"/>
      <c r="AD1392" s="188"/>
      <c r="AE1392" s="188"/>
      <c r="AF1392" s="188"/>
      <c r="AG1392" s="188"/>
      <c r="AH1392" s="188"/>
      <c r="AI1392" s="188"/>
      <c r="AJ1392" s="188"/>
      <c r="AK1392" s="188"/>
      <c r="AL1392" s="188"/>
      <c r="AM1392" s="188"/>
      <c r="AN1392" s="188"/>
      <c r="AO1392" s="188"/>
      <c r="AP1392" s="188"/>
      <c r="AQ1392" s="188"/>
      <c r="AR1392" s="188"/>
      <c r="AS1392" s="188"/>
      <c r="AT1392" s="188"/>
      <c r="AU1392" s="188"/>
      <c r="AV1392" s="188"/>
      <c r="AW1392" s="188"/>
      <c r="AX1392" s="188"/>
      <c r="AY1392" s="188"/>
      <c r="AZ1392" s="188"/>
      <c r="BA1392" s="188"/>
      <c r="BB1392" s="188"/>
      <c r="BC1392" s="188"/>
    </row>
    <row r="1393">
      <c r="A1393" s="188"/>
      <c r="B1393" s="188"/>
      <c r="C1393" s="188"/>
      <c r="D1393" s="188"/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188"/>
      <c r="Q1393" s="188"/>
      <c r="R1393" s="188"/>
      <c r="S1393" s="188"/>
      <c r="T1393" s="188"/>
      <c r="U1393" s="188"/>
      <c r="V1393" s="188"/>
      <c r="W1393" s="188"/>
      <c r="X1393" s="188"/>
      <c r="Y1393" s="188"/>
      <c r="Z1393" s="188"/>
      <c r="AA1393" s="188"/>
      <c r="AB1393" s="188"/>
      <c r="AC1393" s="188"/>
      <c r="AD1393" s="188"/>
      <c r="AE1393" s="188"/>
      <c r="AF1393" s="188"/>
      <c r="AG1393" s="188"/>
      <c r="AH1393" s="188"/>
      <c r="AI1393" s="188"/>
      <c r="AJ1393" s="188"/>
      <c r="AK1393" s="188"/>
      <c r="AL1393" s="188"/>
      <c r="AM1393" s="188"/>
      <c r="AN1393" s="188"/>
      <c r="AO1393" s="188"/>
      <c r="AP1393" s="188"/>
      <c r="AQ1393" s="188"/>
      <c r="AR1393" s="188"/>
      <c r="AS1393" s="188"/>
      <c r="AT1393" s="188"/>
      <c r="AU1393" s="188"/>
      <c r="AV1393" s="188"/>
      <c r="AW1393" s="188"/>
      <c r="AX1393" s="188"/>
      <c r="AY1393" s="188"/>
      <c r="AZ1393" s="188"/>
      <c r="BA1393" s="188"/>
      <c r="BB1393" s="188"/>
      <c r="BC1393" s="188"/>
    </row>
    <row r="1394">
      <c r="A1394" s="188"/>
      <c r="B1394" s="188"/>
      <c r="C1394" s="188"/>
      <c r="D1394" s="188"/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188"/>
      <c r="Q1394" s="188"/>
      <c r="R1394" s="188"/>
      <c r="S1394" s="188"/>
      <c r="T1394" s="188"/>
      <c r="U1394" s="188"/>
      <c r="V1394" s="188"/>
      <c r="W1394" s="188"/>
      <c r="X1394" s="188"/>
      <c r="Y1394" s="188"/>
      <c r="Z1394" s="188"/>
      <c r="AA1394" s="188"/>
      <c r="AB1394" s="188"/>
      <c r="AC1394" s="188"/>
      <c r="AD1394" s="188"/>
      <c r="AE1394" s="188"/>
      <c r="AF1394" s="188"/>
      <c r="AG1394" s="188"/>
      <c r="AH1394" s="188"/>
      <c r="AI1394" s="188"/>
      <c r="AJ1394" s="188"/>
      <c r="AK1394" s="188"/>
      <c r="AL1394" s="188"/>
      <c r="AM1394" s="188"/>
      <c r="AN1394" s="188"/>
      <c r="AO1394" s="188"/>
      <c r="AP1394" s="188"/>
      <c r="AQ1394" s="188"/>
      <c r="AR1394" s="188"/>
      <c r="AS1394" s="188"/>
      <c r="AT1394" s="188"/>
      <c r="AU1394" s="188"/>
      <c r="AV1394" s="188"/>
      <c r="AW1394" s="188"/>
      <c r="AX1394" s="188"/>
      <c r="AY1394" s="188"/>
      <c r="AZ1394" s="188"/>
      <c r="BA1394" s="188"/>
      <c r="BB1394" s="188"/>
      <c r="BC1394" s="188"/>
    </row>
    <row r="1395">
      <c r="A1395" s="188"/>
      <c r="B1395" s="188"/>
      <c r="C1395" s="188"/>
      <c r="D1395" s="188"/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188"/>
      <c r="Q1395" s="188"/>
      <c r="R1395" s="188"/>
      <c r="S1395" s="188"/>
      <c r="T1395" s="188"/>
      <c r="U1395" s="188"/>
      <c r="V1395" s="188"/>
      <c r="W1395" s="188"/>
      <c r="X1395" s="188"/>
      <c r="Y1395" s="188"/>
      <c r="Z1395" s="188"/>
      <c r="AA1395" s="188"/>
      <c r="AB1395" s="188"/>
      <c r="AC1395" s="188"/>
      <c r="AD1395" s="188"/>
      <c r="AE1395" s="188"/>
      <c r="AF1395" s="188"/>
      <c r="AG1395" s="188"/>
      <c r="AH1395" s="188"/>
      <c r="AI1395" s="188"/>
      <c r="AJ1395" s="188"/>
      <c r="AK1395" s="188"/>
      <c r="AL1395" s="188"/>
      <c r="AM1395" s="188"/>
      <c r="AN1395" s="188"/>
      <c r="AO1395" s="188"/>
      <c r="AP1395" s="188"/>
      <c r="AQ1395" s="188"/>
      <c r="AR1395" s="188"/>
      <c r="AS1395" s="188"/>
      <c r="AT1395" s="188"/>
      <c r="AU1395" s="188"/>
      <c r="AV1395" s="188"/>
      <c r="AW1395" s="188"/>
      <c r="AX1395" s="188"/>
      <c r="AY1395" s="188"/>
      <c r="AZ1395" s="188"/>
      <c r="BA1395" s="188"/>
      <c r="BB1395" s="188"/>
      <c r="BC1395" s="188"/>
    </row>
    <row r="1396">
      <c r="A1396" s="188"/>
      <c r="B1396" s="188"/>
      <c r="C1396" s="188"/>
      <c r="D1396" s="188"/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188"/>
      <c r="Q1396" s="188"/>
      <c r="R1396" s="188"/>
      <c r="S1396" s="188"/>
      <c r="T1396" s="188"/>
      <c r="U1396" s="188"/>
      <c r="V1396" s="188"/>
      <c r="W1396" s="188"/>
      <c r="X1396" s="188"/>
      <c r="Y1396" s="188"/>
      <c r="Z1396" s="188"/>
      <c r="AA1396" s="188"/>
      <c r="AB1396" s="188"/>
      <c r="AC1396" s="188"/>
      <c r="AD1396" s="188"/>
      <c r="AE1396" s="188"/>
      <c r="AF1396" s="188"/>
      <c r="AG1396" s="188"/>
      <c r="AH1396" s="188"/>
      <c r="AI1396" s="188"/>
      <c r="AJ1396" s="188"/>
      <c r="AK1396" s="188"/>
      <c r="AL1396" s="188"/>
      <c r="AM1396" s="188"/>
      <c r="AN1396" s="188"/>
      <c r="AO1396" s="188"/>
      <c r="AP1396" s="188"/>
      <c r="AQ1396" s="188"/>
      <c r="AR1396" s="188"/>
      <c r="AS1396" s="188"/>
      <c r="AT1396" s="188"/>
      <c r="AU1396" s="188"/>
      <c r="AV1396" s="188"/>
      <c r="AW1396" s="188"/>
      <c r="AX1396" s="188"/>
      <c r="AY1396" s="188"/>
      <c r="AZ1396" s="188"/>
      <c r="BA1396" s="188"/>
      <c r="BB1396" s="188"/>
      <c r="BC1396" s="188"/>
    </row>
    <row r="1397">
      <c r="A1397" s="188"/>
      <c r="B1397" s="188"/>
      <c r="C1397" s="188"/>
      <c r="D1397" s="188"/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188"/>
      <c r="Q1397" s="188"/>
      <c r="R1397" s="188"/>
      <c r="S1397" s="188"/>
      <c r="T1397" s="188"/>
      <c r="U1397" s="188"/>
      <c r="V1397" s="188"/>
      <c r="W1397" s="188"/>
      <c r="X1397" s="188"/>
      <c r="Y1397" s="188"/>
      <c r="Z1397" s="188"/>
      <c r="AA1397" s="188"/>
      <c r="AB1397" s="188"/>
      <c r="AC1397" s="188"/>
      <c r="AD1397" s="188"/>
      <c r="AE1397" s="188"/>
      <c r="AF1397" s="188"/>
      <c r="AG1397" s="188"/>
      <c r="AH1397" s="188"/>
      <c r="AI1397" s="188"/>
      <c r="AJ1397" s="188"/>
      <c r="AK1397" s="188"/>
      <c r="AL1397" s="188"/>
      <c r="AM1397" s="188"/>
      <c r="AN1397" s="188"/>
      <c r="AO1397" s="188"/>
      <c r="AP1397" s="188"/>
      <c r="AQ1397" s="188"/>
      <c r="AR1397" s="188"/>
      <c r="AS1397" s="188"/>
      <c r="AT1397" s="188"/>
      <c r="AU1397" s="188"/>
      <c r="AV1397" s="188"/>
      <c r="AW1397" s="188"/>
      <c r="AX1397" s="188"/>
      <c r="AY1397" s="188"/>
      <c r="AZ1397" s="188"/>
      <c r="BA1397" s="188"/>
      <c r="BB1397" s="188"/>
      <c r="BC1397" s="188"/>
    </row>
    <row r="1398">
      <c r="A1398" s="188"/>
      <c r="B1398" s="188"/>
      <c r="C1398" s="188"/>
      <c r="D1398" s="188"/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188"/>
      <c r="Q1398" s="188"/>
      <c r="R1398" s="188"/>
      <c r="S1398" s="188"/>
      <c r="T1398" s="188"/>
      <c r="U1398" s="188"/>
      <c r="V1398" s="188"/>
      <c r="W1398" s="188"/>
      <c r="X1398" s="188"/>
      <c r="Y1398" s="188"/>
      <c r="Z1398" s="188"/>
      <c r="AA1398" s="188"/>
      <c r="AB1398" s="188"/>
      <c r="AC1398" s="188"/>
      <c r="AD1398" s="188"/>
      <c r="AE1398" s="188"/>
      <c r="AF1398" s="188"/>
      <c r="AG1398" s="188"/>
      <c r="AH1398" s="188"/>
      <c r="AI1398" s="188"/>
      <c r="AJ1398" s="188"/>
      <c r="AK1398" s="188"/>
      <c r="AL1398" s="188"/>
      <c r="AM1398" s="188"/>
      <c r="AN1398" s="188"/>
      <c r="AO1398" s="188"/>
      <c r="AP1398" s="188"/>
      <c r="AQ1398" s="188"/>
      <c r="AR1398" s="188"/>
      <c r="AS1398" s="188"/>
      <c r="AT1398" s="188"/>
      <c r="AU1398" s="188"/>
      <c r="AV1398" s="188"/>
      <c r="AW1398" s="188"/>
      <c r="AX1398" s="188"/>
      <c r="AY1398" s="188"/>
      <c r="AZ1398" s="188"/>
      <c r="BA1398" s="188"/>
      <c r="BB1398" s="188"/>
      <c r="BC1398" s="188"/>
    </row>
    <row r="1399">
      <c r="A1399" s="188"/>
      <c r="B1399" s="188"/>
      <c r="C1399" s="188"/>
      <c r="D1399" s="188"/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188"/>
      <c r="Q1399" s="188"/>
      <c r="R1399" s="188"/>
      <c r="S1399" s="188"/>
      <c r="T1399" s="188"/>
      <c r="U1399" s="188"/>
      <c r="V1399" s="188"/>
      <c r="W1399" s="188"/>
      <c r="X1399" s="188"/>
      <c r="Y1399" s="188"/>
      <c r="Z1399" s="188"/>
      <c r="AA1399" s="188"/>
      <c r="AB1399" s="188"/>
      <c r="AC1399" s="188"/>
      <c r="AD1399" s="188"/>
      <c r="AE1399" s="188"/>
      <c r="AF1399" s="188"/>
      <c r="AG1399" s="188"/>
      <c r="AH1399" s="188"/>
      <c r="AI1399" s="188"/>
      <c r="AJ1399" s="188"/>
      <c r="AK1399" s="188"/>
      <c r="AL1399" s="188"/>
      <c r="AM1399" s="188"/>
      <c r="AN1399" s="188"/>
      <c r="AO1399" s="188"/>
      <c r="AP1399" s="188"/>
      <c r="AQ1399" s="188"/>
      <c r="AR1399" s="188"/>
      <c r="AS1399" s="188"/>
      <c r="AT1399" s="188"/>
      <c r="AU1399" s="188"/>
      <c r="AV1399" s="188"/>
      <c r="AW1399" s="188"/>
      <c r="AX1399" s="188"/>
      <c r="AY1399" s="188"/>
      <c r="AZ1399" s="188"/>
      <c r="BA1399" s="188"/>
      <c r="BB1399" s="188"/>
      <c r="BC1399" s="188"/>
    </row>
    <row r="1400">
      <c r="A1400" s="188"/>
      <c r="B1400" s="188"/>
      <c r="C1400" s="188"/>
      <c r="D1400" s="188"/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188"/>
      <c r="Q1400" s="188"/>
      <c r="R1400" s="188"/>
      <c r="S1400" s="188"/>
      <c r="T1400" s="188"/>
      <c r="U1400" s="188"/>
      <c r="V1400" s="188"/>
      <c r="W1400" s="188"/>
      <c r="X1400" s="188"/>
      <c r="Y1400" s="188"/>
      <c r="Z1400" s="188"/>
      <c r="AA1400" s="188"/>
      <c r="AB1400" s="188"/>
      <c r="AC1400" s="188"/>
      <c r="AD1400" s="188"/>
      <c r="AE1400" s="188"/>
      <c r="AF1400" s="188"/>
      <c r="AG1400" s="188"/>
      <c r="AH1400" s="188"/>
      <c r="AI1400" s="188"/>
      <c r="AJ1400" s="188"/>
      <c r="AK1400" s="188"/>
      <c r="AL1400" s="188"/>
      <c r="AM1400" s="188"/>
      <c r="AN1400" s="188"/>
      <c r="AO1400" s="188"/>
      <c r="AP1400" s="188"/>
      <c r="AQ1400" s="188"/>
      <c r="AR1400" s="188"/>
      <c r="AS1400" s="188"/>
      <c r="AT1400" s="188"/>
      <c r="AU1400" s="188"/>
      <c r="AV1400" s="188"/>
      <c r="AW1400" s="188"/>
      <c r="AX1400" s="188"/>
      <c r="AY1400" s="188"/>
      <c r="AZ1400" s="188"/>
      <c r="BA1400" s="188"/>
      <c r="BB1400" s="188"/>
      <c r="BC1400" s="188"/>
    </row>
    <row r="1401">
      <c r="A1401" s="188"/>
      <c r="B1401" s="188"/>
      <c r="C1401" s="188"/>
      <c r="D1401" s="188"/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188"/>
      <c r="Q1401" s="188"/>
      <c r="R1401" s="188"/>
      <c r="S1401" s="188"/>
      <c r="T1401" s="188"/>
      <c r="U1401" s="188"/>
      <c r="V1401" s="188"/>
      <c r="W1401" s="188"/>
      <c r="X1401" s="188"/>
      <c r="Y1401" s="188"/>
      <c r="Z1401" s="188"/>
      <c r="AA1401" s="188"/>
      <c r="AB1401" s="188"/>
      <c r="AC1401" s="188"/>
      <c r="AD1401" s="188"/>
      <c r="AE1401" s="188"/>
      <c r="AF1401" s="188"/>
      <c r="AG1401" s="188"/>
      <c r="AH1401" s="188"/>
      <c r="AI1401" s="188"/>
      <c r="AJ1401" s="188"/>
      <c r="AK1401" s="188"/>
      <c r="AL1401" s="188"/>
      <c r="AM1401" s="188"/>
      <c r="AN1401" s="188"/>
      <c r="AO1401" s="188"/>
      <c r="AP1401" s="188"/>
      <c r="AQ1401" s="188"/>
      <c r="AR1401" s="188"/>
      <c r="AS1401" s="188"/>
      <c r="AT1401" s="188"/>
      <c r="AU1401" s="188"/>
      <c r="AV1401" s="188"/>
      <c r="AW1401" s="188"/>
      <c r="AX1401" s="188"/>
      <c r="AY1401" s="188"/>
      <c r="AZ1401" s="188"/>
      <c r="BA1401" s="188"/>
      <c r="BB1401" s="188"/>
      <c r="BC1401" s="188"/>
    </row>
    <row r="1402">
      <c r="A1402" s="188"/>
      <c r="B1402" s="188"/>
      <c r="C1402" s="188"/>
      <c r="D1402" s="188"/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188"/>
      <c r="Q1402" s="188"/>
      <c r="R1402" s="188"/>
      <c r="S1402" s="188"/>
      <c r="T1402" s="188"/>
      <c r="U1402" s="188"/>
      <c r="V1402" s="188"/>
      <c r="W1402" s="188"/>
      <c r="X1402" s="188"/>
      <c r="Y1402" s="188"/>
      <c r="Z1402" s="188"/>
      <c r="AA1402" s="188"/>
      <c r="AB1402" s="188"/>
      <c r="AC1402" s="188"/>
      <c r="AD1402" s="188"/>
      <c r="AE1402" s="188"/>
      <c r="AF1402" s="188"/>
      <c r="AG1402" s="188"/>
      <c r="AH1402" s="188"/>
      <c r="AI1402" s="188"/>
      <c r="AJ1402" s="188"/>
      <c r="AK1402" s="188"/>
      <c r="AL1402" s="188"/>
      <c r="AM1402" s="188"/>
      <c r="AN1402" s="188"/>
      <c r="AO1402" s="188"/>
      <c r="AP1402" s="188"/>
      <c r="AQ1402" s="188"/>
      <c r="AR1402" s="188"/>
      <c r="AS1402" s="188"/>
      <c r="AT1402" s="188"/>
      <c r="AU1402" s="188"/>
      <c r="AV1402" s="188"/>
      <c r="AW1402" s="188"/>
      <c r="AX1402" s="188"/>
      <c r="AY1402" s="188"/>
      <c r="AZ1402" s="188"/>
      <c r="BA1402" s="188"/>
      <c r="BB1402" s="188"/>
      <c r="BC1402" s="188"/>
    </row>
    <row r="1403">
      <c r="A1403" s="188"/>
      <c r="B1403" s="188"/>
      <c r="C1403" s="188"/>
      <c r="D1403" s="188"/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188"/>
      <c r="Q1403" s="188"/>
      <c r="R1403" s="188"/>
      <c r="S1403" s="188"/>
      <c r="T1403" s="188"/>
      <c r="U1403" s="188"/>
      <c r="V1403" s="188"/>
      <c r="W1403" s="188"/>
      <c r="X1403" s="188"/>
      <c r="Y1403" s="188"/>
      <c r="Z1403" s="188"/>
      <c r="AA1403" s="188"/>
      <c r="AB1403" s="188"/>
      <c r="AC1403" s="188"/>
      <c r="AD1403" s="188"/>
      <c r="AE1403" s="188"/>
      <c r="AF1403" s="188"/>
      <c r="AG1403" s="188"/>
      <c r="AH1403" s="188"/>
      <c r="AI1403" s="188"/>
      <c r="AJ1403" s="188"/>
      <c r="AK1403" s="188"/>
      <c r="AL1403" s="188"/>
      <c r="AM1403" s="188"/>
      <c r="AN1403" s="188"/>
      <c r="AO1403" s="188"/>
      <c r="AP1403" s="188"/>
      <c r="AQ1403" s="188"/>
      <c r="AR1403" s="188"/>
      <c r="AS1403" s="188"/>
      <c r="AT1403" s="188"/>
      <c r="AU1403" s="188"/>
      <c r="AV1403" s="188"/>
      <c r="AW1403" s="188"/>
      <c r="AX1403" s="188"/>
      <c r="AY1403" s="188"/>
      <c r="AZ1403" s="188"/>
      <c r="BA1403" s="188"/>
      <c r="BB1403" s="188"/>
      <c r="BC1403" s="188"/>
    </row>
    <row r="1404">
      <c r="A1404" s="188"/>
      <c r="B1404" s="188"/>
      <c r="C1404" s="188"/>
      <c r="D1404" s="188"/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188"/>
      <c r="Q1404" s="188"/>
      <c r="R1404" s="188"/>
      <c r="S1404" s="188"/>
      <c r="T1404" s="188"/>
      <c r="U1404" s="188"/>
      <c r="V1404" s="188"/>
      <c r="W1404" s="188"/>
      <c r="X1404" s="188"/>
      <c r="Y1404" s="188"/>
      <c r="Z1404" s="188"/>
      <c r="AA1404" s="188"/>
      <c r="AB1404" s="188"/>
      <c r="AC1404" s="188"/>
      <c r="AD1404" s="188"/>
      <c r="AE1404" s="188"/>
      <c r="AF1404" s="188"/>
      <c r="AG1404" s="188"/>
      <c r="AH1404" s="188"/>
      <c r="AI1404" s="188"/>
      <c r="AJ1404" s="188"/>
      <c r="AK1404" s="188"/>
      <c r="AL1404" s="188"/>
      <c r="AM1404" s="188"/>
      <c r="AN1404" s="188"/>
      <c r="AO1404" s="188"/>
      <c r="AP1404" s="188"/>
      <c r="AQ1404" s="188"/>
      <c r="AR1404" s="188"/>
      <c r="AS1404" s="188"/>
      <c r="AT1404" s="188"/>
      <c r="AU1404" s="188"/>
      <c r="AV1404" s="188"/>
      <c r="AW1404" s="188"/>
      <c r="AX1404" s="188"/>
      <c r="AY1404" s="188"/>
      <c r="AZ1404" s="188"/>
      <c r="BA1404" s="188"/>
      <c r="BB1404" s="188"/>
      <c r="BC1404" s="188"/>
    </row>
    <row r="1405">
      <c r="A1405" s="188"/>
      <c r="B1405" s="188"/>
      <c r="C1405" s="188"/>
      <c r="D1405" s="188"/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188"/>
      <c r="Q1405" s="188"/>
      <c r="R1405" s="188"/>
      <c r="S1405" s="188"/>
      <c r="T1405" s="188"/>
      <c r="U1405" s="188"/>
      <c r="V1405" s="188"/>
      <c r="W1405" s="188"/>
      <c r="X1405" s="188"/>
      <c r="Y1405" s="188"/>
      <c r="Z1405" s="188"/>
      <c r="AA1405" s="188"/>
      <c r="AB1405" s="188"/>
      <c r="AC1405" s="188"/>
      <c r="AD1405" s="188"/>
      <c r="AE1405" s="188"/>
      <c r="AF1405" s="188"/>
      <c r="AG1405" s="188"/>
      <c r="AH1405" s="188"/>
      <c r="AI1405" s="188"/>
      <c r="AJ1405" s="188"/>
      <c r="AK1405" s="188"/>
      <c r="AL1405" s="188"/>
      <c r="AM1405" s="188"/>
      <c r="AN1405" s="188"/>
      <c r="AO1405" s="188"/>
      <c r="AP1405" s="188"/>
      <c r="AQ1405" s="188"/>
      <c r="AR1405" s="188"/>
      <c r="AS1405" s="188"/>
      <c r="AT1405" s="188"/>
      <c r="AU1405" s="188"/>
      <c r="AV1405" s="188"/>
      <c r="AW1405" s="188"/>
      <c r="AX1405" s="188"/>
      <c r="AY1405" s="188"/>
      <c r="AZ1405" s="188"/>
      <c r="BA1405" s="188"/>
      <c r="BB1405" s="188"/>
      <c r="BC1405" s="188"/>
    </row>
    <row r="1406">
      <c r="A1406" s="188"/>
      <c r="B1406" s="188"/>
      <c r="C1406" s="188"/>
      <c r="D1406" s="188"/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188"/>
      <c r="Q1406" s="188"/>
      <c r="R1406" s="188"/>
      <c r="S1406" s="188"/>
      <c r="T1406" s="188"/>
      <c r="U1406" s="188"/>
      <c r="V1406" s="188"/>
      <c r="W1406" s="188"/>
      <c r="X1406" s="188"/>
      <c r="Y1406" s="188"/>
      <c r="Z1406" s="188"/>
      <c r="AA1406" s="188"/>
      <c r="AB1406" s="188"/>
      <c r="AC1406" s="188"/>
      <c r="AD1406" s="188"/>
      <c r="AE1406" s="188"/>
      <c r="AF1406" s="188"/>
      <c r="AG1406" s="188"/>
      <c r="AH1406" s="188"/>
      <c r="AI1406" s="188"/>
      <c r="AJ1406" s="188"/>
      <c r="AK1406" s="188"/>
      <c r="AL1406" s="188"/>
      <c r="AM1406" s="188"/>
      <c r="AN1406" s="188"/>
      <c r="AO1406" s="188"/>
      <c r="AP1406" s="188"/>
      <c r="AQ1406" s="188"/>
      <c r="AR1406" s="188"/>
      <c r="AS1406" s="188"/>
      <c r="AT1406" s="188"/>
      <c r="AU1406" s="188"/>
      <c r="AV1406" s="188"/>
      <c r="AW1406" s="188"/>
      <c r="AX1406" s="188"/>
      <c r="AY1406" s="188"/>
      <c r="AZ1406" s="188"/>
      <c r="BA1406" s="188"/>
      <c r="BB1406" s="188"/>
      <c r="BC1406" s="188"/>
    </row>
    <row r="1407">
      <c r="A1407" s="188"/>
      <c r="B1407" s="188"/>
      <c r="C1407" s="188"/>
      <c r="D1407" s="188"/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188"/>
      <c r="Q1407" s="188"/>
      <c r="R1407" s="188"/>
      <c r="S1407" s="188"/>
      <c r="T1407" s="188"/>
      <c r="U1407" s="188"/>
      <c r="V1407" s="188"/>
      <c r="W1407" s="188"/>
      <c r="X1407" s="188"/>
      <c r="Y1407" s="188"/>
      <c r="Z1407" s="188"/>
      <c r="AA1407" s="188"/>
      <c r="AB1407" s="188"/>
      <c r="AC1407" s="188"/>
      <c r="AD1407" s="188"/>
      <c r="AE1407" s="188"/>
      <c r="AF1407" s="188"/>
      <c r="AG1407" s="188"/>
      <c r="AH1407" s="188"/>
      <c r="AI1407" s="188"/>
      <c r="AJ1407" s="188"/>
      <c r="AK1407" s="188"/>
      <c r="AL1407" s="188"/>
      <c r="AM1407" s="188"/>
      <c r="AN1407" s="188"/>
      <c r="AO1407" s="188"/>
      <c r="AP1407" s="188"/>
      <c r="AQ1407" s="188"/>
      <c r="AR1407" s="188"/>
      <c r="AS1407" s="188"/>
      <c r="AT1407" s="188"/>
      <c r="AU1407" s="188"/>
      <c r="AV1407" s="188"/>
      <c r="AW1407" s="188"/>
      <c r="AX1407" s="188"/>
      <c r="AY1407" s="188"/>
      <c r="AZ1407" s="188"/>
      <c r="BA1407" s="188"/>
      <c r="BB1407" s="188"/>
      <c r="BC1407" s="188"/>
    </row>
    <row r="1408">
      <c r="A1408" s="188"/>
      <c r="B1408" s="188"/>
      <c r="C1408" s="188"/>
      <c r="D1408" s="188"/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188"/>
      <c r="Q1408" s="188"/>
      <c r="R1408" s="188"/>
      <c r="S1408" s="188"/>
      <c r="T1408" s="188"/>
      <c r="U1408" s="188"/>
      <c r="V1408" s="188"/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  <c r="AJ1408" s="188"/>
      <c r="AK1408" s="188"/>
      <c r="AL1408" s="188"/>
      <c r="AM1408" s="188"/>
      <c r="AN1408" s="188"/>
      <c r="AO1408" s="188"/>
      <c r="AP1408" s="188"/>
      <c r="AQ1408" s="188"/>
      <c r="AR1408" s="188"/>
      <c r="AS1408" s="188"/>
      <c r="AT1408" s="188"/>
      <c r="AU1408" s="188"/>
      <c r="AV1408" s="188"/>
      <c r="AW1408" s="188"/>
      <c r="AX1408" s="188"/>
      <c r="AY1408" s="188"/>
      <c r="AZ1408" s="188"/>
      <c r="BA1408" s="188"/>
      <c r="BB1408" s="188"/>
      <c r="BC1408" s="188"/>
    </row>
    <row r="1409">
      <c r="A1409" s="188"/>
      <c r="B1409" s="188"/>
      <c r="C1409" s="188"/>
      <c r="D1409" s="188"/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188"/>
      <c r="Q1409" s="188"/>
      <c r="R1409" s="188"/>
      <c r="S1409" s="188"/>
      <c r="T1409" s="188"/>
      <c r="U1409" s="188"/>
      <c r="V1409" s="188"/>
      <c r="W1409" s="188"/>
      <c r="X1409" s="188"/>
      <c r="Y1409" s="188"/>
      <c r="Z1409" s="188"/>
      <c r="AA1409" s="188"/>
      <c r="AB1409" s="188"/>
      <c r="AC1409" s="188"/>
      <c r="AD1409" s="188"/>
      <c r="AE1409" s="188"/>
      <c r="AF1409" s="188"/>
      <c r="AG1409" s="188"/>
      <c r="AH1409" s="188"/>
      <c r="AI1409" s="188"/>
      <c r="AJ1409" s="188"/>
      <c r="AK1409" s="188"/>
      <c r="AL1409" s="188"/>
      <c r="AM1409" s="188"/>
      <c r="AN1409" s="188"/>
      <c r="AO1409" s="188"/>
      <c r="AP1409" s="188"/>
      <c r="AQ1409" s="188"/>
      <c r="AR1409" s="188"/>
      <c r="AS1409" s="188"/>
      <c r="AT1409" s="188"/>
      <c r="AU1409" s="188"/>
      <c r="AV1409" s="188"/>
      <c r="AW1409" s="188"/>
      <c r="AX1409" s="188"/>
      <c r="AY1409" s="188"/>
      <c r="AZ1409" s="188"/>
      <c r="BA1409" s="188"/>
      <c r="BB1409" s="188"/>
      <c r="BC1409" s="188"/>
    </row>
    <row r="1410">
      <c r="A1410" s="188"/>
      <c r="B1410" s="188"/>
      <c r="C1410" s="188"/>
      <c r="D1410" s="188"/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188"/>
      <c r="Q1410" s="188"/>
      <c r="R1410" s="188"/>
      <c r="S1410" s="188"/>
      <c r="T1410" s="188"/>
      <c r="U1410" s="188"/>
      <c r="V1410" s="188"/>
      <c r="W1410" s="188"/>
      <c r="X1410" s="188"/>
      <c r="Y1410" s="188"/>
      <c r="Z1410" s="188"/>
      <c r="AA1410" s="188"/>
      <c r="AB1410" s="188"/>
      <c r="AC1410" s="188"/>
      <c r="AD1410" s="188"/>
      <c r="AE1410" s="188"/>
      <c r="AF1410" s="188"/>
      <c r="AG1410" s="188"/>
      <c r="AH1410" s="188"/>
      <c r="AI1410" s="188"/>
      <c r="AJ1410" s="188"/>
      <c r="AK1410" s="188"/>
      <c r="AL1410" s="188"/>
      <c r="AM1410" s="188"/>
      <c r="AN1410" s="188"/>
      <c r="AO1410" s="188"/>
      <c r="AP1410" s="188"/>
      <c r="AQ1410" s="188"/>
      <c r="AR1410" s="188"/>
      <c r="AS1410" s="188"/>
      <c r="AT1410" s="188"/>
      <c r="AU1410" s="188"/>
      <c r="AV1410" s="188"/>
      <c r="AW1410" s="188"/>
      <c r="AX1410" s="188"/>
      <c r="AY1410" s="188"/>
      <c r="AZ1410" s="188"/>
      <c r="BA1410" s="188"/>
      <c r="BB1410" s="188"/>
      <c r="BC1410" s="188"/>
    </row>
    <row r="1411">
      <c r="A1411" s="188"/>
      <c r="B1411" s="188"/>
      <c r="C1411" s="188"/>
      <c r="D1411" s="188"/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188"/>
      <c r="Q1411" s="188"/>
      <c r="R1411" s="188"/>
      <c r="S1411" s="188"/>
      <c r="T1411" s="188"/>
      <c r="U1411" s="188"/>
      <c r="V1411" s="188"/>
      <c r="W1411" s="188"/>
      <c r="X1411" s="188"/>
      <c r="Y1411" s="188"/>
      <c r="Z1411" s="188"/>
      <c r="AA1411" s="188"/>
      <c r="AB1411" s="188"/>
      <c r="AC1411" s="188"/>
      <c r="AD1411" s="188"/>
      <c r="AE1411" s="188"/>
      <c r="AF1411" s="188"/>
      <c r="AG1411" s="188"/>
      <c r="AH1411" s="188"/>
      <c r="AI1411" s="188"/>
      <c r="AJ1411" s="188"/>
      <c r="AK1411" s="188"/>
      <c r="AL1411" s="188"/>
      <c r="AM1411" s="188"/>
      <c r="AN1411" s="188"/>
      <c r="AO1411" s="188"/>
      <c r="AP1411" s="188"/>
      <c r="AQ1411" s="188"/>
      <c r="AR1411" s="188"/>
      <c r="AS1411" s="188"/>
      <c r="AT1411" s="188"/>
      <c r="AU1411" s="188"/>
      <c r="AV1411" s="188"/>
      <c r="AW1411" s="188"/>
      <c r="AX1411" s="188"/>
      <c r="AY1411" s="188"/>
      <c r="AZ1411" s="188"/>
      <c r="BA1411" s="188"/>
      <c r="BB1411" s="188"/>
      <c r="BC1411" s="188"/>
    </row>
    <row r="1412">
      <c r="A1412" s="188"/>
      <c r="B1412" s="188"/>
      <c r="C1412" s="188"/>
      <c r="D1412" s="188"/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188"/>
      <c r="Q1412" s="188"/>
      <c r="R1412" s="188"/>
      <c r="S1412" s="188"/>
      <c r="T1412" s="188"/>
      <c r="U1412" s="188"/>
      <c r="V1412" s="188"/>
      <c r="W1412" s="188"/>
      <c r="X1412" s="188"/>
      <c r="Y1412" s="188"/>
      <c r="Z1412" s="188"/>
      <c r="AA1412" s="188"/>
      <c r="AB1412" s="188"/>
      <c r="AC1412" s="188"/>
      <c r="AD1412" s="188"/>
      <c r="AE1412" s="188"/>
      <c r="AF1412" s="188"/>
      <c r="AG1412" s="188"/>
      <c r="AH1412" s="188"/>
      <c r="AI1412" s="188"/>
      <c r="AJ1412" s="188"/>
      <c r="AK1412" s="188"/>
      <c r="AL1412" s="188"/>
      <c r="AM1412" s="188"/>
      <c r="AN1412" s="188"/>
      <c r="AO1412" s="188"/>
      <c r="AP1412" s="188"/>
      <c r="AQ1412" s="188"/>
      <c r="AR1412" s="188"/>
      <c r="AS1412" s="188"/>
      <c r="AT1412" s="188"/>
      <c r="AU1412" s="188"/>
      <c r="AV1412" s="188"/>
      <c r="AW1412" s="188"/>
      <c r="AX1412" s="188"/>
      <c r="AY1412" s="188"/>
      <c r="AZ1412" s="188"/>
      <c r="BA1412" s="188"/>
      <c r="BB1412" s="188"/>
      <c r="BC1412" s="188"/>
    </row>
    <row r="1413">
      <c r="A1413" s="188"/>
      <c r="B1413" s="188"/>
      <c r="C1413" s="188"/>
      <c r="D1413" s="188"/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188"/>
      <c r="Q1413" s="188"/>
      <c r="R1413" s="188"/>
      <c r="S1413" s="188"/>
      <c r="T1413" s="188"/>
      <c r="U1413" s="188"/>
      <c r="V1413" s="188"/>
      <c r="W1413" s="188"/>
      <c r="X1413" s="188"/>
      <c r="Y1413" s="188"/>
      <c r="Z1413" s="188"/>
      <c r="AA1413" s="188"/>
      <c r="AB1413" s="188"/>
      <c r="AC1413" s="188"/>
      <c r="AD1413" s="188"/>
      <c r="AE1413" s="188"/>
      <c r="AF1413" s="188"/>
      <c r="AG1413" s="188"/>
      <c r="AH1413" s="188"/>
      <c r="AI1413" s="188"/>
      <c r="AJ1413" s="188"/>
      <c r="AK1413" s="188"/>
      <c r="AL1413" s="188"/>
      <c r="AM1413" s="188"/>
      <c r="AN1413" s="188"/>
      <c r="AO1413" s="188"/>
      <c r="AP1413" s="188"/>
      <c r="AQ1413" s="188"/>
      <c r="AR1413" s="188"/>
      <c r="AS1413" s="188"/>
      <c r="AT1413" s="188"/>
      <c r="AU1413" s="188"/>
      <c r="AV1413" s="188"/>
      <c r="AW1413" s="188"/>
      <c r="AX1413" s="188"/>
      <c r="AY1413" s="188"/>
      <c r="AZ1413" s="188"/>
      <c r="BA1413" s="188"/>
      <c r="BB1413" s="188"/>
      <c r="BC1413" s="188"/>
    </row>
    <row r="1414">
      <c r="A1414" s="188"/>
      <c r="B1414" s="188"/>
      <c r="C1414" s="188"/>
      <c r="D1414" s="188"/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188"/>
      <c r="Q1414" s="188"/>
      <c r="R1414" s="188"/>
      <c r="S1414" s="188"/>
      <c r="T1414" s="188"/>
      <c r="U1414" s="188"/>
      <c r="V1414" s="188"/>
      <c r="W1414" s="188"/>
      <c r="X1414" s="188"/>
      <c r="Y1414" s="188"/>
      <c r="Z1414" s="188"/>
      <c r="AA1414" s="188"/>
      <c r="AB1414" s="188"/>
      <c r="AC1414" s="188"/>
      <c r="AD1414" s="188"/>
      <c r="AE1414" s="188"/>
      <c r="AF1414" s="188"/>
      <c r="AG1414" s="188"/>
      <c r="AH1414" s="188"/>
      <c r="AI1414" s="188"/>
      <c r="AJ1414" s="188"/>
      <c r="AK1414" s="188"/>
      <c r="AL1414" s="188"/>
      <c r="AM1414" s="188"/>
      <c r="AN1414" s="188"/>
      <c r="AO1414" s="188"/>
      <c r="AP1414" s="188"/>
      <c r="AQ1414" s="188"/>
      <c r="AR1414" s="188"/>
      <c r="AS1414" s="188"/>
      <c r="AT1414" s="188"/>
      <c r="AU1414" s="188"/>
      <c r="AV1414" s="188"/>
      <c r="AW1414" s="188"/>
      <c r="AX1414" s="188"/>
      <c r="AY1414" s="188"/>
      <c r="AZ1414" s="188"/>
      <c r="BA1414" s="188"/>
      <c r="BB1414" s="188"/>
      <c r="BC1414" s="188"/>
    </row>
    <row r="1415">
      <c r="A1415" s="188"/>
      <c r="B1415" s="188"/>
      <c r="C1415" s="188"/>
      <c r="D1415" s="188"/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188"/>
      <c r="Q1415" s="188"/>
      <c r="R1415" s="188"/>
      <c r="S1415" s="188"/>
      <c r="T1415" s="188"/>
      <c r="U1415" s="188"/>
      <c r="V1415" s="188"/>
      <c r="W1415" s="188"/>
      <c r="X1415" s="188"/>
      <c r="Y1415" s="188"/>
      <c r="Z1415" s="188"/>
      <c r="AA1415" s="188"/>
      <c r="AB1415" s="188"/>
      <c r="AC1415" s="188"/>
      <c r="AD1415" s="188"/>
      <c r="AE1415" s="188"/>
      <c r="AF1415" s="188"/>
      <c r="AG1415" s="188"/>
      <c r="AH1415" s="188"/>
      <c r="AI1415" s="188"/>
      <c r="AJ1415" s="188"/>
      <c r="AK1415" s="188"/>
      <c r="AL1415" s="188"/>
      <c r="AM1415" s="188"/>
      <c r="AN1415" s="188"/>
      <c r="AO1415" s="188"/>
      <c r="AP1415" s="188"/>
      <c r="AQ1415" s="188"/>
      <c r="AR1415" s="188"/>
      <c r="AS1415" s="188"/>
      <c r="AT1415" s="188"/>
      <c r="AU1415" s="188"/>
      <c r="AV1415" s="188"/>
      <c r="AW1415" s="188"/>
      <c r="AX1415" s="188"/>
      <c r="AY1415" s="188"/>
      <c r="AZ1415" s="188"/>
      <c r="BA1415" s="188"/>
      <c r="BB1415" s="188"/>
      <c r="BC1415" s="188"/>
    </row>
    <row r="1416">
      <c r="A1416" s="188"/>
      <c r="B1416" s="188"/>
      <c r="C1416" s="188"/>
      <c r="D1416" s="188"/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188"/>
      <c r="Q1416" s="188"/>
      <c r="R1416" s="188"/>
      <c r="S1416" s="188"/>
      <c r="T1416" s="188"/>
      <c r="U1416" s="188"/>
      <c r="V1416" s="188"/>
      <c r="W1416" s="188"/>
      <c r="X1416" s="188"/>
      <c r="Y1416" s="188"/>
      <c r="Z1416" s="188"/>
      <c r="AA1416" s="188"/>
      <c r="AB1416" s="188"/>
      <c r="AC1416" s="188"/>
      <c r="AD1416" s="188"/>
      <c r="AE1416" s="188"/>
      <c r="AF1416" s="188"/>
      <c r="AG1416" s="188"/>
      <c r="AH1416" s="188"/>
      <c r="AI1416" s="188"/>
      <c r="AJ1416" s="188"/>
      <c r="AK1416" s="188"/>
      <c r="AL1416" s="188"/>
      <c r="AM1416" s="188"/>
      <c r="AN1416" s="188"/>
      <c r="AO1416" s="188"/>
      <c r="AP1416" s="188"/>
      <c r="AQ1416" s="188"/>
      <c r="AR1416" s="188"/>
      <c r="AS1416" s="188"/>
      <c r="AT1416" s="188"/>
      <c r="AU1416" s="188"/>
      <c r="AV1416" s="188"/>
      <c r="AW1416" s="188"/>
      <c r="AX1416" s="188"/>
      <c r="AY1416" s="188"/>
      <c r="AZ1416" s="188"/>
      <c r="BA1416" s="188"/>
      <c r="BB1416" s="188"/>
      <c r="BC1416" s="188"/>
    </row>
    <row r="1417">
      <c r="A1417" s="188"/>
      <c r="B1417" s="188"/>
      <c r="C1417" s="188"/>
      <c r="D1417" s="188"/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188"/>
      <c r="Q1417" s="188"/>
      <c r="R1417" s="188"/>
      <c r="S1417" s="188"/>
      <c r="T1417" s="188"/>
      <c r="U1417" s="188"/>
      <c r="V1417" s="188"/>
      <c r="W1417" s="188"/>
      <c r="X1417" s="188"/>
      <c r="Y1417" s="188"/>
      <c r="Z1417" s="188"/>
      <c r="AA1417" s="188"/>
      <c r="AB1417" s="188"/>
      <c r="AC1417" s="188"/>
      <c r="AD1417" s="188"/>
      <c r="AE1417" s="188"/>
      <c r="AF1417" s="188"/>
      <c r="AG1417" s="188"/>
      <c r="AH1417" s="188"/>
      <c r="AI1417" s="188"/>
      <c r="AJ1417" s="188"/>
      <c r="AK1417" s="188"/>
      <c r="AL1417" s="188"/>
      <c r="AM1417" s="188"/>
      <c r="AN1417" s="188"/>
      <c r="AO1417" s="188"/>
      <c r="AP1417" s="188"/>
      <c r="AQ1417" s="188"/>
      <c r="AR1417" s="188"/>
      <c r="AS1417" s="188"/>
      <c r="AT1417" s="188"/>
      <c r="AU1417" s="188"/>
      <c r="AV1417" s="188"/>
      <c r="AW1417" s="188"/>
      <c r="AX1417" s="188"/>
      <c r="AY1417" s="188"/>
      <c r="AZ1417" s="188"/>
      <c r="BA1417" s="188"/>
      <c r="BB1417" s="188"/>
      <c r="BC1417" s="188"/>
    </row>
    <row r="1418">
      <c r="A1418" s="188"/>
      <c r="B1418" s="188"/>
      <c r="C1418" s="188"/>
      <c r="D1418" s="188"/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188"/>
      <c r="Q1418" s="188"/>
      <c r="R1418" s="188"/>
      <c r="S1418" s="188"/>
      <c r="T1418" s="188"/>
      <c r="U1418" s="188"/>
      <c r="V1418" s="188"/>
      <c r="W1418" s="188"/>
      <c r="X1418" s="188"/>
      <c r="Y1418" s="188"/>
      <c r="Z1418" s="188"/>
      <c r="AA1418" s="188"/>
      <c r="AB1418" s="188"/>
      <c r="AC1418" s="188"/>
      <c r="AD1418" s="188"/>
      <c r="AE1418" s="188"/>
      <c r="AF1418" s="188"/>
      <c r="AG1418" s="188"/>
      <c r="AH1418" s="188"/>
      <c r="AI1418" s="188"/>
      <c r="AJ1418" s="188"/>
      <c r="AK1418" s="188"/>
      <c r="AL1418" s="188"/>
      <c r="AM1418" s="188"/>
      <c r="AN1418" s="188"/>
      <c r="AO1418" s="188"/>
      <c r="AP1418" s="188"/>
      <c r="AQ1418" s="188"/>
      <c r="AR1418" s="188"/>
      <c r="AS1418" s="188"/>
      <c r="AT1418" s="188"/>
      <c r="AU1418" s="188"/>
      <c r="AV1418" s="188"/>
      <c r="AW1418" s="188"/>
      <c r="AX1418" s="188"/>
      <c r="AY1418" s="188"/>
      <c r="AZ1418" s="188"/>
      <c r="BA1418" s="188"/>
      <c r="BB1418" s="188"/>
      <c r="BC1418" s="188"/>
    </row>
    <row r="1419">
      <c r="A1419" s="188"/>
      <c r="B1419" s="188"/>
      <c r="C1419" s="188"/>
      <c r="D1419" s="188"/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188"/>
      <c r="Q1419" s="188"/>
      <c r="R1419" s="188"/>
      <c r="S1419" s="188"/>
      <c r="T1419" s="188"/>
      <c r="U1419" s="188"/>
      <c r="V1419" s="188"/>
      <c r="W1419" s="188"/>
      <c r="X1419" s="188"/>
      <c r="Y1419" s="188"/>
      <c r="Z1419" s="188"/>
      <c r="AA1419" s="188"/>
      <c r="AB1419" s="188"/>
      <c r="AC1419" s="188"/>
      <c r="AD1419" s="188"/>
      <c r="AE1419" s="188"/>
      <c r="AF1419" s="188"/>
      <c r="AG1419" s="188"/>
      <c r="AH1419" s="188"/>
      <c r="AI1419" s="188"/>
      <c r="AJ1419" s="188"/>
      <c r="AK1419" s="188"/>
      <c r="AL1419" s="188"/>
      <c r="AM1419" s="188"/>
      <c r="AN1419" s="188"/>
      <c r="AO1419" s="188"/>
      <c r="AP1419" s="188"/>
      <c r="AQ1419" s="188"/>
      <c r="AR1419" s="188"/>
      <c r="AS1419" s="188"/>
      <c r="AT1419" s="188"/>
      <c r="AU1419" s="188"/>
      <c r="AV1419" s="188"/>
      <c r="AW1419" s="188"/>
      <c r="AX1419" s="188"/>
      <c r="AY1419" s="188"/>
      <c r="AZ1419" s="188"/>
      <c r="BA1419" s="188"/>
      <c r="BB1419" s="188"/>
      <c r="BC1419" s="188"/>
    </row>
    <row r="1420">
      <c r="A1420" s="188"/>
      <c r="B1420" s="188"/>
      <c r="C1420" s="188"/>
      <c r="D1420" s="188"/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188"/>
      <c r="Q1420" s="188"/>
      <c r="R1420" s="188"/>
      <c r="S1420" s="188"/>
      <c r="T1420" s="188"/>
      <c r="U1420" s="188"/>
      <c r="V1420" s="188"/>
      <c r="W1420" s="188"/>
      <c r="X1420" s="188"/>
      <c r="Y1420" s="188"/>
      <c r="Z1420" s="188"/>
      <c r="AA1420" s="188"/>
      <c r="AB1420" s="188"/>
      <c r="AC1420" s="188"/>
      <c r="AD1420" s="188"/>
      <c r="AE1420" s="188"/>
      <c r="AF1420" s="188"/>
      <c r="AG1420" s="188"/>
      <c r="AH1420" s="188"/>
      <c r="AI1420" s="188"/>
      <c r="AJ1420" s="188"/>
      <c r="AK1420" s="188"/>
      <c r="AL1420" s="188"/>
      <c r="AM1420" s="188"/>
      <c r="AN1420" s="188"/>
      <c r="AO1420" s="188"/>
      <c r="AP1420" s="188"/>
      <c r="AQ1420" s="188"/>
      <c r="AR1420" s="188"/>
      <c r="AS1420" s="188"/>
      <c r="AT1420" s="188"/>
      <c r="AU1420" s="188"/>
      <c r="AV1420" s="188"/>
      <c r="AW1420" s="188"/>
      <c r="AX1420" s="188"/>
      <c r="AY1420" s="188"/>
      <c r="AZ1420" s="188"/>
      <c r="BA1420" s="188"/>
      <c r="BB1420" s="188"/>
      <c r="BC1420" s="188"/>
    </row>
    <row r="1421">
      <c r="A1421" s="188"/>
      <c r="B1421" s="188"/>
      <c r="C1421" s="188"/>
      <c r="D1421" s="188"/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188"/>
      <c r="Q1421" s="188"/>
      <c r="R1421" s="188"/>
      <c r="S1421" s="188"/>
      <c r="T1421" s="188"/>
      <c r="U1421" s="188"/>
      <c r="V1421" s="188"/>
      <c r="W1421" s="188"/>
      <c r="X1421" s="188"/>
      <c r="Y1421" s="188"/>
      <c r="Z1421" s="188"/>
      <c r="AA1421" s="188"/>
      <c r="AB1421" s="188"/>
      <c r="AC1421" s="188"/>
      <c r="AD1421" s="188"/>
      <c r="AE1421" s="188"/>
      <c r="AF1421" s="188"/>
      <c r="AG1421" s="188"/>
      <c r="AH1421" s="188"/>
      <c r="AI1421" s="188"/>
      <c r="AJ1421" s="188"/>
      <c r="AK1421" s="188"/>
      <c r="AL1421" s="188"/>
      <c r="AM1421" s="188"/>
      <c r="AN1421" s="188"/>
      <c r="AO1421" s="188"/>
      <c r="AP1421" s="188"/>
      <c r="AQ1421" s="188"/>
      <c r="AR1421" s="188"/>
      <c r="AS1421" s="188"/>
      <c r="AT1421" s="188"/>
      <c r="AU1421" s="188"/>
      <c r="AV1421" s="188"/>
      <c r="AW1421" s="188"/>
      <c r="AX1421" s="188"/>
      <c r="AY1421" s="188"/>
      <c r="AZ1421" s="188"/>
      <c r="BA1421" s="188"/>
      <c r="BB1421" s="188"/>
      <c r="BC1421" s="188"/>
    </row>
    <row r="1422">
      <c r="A1422" s="188"/>
      <c r="B1422" s="188"/>
      <c r="C1422" s="188"/>
      <c r="D1422" s="188"/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188"/>
      <c r="Q1422" s="188"/>
      <c r="R1422" s="188"/>
      <c r="S1422" s="188"/>
      <c r="T1422" s="188"/>
      <c r="U1422" s="188"/>
      <c r="V1422" s="188"/>
      <c r="W1422" s="188"/>
      <c r="X1422" s="188"/>
      <c r="Y1422" s="188"/>
      <c r="Z1422" s="188"/>
      <c r="AA1422" s="188"/>
      <c r="AB1422" s="188"/>
      <c r="AC1422" s="188"/>
      <c r="AD1422" s="188"/>
      <c r="AE1422" s="188"/>
      <c r="AF1422" s="188"/>
      <c r="AG1422" s="188"/>
      <c r="AH1422" s="188"/>
      <c r="AI1422" s="188"/>
      <c r="AJ1422" s="188"/>
      <c r="AK1422" s="188"/>
      <c r="AL1422" s="188"/>
      <c r="AM1422" s="188"/>
      <c r="AN1422" s="188"/>
      <c r="AO1422" s="188"/>
      <c r="AP1422" s="188"/>
      <c r="AQ1422" s="188"/>
      <c r="AR1422" s="188"/>
      <c r="AS1422" s="188"/>
      <c r="AT1422" s="188"/>
      <c r="AU1422" s="188"/>
      <c r="AV1422" s="188"/>
      <c r="AW1422" s="188"/>
      <c r="AX1422" s="188"/>
      <c r="AY1422" s="188"/>
      <c r="AZ1422" s="188"/>
      <c r="BA1422" s="188"/>
      <c r="BB1422" s="188"/>
      <c r="BC1422" s="188"/>
    </row>
    <row r="1423">
      <c r="A1423" s="188"/>
      <c r="B1423" s="188"/>
      <c r="C1423" s="188"/>
      <c r="D1423" s="188"/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188"/>
      <c r="Q1423" s="188"/>
      <c r="R1423" s="188"/>
      <c r="S1423" s="188"/>
      <c r="T1423" s="188"/>
      <c r="U1423" s="188"/>
      <c r="V1423" s="188"/>
      <c r="W1423" s="188"/>
      <c r="X1423" s="188"/>
      <c r="Y1423" s="188"/>
      <c r="Z1423" s="188"/>
      <c r="AA1423" s="188"/>
      <c r="AB1423" s="188"/>
      <c r="AC1423" s="188"/>
      <c r="AD1423" s="188"/>
      <c r="AE1423" s="188"/>
      <c r="AF1423" s="188"/>
      <c r="AG1423" s="188"/>
      <c r="AH1423" s="188"/>
      <c r="AI1423" s="188"/>
      <c r="AJ1423" s="188"/>
      <c r="AK1423" s="188"/>
      <c r="AL1423" s="188"/>
      <c r="AM1423" s="188"/>
      <c r="AN1423" s="188"/>
      <c r="AO1423" s="188"/>
      <c r="AP1423" s="188"/>
      <c r="AQ1423" s="188"/>
      <c r="AR1423" s="188"/>
      <c r="AS1423" s="188"/>
      <c r="AT1423" s="188"/>
      <c r="AU1423" s="188"/>
      <c r="AV1423" s="188"/>
      <c r="AW1423" s="188"/>
      <c r="AX1423" s="188"/>
      <c r="AY1423" s="188"/>
      <c r="AZ1423" s="188"/>
      <c r="BA1423" s="188"/>
      <c r="BB1423" s="188"/>
      <c r="BC1423" s="188"/>
    </row>
    <row r="1424">
      <c r="A1424" s="188"/>
      <c r="B1424" s="188"/>
      <c r="C1424" s="188"/>
      <c r="D1424" s="188"/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188"/>
      <c r="Q1424" s="188"/>
      <c r="R1424" s="188"/>
      <c r="S1424" s="188"/>
      <c r="T1424" s="188"/>
      <c r="U1424" s="188"/>
      <c r="V1424" s="188"/>
      <c r="W1424" s="188"/>
      <c r="X1424" s="188"/>
      <c r="Y1424" s="188"/>
      <c r="Z1424" s="188"/>
      <c r="AA1424" s="188"/>
      <c r="AB1424" s="188"/>
      <c r="AC1424" s="188"/>
      <c r="AD1424" s="188"/>
      <c r="AE1424" s="188"/>
      <c r="AF1424" s="188"/>
      <c r="AG1424" s="188"/>
      <c r="AH1424" s="188"/>
      <c r="AI1424" s="188"/>
      <c r="AJ1424" s="188"/>
      <c r="AK1424" s="188"/>
      <c r="AL1424" s="188"/>
      <c r="AM1424" s="188"/>
      <c r="AN1424" s="188"/>
      <c r="AO1424" s="188"/>
      <c r="AP1424" s="188"/>
      <c r="AQ1424" s="188"/>
      <c r="AR1424" s="188"/>
      <c r="AS1424" s="188"/>
      <c r="AT1424" s="188"/>
      <c r="AU1424" s="188"/>
      <c r="AV1424" s="188"/>
      <c r="AW1424" s="188"/>
      <c r="AX1424" s="188"/>
      <c r="AY1424" s="188"/>
      <c r="AZ1424" s="188"/>
      <c r="BA1424" s="188"/>
      <c r="BB1424" s="188"/>
      <c r="BC1424" s="188"/>
    </row>
    <row r="1425">
      <c r="A1425" s="188"/>
      <c r="B1425" s="188"/>
      <c r="C1425" s="188"/>
      <c r="D1425" s="188"/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188"/>
      <c r="Q1425" s="188"/>
      <c r="R1425" s="188"/>
      <c r="S1425" s="188"/>
      <c r="T1425" s="188"/>
      <c r="U1425" s="188"/>
      <c r="V1425" s="188"/>
      <c r="W1425" s="188"/>
      <c r="X1425" s="188"/>
      <c r="Y1425" s="188"/>
      <c r="Z1425" s="188"/>
      <c r="AA1425" s="188"/>
      <c r="AB1425" s="188"/>
      <c r="AC1425" s="188"/>
      <c r="AD1425" s="188"/>
      <c r="AE1425" s="188"/>
      <c r="AF1425" s="188"/>
      <c r="AG1425" s="188"/>
      <c r="AH1425" s="188"/>
      <c r="AI1425" s="188"/>
      <c r="AJ1425" s="188"/>
      <c r="AK1425" s="188"/>
      <c r="AL1425" s="188"/>
      <c r="AM1425" s="188"/>
      <c r="AN1425" s="188"/>
      <c r="AO1425" s="188"/>
      <c r="AP1425" s="188"/>
      <c r="AQ1425" s="188"/>
      <c r="AR1425" s="188"/>
      <c r="AS1425" s="188"/>
      <c r="AT1425" s="188"/>
      <c r="AU1425" s="188"/>
      <c r="AV1425" s="188"/>
      <c r="AW1425" s="188"/>
      <c r="AX1425" s="188"/>
      <c r="AY1425" s="188"/>
      <c r="AZ1425" s="188"/>
      <c r="BA1425" s="188"/>
      <c r="BB1425" s="188"/>
      <c r="BC1425" s="188"/>
    </row>
    <row r="1426">
      <c r="A1426" s="188"/>
      <c r="B1426" s="188"/>
      <c r="C1426" s="188"/>
      <c r="D1426" s="188"/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188"/>
      <c r="Q1426" s="188"/>
      <c r="R1426" s="188"/>
      <c r="S1426" s="188"/>
      <c r="T1426" s="188"/>
      <c r="U1426" s="188"/>
      <c r="V1426" s="188"/>
      <c r="W1426" s="188"/>
      <c r="X1426" s="188"/>
      <c r="Y1426" s="188"/>
      <c r="Z1426" s="188"/>
      <c r="AA1426" s="188"/>
      <c r="AB1426" s="188"/>
      <c r="AC1426" s="188"/>
      <c r="AD1426" s="188"/>
      <c r="AE1426" s="188"/>
      <c r="AF1426" s="188"/>
      <c r="AG1426" s="188"/>
      <c r="AH1426" s="188"/>
      <c r="AI1426" s="188"/>
      <c r="AJ1426" s="188"/>
      <c r="AK1426" s="188"/>
      <c r="AL1426" s="188"/>
      <c r="AM1426" s="188"/>
      <c r="AN1426" s="188"/>
      <c r="AO1426" s="188"/>
      <c r="AP1426" s="188"/>
      <c r="AQ1426" s="188"/>
      <c r="AR1426" s="188"/>
      <c r="AS1426" s="188"/>
      <c r="AT1426" s="188"/>
      <c r="AU1426" s="188"/>
      <c r="AV1426" s="188"/>
      <c r="AW1426" s="188"/>
      <c r="AX1426" s="188"/>
      <c r="AY1426" s="188"/>
      <c r="AZ1426" s="188"/>
      <c r="BA1426" s="188"/>
      <c r="BB1426" s="188"/>
      <c r="BC1426" s="188"/>
    </row>
    <row r="1427">
      <c r="A1427" s="188"/>
      <c r="B1427" s="188"/>
      <c r="C1427" s="188"/>
      <c r="D1427" s="188"/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188"/>
      <c r="Q1427" s="188"/>
      <c r="R1427" s="188"/>
      <c r="S1427" s="188"/>
      <c r="T1427" s="188"/>
      <c r="U1427" s="188"/>
      <c r="V1427" s="188"/>
      <c r="W1427" s="188"/>
      <c r="X1427" s="188"/>
      <c r="Y1427" s="188"/>
      <c r="Z1427" s="188"/>
      <c r="AA1427" s="188"/>
      <c r="AB1427" s="188"/>
      <c r="AC1427" s="188"/>
      <c r="AD1427" s="188"/>
      <c r="AE1427" s="188"/>
      <c r="AF1427" s="188"/>
      <c r="AG1427" s="188"/>
      <c r="AH1427" s="188"/>
      <c r="AI1427" s="188"/>
      <c r="AJ1427" s="188"/>
      <c r="AK1427" s="188"/>
      <c r="AL1427" s="188"/>
      <c r="AM1427" s="188"/>
      <c r="AN1427" s="188"/>
      <c r="AO1427" s="188"/>
      <c r="AP1427" s="188"/>
      <c r="AQ1427" s="188"/>
      <c r="AR1427" s="188"/>
      <c r="AS1427" s="188"/>
      <c r="AT1427" s="188"/>
      <c r="AU1427" s="188"/>
      <c r="AV1427" s="188"/>
      <c r="AW1427" s="188"/>
      <c r="AX1427" s="188"/>
      <c r="AY1427" s="188"/>
      <c r="AZ1427" s="188"/>
      <c r="BA1427" s="188"/>
      <c r="BB1427" s="188"/>
      <c r="BC1427" s="188"/>
    </row>
    <row r="1428">
      <c r="A1428" s="188"/>
      <c r="B1428" s="188"/>
      <c r="C1428" s="188"/>
      <c r="D1428" s="188"/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188"/>
      <c r="Q1428" s="188"/>
      <c r="R1428" s="188"/>
      <c r="S1428" s="188"/>
      <c r="T1428" s="188"/>
      <c r="U1428" s="188"/>
      <c r="V1428" s="188"/>
      <c r="W1428" s="188"/>
      <c r="X1428" s="188"/>
      <c r="Y1428" s="188"/>
      <c r="Z1428" s="188"/>
      <c r="AA1428" s="188"/>
      <c r="AB1428" s="188"/>
      <c r="AC1428" s="188"/>
      <c r="AD1428" s="188"/>
      <c r="AE1428" s="188"/>
      <c r="AF1428" s="188"/>
      <c r="AG1428" s="188"/>
      <c r="AH1428" s="188"/>
      <c r="AI1428" s="188"/>
      <c r="AJ1428" s="188"/>
      <c r="AK1428" s="188"/>
      <c r="AL1428" s="188"/>
      <c r="AM1428" s="188"/>
      <c r="AN1428" s="188"/>
      <c r="AO1428" s="188"/>
      <c r="AP1428" s="188"/>
      <c r="AQ1428" s="188"/>
      <c r="AR1428" s="188"/>
      <c r="AS1428" s="188"/>
      <c r="AT1428" s="188"/>
      <c r="AU1428" s="188"/>
      <c r="AV1428" s="188"/>
      <c r="AW1428" s="188"/>
      <c r="AX1428" s="188"/>
      <c r="AY1428" s="188"/>
      <c r="AZ1428" s="188"/>
      <c r="BA1428" s="188"/>
      <c r="BB1428" s="188"/>
      <c r="BC1428" s="188"/>
    </row>
    <row r="1429">
      <c r="A1429" s="188"/>
      <c r="B1429" s="188"/>
      <c r="C1429" s="188"/>
      <c r="D1429" s="188"/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188"/>
      <c r="Q1429" s="188"/>
      <c r="R1429" s="188"/>
      <c r="S1429" s="188"/>
      <c r="T1429" s="188"/>
      <c r="U1429" s="188"/>
      <c r="V1429" s="188"/>
      <c r="W1429" s="188"/>
      <c r="X1429" s="188"/>
      <c r="Y1429" s="188"/>
      <c r="Z1429" s="188"/>
      <c r="AA1429" s="188"/>
      <c r="AB1429" s="188"/>
      <c r="AC1429" s="188"/>
      <c r="AD1429" s="188"/>
      <c r="AE1429" s="188"/>
      <c r="AF1429" s="188"/>
      <c r="AG1429" s="188"/>
      <c r="AH1429" s="188"/>
      <c r="AI1429" s="188"/>
      <c r="AJ1429" s="188"/>
      <c r="AK1429" s="188"/>
      <c r="AL1429" s="188"/>
      <c r="AM1429" s="188"/>
      <c r="AN1429" s="188"/>
      <c r="AO1429" s="188"/>
      <c r="AP1429" s="188"/>
      <c r="AQ1429" s="188"/>
      <c r="AR1429" s="188"/>
      <c r="AS1429" s="188"/>
      <c r="AT1429" s="188"/>
      <c r="AU1429" s="188"/>
      <c r="AV1429" s="188"/>
      <c r="AW1429" s="188"/>
      <c r="AX1429" s="188"/>
      <c r="AY1429" s="188"/>
      <c r="AZ1429" s="188"/>
      <c r="BA1429" s="188"/>
      <c r="BB1429" s="188"/>
      <c r="BC1429" s="188"/>
    </row>
    <row r="1430">
      <c r="A1430" s="188"/>
      <c r="B1430" s="188"/>
      <c r="C1430" s="188"/>
      <c r="D1430" s="188"/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188"/>
      <c r="Q1430" s="188"/>
      <c r="R1430" s="188"/>
      <c r="S1430" s="188"/>
      <c r="T1430" s="188"/>
      <c r="U1430" s="188"/>
      <c r="V1430" s="188"/>
      <c r="W1430" s="188"/>
      <c r="X1430" s="188"/>
      <c r="Y1430" s="188"/>
      <c r="Z1430" s="188"/>
      <c r="AA1430" s="188"/>
      <c r="AB1430" s="188"/>
      <c r="AC1430" s="188"/>
      <c r="AD1430" s="188"/>
      <c r="AE1430" s="188"/>
      <c r="AF1430" s="188"/>
      <c r="AG1430" s="188"/>
      <c r="AH1430" s="188"/>
      <c r="AI1430" s="188"/>
      <c r="AJ1430" s="188"/>
      <c r="AK1430" s="188"/>
      <c r="AL1430" s="188"/>
      <c r="AM1430" s="188"/>
      <c r="AN1430" s="188"/>
      <c r="AO1430" s="188"/>
      <c r="AP1430" s="188"/>
      <c r="AQ1430" s="188"/>
      <c r="AR1430" s="188"/>
      <c r="AS1430" s="188"/>
      <c r="AT1430" s="188"/>
      <c r="AU1430" s="188"/>
      <c r="AV1430" s="188"/>
      <c r="AW1430" s="188"/>
      <c r="AX1430" s="188"/>
      <c r="AY1430" s="188"/>
      <c r="AZ1430" s="188"/>
      <c r="BA1430" s="188"/>
      <c r="BB1430" s="188"/>
      <c r="BC1430" s="188"/>
    </row>
    <row r="1431">
      <c r="A1431" s="188"/>
      <c r="B1431" s="188"/>
      <c r="C1431" s="188"/>
      <c r="D1431" s="188"/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188"/>
      <c r="Q1431" s="188"/>
      <c r="R1431" s="188"/>
      <c r="S1431" s="188"/>
      <c r="T1431" s="188"/>
      <c r="U1431" s="188"/>
      <c r="V1431" s="188"/>
      <c r="W1431" s="188"/>
      <c r="X1431" s="188"/>
      <c r="Y1431" s="188"/>
      <c r="Z1431" s="188"/>
      <c r="AA1431" s="188"/>
      <c r="AB1431" s="188"/>
      <c r="AC1431" s="188"/>
      <c r="AD1431" s="188"/>
      <c r="AE1431" s="188"/>
      <c r="AF1431" s="188"/>
      <c r="AG1431" s="188"/>
      <c r="AH1431" s="188"/>
      <c r="AI1431" s="188"/>
      <c r="AJ1431" s="188"/>
      <c r="AK1431" s="188"/>
      <c r="AL1431" s="188"/>
      <c r="AM1431" s="188"/>
      <c r="AN1431" s="188"/>
      <c r="AO1431" s="188"/>
      <c r="AP1431" s="188"/>
      <c r="AQ1431" s="188"/>
      <c r="AR1431" s="188"/>
      <c r="AS1431" s="188"/>
      <c r="AT1431" s="188"/>
      <c r="AU1431" s="188"/>
      <c r="AV1431" s="188"/>
      <c r="AW1431" s="188"/>
      <c r="AX1431" s="188"/>
      <c r="AY1431" s="188"/>
      <c r="AZ1431" s="188"/>
      <c r="BA1431" s="188"/>
      <c r="BB1431" s="188"/>
      <c r="BC1431" s="188"/>
    </row>
    <row r="1432">
      <c r="A1432" s="188"/>
      <c r="B1432" s="188"/>
      <c r="C1432" s="188"/>
      <c r="D1432" s="188"/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188"/>
      <c r="Q1432" s="188"/>
      <c r="R1432" s="188"/>
      <c r="S1432" s="188"/>
      <c r="T1432" s="188"/>
      <c r="U1432" s="188"/>
      <c r="V1432" s="188"/>
      <c r="W1432" s="188"/>
      <c r="X1432" s="188"/>
      <c r="Y1432" s="188"/>
      <c r="Z1432" s="188"/>
      <c r="AA1432" s="188"/>
      <c r="AB1432" s="188"/>
      <c r="AC1432" s="188"/>
      <c r="AD1432" s="188"/>
      <c r="AE1432" s="188"/>
      <c r="AF1432" s="188"/>
      <c r="AG1432" s="188"/>
      <c r="AH1432" s="188"/>
      <c r="AI1432" s="188"/>
      <c r="AJ1432" s="188"/>
      <c r="AK1432" s="188"/>
      <c r="AL1432" s="188"/>
      <c r="AM1432" s="188"/>
      <c r="AN1432" s="188"/>
      <c r="AO1432" s="188"/>
      <c r="AP1432" s="188"/>
      <c r="AQ1432" s="188"/>
      <c r="AR1432" s="188"/>
      <c r="AS1432" s="188"/>
      <c r="AT1432" s="188"/>
      <c r="AU1432" s="188"/>
      <c r="AV1432" s="188"/>
      <c r="AW1432" s="188"/>
      <c r="AX1432" s="188"/>
      <c r="AY1432" s="188"/>
      <c r="AZ1432" s="188"/>
      <c r="BA1432" s="188"/>
      <c r="BB1432" s="188"/>
      <c r="BC1432" s="188"/>
    </row>
    <row r="1433">
      <c r="A1433" s="188"/>
      <c r="B1433" s="188"/>
      <c r="C1433" s="188"/>
      <c r="D1433" s="188"/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188"/>
      <c r="Q1433" s="188"/>
      <c r="R1433" s="188"/>
      <c r="S1433" s="188"/>
      <c r="T1433" s="188"/>
      <c r="U1433" s="188"/>
      <c r="V1433" s="188"/>
      <c r="W1433" s="188"/>
      <c r="X1433" s="188"/>
      <c r="Y1433" s="188"/>
      <c r="Z1433" s="188"/>
      <c r="AA1433" s="188"/>
      <c r="AB1433" s="188"/>
      <c r="AC1433" s="188"/>
      <c r="AD1433" s="188"/>
      <c r="AE1433" s="188"/>
      <c r="AF1433" s="188"/>
      <c r="AG1433" s="188"/>
      <c r="AH1433" s="188"/>
      <c r="AI1433" s="188"/>
      <c r="AJ1433" s="188"/>
      <c r="AK1433" s="188"/>
      <c r="AL1433" s="188"/>
      <c r="AM1433" s="188"/>
      <c r="AN1433" s="188"/>
      <c r="AO1433" s="188"/>
      <c r="AP1433" s="188"/>
      <c r="AQ1433" s="188"/>
      <c r="AR1433" s="188"/>
      <c r="AS1433" s="188"/>
      <c r="AT1433" s="188"/>
      <c r="AU1433" s="188"/>
      <c r="AV1433" s="188"/>
      <c r="AW1433" s="188"/>
      <c r="AX1433" s="188"/>
      <c r="AY1433" s="188"/>
      <c r="AZ1433" s="188"/>
      <c r="BA1433" s="188"/>
      <c r="BB1433" s="188"/>
      <c r="BC1433" s="188"/>
    </row>
    <row r="1434">
      <c r="A1434" s="188"/>
      <c r="B1434" s="188"/>
      <c r="C1434" s="188"/>
      <c r="D1434" s="188"/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188"/>
      <c r="Q1434" s="188"/>
      <c r="R1434" s="188"/>
      <c r="S1434" s="188"/>
      <c r="T1434" s="188"/>
      <c r="U1434" s="188"/>
      <c r="V1434" s="188"/>
      <c r="W1434" s="188"/>
      <c r="X1434" s="188"/>
      <c r="Y1434" s="188"/>
      <c r="Z1434" s="188"/>
      <c r="AA1434" s="188"/>
      <c r="AB1434" s="188"/>
      <c r="AC1434" s="188"/>
      <c r="AD1434" s="188"/>
      <c r="AE1434" s="188"/>
      <c r="AF1434" s="188"/>
      <c r="AG1434" s="188"/>
      <c r="AH1434" s="188"/>
      <c r="AI1434" s="188"/>
      <c r="AJ1434" s="188"/>
      <c r="AK1434" s="188"/>
      <c r="AL1434" s="188"/>
      <c r="AM1434" s="188"/>
      <c r="AN1434" s="188"/>
      <c r="AO1434" s="188"/>
      <c r="AP1434" s="188"/>
      <c r="AQ1434" s="188"/>
      <c r="AR1434" s="188"/>
      <c r="AS1434" s="188"/>
      <c r="AT1434" s="188"/>
      <c r="AU1434" s="188"/>
      <c r="AV1434" s="188"/>
      <c r="AW1434" s="188"/>
      <c r="AX1434" s="188"/>
      <c r="AY1434" s="188"/>
      <c r="AZ1434" s="188"/>
      <c r="BA1434" s="188"/>
      <c r="BB1434" s="188"/>
      <c r="BC1434" s="188"/>
    </row>
    <row r="1435">
      <c r="A1435" s="188"/>
      <c r="B1435" s="188"/>
      <c r="C1435" s="188"/>
      <c r="D1435" s="188"/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188"/>
      <c r="Q1435" s="188"/>
      <c r="R1435" s="188"/>
      <c r="S1435" s="188"/>
      <c r="T1435" s="188"/>
      <c r="U1435" s="188"/>
      <c r="V1435" s="188"/>
      <c r="W1435" s="188"/>
      <c r="X1435" s="188"/>
      <c r="Y1435" s="188"/>
      <c r="Z1435" s="188"/>
      <c r="AA1435" s="188"/>
      <c r="AB1435" s="188"/>
      <c r="AC1435" s="188"/>
      <c r="AD1435" s="188"/>
      <c r="AE1435" s="188"/>
      <c r="AF1435" s="188"/>
      <c r="AG1435" s="188"/>
      <c r="AH1435" s="188"/>
      <c r="AI1435" s="188"/>
      <c r="AJ1435" s="188"/>
      <c r="AK1435" s="188"/>
      <c r="AL1435" s="188"/>
      <c r="AM1435" s="188"/>
      <c r="AN1435" s="188"/>
      <c r="AO1435" s="188"/>
      <c r="AP1435" s="188"/>
      <c r="AQ1435" s="188"/>
      <c r="AR1435" s="188"/>
      <c r="AS1435" s="188"/>
      <c r="AT1435" s="188"/>
      <c r="AU1435" s="188"/>
      <c r="AV1435" s="188"/>
      <c r="AW1435" s="188"/>
      <c r="AX1435" s="188"/>
      <c r="AY1435" s="188"/>
      <c r="AZ1435" s="188"/>
      <c r="BA1435" s="188"/>
      <c r="BB1435" s="188"/>
      <c r="BC1435" s="188"/>
    </row>
    <row r="1436">
      <c r="A1436" s="188"/>
      <c r="B1436" s="188"/>
      <c r="C1436" s="188"/>
      <c r="D1436" s="188"/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188"/>
      <c r="Q1436" s="188"/>
      <c r="R1436" s="188"/>
      <c r="S1436" s="188"/>
      <c r="T1436" s="188"/>
      <c r="U1436" s="188"/>
      <c r="V1436" s="188"/>
      <c r="W1436" s="188"/>
      <c r="X1436" s="188"/>
      <c r="Y1436" s="188"/>
      <c r="Z1436" s="188"/>
      <c r="AA1436" s="188"/>
      <c r="AB1436" s="188"/>
      <c r="AC1436" s="188"/>
      <c r="AD1436" s="188"/>
      <c r="AE1436" s="188"/>
      <c r="AF1436" s="188"/>
      <c r="AG1436" s="188"/>
      <c r="AH1436" s="188"/>
      <c r="AI1436" s="188"/>
      <c r="AJ1436" s="188"/>
      <c r="AK1436" s="188"/>
      <c r="AL1436" s="188"/>
      <c r="AM1436" s="188"/>
      <c r="AN1436" s="188"/>
      <c r="AO1436" s="188"/>
      <c r="AP1436" s="188"/>
      <c r="AQ1436" s="188"/>
      <c r="AR1436" s="188"/>
      <c r="AS1436" s="188"/>
      <c r="AT1436" s="188"/>
      <c r="AU1436" s="188"/>
      <c r="AV1436" s="188"/>
      <c r="AW1436" s="188"/>
      <c r="AX1436" s="188"/>
      <c r="AY1436" s="188"/>
      <c r="AZ1436" s="188"/>
      <c r="BA1436" s="188"/>
      <c r="BB1436" s="188"/>
      <c r="BC1436" s="188"/>
    </row>
    <row r="1437">
      <c r="A1437" s="188"/>
      <c r="B1437" s="188"/>
      <c r="C1437" s="188"/>
      <c r="D1437" s="188"/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188"/>
      <c r="Q1437" s="188"/>
      <c r="R1437" s="188"/>
      <c r="S1437" s="188"/>
      <c r="T1437" s="188"/>
      <c r="U1437" s="188"/>
      <c r="V1437" s="188"/>
      <c r="W1437" s="188"/>
      <c r="X1437" s="188"/>
      <c r="Y1437" s="188"/>
      <c r="Z1437" s="188"/>
      <c r="AA1437" s="188"/>
      <c r="AB1437" s="188"/>
      <c r="AC1437" s="188"/>
      <c r="AD1437" s="188"/>
      <c r="AE1437" s="188"/>
      <c r="AF1437" s="188"/>
      <c r="AG1437" s="188"/>
      <c r="AH1437" s="188"/>
      <c r="AI1437" s="188"/>
      <c r="AJ1437" s="188"/>
      <c r="AK1437" s="188"/>
      <c r="AL1437" s="188"/>
      <c r="AM1437" s="188"/>
      <c r="AN1437" s="188"/>
      <c r="AO1437" s="188"/>
      <c r="AP1437" s="188"/>
      <c r="AQ1437" s="188"/>
      <c r="AR1437" s="188"/>
      <c r="AS1437" s="188"/>
      <c r="AT1437" s="188"/>
      <c r="AU1437" s="188"/>
      <c r="AV1437" s="188"/>
      <c r="AW1437" s="188"/>
      <c r="AX1437" s="188"/>
      <c r="AY1437" s="188"/>
      <c r="AZ1437" s="188"/>
      <c r="BA1437" s="188"/>
      <c r="BB1437" s="188"/>
      <c r="BC1437" s="188"/>
    </row>
    <row r="1438">
      <c r="A1438" s="188"/>
      <c r="B1438" s="188"/>
      <c r="C1438" s="188"/>
      <c r="D1438" s="188"/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188"/>
      <c r="Q1438" s="188"/>
      <c r="R1438" s="188"/>
      <c r="S1438" s="188"/>
      <c r="T1438" s="188"/>
      <c r="U1438" s="188"/>
      <c r="V1438" s="188"/>
      <c r="W1438" s="188"/>
      <c r="X1438" s="188"/>
      <c r="Y1438" s="188"/>
      <c r="Z1438" s="188"/>
      <c r="AA1438" s="188"/>
      <c r="AB1438" s="188"/>
      <c r="AC1438" s="188"/>
      <c r="AD1438" s="188"/>
      <c r="AE1438" s="188"/>
      <c r="AF1438" s="188"/>
      <c r="AG1438" s="188"/>
      <c r="AH1438" s="188"/>
      <c r="AI1438" s="188"/>
      <c r="AJ1438" s="188"/>
      <c r="AK1438" s="188"/>
      <c r="AL1438" s="188"/>
      <c r="AM1438" s="188"/>
      <c r="AN1438" s="188"/>
      <c r="AO1438" s="188"/>
      <c r="AP1438" s="188"/>
      <c r="AQ1438" s="188"/>
      <c r="AR1438" s="188"/>
      <c r="AS1438" s="188"/>
      <c r="AT1438" s="188"/>
      <c r="AU1438" s="188"/>
      <c r="AV1438" s="188"/>
      <c r="AW1438" s="188"/>
      <c r="AX1438" s="188"/>
      <c r="AY1438" s="188"/>
      <c r="AZ1438" s="188"/>
      <c r="BA1438" s="188"/>
      <c r="BB1438" s="188"/>
      <c r="BC1438" s="188"/>
    </row>
    <row r="1439">
      <c r="A1439" s="188"/>
      <c r="B1439" s="188"/>
      <c r="C1439" s="188"/>
      <c r="D1439" s="188"/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188"/>
      <c r="Q1439" s="188"/>
      <c r="R1439" s="188"/>
      <c r="S1439" s="188"/>
      <c r="T1439" s="188"/>
      <c r="U1439" s="188"/>
      <c r="V1439" s="188"/>
      <c r="W1439" s="188"/>
      <c r="X1439" s="188"/>
      <c r="Y1439" s="188"/>
      <c r="Z1439" s="188"/>
      <c r="AA1439" s="188"/>
      <c r="AB1439" s="188"/>
      <c r="AC1439" s="188"/>
      <c r="AD1439" s="188"/>
      <c r="AE1439" s="188"/>
      <c r="AF1439" s="188"/>
      <c r="AG1439" s="188"/>
      <c r="AH1439" s="188"/>
      <c r="AI1439" s="188"/>
      <c r="AJ1439" s="188"/>
      <c r="AK1439" s="188"/>
      <c r="AL1439" s="188"/>
      <c r="AM1439" s="188"/>
      <c r="AN1439" s="188"/>
      <c r="AO1439" s="188"/>
      <c r="AP1439" s="188"/>
      <c r="AQ1439" s="188"/>
      <c r="AR1439" s="188"/>
      <c r="AS1439" s="188"/>
      <c r="AT1439" s="188"/>
      <c r="AU1439" s="188"/>
      <c r="AV1439" s="188"/>
      <c r="AW1439" s="188"/>
      <c r="AX1439" s="188"/>
      <c r="AY1439" s="188"/>
      <c r="AZ1439" s="188"/>
      <c r="BA1439" s="188"/>
      <c r="BB1439" s="188"/>
      <c r="BC1439" s="188"/>
    </row>
    <row r="1440">
      <c r="A1440" s="188"/>
      <c r="B1440" s="188"/>
      <c r="C1440" s="188"/>
      <c r="D1440" s="188"/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188"/>
      <c r="Q1440" s="188"/>
      <c r="R1440" s="188"/>
      <c r="S1440" s="188"/>
      <c r="T1440" s="188"/>
      <c r="U1440" s="188"/>
      <c r="V1440" s="188"/>
      <c r="W1440" s="188"/>
      <c r="X1440" s="188"/>
      <c r="Y1440" s="188"/>
      <c r="Z1440" s="188"/>
      <c r="AA1440" s="188"/>
      <c r="AB1440" s="188"/>
      <c r="AC1440" s="188"/>
      <c r="AD1440" s="188"/>
      <c r="AE1440" s="188"/>
      <c r="AF1440" s="188"/>
      <c r="AG1440" s="188"/>
      <c r="AH1440" s="188"/>
      <c r="AI1440" s="188"/>
      <c r="AJ1440" s="188"/>
      <c r="AK1440" s="188"/>
      <c r="AL1440" s="188"/>
      <c r="AM1440" s="188"/>
      <c r="AN1440" s="188"/>
      <c r="AO1440" s="188"/>
      <c r="AP1440" s="188"/>
      <c r="AQ1440" s="188"/>
      <c r="AR1440" s="188"/>
      <c r="AS1440" s="188"/>
      <c r="AT1440" s="188"/>
      <c r="AU1440" s="188"/>
      <c r="AV1440" s="188"/>
      <c r="AW1440" s="188"/>
      <c r="AX1440" s="188"/>
      <c r="AY1440" s="188"/>
      <c r="AZ1440" s="188"/>
      <c r="BA1440" s="188"/>
      <c r="BB1440" s="188"/>
      <c r="BC1440" s="188"/>
    </row>
    <row r="1441">
      <c r="A1441" s="188"/>
      <c r="B1441" s="188"/>
      <c r="C1441" s="188"/>
      <c r="D1441" s="188"/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188"/>
      <c r="Q1441" s="188"/>
      <c r="R1441" s="188"/>
      <c r="S1441" s="188"/>
      <c r="T1441" s="188"/>
      <c r="U1441" s="188"/>
      <c r="V1441" s="188"/>
      <c r="W1441" s="188"/>
      <c r="X1441" s="188"/>
      <c r="Y1441" s="188"/>
      <c r="Z1441" s="188"/>
      <c r="AA1441" s="188"/>
      <c r="AB1441" s="188"/>
      <c r="AC1441" s="188"/>
      <c r="AD1441" s="188"/>
      <c r="AE1441" s="188"/>
      <c r="AF1441" s="188"/>
      <c r="AG1441" s="188"/>
      <c r="AH1441" s="188"/>
      <c r="AI1441" s="188"/>
      <c r="AJ1441" s="188"/>
      <c r="AK1441" s="188"/>
      <c r="AL1441" s="188"/>
      <c r="AM1441" s="188"/>
      <c r="AN1441" s="188"/>
      <c r="AO1441" s="188"/>
      <c r="AP1441" s="188"/>
      <c r="AQ1441" s="188"/>
      <c r="AR1441" s="188"/>
      <c r="AS1441" s="188"/>
      <c r="AT1441" s="188"/>
      <c r="AU1441" s="188"/>
      <c r="AV1441" s="188"/>
      <c r="AW1441" s="188"/>
      <c r="AX1441" s="188"/>
      <c r="AY1441" s="188"/>
      <c r="AZ1441" s="188"/>
      <c r="BA1441" s="188"/>
      <c r="BB1441" s="188"/>
      <c r="BC1441" s="188"/>
    </row>
    <row r="1442">
      <c r="A1442" s="188"/>
      <c r="B1442" s="188"/>
      <c r="C1442" s="188"/>
      <c r="D1442" s="188"/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188"/>
      <c r="Q1442" s="188"/>
      <c r="R1442" s="188"/>
      <c r="S1442" s="188"/>
      <c r="T1442" s="188"/>
      <c r="U1442" s="188"/>
      <c r="V1442" s="188"/>
      <c r="W1442" s="188"/>
      <c r="X1442" s="188"/>
      <c r="Y1442" s="188"/>
      <c r="Z1442" s="188"/>
      <c r="AA1442" s="188"/>
      <c r="AB1442" s="188"/>
      <c r="AC1442" s="188"/>
      <c r="AD1442" s="188"/>
      <c r="AE1442" s="188"/>
      <c r="AF1442" s="188"/>
      <c r="AG1442" s="188"/>
      <c r="AH1442" s="188"/>
      <c r="AI1442" s="188"/>
      <c r="AJ1442" s="188"/>
      <c r="AK1442" s="188"/>
      <c r="AL1442" s="188"/>
      <c r="AM1442" s="188"/>
      <c r="AN1442" s="188"/>
      <c r="AO1442" s="188"/>
      <c r="AP1442" s="188"/>
      <c r="AQ1442" s="188"/>
      <c r="AR1442" s="188"/>
      <c r="AS1442" s="188"/>
      <c r="AT1442" s="188"/>
      <c r="AU1442" s="188"/>
      <c r="AV1442" s="188"/>
      <c r="AW1442" s="188"/>
      <c r="AX1442" s="188"/>
      <c r="AY1442" s="188"/>
      <c r="AZ1442" s="188"/>
      <c r="BA1442" s="188"/>
      <c r="BB1442" s="188"/>
      <c r="BC1442" s="188"/>
    </row>
    <row r="1443">
      <c r="A1443" s="188"/>
      <c r="B1443" s="188"/>
      <c r="C1443" s="188"/>
      <c r="D1443" s="188"/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188"/>
      <c r="Q1443" s="188"/>
      <c r="R1443" s="188"/>
      <c r="S1443" s="188"/>
      <c r="T1443" s="188"/>
      <c r="U1443" s="188"/>
      <c r="V1443" s="188"/>
      <c r="W1443" s="188"/>
      <c r="X1443" s="188"/>
      <c r="Y1443" s="188"/>
      <c r="Z1443" s="188"/>
      <c r="AA1443" s="188"/>
      <c r="AB1443" s="188"/>
      <c r="AC1443" s="188"/>
      <c r="AD1443" s="188"/>
      <c r="AE1443" s="188"/>
      <c r="AF1443" s="188"/>
      <c r="AG1443" s="188"/>
      <c r="AH1443" s="188"/>
      <c r="AI1443" s="188"/>
      <c r="AJ1443" s="188"/>
      <c r="AK1443" s="188"/>
      <c r="AL1443" s="188"/>
      <c r="AM1443" s="188"/>
      <c r="AN1443" s="188"/>
      <c r="AO1443" s="188"/>
      <c r="AP1443" s="188"/>
      <c r="AQ1443" s="188"/>
      <c r="AR1443" s="188"/>
      <c r="AS1443" s="188"/>
      <c r="AT1443" s="188"/>
      <c r="AU1443" s="188"/>
      <c r="AV1443" s="188"/>
      <c r="AW1443" s="188"/>
      <c r="AX1443" s="188"/>
      <c r="AY1443" s="188"/>
      <c r="AZ1443" s="188"/>
      <c r="BA1443" s="188"/>
      <c r="BB1443" s="188"/>
      <c r="BC1443" s="188"/>
    </row>
    <row r="1444">
      <c r="A1444" s="188"/>
      <c r="B1444" s="188"/>
      <c r="C1444" s="188"/>
      <c r="D1444" s="188"/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188"/>
      <c r="Q1444" s="188"/>
      <c r="R1444" s="188"/>
      <c r="S1444" s="188"/>
      <c r="T1444" s="188"/>
      <c r="U1444" s="188"/>
      <c r="V1444" s="188"/>
      <c r="W1444" s="188"/>
      <c r="X1444" s="188"/>
      <c r="Y1444" s="188"/>
      <c r="Z1444" s="188"/>
      <c r="AA1444" s="188"/>
      <c r="AB1444" s="188"/>
      <c r="AC1444" s="188"/>
      <c r="AD1444" s="188"/>
      <c r="AE1444" s="188"/>
      <c r="AF1444" s="188"/>
      <c r="AG1444" s="188"/>
      <c r="AH1444" s="188"/>
      <c r="AI1444" s="188"/>
      <c r="AJ1444" s="188"/>
      <c r="AK1444" s="188"/>
      <c r="AL1444" s="188"/>
      <c r="AM1444" s="188"/>
      <c r="AN1444" s="188"/>
      <c r="AO1444" s="188"/>
      <c r="AP1444" s="188"/>
      <c r="AQ1444" s="188"/>
      <c r="AR1444" s="188"/>
      <c r="AS1444" s="188"/>
      <c r="AT1444" s="188"/>
      <c r="AU1444" s="188"/>
      <c r="AV1444" s="188"/>
      <c r="AW1444" s="188"/>
      <c r="AX1444" s="188"/>
      <c r="AY1444" s="188"/>
      <c r="AZ1444" s="188"/>
      <c r="BA1444" s="188"/>
      <c r="BB1444" s="188"/>
      <c r="BC1444" s="188"/>
    </row>
    <row r="1445">
      <c r="A1445" s="188"/>
      <c r="B1445" s="188"/>
      <c r="C1445" s="188"/>
      <c r="D1445" s="188"/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188"/>
      <c r="Q1445" s="188"/>
      <c r="R1445" s="188"/>
      <c r="S1445" s="188"/>
      <c r="T1445" s="188"/>
      <c r="U1445" s="188"/>
      <c r="V1445" s="188"/>
      <c r="W1445" s="188"/>
      <c r="X1445" s="188"/>
      <c r="Y1445" s="188"/>
      <c r="Z1445" s="188"/>
      <c r="AA1445" s="188"/>
      <c r="AB1445" s="188"/>
      <c r="AC1445" s="188"/>
      <c r="AD1445" s="188"/>
      <c r="AE1445" s="188"/>
      <c r="AF1445" s="188"/>
      <c r="AG1445" s="188"/>
      <c r="AH1445" s="188"/>
      <c r="AI1445" s="188"/>
      <c r="AJ1445" s="188"/>
      <c r="AK1445" s="188"/>
      <c r="AL1445" s="188"/>
      <c r="AM1445" s="188"/>
      <c r="AN1445" s="188"/>
      <c r="AO1445" s="188"/>
      <c r="AP1445" s="188"/>
      <c r="AQ1445" s="188"/>
      <c r="AR1445" s="188"/>
      <c r="AS1445" s="188"/>
      <c r="AT1445" s="188"/>
      <c r="AU1445" s="188"/>
      <c r="AV1445" s="188"/>
      <c r="AW1445" s="188"/>
      <c r="AX1445" s="188"/>
      <c r="AY1445" s="188"/>
      <c r="AZ1445" s="188"/>
      <c r="BA1445" s="188"/>
      <c r="BB1445" s="188"/>
      <c r="BC1445" s="188"/>
    </row>
    <row r="1446">
      <c r="A1446" s="188"/>
      <c r="B1446" s="188"/>
      <c r="C1446" s="188"/>
      <c r="D1446" s="188"/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188"/>
      <c r="Q1446" s="188"/>
      <c r="R1446" s="188"/>
      <c r="S1446" s="188"/>
      <c r="T1446" s="188"/>
      <c r="U1446" s="188"/>
      <c r="V1446" s="188"/>
      <c r="W1446" s="188"/>
      <c r="X1446" s="188"/>
      <c r="Y1446" s="188"/>
      <c r="Z1446" s="188"/>
      <c r="AA1446" s="188"/>
      <c r="AB1446" s="188"/>
      <c r="AC1446" s="188"/>
      <c r="AD1446" s="188"/>
      <c r="AE1446" s="188"/>
      <c r="AF1446" s="188"/>
      <c r="AG1446" s="188"/>
      <c r="AH1446" s="188"/>
      <c r="AI1446" s="188"/>
      <c r="AJ1446" s="188"/>
      <c r="AK1446" s="188"/>
      <c r="AL1446" s="188"/>
      <c r="AM1446" s="188"/>
      <c r="AN1446" s="188"/>
      <c r="AO1446" s="188"/>
      <c r="AP1446" s="188"/>
      <c r="AQ1446" s="188"/>
      <c r="AR1446" s="188"/>
      <c r="AS1446" s="188"/>
      <c r="AT1446" s="188"/>
      <c r="AU1446" s="188"/>
      <c r="AV1446" s="188"/>
      <c r="AW1446" s="188"/>
      <c r="AX1446" s="188"/>
      <c r="AY1446" s="188"/>
      <c r="AZ1446" s="188"/>
      <c r="BA1446" s="188"/>
      <c r="BB1446" s="188"/>
      <c r="BC1446" s="188"/>
    </row>
    <row r="1447">
      <c r="A1447" s="188"/>
      <c r="B1447" s="188"/>
      <c r="C1447" s="188"/>
      <c r="D1447" s="188"/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188"/>
      <c r="Q1447" s="188"/>
      <c r="R1447" s="188"/>
      <c r="S1447" s="188"/>
      <c r="T1447" s="188"/>
      <c r="U1447" s="188"/>
      <c r="V1447" s="188"/>
      <c r="W1447" s="188"/>
      <c r="X1447" s="188"/>
      <c r="Y1447" s="188"/>
      <c r="Z1447" s="188"/>
      <c r="AA1447" s="188"/>
      <c r="AB1447" s="188"/>
      <c r="AC1447" s="188"/>
      <c r="AD1447" s="188"/>
      <c r="AE1447" s="188"/>
      <c r="AF1447" s="188"/>
      <c r="AG1447" s="188"/>
      <c r="AH1447" s="188"/>
      <c r="AI1447" s="188"/>
      <c r="AJ1447" s="188"/>
      <c r="AK1447" s="188"/>
      <c r="AL1447" s="188"/>
      <c r="AM1447" s="188"/>
      <c r="AN1447" s="188"/>
      <c r="AO1447" s="188"/>
      <c r="AP1447" s="188"/>
      <c r="AQ1447" s="188"/>
      <c r="AR1447" s="188"/>
      <c r="AS1447" s="188"/>
      <c r="AT1447" s="188"/>
      <c r="AU1447" s="188"/>
      <c r="AV1447" s="188"/>
      <c r="AW1447" s="188"/>
      <c r="AX1447" s="188"/>
      <c r="AY1447" s="188"/>
      <c r="AZ1447" s="188"/>
      <c r="BA1447" s="188"/>
      <c r="BB1447" s="188"/>
      <c r="BC1447" s="188"/>
    </row>
    <row r="1448">
      <c r="A1448" s="188"/>
      <c r="B1448" s="188"/>
      <c r="C1448" s="188"/>
      <c r="D1448" s="188"/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188"/>
      <c r="Q1448" s="188"/>
      <c r="R1448" s="188"/>
      <c r="S1448" s="188"/>
      <c r="T1448" s="188"/>
      <c r="U1448" s="188"/>
      <c r="V1448" s="188"/>
      <c r="W1448" s="188"/>
      <c r="X1448" s="188"/>
      <c r="Y1448" s="188"/>
      <c r="Z1448" s="188"/>
      <c r="AA1448" s="188"/>
      <c r="AB1448" s="188"/>
      <c r="AC1448" s="188"/>
      <c r="AD1448" s="188"/>
      <c r="AE1448" s="188"/>
      <c r="AF1448" s="188"/>
      <c r="AG1448" s="188"/>
      <c r="AH1448" s="188"/>
      <c r="AI1448" s="188"/>
      <c r="AJ1448" s="188"/>
      <c r="AK1448" s="188"/>
      <c r="AL1448" s="188"/>
      <c r="AM1448" s="188"/>
      <c r="AN1448" s="188"/>
      <c r="AO1448" s="188"/>
      <c r="AP1448" s="188"/>
      <c r="AQ1448" s="188"/>
      <c r="AR1448" s="188"/>
      <c r="AS1448" s="188"/>
      <c r="AT1448" s="188"/>
      <c r="AU1448" s="188"/>
      <c r="AV1448" s="188"/>
      <c r="AW1448" s="188"/>
      <c r="AX1448" s="188"/>
      <c r="AY1448" s="188"/>
      <c r="AZ1448" s="188"/>
      <c r="BA1448" s="188"/>
      <c r="BB1448" s="188"/>
      <c r="BC1448" s="188"/>
    </row>
    <row r="1449">
      <c r="A1449" s="188"/>
      <c r="B1449" s="188"/>
      <c r="C1449" s="188"/>
      <c r="D1449" s="188"/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188"/>
      <c r="Q1449" s="188"/>
      <c r="R1449" s="188"/>
      <c r="S1449" s="188"/>
      <c r="T1449" s="188"/>
      <c r="U1449" s="188"/>
      <c r="V1449" s="188"/>
      <c r="W1449" s="188"/>
      <c r="X1449" s="188"/>
      <c r="Y1449" s="188"/>
      <c r="Z1449" s="188"/>
      <c r="AA1449" s="188"/>
      <c r="AB1449" s="188"/>
      <c r="AC1449" s="188"/>
      <c r="AD1449" s="188"/>
      <c r="AE1449" s="188"/>
      <c r="AF1449" s="188"/>
      <c r="AG1449" s="188"/>
      <c r="AH1449" s="188"/>
      <c r="AI1449" s="188"/>
      <c r="AJ1449" s="188"/>
      <c r="AK1449" s="188"/>
      <c r="AL1449" s="188"/>
      <c r="AM1449" s="188"/>
      <c r="AN1449" s="188"/>
      <c r="AO1449" s="188"/>
      <c r="AP1449" s="188"/>
      <c r="AQ1449" s="188"/>
      <c r="AR1449" s="188"/>
      <c r="AS1449" s="188"/>
      <c r="AT1449" s="188"/>
      <c r="AU1449" s="188"/>
      <c r="AV1449" s="188"/>
      <c r="AW1449" s="188"/>
      <c r="AX1449" s="188"/>
      <c r="AY1449" s="188"/>
      <c r="AZ1449" s="188"/>
      <c r="BA1449" s="188"/>
      <c r="BB1449" s="188"/>
      <c r="BC1449" s="188"/>
    </row>
    <row r="1450">
      <c r="A1450" s="188"/>
      <c r="B1450" s="188"/>
      <c r="C1450" s="188"/>
      <c r="D1450" s="188"/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188"/>
      <c r="Q1450" s="188"/>
      <c r="R1450" s="188"/>
      <c r="S1450" s="188"/>
      <c r="T1450" s="188"/>
      <c r="U1450" s="188"/>
      <c r="V1450" s="188"/>
      <c r="W1450" s="188"/>
      <c r="X1450" s="188"/>
      <c r="Y1450" s="188"/>
      <c r="Z1450" s="188"/>
      <c r="AA1450" s="188"/>
      <c r="AB1450" s="188"/>
      <c r="AC1450" s="188"/>
      <c r="AD1450" s="188"/>
      <c r="AE1450" s="188"/>
      <c r="AF1450" s="188"/>
      <c r="AG1450" s="188"/>
      <c r="AH1450" s="188"/>
      <c r="AI1450" s="188"/>
      <c r="AJ1450" s="188"/>
      <c r="AK1450" s="188"/>
      <c r="AL1450" s="188"/>
      <c r="AM1450" s="188"/>
      <c r="AN1450" s="188"/>
      <c r="AO1450" s="188"/>
      <c r="AP1450" s="188"/>
      <c r="AQ1450" s="188"/>
      <c r="AR1450" s="188"/>
      <c r="AS1450" s="188"/>
      <c r="AT1450" s="188"/>
      <c r="AU1450" s="188"/>
      <c r="AV1450" s="188"/>
      <c r="AW1450" s="188"/>
      <c r="AX1450" s="188"/>
      <c r="AY1450" s="188"/>
      <c r="AZ1450" s="188"/>
      <c r="BA1450" s="188"/>
      <c r="BB1450" s="188"/>
      <c r="BC1450" s="188"/>
    </row>
    <row r="1451">
      <c r="A1451" s="188"/>
      <c r="B1451" s="188"/>
      <c r="C1451" s="188"/>
      <c r="D1451" s="188"/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188"/>
      <c r="Q1451" s="188"/>
      <c r="R1451" s="188"/>
      <c r="S1451" s="188"/>
      <c r="T1451" s="188"/>
      <c r="U1451" s="188"/>
      <c r="V1451" s="188"/>
      <c r="W1451" s="188"/>
      <c r="X1451" s="188"/>
      <c r="Y1451" s="188"/>
      <c r="Z1451" s="188"/>
      <c r="AA1451" s="188"/>
      <c r="AB1451" s="188"/>
      <c r="AC1451" s="188"/>
      <c r="AD1451" s="188"/>
      <c r="AE1451" s="188"/>
      <c r="AF1451" s="188"/>
      <c r="AG1451" s="188"/>
      <c r="AH1451" s="188"/>
      <c r="AI1451" s="188"/>
      <c r="AJ1451" s="188"/>
      <c r="AK1451" s="188"/>
      <c r="AL1451" s="188"/>
      <c r="AM1451" s="188"/>
      <c r="AN1451" s="188"/>
      <c r="AO1451" s="188"/>
      <c r="AP1451" s="188"/>
      <c r="AQ1451" s="188"/>
      <c r="AR1451" s="188"/>
      <c r="AS1451" s="188"/>
      <c r="AT1451" s="188"/>
      <c r="AU1451" s="188"/>
      <c r="AV1451" s="188"/>
      <c r="AW1451" s="188"/>
      <c r="AX1451" s="188"/>
      <c r="AY1451" s="188"/>
      <c r="AZ1451" s="188"/>
      <c r="BA1451" s="188"/>
      <c r="BB1451" s="188"/>
      <c r="BC1451" s="188"/>
    </row>
    <row r="1452">
      <c r="A1452" s="188"/>
      <c r="B1452" s="188"/>
      <c r="C1452" s="188"/>
      <c r="D1452" s="188"/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188"/>
      <c r="Q1452" s="188"/>
      <c r="R1452" s="188"/>
      <c r="S1452" s="188"/>
      <c r="T1452" s="188"/>
      <c r="U1452" s="188"/>
      <c r="V1452" s="188"/>
      <c r="W1452" s="188"/>
      <c r="X1452" s="188"/>
      <c r="Y1452" s="188"/>
      <c r="Z1452" s="188"/>
      <c r="AA1452" s="188"/>
      <c r="AB1452" s="188"/>
      <c r="AC1452" s="188"/>
      <c r="AD1452" s="188"/>
      <c r="AE1452" s="188"/>
      <c r="AF1452" s="188"/>
      <c r="AG1452" s="188"/>
      <c r="AH1452" s="188"/>
      <c r="AI1452" s="188"/>
      <c r="AJ1452" s="188"/>
      <c r="AK1452" s="188"/>
      <c r="AL1452" s="188"/>
      <c r="AM1452" s="188"/>
      <c r="AN1452" s="188"/>
      <c r="AO1452" s="188"/>
      <c r="AP1452" s="188"/>
      <c r="AQ1452" s="188"/>
      <c r="AR1452" s="188"/>
      <c r="AS1452" s="188"/>
      <c r="AT1452" s="188"/>
      <c r="AU1452" s="188"/>
      <c r="AV1452" s="188"/>
      <c r="AW1452" s="188"/>
      <c r="AX1452" s="188"/>
      <c r="AY1452" s="188"/>
      <c r="AZ1452" s="188"/>
      <c r="BA1452" s="188"/>
      <c r="BB1452" s="188"/>
      <c r="BC1452" s="188"/>
    </row>
    <row r="1453">
      <c r="A1453" s="188"/>
      <c r="B1453" s="188"/>
      <c r="C1453" s="188"/>
      <c r="D1453" s="188"/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188"/>
      <c r="Q1453" s="188"/>
      <c r="R1453" s="188"/>
      <c r="S1453" s="188"/>
      <c r="T1453" s="188"/>
      <c r="U1453" s="188"/>
      <c r="V1453" s="188"/>
      <c r="W1453" s="188"/>
      <c r="X1453" s="188"/>
      <c r="Y1453" s="188"/>
      <c r="Z1453" s="188"/>
      <c r="AA1453" s="188"/>
      <c r="AB1453" s="188"/>
      <c r="AC1453" s="188"/>
      <c r="AD1453" s="188"/>
      <c r="AE1453" s="188"/>
      <c r="AF1453" s="188"/>
      <c r="AG1453" s="188"/>
      <c r="AH1453" s="188"/>
      <c r="AI1453" s="188"/>
      <c r="AJ1453" s="188"/>
      <c r="AK1453" s="188"/>
      <c r="AL1453" s="188"/>
      <c r="AM1453" s="188"/>
      <c r="AN1453" s="188"/>
      <c r="AO1453" s="188"/>
      <c r="AP1453" s="188"/>
      <c r="AQ1453" s="188"/>
      <c r="AR1453" s="188"/>
      <c r="AS1453" s="188"/>
      <c r="AT1453" s="188"/>
      <c r="AU1453" s="188"/>
      <c r="AV1453" s="188"/>
      <c r="AW1453" s="188"/>
      <c r="AX1453" s="188"/>
      <c r="AY1453" s="188"/>
      <c r="AZ1453" s="188"/>
      <c r="BA1453" s="188"/>
      <c r="BB1453" s="188"/>
      <c r="BC1453" s="188"/>
    </row>
    <row r="1454">
      <c r="A1454" s="188"/>
      <c r="B1454" s="188"/>
      <c r="C1454" s="188"/>
      <c r="D1454" s="188"/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188"/>
      <c r="Q1454" s="188"/>
      <c r="R1454" s="188"/>
      <c r="S1454" s="188"/>
      <c r="T1454" s="188"/>
      <c r="U1454" s="188"/>
      <c r="V1454" s="188"/>
      <c r="W1454" s="188"/>
      <c r="X1454" s="188"/>
      <c r="Y1454" s="188"/>
      <c r="Z1454" s="188"/>
      <c r="AA1454" s="188"/>
      <c r="AB1454" s="188"/>
      <c r="AC1454" s="188"/>
      <c r="AD1454" s="188"/>
      <c r="AE1454" s="188"/>
      <c r="AF1454" s="188"/>
      <c r="AG1454" s="188"/>
      <c r="AH1454" s="188"/>
      <c r="AI1454" s="188"/>
      <c r="AJ1454" s="188"/>
      <c r="AK1454" s="188"/>
      <c r="AL1454" s="188"/>
      <c r="AM1454" s="188"/>
      <c r="AN1454" s="188"/>
      <c r="AO1454" s="188"/>
      <c r="AP1454" s="188"/>
      <c r="AQ1454" s="188"/>
      <c r="AR1454" s="188"/>
      <c r="AS1454" s="188"/>
      <c r="AT1454" s="188"/>
      <c r="AU1454" s="188"/>
      <c r="AV1454" s="188"/>
      <c r="AW1454" s="188"/>
      <c r="AX1454" s="188"/>
      <c r="AY1454" s="188"/>
      <c r="AZ1454" s="188"/>
      <c r="BA1454" s="188"/>
      <c r="BB1454" s="188"/>
      <c r="BC1454" s="188"/>
    </row>
    <row r="1455">
      <c r="A1455" s="188"/>
      <c r="B1455" s="188"/>
      <c r="C1455" s="188"/>
      <c r="D1455" s="188"/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188"/>
      <c r="Q1455" s="188"/>
      <c r="R1455" s="188"/>
      <c r="S1455" s="188"/>
      <c r="T1455" s="188"/>
      <c r="U1455" s="188"/>
      <c r="V1455" s="188"/>
      <c r="W1455" s="188"/>
      <c r="X1455" s="188"/>
      <c r="Y1455" s="188"/>
      <c r="Z1455" s="188"/>
      <c r="AA1455" s="188"/>
      <c r="AB1455" s="188"/>
      <c r="AC1455" s="188"/>
      <c r="AD1455" s="188"/>
      <c r="AE1455" s="188"/>
      <c r="AF1455" s="188"/>
      <c r="AG1455" s="188"/>
      <c r="AH1455" s="188"/>
      <c r="AI1455" s="188"/>
      <c r="AJ1455" s="188"/>
      <c r="AK1455" s="188"/>
      <c r="AL1455" s="188"/>
      <c r="AM1455" s="188"/>
      <c r="AN1455" s="188"/>
      <c r="AO1455" s="188"/>
      <c r="AP1455" s="188"/>
      <c r="AQ1455" s="188"/>
      <c r="AR1455" s="188"/>
      <c r="AS1455" s="188"/>
      <c r="AT1455" s="188"/>
      <c r="AU1455" s="188"/>
      <c r="AV1455" s="188"/>
      <c r="AW1455" s="188"/>
      <c r="AX1455" s="188"/>
      <c r="AY1455" s="188"/>
      <c r="AZ1455" s="188"/>
      <c r="BA1455" s="188"/>
      <c r="BB1455" s="188"/>
      <c r="BC1455" s="188"/>
    </row>
    <row r="1456">
      <c r="A1456" s="188"/>
      <c r="B1456" s="188"/>
      <c r="C1456" s="188"/>
      <c r="D1456" s="188"/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188"/>
      <c r="Q1456" s="188"/>
      <c r="R1456" s="188"/>
      <c r="S1456" s="188"/>
      <c r="T1456" s="188"/>
      <c r="U1456" s="188"/>
      <c r="V1456" s="188"/>
      <c r="W1456" s="188"/>
      <c r="X1456" s="188"/>
      <c r="Y1456" s="188"/>
      <c r="Z1456" s="188"/>
      <c r="AA1456" s="188"/>
      <c r="AB1456" s="188"/>
      <c r="AC1456" s="188"/>
      <c r="AD1456" s="188"/>
      <c r="AE1456" s="188"/>
      <c r="AF1456" s="188"/>
      <c r="AG1456" s="188"/>
      <c r="AH1456" s="188"/>
      <c r="AI1456" s="188"/>
      <c r="AJ1456" s="188"/>
      <c r="AK1456" s="188"/>
      <c r="AL1456" s="188"/>
      <c r="AM1456" s="188"/>
      <c r="AN1456" s="188"/>
      <c r="AO1456" s="188"/>
      <c r="AP1456" s="188"/>
      <c r="AQ1456" s="188"/>
      <c r="AR1456" s="188"/>
      <c r="AS1456" s="188"/>
      <c r="AT1456" s="188"/>
      <c r="AU1456" s="188"/>
      <c r="AV1456" s="188"/>
      <c r="AW1456" s="188"/>
      <c r="AX1456" s="188"/>
      <c r="AY1456" s="188"/>
      <c r="AZ1456" s="188"/>
      <c r="BA1456" s="188"/>
      <c r="BB1456" s="188"/>
      <c r="BC1456" s="188"/>
    </row>
    <row r="1457">
      <c r="A1457" s="188"/>
      <c r="B1457" s="188"/>
      <c r="C1457" s="188"/>
      <c r="D1457" s="188"/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188"/>
      <c r="Q1457" s="188"/>
      <c r="R1457" s="188"/>
      <c r="S1457" s="188"/>
      <c r="T1457" s="188"/>
      <c r="U1457" s="188"/>
      <c r="V1457" s="188"/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  <c r="AJ1457" s="188"/>
      <c r="AK1457" s="188"/>
      <c r="AL1457" s="188"/>
      <c r="AM1457" s="188"/>
      <c r="AN1457" s="188"/>
      <c r="AO1457" s="188"/>
      <c r="AP1457" s="188"/>
      <c r="AQ1457" s="188"/>
      <c r="AR1457" s="188"/>
      <c r="AS1457" s="188"/>
      <c r="AT1457" s="188"/>
      <c r="AU1457" s="188"/>
      <c r="AV1457" s="188"/>
      <c r="AW1457" s="188"/>
      <c r="AX1457" s="188"/>
      <c r="AY1457" s="188"/>
      <c r="AZ1457" s="188"/>
      <c r="BA1457" s="188"/>
      <c r="BB1457" s="188"/>
      <c r="BC1457" s="188"/>
    </row>
    <row r="1458">
      <c r="A1458" s="188"/>
      <c r="B1458" s="188"/>
      <c r="C1458" s="188"/>
      <c r="D1458" s="188"/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188"/>
      <c r="Q1458" s="188"/>
      <c r="R1458" s="188"/>
      <c r="S1458" s="188"/>
      <c r="T1458" s="188"/>
      <c r="U1458" s="188"/>
      <c r="V1458" s="188"/>
      <c r="W1458" s="188"/>
      <c r="X1458" s="188"/>
      <c r="Y1458" s="188"/>
      <c r="Z1458" s="188"/>
      <c r="AA1458" s="188"/>
      <c r="AB1458" s="188"/>
      <c r="AC1458" s="188"/>
      <c r="AD1458" s="188"/>
      <c r="AE1458" s="188"/>
      <c r="AF1458" s="188"/>
      <c r="AG1458" s="188"/>
      <c r="AH1458" s="188"/>
      <c r="AI1458" s="188"/>
      <c r="AJ1458" s="188"/>
      <c r="AK1458" s="188"/>
      <c r="AL1458" s="188"/>
      <c r="AM1458" s="188"/>
      <c r="AN1458" s="188"/>
      <c r="AO1458" s="188"/>
      <c r="AP1458" s="188"/>
      <c r="AQ1458" s="188"/>
      <c r="AR1458" s="188"/>
      <c r="AS1458" s="188"/>
      <c r="AT1458" s="188"/>
      <c r="AU1458" s="188"/>
      <c r="AV1458" s="188"/>
      <c r="AW1458" s="188"/>
      <c r="AX1458" s="188"/>
      <c r="AY1458" s="188"/>
      <c r="AZ1458" s="188"/>
      <c r="BA1458" s="188"/>
      <c r="BB1458" s="188"/>
      <c r="BC1458" s="188"/>
    </row>
    <row r="1459">
      <c r="A1459" s="188"/>
      <c r="B1459" s="188"/>
      <c r="C1459" s="188"/>
      <c r="D1459" s="188"/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188"/>
      <c r="Q1459" s="188"/>
      <c r="R1459" s="188"/>
      <c r="S1459" s="188"/>
      <c r="T1459" s="188"/>
      <c r="U1459" s="188"/>
      <c r="V1459" s="188"/>
      <c r="W1459" s="188"/>
      <c r="X1459" s="188"/>
      <c r="Y1459" s="188"/>
      <c r="Z1459" s="188"/>
      <c r="AA1459" s="188"/>
      <c r="AB1459" s="188"/>
      <c r="AC1459" s="188"/>
      <c r="AD1459" s="188"/>
      <c r="AE1459" s="188"/>
      <c r="AF1459" s="188"/>
      <c r="AG1459" s="188"/>
      <c r="AH1459" s="188"/>
      <c r="AI1459" s="188"/>
      <c r="AJ1459" s="188"/>
      <c r="AK1459" s="188"/>
      <c r="AL1459" s="188"/>
      <c r="AM1459" s="188"/>
      <c r="AN1459" s="188"/>
      <c r="AO1459" s="188"/>
      <c r="AP1459" s="188"/>
      <c r="AQ1459" s="188"/>
      <c r="AR1459" s="188"/>
      <c r="AS1459" s="188"/>
      <c r="AT1459" s="188"/>
      <c r="AU1459" s="188"/>
      <c r="AV1459" s="188"/>
      <c r="AW1459" s="188"/>
      <c r="AX1459" s="188"/>
      <c r="AY1459" s="188"/>
      <c r="AZ1459" s="188"/>
      <c r="BA1459" s="188"/>
      <c r="BB1459" s="188"/>
      <c r="BC1459" s="188"/>
    </row>
    <row r="1460">
      <c r="A1460" s="188"/>
      <c r="B1460" s="188"/>
      <c r="C1460" s="188"/>
      <c r="D1460" s="188"/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188"/>
      <c r="Q1460" s="188"/>
      <c r="R1460" s="188"/>
      <c r="S1460" s="188"/>
      <c r="T1460" s="188"/>
      <c r="U1460" s="188"/>
      <c r="V1460" s="188"/>
      <c r="W1460" s="188"/>
      <c r="X1460" s="188"/>
      <c r="Y1460" s="188"/>
      <c r="Z1460" s="188"/>
      <c r="AA1460" s="188"/>
      <c r="AB1460" s="188"/>
      <c r="AC1460" s="188"/>
      <c r="AD1460" s="188"/>
      <c r="AE1460" s="188"/>
      <c r="AF1460" s="188"/>
      <c r="AG1460" s="188"/>
      <c r="AH1460" s="188"/>
      <c r="AI1460" s="188"/>
      <c r="AJ1460" s="188"/>
      <c r="AK1460" s="188"/>
      <c r="AL1460" s="188"/>
      <c r="AM1460" s="188"/>
      <c r="AN1460" s="188"/>
      <c r="AO1460" s="188"/>
      <c r="AP1460" s="188"/>
      <c r="AQ1460" s="188"/>
      <c r="AR1460" s="188"/>
      <c r="AS1460" s="188"/>
      <c r="AT1460" s="188"/>
      <c r="AU1460" s="188"/>
      <c r="AV1460" s="188"/>
      <c r="AW1460" s="188"/>
      <c r="AX1460" s="188"/>
      <c r="AY1460" s="188"/>
      <c r="AZ1460" s="188"/>
      <c r="BA1460" s="188"/>
      <c r="BB1460" s="188"/>
      <c r="BC1460" s="188"/>
    </row>
    <row r="1461">
      <c r="A1461" s="188"/>
      <c r="B1461" s="188"/>
      <c r="C1461" s="188"/>
      <c r="D1461" s="188"/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188"/>
      <c r="Q1461" s="188"/>
      <c r="R1461" s="188"/>
      <c r="S1461" s="188"/>
      <c r="T1461" s="188"/>
      <c r="U1461" s="188"/>
      <c r="V1461" s="188"/>
      <c r="W1461" s="188"/>
      <c r="X1461" s="188"/>
      <c r="Y1461" s="188"/>
      <c r="Z1461" s="188"/>
      <c r="AA1461" s="188"/>
      <c r="AB1461" s="188"/>
      <c r="AC1461" s="188"/>
      <c r="AD1461" s="188"/>
      <c r="AE1461" s="188"/>
      <c r="AF1461" s="188"/>
      <c r="AG1461" s="188"/>
      <c r="AH1461" s="188"/>
      <c r="AI1461" s="188"/>
      <c r="AJ1461" s="188"/>
      <c r="AK1461" s="188"/>
      <c r="AL1461" s="188"/>
      <c r="AM1461" s="188"/>
      <c r="AN1461" s="188"/>
      <c r="AO1461" s="188"/>
      <c r="AP1461" s="188"/>
      <c r="AQ1461" s="188"/>
      <c r="AR1461" s="188"/>
      <c r="AS1461" s="188"/>
      <c r="AT1461" s="188"/>
      <c r="AU1461" s="188"/>
      <c r="AV1461" s="188"/>
      <c r="AW1461" s="188"/>
      <c r="AX1461" s="188"/>
      <c r="AY1461" s="188"/>
      <c r="AZ1461" s="188"/>
      <c r="BA1461" s="188"/>
      <c r="BB1461" s="188"/>
      <c r="BC1461" s="188"/>
    </row>
    <row r="1462">
      <c r="A1462" s="188"/>
      <c r="B1462" s="188"/>
      <c r="C1462" s="188"/>
      <c r="D1462" s="188"/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188"/>
      <c r="Q1462" s="188"/>
      <c r="R1462" s="188"/>
      <c r="S1462" s="188"/>
      <c r="T1462" s="188"/>
      <c r="U1462" s="188"/>
      <c r="V1462" s="188"/>
      <c r="W1462" s="188"/>
      <c r="X1462" s="188"/>
      <c r="Y1462" s="188"/>
      <c r="Z1462" s="188"/>
      <c r="AA1462" s="188"/>
      <c r="AB1462" s="188"/>
      <c r="AC1462" s="188"/>
      <c r="AD1462" s="188"/>
      <c r="AE1462" s="188"/>
      <c r="AF1462" s="188"/>
      <c r="AG1462" s="188"/>
      <c r="AH1462" s="188"/>
      <c r="AI1462" s="188"/>
      <c r="AJ1462" s="188"/>
      <c r="AK1462" s="188"/>
      <c r="AL1462" s="188"/>
      <c r="AM1462" s="188"/>
      <c r="AN1462" s="188"/>
      <c r="AO1462" s="188"/>
      <c r="AP1462" s="188"/>
      <c r="AQ1462" s="188"/>
      <c r="AR1462" s="188"/>
      <c r="AS1462" s="188"/>
      <c r="AT1462" s="188"/>
      <c r="AU1462" s="188"/>
      <c r="AV1462" s="188"/>
      <c r="AW1462" s="188"/>
      <c r="AX1462" s="188"/>
      <c r="AY1462" s="188"/>
      <c r="AZ1462" s="188"/>
      <c r="BA1462" s="188"/>
      <c r="BB1462" s="188"/>
      <c r="BC1462" s="188"/>
    </row>
    <row r="1463">
      <c r="A1463" s="188"/>
      <c r="B1463" s="188"/>
      <c r="C1463" s="188"/>
      <c r="D1463" s="188"/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188"/>
      <c r="Q1463" s="188"/>
      <c r="R1463" s="188"/>
      <c r="S1463" s="188"/>
      <c r="T1463" s="188"/>
      <c r="U1463" s="188"/>
      <c r="V1463" s="188"/>
      <c r="W1463" s="188"/>
      <c r="X1463" s="188"/>
      <c r="Y1463" s="188"/>
      <c r="Z1463" s="188"/>
      <c r="AA1463" s="188"/>
      <c r="AB1463" s="188"/>
      <c r="AC1463" s="188"/>
      <c r="AD1463" s="188"/>
      <c r="AE1463" s="188"/>
      <c r="AF1463" s="188"/>
      <c r="AG1463" s="188"/>
      <c r="AH1463" s="188"/>
      <c r="AI1463" s="188"/>
      <c r="AJ1463" s="188"/>
      <c r="AK1463" s="188"/>
      <c r="AL1463" s="188"/>
      <c r="AM1463" s="188"/>
      <c r="AN1463" s="188"/>
      <c r="AO1463" s="188"/>
      <c r="AP1463" s="188"/>
      <c r="AQ1463" s="188"/>
      <c r="AR1463" s="188"/>
      <c r="AS1463" s="188"/>
      <c r="AT1463" s="188"/>
      <c r="AU1463" s="188"/>
      <c r="AV1463" s="188"/>
      <c r="AW1463" s="188"/>
      <c r="AX1463" s="188"/>
      <c r="AY1463" s="188"/>
      <c r="AZ1463" s="188"/>
      <c r="BA1463" s="188"/>
      <c r="BB1463" s="188"/>
      <c r="BC1463" s="188"/>
    </row>
    <row r="1464">
      <c r="A1464" s="188"/>
      <c r="B1464" s="188"/>
      <c r="C1464" s="188"/>
      <c r="D1464" s="188"/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188"/>
      <c r="Q1464" s="188"/>
      <c r="R1464" s="188"/>
      <c r="S1464" s="188"/>
      <c r="T1464" s="188"/>
      <c r="U1464" s="188"/>
      <c r="V1464" s="188"/>
      <c r="W1464" s="188"/>
      <c r="X1464" s="188"/>
      <c r="Y1464" s="188"/>
      <c r="Z1464" s="188"/>
      <c r="AA1464" s="188"/>
      <c r="AB1464" s="188"/>
      <c r="AC1464" s="188"/>
      <c r="AD1464" s="188"/>
      <c r="AE1464" s="188"/>
      <c r="AF1464" s="188"/>
      <c r="AG1464" s="188"/>
      <c r="AH1464" s="188"/>
      <c r="AI1464" s="188"/>
      <c r="AJ1464" s="188"/>
      <c r="AK1464" s="188"/>
      <c r="AL1464" s="188"/>
      <c r="AM1464" s="188"/>
      <c r="AN1464" s="188"/>
      <c r="AO1464" s="188"/>
      <c r="AP1464" s="188"/>
      <c r="AQ1464" s="188"/>
      <c r="AR1464" s="188"/>
      <c r="AS1464" s="188"/>
      <c r="AT1464" s="188"/>
      <c r="AU1464" s="188"/>
      <c r="AV1464" s="188"/>
      <c r="AW1464" s="188"/>
      <c r="AX1464" s="188"/>
      <c r="AY1464" s="188"/>
      <c r="AZ1464" s="188"/>
      <c r="BA1464" s="188"/>
      <c r="BB1464" s="188"/>
      <c r="BC1464" s="188"/>
    </row>
    <row r="1465">
      <c r="A1465" s="188"/>
      <c r="B1465" s="188"/>
      <c r="C1465" s="188"/>
      <c r="D1465" s="188"/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188"/>
      <c r="Q1465" s="188"/>
      <c r="R1465" s="188"/>
      <c r="S1465" s="188"/>
      <c r="T1465" s="188"/>
      <c r="U1465" s="188"/>
      <c r="V1465" s="188"/>
      <c r="W1465" s="188"/>
      <c r="X1465" s="188"/>
      <c r="Y1465" s="188"/>
      <c r="Z1465" s="188"/>
      <c r="AA1465" s="188"/>
      <c r="AB1465" s="188"/>
      <c r="AC1465" s="188"/>
      <c r="AD1465" s="188"/>
      <c r="AE1465" s="188"/>
      <c r="AF1465" s="188"/>
      <c r="AG1465" s="188"/>
      <c r="AH1465" s="188"/>
      <c r="AI1465" s="188"/>
      <c r="AJ1465" s="188"/>
      <c r="AK1465" s="188"/>
      <c r="AL1465" s="188"/>
      <c r="AM1465" s="188"/>
      <c r="AN1465" s="188"/>
      <c r="AO1465" s="188"/>
      <c r="AP1465" s="188"/>
      <c r="AQ1465" s="188"/>
      <c r="AR1465" s="188"/>
      <c r="AS1465" s="188"/>
      <c r="AT1465" s="188"/>
      <c r="AU1465" s="188"/>
      <c r="AV1465" s="188"/>
      <c r="AW1465" s="188"/>
      <c r="AX1465" s="188"/>
      <c r="AY1465" s="188"/>
      <c r="AZ1465" s="188"/>
      <c r="BA1465" s="188"/>
      <c r="BB1465" s="188"/>
      <c r="BC1465" s="188"/>
    </row>
    <row r="1466">
      <c r="A1466" s="188"/>
      <c r="B1466" s="188"/>
      <c r="C1466" s="188"/>
      <c r="D1466" s="188"/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188"/>
      <c r="Q1466" s="188"/>
      <c r="R1466" s="188"/>
      <c r="S1466" s="188"/>
      <c r="T1466" s="188"/>
      <c r="U1466" s="188"/>
      <c r="V1466" s="188"/>
      <c r="W1466" s="188"/>
      <c r="X1466" s="188"/>
      <c r="Y1466" s="188"/>
      <c r="Z1466" s="188"/>
      <c r="AA1466" s="188"/>
      <c r="AB1466" s="188"/>
      <c r="AC1466" s="188"/>
      <c r="AD1466" s="188"/>
      <c r="AE1466" s="188"/>
      <c r="AF1466" s="188"/>
      <c r="AG1466" s="188"/>
      <c r="AH1466" s="188"/>
      <c r="AI1466" s="188"/>
      <c r="AJ1466" s="188"/>
      <c r="AK1466" s="188"/>
      <c r="AL1466" s="188"/>
      <c r="AM1466" s="188"/>
      <c r="AN1466" s="188"/>
      <c r="AO1466" s="188"/>
      <c r="AP1466" s="188"/>
      <c r="AQ1466" s="188"/>
      <c r="AR1466" s="188"/>
      <c r="AS1466" s="188"/>
      <c r="AT1466" s="188"/>
      <c r="AU1466" s="188"/>
      <c r="AV1466" s="188"/>
      <c r="AW1466" s="188"/>
      <c r="AX1466" s="188"/>
      <c r="AY1466" s="188"/>
      <c r="AZ1466" s="188"/>
      <c r="BA1466" s="188"/>
      <c r="BB1466" s="188"/>
      <c r="BC1466" s="188"/>
    </row>
    <row r="1467">
      <c r="A1467" s="188"/>
      <c r="B1467" s="188"/>
      <c r="C1467" s="188"/>
      <c r="D1467" s="188"/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188"/>
      <c r="Q1467" s="188"/>
      <c r="R1467" s="188"/>
      <c r="S1467" s="188"/>
      <c r="T1467" s="188"/>
      <c r="U1467" s="188"/>
      <c r="V1467" s="188"/>
      <c r="W1467" s="188"/>
      <c r="X1467" s="188"/>
      <c r="Y1467" s="188"/>
      <c r="Z1467" s="188"/>
      <c r="AA1467" s="188"/>
      <c r="AB1467" s="188"/>
      <c r="AC1467" s="188"/>
      <c r="AD1467" s="188"/>
      <c r="AE1467" s="188"/>
      <c r="AF1467" s="188"/>
      <c r="AG1467" s="188"/>
      <c r="AH1467" s="188"/>
      <c r="AI1467" s="188"/>
      <c r="AJ1467" s="188"/>
      <c r="AK1467" s="188"/>
      <c r="AL1467" s="188"/>
      <c r="AM1467" s="188"/>
      <c r="AN1467" s="188"/>
      <c r="AO1467" s="188"/>
      <c r="AP1467" s="188"/>
      <c r="AQ1467" s="188"/>
      <c r="AR1467" s="188"/>
      <c r="AS1467" s="188"/>
      <c r="AT1467" s="188"/>
      <c r="AU1467" s="188"/>
      <c r="AV1467" s="188"/>
      <c r="AW1467" s="188"/>
      <c r="AX1467" s="188"/>
      <c r="AY1467" s="188"/>
      <c r="AZ1467" s="188"/>
      <c r="BA1467" s="188"/>
      <c r="BB1467" s="188"/>
      <c r="BC1467" s="188"/>
    </row>
    <row r="1468">
      <c r="A1468" s="188"/>
      <c r="B1468" s="188"/>
      <c r="C1468" s="188"/>
      <c r="D1468" s="188"/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188"/>
      <c r="Q1468" s="188"/>
      <c r="R1468" s="188"/>
      <c r="S1468" s="188"/>
      <c r="T1468" s="188"/>
      <c r="U1468" s="188"/>
      <c r="V1468" s="188"/>
      <c r="W1468" s="188"/>
      <c r="X1468" s="188"/>
      <c r="Y1468" s="188"/>
      <c r="Z1468" s="188"/>
      <c r="AA1468" s="188"/>
      <c r="AB1468" s="188"/>
      <c r="AC1468" s="188"/>
      <c r="AD1468" s="188"/>
      <c r="AE1468" s="188"/>
      <c r="AF1468" s="188"/>
      <c r="AG1468" s="188"/>
      <c r="AH1468" s="188"/>
      <c r="AI1468" s="188"/>
      <c r="AJ1468" s="188"/>
      <c r="AK1468" s="188"/>
      <c r="AL1468" s="188"/>
      <c r="AM1468" s="188"/>
      <c r="AN1468" s="188"/>
      <c r="AO1468" s="188"/>
      <c r="AP1468" s="188"/>
      <c r="AQ1468" s="188"/>
      <c r="AR1468" s="188"/>
      <c r="AS1468" s="188"/>
      <c r="AT1468" s="188"/>
      <c r="AU1468" s="188"/>
      <c r="AV1468" s="188"/>
      <c r="AW1468" s="188"/>
      <c r="AX1468" s="188"/>
      <c r="AY1468" s="188"/>
      <c r="AZ1468" s="188"/>
      <c r="BA1468" s="188"/>
      <c r="BB1468" s="188"/>
      <c r="BC1468" s="188"/>
    </row>
    <row r="1469">
      <c r="A1469" s="188"/>
      <c r="B1469" s="188"/>
      <c r="C1469" s="188"/>
      <c r="D1469" s="188"/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188"/>
      <c r="Q1469" s="188"/>
      <c r="R1469" s="188"/>
      <c r="S1469" s="188"/>
      <c r="T1469" s="188"/>
      <c r="U1469" s="188"/>
      <c r="V1469" s="188"/>
      <c r="W1469" s="188"/>
      <c r="X1469" s="188"/>
      <c r="Y1469" s="188"/>
      <c r="Z1469" s="188"/>
      <c r="AA1469" s="188"/>
      <c r="AB1469" s="188"/>
      <c r="AC1469" s="188"/>
      <c r="AD1469" s="188"/>
      <c r="AE1469" s="188"/>
      <c r="AF1469" s="188"/>
      <c r="AG1469" s="188"/>
      <c r="AH1469" s="188"/>
      <c r="AI1469" s="188"/>
      <c r="AJ1469" s="188"/>
      <c r="AK1469" s="188"/>
      <c r="AL1469" s="188"/>
      <c r="AM1469" s="188"/>
      <c r="AN1469" s="188"/>
      <c r="AO1469" s="188"/>
      <c r="AP1469" s="188"/>
      <c r="AQ1469" s="188"/>
      <c r="AR1469" s="188"/>
      <c r="AS1469" s="188"/>
      <c r="AT1469" s="188"/>
      <c r="AU1469" s="188"/>
      <c r="AV1469" s="188"/>
      <c r="AW1469" s="188"/>
      <c r="AX1469" s="188"/>
      <c r="AY1469" s="188"/>
      <c r="AZ1469" s="188"/>
      <c r="BA1469" s="188"/>
      <c r="BB1469" s="188"/>
      <c r="BC1469" s="188"/>
    </row>
    <row r="1470">
      <c r="A1470" s="188"/>
      <c r="B1470" s="188"/>
      <c r="C1470" s="188"/>
      <c r="D1470" s="188"/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188"/>
      <c r="Q1470" s="188"/>
      <c r="R1470" s="188"/>
      <c r="S1470" s="188"/>
      <c r="T1470" s="188"/>
      <c r="U1470" s="188"/>
      <c r="V1470" s="188"/>
      <c r="W1470" s="188"/>
      <c r="X1470" s="188"/>
      <c r="Y1470" s="188"/>
      <c r="Z1470" s="188"/>
      <c r="AA1470" s="188"/>
      <c r="AB1470" s="188"/>
      <c r="AC1470" s="188"/>
      <c r="AD1470" s="188"/>
      <c r="AE1470" s="188"/>
      <c r="AF1470" s="188"/>
      <c r="AG1470" s="188"/>
      <c r="AH1470" s="188"/>
      <c r="AI1470" s="188"/>
      <c r="AJ1470" s="188"/>
      <c r="AK1470" s="188"/>
      <c r="AL1470" s="188"/>
      <c r="AM1470" s="188"/>
      <c r="AN1470" s="188"/>
      <c r="AO1470" s="188"/>
      <c r="AP1470" s="188"/>
      <c r="AQ1470" s="188"/>
      <c r="AR1470" s="188"/>
      <c r="AS1470" s="188"/>
      <c r="AT1470" s="188"/>
      <c r="AU1470" s="188"/>
      <c r="AV1470" s="188"/>
      <c r="AW1470" s="188"/>
      <c r="AX1470" s="188"/>
      <c r="AY1470" s="188"/>
      <c r="AZ1470" s="188"/>
      <c r="BA1470" s="188"/>
      <c r="BB1470" s="188"/>
      <c r="BC1470" s="188"/>
    </row>
    <row r="1471">
      <c r="A1471" s="188"/>
      <c r="B1471" s="188"/>
      <c r="C1471" s="188"/>
      <c r="D1471" s="188"/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188"/>
      <c r="Q1471" s="188"/>
      <c r="R1471" s="188"/>
      <c r="S1471" s="188"/>
      <c r="T1471" s="188"/>
      <c r="U1471" s="188"/>
      <c r="V1471" s="188"/>
      <c r="W1471" s="188"/>
      <c r="X1471" s="188"/>
      <c r="Y1471" s="188"/>
      <c r="Z1471" s="188"/>
      <c r="AA1471" s="188"/>
      <c r="AB1471" s="188"/>
      <c r="AC1471" s="188"/>
      <c r="AD1471" s="188"/>
      <c r="AE1471" s="188"/>
      <c r="AF1471" s="188"/>
      <c r="AG1471" s="188"/>
      <c r="AH1471" s="188"/>
      <c r="AI1471" s="188"/>
      <c r="AJ1471" s="188"/>
      <c r="AK1471" s="188"/>
      <c r="AL1471" s="188"/>
      <c r="AM1471" s="188"/>
      <c r="AN1471" s="188"/>
      <c r="AO1471" s="188"/>
      <c r="AP1471" s="188"/>
      <c r="AQ1471" s="188"/>
      <c r="AR1471" s="188"/>
      <c r="AS1471" s="188"/>
      <c r="AT1471" s="188"/>
      <c r="AU1471" s="188"/>
      <c r="AV1471" s="188"/>
      <c r="AW1471" s="188"/>
      <c r="AX1471" s="188"/>
      <c r="AY1471" s="188"/>
      <c r="AZ1471" s="188"/>
      <c r="BA1471" s="188"/>
      <c r="BB1471" s="188"/>
      <c r="BC1471" s="188"/>
    </row>
    <row r="1472">
      <c r="A1472" s="188"/>
      <c r="B1472" s="188"/>
      <c r="C1472" s="188"/>
      <c r="D1472" s="188"/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188"/>
      <c r="Q1472" s="188"/>
      <c r="R1472" s="188"/>
      <c r="S1472" s="188"/>
      <c r="T1472" s="188"/>
      <c r="U1472" s="188"/>
      <c r="V1472" s="188"/>
      <c r="W1472" s="188"/>
      <c r="X1472" s="188"/>
      <c r="Y1472" s="188"/>
      <c r="Z1472" s="188"/>
      <c r="AA1472" s="188"/>
      <c r="AB1472" s="188"/>
      <c r="AC1472" s="188"/>
      <c r="AD1472" s="188"/>
      <c r="AE1472" s="188"/>
      <c r="AF1472" s="188"/>
      <c r="AG1472" s="188"/>
      <c r="AH1472" s="188"/>
      <c r="AI1472" s="188"/>
      <c r="AJ1472" s="188"/>
      <c r="AK1472" s="188"/>
      <c r="AL1472" s="188"/>
      <c r="AM1472" s="188"/>
      <c r="AN1472" s="188"/>
      <c r="AO1472" s="188"/>
      <c r="AP1472" s="188"/>
      <c r="AQ1472" s="188"/>
      <c r="AR1472" s="188"/>
      <c r="AS1472" s="188"/>
      <c r="AT1472" s="188"/>
      <c r="AU1472" s="188"/>
      <c r="AV1472" s="188"/>
      <c r="AW1472" s="188"/>
      <c r="AX1472" s="188"/>
      <c r="AY1472" s="188"/>
      <c r="AZ1472" s="188"/>
      <c r="BA1472" s="188"/>
      <c r="BB1472" s="188"/>
      <c r="BC1472" s="188"/>
    </row>
    <row r="1473">
      <c r="A1473" s="188"/>
      <c r="B1473" s="188"/>
      <c r="C1473" s="188"/>
      <c r="D1473" s="188"/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188"/>
      <c r="Q1473" s="188"/>
      <c r="R1473" s="188"/>
      <c r="S1473" s="188"/>
      <c r="T1473" s="188"/>
      <c r="U1473" s="188"/>
      <c r="V1473" s="188"/>
      <c r="W1473" s="188"/>
      <c r="X1473" s="188"/>
      <c r="Y1473" s="188"/>
      <c r="Z1473" s="188"/>
      <c r="AA1473" s="188"/>
      <c r="AB1473" s="188"/>
      <c r="AC1473" s="188"/>
      <c r="AD1473" s="188"/>
      <c r="AE1473" s="188"/>
      <c r="AF1473" s="188"/>
      <c r="AG1473" s="188"/>
      <c r="AH1473" s="188"/>
      <c r="AI1473" s="188"/>
      <c r="AJ1473" s="188"/>
      <c r="AK1473" s="188"/>
      <c r="AL1473" s="188"/>
      <c r="AM1473" s="188"/>
      <c r="AN1473" s="188"/>
      <c r="AO1473" s="188"/>
      <c r="AP1473" s="188"/>
      <c r="AQ1473" s="188"/>
      <c r="AR1473" s="188"/>
      <c r="AS1473" s="188"/>
      <c r="AT1473" s="188"/>
      <c r="AU1473" s="188"/>
      <c r="AV1473" s="188"/>
      <c r="AW1473" s="188"/>
      <c r="AX1473" s="188"/>
      <c r="AY1473" s="188"/>
      <c r="AZ1473" s="188"/>
      <c r="BA1473" s="188"/>
      <c r="BB1473" s="188"/>
      <c r="BC1473" s="188"/>
    </row>
    <row r="1474">
      <c r="A1474" s="188"/>
      <c r="B1474" s="188"/>
      <c r="C1474" s="188"/>
      <c r="D1474" s="188"/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188"/>
      <c r="Q1474" s="188"/>
      <c r="R1474" s="188"/>
      <c r="S1474" s="188"/>
      <c r="T1474" s="188"/>
      <c r="U1474" s="188"/>
      <c r="V1474" s="188"/>
      <c r="W1474" s="188"/>
      <c r="X1474" s="188"/>
      <c r="Y1474" s="188"/>
      <c r="Z1474" s="188"/>
      <c r="AA1474" s="188"/>
      <c r="AB1474" s="188"/>
      <c r="AC1474" s="188"/>
      <c r="AD1474" s="188"/>
      <c r="AE1474" s="188"/>
      <c r="AF1474" s="188"/>
      <c r="AG1474" s="188"/>
      <c r="AH1474" s="188"/>
      <c r="AI1474" s="188"/>
      <c r="AJ1474" s="188"/>
      <c r="AK1474" s="188"/>
      <c r="AL1474" s="188"/>
      <c r="AM1474" s="188"/>
      <c r="AN1474" s="188"/>
      <c r="AO1474" s="188"/>
      <c r="AP1474" s="188"/>
      <c r="AQ1474" s="188"/>
      <c r="AR1474" s="188"/>
      <c r="AS1474" s="188"/>
      <c r="AT1474" s="188"/>
      <c r="AU1474" s="188"/>
      <c r="AV1474" s="188"/>
      <c r="AW1474" s="188"/>
      <c r="AX1474" s="188"/>
      <c r="AY1474" s="188"/>
      <c r="AZ1474" s="188"/>
      <c r="BA1474" s="188"/>
      <c r="BB1474" s="188"/>
      <c r="BC1474" s="188"/>
    </row>
    <row r="1475">
      <c r="A1475" s="188"/>
      <c r="B1475" s="188"/>
      <c r="C1475" s="188"/>
      <c r="D1475" s="188"/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188"/>
      <c r="Q1475" s="188"/>
      <c r="R1475" s="188"/>
      <c r="S1475" s="188"/>
      <c r="T1475" s="188"/>
      <c r="U1475" s="188"/>
      <c r="V1475" s="188"/>
      <c r="W1475" s="188"/>
      <c r="X1475" s="188"/>
      <c r="Y1475" s="188"/>
      <c r="Z1475" s="188"/>
      <c r="AA1475" s="188"/>
      <c r="AB1475" s="188"/>
      <c r="AC1475" s="188"/>
      <c r="AD1475" s="188"/>
      <c r="AE1475" s="188"/>
      <c r="AF1475" s="188"/>
      <c r="AG1475" s="188"/>
      <c r="AH1475" s="188"/>
      <c r="AI1475" s="188"/>
      <c r="AJ1475" s="188"/>
      <c r="AK1475" s="188"/>
      <c r="AL1475" s="188"/>
      <c r="AM1475" s="188"/>
      <c r="AN1475" s="188"/>
      <c r="AO1475" s="188"/>
      <c r="AP1475" s="188"/>
      <c r="AQ1475" s="188"/>
      <c r="AR1475" s="188"/>
      <c r="AS1475" s="188"/>
      <c r="AT1475" s="188"/>
      <c r="AU1475" s="188"/>
      <c r="AV1475" s="188"/>
      <c r="AW1475" s="188"/>
      <c r="AX1475" s="188"/>
      <c r="AY1475" s="188"/>
      <c r="AZ1475" s="188"/>
      <c r="BA1475" s="188"/>
      <c r="BB1475" s="188"/>
      <c r="BC1475" s="188"/>
    </row>
    <row r="1476">
      <c r="A1476" s="188"/>
      <c r="B1476" s="188"/>
      <c r="C1476" s="188"/>
      <c r="D1476" s="188"/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188"/>
      <c r="Q1476" s="188"/>
      <c r="R1476" s="188"/>
      <c r="S1476" s="188"/>
      <c r="T1476" s="188"/>
      <c r="U1476" s="188"/>
      <c r="V1476" s="188"/>
      <c r="W1476" s="188"/>
      <c r="X1476" s="188"/>
      <c r="Y1476" s="188"/>
      <c r="Z1476" s="188"/>
      <c r="AA1476" s="188"/>
      <c r="AB1476" s="188"/>
      <c r="AC1476" s="188"/>
      <c r="AD1476" s="188"/>
      <c r="AE1476" s="188"/>
      <c r="AF1476" s="188"/>
      <c r="AG1476" s="188"/>
      <c r="AH1476" s="188"/>
      <c r="AI1476" s="188"/>
      <c r="AJ1476" s="188"/>
      <c r="AK1476" s="188"/>
      <c r="AL1476" s="188"/>
      <c r="AM1476" s="188"/>
      <c r="AN1476" s="188"/>
      <c r="AO1476" s="188"/>
      <c r="AP1476" s="188"/>
      <c r="AQ1476" s="188"/>
      <c r="AR1476" s="188"/>
      <c r="AS1476" s="188"/>
      <c r="AT1476" s="188"/>
      <c r="AU1476" s="188"/>
      <c r="AV1476" s="188"/>
      <c r="AW1476" s="188"/>
      <c r="AX1476" s="188"/>
      <c r="AY1476" s="188"/>
      <c r="AZ1476" s="188"/>
      <c r="BA1476" s="188"/>
      <c r="BB1476" s="188"/>
      <c r="BC1476" s="188"/>
    </row>
    <row r="1477">
      <c r="A1477" s="188"/>
      <c r="B1477" s="188"/>
      <c r="C1477" s="188"/>
      <c r="D1477" s="188"/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188"/>
      <c r="Q1477" s="188"/>
      <c r="R1477" s="188"/>
      <c r="S1477" s="188"/>
      <c r="T1477" s="188"/>
      <c r="U1477" s="188"/>
      <c r="V1477" s="188"/>
      <c r="W1477" s="188"/>
      <c r="X1477" s="188"/>
      <c r="Y1477" s="188"/>
      <c r="Z1477" s="188"/>
      <c r="AA1477" s="188"/>
      <c r="AB1477" s="188"/>
      <c r="AC1477" s="188"/>
      <c r="AD1477" s="188"/>
      <c r="AE1477" s="188"/>
      <c r="AF1477" s="188"/>
      <c r="AG1477" s="188"/>
      <c r="AH1477" s="188"/>
      <c r="AI1477" s="188"/>
      <c r="AJ1477" s="188"/>
      <c r="AK1477" s="188"/>
      <c r="AL1477" s="188"/>
      <c r="AM1477" s="188"/>
      <c r="AN1477" s="188"/>
      <c r="AO1477" s="188"/>
      <c r="AP1477" s="188"/>
      <c r="AQ1477" s="188"/>
      <c r="AR1477" s="188"/>
      <c r="AS1477" s="188"/>
      <c r="AT1477" s="188"/>
      <c r="AU1477" s="188"/>
      <c r="AV1477" s="188"/>
      <c r="AW1477" s="188"/>
      <c r="AX1477" s="188"/>
      <c r="AY1477" s="188"/>
      <c r="AZ1477" s="188"/>
      <c r="BA1477" s="188"/>
      <c r="BB1477" s="188"/>
      <c r="BC1477" s="188"/>
    </row>
    <row r="1478">
      <c r="A1478" s="188"/>
      <c r="B1478" s="188"/>
      <c r="C1478" s="188"/>
      <c r="D1478" s="188"/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188"/>
      <c r="Q1478" s="188"/>
      <c r="R1478" s="188"/>
      <c r="S1478" s="188"/>
      <c r="T1478" s="188"/>
      <c r="U1478" s="188"/>
      <c r="V1478" s="188"/>
      <c r="W1478" s="188"/>
      <c r="X1478" s="188"/>
      <c r="Y1478" s="188"/>
      <c r="Z1478" s="188"/>
      <c r="AA1478" s="188"/>
      <c r="AB1478" s="188"/>
      <c r="AC1478" s="188"/>
      <c r="AD1478" s="188"/>
      <c r="AE1478" s="188"/>
      <c r="AF1478" s="188"/>
      <c r="AG1478" s="188"/>
      <c r="AH1478" s="188"/>
      <c r="AI1478" s="188"/>
      <c r="AJ1478" s="188"/>
      <c r="AK1478" s="188"/>
      <c r="AL1478" s="188"/>
      <c r="AM1478" s="188"/>
      <c r="AN1478" s="188"/>
      <c r="AO1478" s="188"/>
      <c r="AP1478" s="188"/>
      <c r="AQ1478" s="188"/>
      <c r="AR1478" s="188"/>
      <c r="AS1478" s="188"/>
      <c r="AT1478" s="188"/>
      <c r="AU1478" s="188"/>
      <c r="AV1478" s="188"/>
      <c r="AW1478" s="188"/>
      <c r="AX1478" s="188"/>
      <c r="AY1478" s="188"/>
      <c r="AZ1478" s="188"/>
      <c r="BA1478" s="188"/>
      <c r="BB1478" s="188"/>
      <c r="BC1478" s="188"/>
    </row>
    <row r="1479">
      <c r="A1479" s="188"/>
      <c r="B1479" s="188"/>
      <c r="C1479" s="188"/>
      <c r="D1479" s="188"/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188"/>
      <c r="Q1479" s="188"/>
      <c r="R1479" s="188"/>
      <c r="S1479" s="188"/>
      <c r="T1479" s="188"/>
      <c r="U1479" s="188"/>
      <c r="V1479" s="188"/>
      <c r="W1479" s="188"/>
      <c r="X1479" s="188"/>
      <c r="Y1479" s="188"/>
      <c r="Z1479" s="188"/>
      <c r="AA1479" s="188"/>
      <c r="AB1479" s="188"/>
      <c r="AC1479" s="188"/>
      <c r="AD1479" s="188"/>
      <c r="AE1479" s="188"/>
      <c r="AF1479" s="188"/>
      <c r="AG1479" s="188"/>
      <c r="AH1479" s="188"/>
      <c r="AI1479" s="188"/>
      <c r="AJ1479" s="188"/>
      <c r="AK1479" s="188"/>
      <c r="AL1479" s="188"/>
      <c r="AM1479" s="188"/>
      <c r="AN1479" s="188"/>
      <c r="AO1479" s="188"/>
      <c r="AP1479" s="188"/>
      <c r="AQ1479" s="188"/>
      <c r="AR1479" s="188"/>
      <c r="AS1479" s="188"/>
      <c r="AT1479" s="188"/>
      <c r="AU1479" s="188"/>
      <c r="AV1479" s="188"/>
      <c r="AW1479" s="188"/>
      <c r="AX1479" s="188"/>
      <c r="AY1479" s="188"/>
      <c r="AZ1479" s="188"/>
      <c r="BA1479" s="188"/>
      <c r="BB1479" s="188"/>
      <c r="BC1479" s="188"/>
    </row>
    <row r="1480">
      <c r="A1480" s="188"/>
      <c r="B1480" s="188"/>
      <c r="C1480" s="188"/>
      <c r="D1480" s="188"/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188"/>
      <c r="Q1480" s="188"/>
      <c r="R1480" s="188"/>
      <c r="S1480" s="188"/>
      <c r="T1480" s="188"/>
      <c r="U1480" s="188"/>
      <c r="V1480" s="188"/>
      <c r="W1480" s="188"/>
      <c r="X1480" s="188"/>
      <c r="Y1480" s="188"/>
      <c r="Z1480" s="188"/>
      <c r="AA1480" s="188"/>
      <c r="AB1480" s="188"/>
      <c r="AC1480" s="188"/>
      <c r="AD1480" s="188"/>
      <c r="AE1480" s="188"/>
      <c r="AF1480" s="188"/>
      <c r="AG1480" s="188"/>
      <c r="AH1480" s="188"/>
      <c r="AI1480" s="188"/>
      <c r="AJ1480" s="188"/>
      <c r="AK1480" s="188"/>
      <c r="AL1480" s="188"/>
      <c r="AM1480" s="188"/>
      <c r="AN1480" s="188"/>
      <c r="AO1480" s="188"/>
      <c r="AP1480" s="188"/>
      <c r="AQ1480" s="188"/>
      <c r="AR1480" s="188"/>
      <c r="AS1480" s="188"/>
      <c r="AT1480" s="188"/>
      <c r="AU1480" s="188"/>
      <c r="AV1480" s="188"/>
      <c r="AW1480" s="188"/>
      <c r="AX1480" s="188"/>
      <c r="AY1480" s="188"/>
      <c r="AZ1480" s="188"/>
      <c r="BA1480" s="188"/>
      <c r="BB1480" s="188"/>
      <c r="BC1480" s="188"/>
    </row>
    <row r="1481">
      <c r="A1481" s="188"/>
      <c r="B1481" s="188"/>
      <c r="C1481" s="188"/>
      <c r="D1481" s="188"/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188"/>
      <c r="Q1481" s="188"/>
      <c r="R1481" s="188"/>
      <c r="S1481" s="188"/>
      <c r="T1481" s="188"/>
      <c r="U1481" s="188"/>
      <c r="V1481" s="188"/>
      <c r="W1481" s="188"/>
      <c r="X1481" s="188"/>
      <c r="Y1481" s="188"/>
      <c r="Z1481" s="188"/>
      <c r="AA1481" s="188"/>
      <c r="AB1481" s="188"/>
      <c r="AC1481" s="188"/>
      <c r="AD1481" s="188"/>
      <c r="AE1481" s="188"/>
      <c r="AF1481" s="188"/>
      <c r="AG1481" s="188"/>
      <c r="AH1481" s="188"/>
      <c r="AI1481" s="188"/>
      <c r="AJ1481" s="188"/>
      <c r="AK1481" s="188"/>
      <c r="AL1481" s="188"/>
      <c r="AM1481" s="188"/>
      <c r="AN1481" s="188"/>
      <c r="AO1481" s="188"/>
      <c r="AP1481" s="188"/>
      <c r="AQ1481" s="188"/>
      <c r="AR1481" s="188"/>
      <c r="AS1481" s="188"/>
      <c r="AT1481" s="188"/>
      <c r="AU1481" s="188"/>
      <c r="AV1481" s="188"/>
      <c r="AW1481" s="188"/>
      <c r="AX1481" s="188"/>
      <c r="AY1481" s="188"/>
      <c r="AZ1481" s="188"/>
      <c r="BA1481" s="188"/>
      <c r="BB1481" s="188"/>
      <c r="BC1481" s="188"/>
    </row>
    <row r="1482">
      <c r="A1482" s="188"/>
      <c r="B1482" s="188"/>
      <c r="C1482" s="188"/>
      <c r="D1482" s="188"/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188"/>
      <c r="Q1482" s="188"/>
      <c r="R1482" s="188"/>
      <c r="S1482" s="188"/>
      <c r="T1482" s="188"/>
      <c r="U1482" s="188"/>
      <c r="V1482" s="188"/>
      <c r="W1482" s="188"/>
      <c r="X1482" s="188"/>
      <c r="Y1482" s="188"/>
      <c r="Z1482" s="188"/>
      <c r="AA1482" s="188"/>
      <c r="AB1482" s="188"/>
      <c r="AC1482" s="188"/>
      <c r="AD1482" s="188"/>
      <c r="AE1482" s="188"/>
      <c r="AF1482" s="188"/>
      <c r="AG1482" s="188"/>
      <c r="AH1482" s="188"/>
      <c r="AI1482" s="188"/>
      <c r="AJ1482" s="188"/>
      <c r="AK1482" s="188"/>
      <c r="AL1482" s="188"/>
      <c r="AM1482" s="188"/>
      <c r="AN1482" s="188"/>
      <c r="AO1482" s="188"/>
      <c r="AP1482" s="188"/>
      <c r="AQ1482" s="188"/>
      <c r="AR1482" s="188"/>
      <c r="AS1482" s="188"/>
      <c r="AT1482" s="188"/>
      <c r="AU1482" s="188"/>
      <c r="AV1482" s="188"/>
      <c r="AW1482" s="188"/>
      <c r="AX1482" s="188"/>
      <c r="AY1482" s="188"/>
      <c r="AZ1482" s="188"/>
      <c r="BA1482" s="188"/>
      <c r="BB1482" s="188"/>
      <c r="BC1482" s="188"/>
    </row>
    <row r="1483">
      <c r="A1483" s="188"/>
      <c r="B1483" s="188"/>
      <c r="C1483" s="188"/>
      <c r="D1483" s="188"/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188"/>
      <c r="Q1483" s="188"/>
      <c r="R1483" s="188"/>
      <c r="S1483" s="188"/>
      <c r="T1483" s="188"/>
      <c r="U1483" s="188"/>
      <c r="V1483" s="188"/>
      <c r="W1483" s="188"/>
      <c r="X1483" s="188"/>
      <c r="Y1483" s="188"/>
      <c r="Z1483" s="188"/>
      <c r="AA1483" s="188"/>
      <c r="AB1483" s="188"/>
      <c r="AC1483" s="188"/>
      <c r="AD1483" s="188"/>
      <c r="AE1483" s="188"/>
      <c r="AF1483" s="188"/>
      <c r="AG1483" s="188"/>
      <c r="AH1483" s="188"/>
      <c r="AI1483" s="188"/>
      <c r="AJ1483" s="188"/>
      <c r="AK1483" s="188"/>
      <c r="AL1483" s="188"/>
      <c r="AM1483" s="188"/>
      <c r="AN1483" s="188"/>
      <c r="AO1483" s="188"/>
      <c r="AP1483" s="188"/>
      <c r="AQ1483" s="188"/>
      <c r="AR1483" s="188"/>
      <c r="AS1483" s="188"/>
      <c r="AT1483" s="188"/>
      <c r="AU1483" s="188"/>
      <c r="AV1483" s="188"/>
      <c r="AW1483" s="188"/>
      <c r="AX1483" s="188"/>
      <c r="AY1483" s="188"/>
      <c r="AZ1483" s="188"/>
      <c r="BA1483" s="188"/>
      <c r="BB1483" s="188"/>
      <c r="BC1483" s="188"/>
    </row>
    <row r="1484">
      <c r="A1484" s="188"/>
      <c r="B1484" s="188"/>
      <c r="C1484" s="188"/>
      <c r="D1484" s="188"/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188"/>
      <c r="Q1484" s="188"/>
      <c r="R1484" s="188"/>
      <c r="S1484" s="188"/>
      <c r="T1484" s="188"/>
      <c r="U1484" s="188"/>
      <c r="V1484" s="188"/>
      <c r="W1484" s="188"/>
      <c r="X1484" s="188"/>
      <c r="Y1484" s="188"/>
      <c r="Z1484" s="188"/>
      <c r="AA1484" s="188"/>
      <c r="AB1484" s="188"/>
      <c r="AC1484" s="188"/>
      <c r="AD1484" s="188"/>
      <c r="AE1484" s="188"/>
      <c r="AF1484" s="188"/>
      <c r="AG1484" s="188"/>
      <c r="AH1484" s="188"/>
      <c r="AI1484" s="188"/>
      <c r="AJ1484" s="188"/>
      <c r="AK1484" s="188"/>
      <c r="AL1484" s="188"/>
      <c r="AM1484" s="188"/>
      <c r="AN1484" s="188"/>
      <c r="AO1484" s="188"/>
      <c r="AP1484" s="188"/>
      <c r="AQ1484" s="188"/>
      <c r="AR1484" s="188"/>
      <c r="AS1484" s="188"/>
      <c r="AT1484" s="188"/>
      <c r="AU1484" s="188"/>
      <c r="AV1484" s="188"/>
      <c r="AW1484" s="188"/>
      <c r="AX1484" s="188"/>
      <c r="AY1484" s="188"/>
      <c r="AZ1484" s="188"/>
      <c r="BA1484" s="188"/>
      <c r="BB1484" s="188"/>
      <c r="BC1484" s="188"/>
    </row>
    <row r="1485">
      <c r="A1485" s="188"/>
      <c r="B1485" s="188"/>
      <c r="C1485" s="188"/>
      <c r="D1485" s="188"/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188"/>
      <c r="Q1485" s="188"/>
      <c r="R1485" s="188"/>
      <c r="S1485" s="188"/>
      <c r="T1485" s="188"/>
      <c r="U1485" s="188"/>
      <c r="V1485" s="188"/>
      <c r="W1485" s="188"/>
      <c r="X1485" s="188"/>
      <c r="Y1485" s="188"/>
      <c r="Z1485" s="188"/>
      <c r="AA1485" s="188"/>
      <c r="AB1485" s="188"/>
      <c r="AC1485" s="188"/>
      <c r="AD1485" s="188"/>
      <c r="AE1485" s="188"/>
      <c r="AF1485" s="188"/>
      <c r="AG1485" s="188"/>
      <c r="AH1485" s="188"/>
      <c r="AI1485" s="188"/>
      <c r="AJ1485" s="188"/>
      <c r="AK1485" s="188"/>
      <c r="AL1485" s="188"/>
      <c r="AM1485" s="188"/>
      <c r="AN1485" s="188"/>
      <c r="AO1485" s="188"/>
      <c r="AP1485" s="188"/>
      <c r="AQ1485" s="188"/>
      <c r="AR1485" s="188"/>
      <c r="AS1485" s="188"/>
      <c r="AT1485" s="188"/>
      <c r="AU1485" s="188"/>
      <c r="AV1485" s="188"/>
      <c r="AW1485" s="188"/>
      <c r="AX1485" s="188"/>
      <c r="AY1485" s="188"/>
      <c r="AZ1485" s="188"/>
      <c r="BA1485" s="188"/>
      <c r="BB1485" s="188"/>
      <c r="BC1485" s="188"/>
    </row>
    <row r="1486">
      <c r="A1486" s="188"/>
      <c r="B1486" s="188"/>
      <c r="C1486" s="188"/>
      <c r="D1486" s="188"/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188"/>
      <c r="Q1486" s="188"/>
      <c r="R1486" s="188"/>
      <c r="S1486" s="188"/>
      <c r="T1486" s="188"/>
      <c r="U1486" s="188"/>
      <c r="V1486" s="188"/>
      <c r="W1486" s="188"/>
      <c r="X1486" s="188"/>
      <c r="Y1486" s="188"/>
      <c r="Z1486" s="188"/>
      <c r="AA1486" s="188"/>
      <c r="AB1486" s="188"/>
      <c r="AC1486" s="188"/>
      <c r="AD1486" s="188"/>
      <c r="AE1486" s="188"/>
      <c r="AF1486" s="188"/>
      <c r="AG1486" s="188"/>
      <c r="AH1486" s="188"/>
      <c r="AI1486" s="188"/>
      <c r="AJ1486" s="188"/>
      <c r="AK1486" s="188"/>
      <c r="AL1486" s="188"/>
      <c r="AM1486" s="188"/>
      <c r="AN1486" s="188"/>
      <c r="AO1486" s="188"/>
      <c r="AP1486" s="188"/>
      <c r="AQ1486" s="188"/>
      <c r="AR1486" s="188"/>
      <c r="AS1486" s="188"/>
      <c r="AT1486" s="188"/>
      <c r="AU1486" s="188"/>
      <c r="AV1486" s="188"/>
      <c r="AW1486" s="188"/>
      <c r="AX1486" s="188"/>
      <c r="AY1486" s="188"/>
      <c r="AZ1486" s="188"/>
      <c r="BA1486" s="188"/>
      <c r="BB1486" s="188"/>
      <c r="BC1486" s="188"/>
    </row>
    <row r="1487">
      <c r="A1487" s="188"/>
      <c r="B1487" s="188"/>
      <c r="C1487" s="188"/>
      <c r="D1487" s="188"/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188"/>
      <c r="Q1487" s="188"/>
      <c r="R1487" s="188"/>
      <c r="S1487" s="188"/>
      <c r="T1487" s="188"/>
      <c r="U1487" s="188"/>
      <c r="V1487" s="188"/>
      <c r="W1487" s="188"/>
      <c r="X1487" s="188"/>
      <c r="Y1487" s="188"/>
      <c r="Z1487" s="188"/>
      <c r="AA1487" s="188"/>
      <c r="AB1487" s="188"/>
      <c r="AC1487" s="188"/>
      <c r="AD1487" s="188"/>
      <c r="AE1487" s="188"/>
      <c r="AF1487" s="188"/>
      <c r="AG1487" s="188"/>
      <c r="AH1487" s="188"/>
      <c r="AI1487" s="188"/>
      <c r="AJ1487" s="188"/>
      <c r="AK1487" s="188"/>
      <c r="AL1487" s="188"/>
      <c r="AM1487" s="188"/>
      <c r="AN1487" s="188"/>
      <c r="AO1487" s="188"/>
      <c r="AP1487" s="188"/>
      <c r="AQ1487" s="188"/>
      <c r="AR1487" s="188"/>
      <c r="AS1487" s="188"/>
      <c r="AT1487" s="188"/>
      <c r="AU1487" s="188"/>
      <c r="AV1487" s="188"/>
      <c r="AW1487" s="188"/>
      <c r="AX1487" s="188"/>
      <c r="AY1487" s="188"/>
      <c r="AZ1487" s="188"/>
      <c r="BA1487" s="188"/>
      <c r="BB1487" s="188"/>
      <c r="BC1487" s="188"/>
    </row>
    <row r="1488">
      <c r="A1488" s="188"/>
      <c r="B1488" s="188"/>
      <c r="C1488" s="188"/>
      <c r="D1488" s="188"/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188"/>
      <c r="Q1488" s="188"/>
      <c r="R1488" s="188"/>
      <c r="S1488" s="188"/>
      <c r="T1488" s="188"/>
      <c r="U1488" s="188"/>
      <c r="V1488" s="188"/>
      <c r="W1488" s="188"/>
      <c r="X1488" s="188"/>
      <c r="Y1488" s="188"/>
      <c r="Z1488" s="188"/>
      <c r="AA1488" s="188"/>
      <c r="AB1488" s="188"/>
      <c r="AC1488" s="188"/>
      <c r="AD1488" s="188"/>
      <c r="AE1488" s="188"/>
      <c r="AF1488" s="188"/>
      <c r="AG1488" s="188"/>
      <c r="AH1488" s="188"/>
      <c r="AI1488" s="188"/>
      <c r="AJ1488" s="188"/>
      <c r="AK1488" s="188"/>
      <c r="AL1488" s="188"/>
      <c r="AM1488" s="188"/>
      <c r="AN1488" s="188"/>
      <c r="AO1488" s="188"/>
      <c r="AP1488" s="188"/>
      <c r="AQ1488" s="188"/>
      <c r="AR1488" s="188"/>
      <c r="AS1488" s="188"/>
      <c r="AT1488" s="188"/>
      <c r="AU1488" s="188"/>
      <c r="AV1488" s="188"/>
      <c r="AW1488" s="188"/>
      <c r="AX1488" s="188"/>
      <c r="AY1488" s="188"/>
      <c r="AZ1488" s="188"/>
      <c r="BA1488" s="188"/>
      <c r="BB1488" s="188"/>
      <c r="BC1488" s="188"/>
    </row>
    <row r="1489">
      <c r="A1489" s="188"/>
      <c r="B1489" s="188"/>
      <c r="C1489" s="188"/>
      <c r="D1489" s="188"/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188"/>
      <c r="Q1489" s="188"/>
      <c r="R1489" s="188"/>
      <c r="S1489" s="188"/>
      <c r="T1489" s="188"/>
      <c r="U1489" s="188"/>
      <c r="V1489" s="188"/>
      <c r="W1489" s="188"/>
      <c r="X1489" s="188"/>
      <c r="Y1489" s="188"/>
      <c r="Z1489" s="188"/>
      <c r="AA1489" s="188"/>
      <c r="AB1489" s="188"/>
      <c r="AC1489" s="188"/>
      <c r="AD1489" s="188"/>
      <c r="AE1489" s="188"/>
      <c r="AF1489" s="188"/>
      <c r="AG1489" s="188"/>
      <c r="AH1489" s="188"/>
      <c r="AI1489" s="188"/>
      <c r="AJ1489" s="188"/>
      <c r="AK1489" s="188"/>
      <c r="AL1489" s="188"/>
      <c r="AM1489" s="188"/>
      <c r="AN1489" s="188"/>
      <c r="AO1489" s="188"/>
      <c r="AP1489" s="188"/>
      <c r="AQ1489" s="188"/>
      <c r="AR1489" s="188"/>
      <c r="AS1489" s="188"/>
      <c r="AT1489" s="188"/>
      <c r="AU1489" s="188"/>
      <c r="AV1489" s="188"/>
      <c r="AW1489" s="188"/>
      <c r="AX1489" s="188"/>
      <c r="AY1489" s="188"/>
      <c r="AZ1489" s="188"/>
      <c r="BA1489" s="188"/>
      <c r="BB1489" s="188"/>
      <c r="BC1489" s="188"/>
    </row>
    <row r="1490">
      <c r="A1490" s="188"/>
      <c r="B1490" s="188"/>
      <c r="C1490" s="188"/>
      <c r="D1490" s="188"/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188"/>
      <c r="Q1490" s="188"/>
      <c r="R1490" s="188"/>
      <c r="S1490" s="188"/>
      <c r="T1490" s="188"/>
      <c r="U1490" s="188"/>
      <c r="V1490" s="188"/>
      <c r="W1490" s="188"/>
      <c r="X1490" s="188"/>
      <c r="Y1490" s="188"/>
      <c r="Z1490" s="188"/>
      <c r="AA1490" s="188"/>
      <c r="AB1490" s="188"/>
      <c r="AC1490" s="188"/>
      <c r="AD1490" s="188"/>
      <c r="AE1490" s="188"/>
      <c r="AF1490" s="188"/>
      <c r="AG1490" s="188"/>
      <c r="AH1490" s="188"/>
      <c r="AI1490" s="188"/>
      <c r="AJ1490" s="188"/>
      <c r="AK1490" s="188"/>
      <c r="AL1490" s="188"/>
      <c r="AM1490" s="188"/>
      <c r="AN1490" s="188"/>
      <c r="AO1490" s="188"/>
      <c r="AP1490" s="188"/>
      <c r="AQ1490" s="188"/>
      <c r="AR1490" s="188"/>
      <c r="AS1490" s="188"/>
      <c r="AT1490" s="188"/>
      <c r="AU1490" s="188"/>
      <c r="AV1490" s="188"/>
      <c r="AW1490" s="188"/>
      <c r="AX1490" s="188"/>
      <c r="AY1490" s="188"/>
      <c r="AZ1490" s="188"/>
      <c r="BA1490" s="188"/>
      <c r="BB1490" s="188"/>
      <c r="BC1490" s="188"/>
    </row>
    <row r="1491">
      <c r="A1491" s="188"/>
      <c r="B1491" s="188"/>
      <c r="C1491" s="188"/>
      <c r="D1491" s="188"/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188"/>
      <c r="Q1491" s="188"/>
      <c r="R1491" s="188"/>
      <c r="S1491" s="188"/>
      <c r="T1491" s="188"/>
      <c r="U1491" s="188"/>
      <c r="V1491" s="188"/>
      <c r="W1491" s="188"/>
      <c r="X1491" s="188"/>
      <c r="Y1491" s="188"/>
      <c r="Z1491" s="188"/>
      <c r="AA1491" s="188"/>
      <c r="AB1491" s="188"/>
      <c r="AC1491" s="188"/>
      <c r="AD1491" s="188"/>
      <c r="AE1491" s="188"/>
      <c r="AF1491" s="188"/>
      <c r="AG1491" s="188"/>
      <c r="AH1491" s="188"/>
      <c r="AI1491" s="188"/>
      <c r="AJ1491" s="188"/>
      <c r="AK1491" s="188"/>
      <c r="AL1491" s="188"/>
      <c r="AM1491" s="188"/>
      <c r="AN1491" s="188"/>
      <c r="AO1491" s="188"/>
      <c r="AP1491" s="188"/>
      <c r="AQ1491" s="188"/>
      <c r="AR1491" s="188"/>
      <c r="AS1491" s="188"/>
      <c r="AT1491" s="188"/>
      <c r="AU1491" s="188"/>
      <c r="AV1491" s="188"/>
      <c r="AW1491" s="188"/>
      <c r="AX1491" s="188"/>
      <c r="AY1491" s="188"/>
      <c r="AZ1491" s="188"/>
      <c r="BA1491" s="188"/>
      <c r="BB1491" s="188"/>
      <c r="BC1491" s="188"/>
    </row>
    <row r="1492">
      <c r="A1492" s="188"/>
      <c r="B1492" s="188"/>
      <c r="C1492" s="188"/>
      <c r="D1492" s="188"/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188"/>
      <c r="Q1492" s="188"/>
      <c r="R1492" s="188"/>
      <c r="S1492" s="188"/>
      <c r="T1492" s="188"/>
      <c r="U1492" s="188"/>
      <c r="V1492" s="188"/>
      <c r="W1492" s="188"/>
      <c r="X1492" s="188"/>
      <c r="Y1492" s="188"/>
      <c r="Z1492" s="188"/>
      <c r="AA1492" s="188"/>
      <c r="AB1492" s="188"/>
      <c r="AC1492" s="188"/>
      <c r="AD1492" s="188"/>
      <c r="AE1492" s="188"/>
      <c r="AF1492" s="188"/>
      <c r="AG1492" s="188"/>
      <c r="AH1492" s="188"/>
      <c r="AI1492" s="188"/>
      <c r="AJ1492" s="188"/>
      <c r="AK1492" s="188"/>
      <c r="AL1492" s="188"/>
      <c r="AM1492" s="188"/>
      <c r="AN1492" s="188"/>
      <c r="AO1492" s="188"/>
      <c r="AP1492" s="188"/>
      <c r="AQ1492" s="188"/>
      <c r="AR1492" s="188"/>
      <c r="AS1492" s="188"/>
      <c r="AT1492" s="188"/>
      <c r="AU1492" s="188"/>
      <c r="AV1492" s="188"/>
      <c r="AW1492" s="188"/>
      <c r="AX1492" s="188"/>
      <c r="AY1492" s="188"/>
      <c r="AZ1492" s="188"/>
      <c r="BA1492" s="188"/>
      <c r="BB1492" s="188"/>
      <c r="BC1492" s="188"/>
    </row>
    <row r="1493">
      <c r="A1493" s="188"/>
      <c r="B1493" s="188"/>
      <c r="C1493" s="188"/>
      <c r="D1493" s="188"/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188"/>
      <c r="Q1493" s="188"/>
      <c r="R1493" s="188"/>
      <c r="S1493" s="188"/>
      <c r="T1493" s="188"/>
      <c r="U1493" s="188"/>
      <c r="V1493" s="188"/>
      <c r="W1493" s="188"/>
      <c r="X1493" s="188"/>
      <c r="Y1493" s="188"/>
      <c r="Z1493" s="188"/>
      <c r="AA1493" s="188"/>
      <c r="AB1493" s="188"/>
      <c r="AC1493" s="188"/>
      <c r="AD1493" s="188"/>
      <c r="AE1493" s="188"/>
      <c r="AF1493" s="188"/>
      <c r="AG1493" s="188"/>
      <c r="AH1493" s="188"/>
      <c r="AI1493" s="188"/>
      <c r="AJ1493" s="188"/>
      <c r="AK1493" s="188"/>
      <c r="AL1493" s="188"/>
      <c r="AM1493" s="188"/>
      <c r="AN1493" s="188"/>
      <c r="AO1493" s="188"/>
      <c r="AP1493" s="188"/>
      <c r="AQ1493" s="188"/>
      <c r="AR1493" s="188"/>
      <c r="AS1493" s="188"/>
      <c r="AT1493" s="188"/>
      <c r="AU1493" s="188"/>
      <c r="AV1493" s="188"/>
      <c r="AW1493" s="188"/>
      <c r="AX1493" s="188"/>
      <c r="AY1493" s="188"/>
      <c r="AZ1493" s="188"/>
      <c r="BA1493" s="188"/>
      <c r="BB1493" s="188"/>
      <c r="BC1493" s="188"/>
    </row>
    <row r="1494">
      <c r="A1494" s="188"/>
      <c r="B1494" s="188"/>
      <c r="C1494" s="188"/>
      <c r="D1494" s="188"/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188"/>
      <c r="Q1494" s="188"/>
      <c r="R1494" s="188"/>
      <c r="S1494" s="188"/>
      <c r="T1494" s="188"/>
      <c r="U1494" s="188"/>
      <c r="V1494" s="188"/>
      <c r="W1494" s="188"/>
      <c r="X1494" s="188"/>
      <c r="Y1494" s="188"/>
      <c r="Z1494" s="188"/>
      <c r="AA1494" s="188"/>
      <c r="AB1494" s="188"/>
      <c r="AC1494" s="188"/>
      <c r="AD1494" s="188"/>
      <c r="AE1494" s="188"/>
      <c r="AF1494" s="188"/>
      <c r="AG1494" s="188"/>
      <c r="AH1494" s="188"/>
      <c r="AI1494" s="188"/>
      <c r="AJ1494" s="188"/>
      <c r="AK1494" s="188"/>
      <c r="AL1494" s="188"/>
      <c r="AM1494" s="188"/>
      <c r="AN1494" s="188"/>
      <c r="AO1494" s="188"/>
      <c r="AP1494" s="188"/>
      <c r="AQ1494" s="188"/>
      <c r="AR1494" s="188"/>
      <c r="AS1494" s="188"/>
      <c r="AT1494" s="188"/>
      <c r="AU1494" s="188"/>
      <c r="AV1494" s="188"/>
      <c r="AW1494" s="188"/>
      <c r="AX1494" s="188"/>
      <c r="AY1494" s="188"/>
      <c r="AZ1494" s="188"/>
      <c r="BA1494" s="188"/>
      <c r="BB1494" s="188"/>
      <c r="BC1494" s="188"/>
    </row>
    <row r="1495">
      <c r="A1495" s="188"/>
      <c r="B1495" s="188"/>
      <c r="C1495" s="188"/>
      <c r="D1495" s="188"/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188"/>
      <c r="Q1495" s="188"/>
      <c r="R1495" s="188"/>
      <c r="S1495" s="188"/>
      <c r="T1495" s="188"/>
      <c r="U1495" s="188"/>
      <c r="V1495" s="188"/>
      <c r="W1495" s="188"/>
      <c r="X1495" s="188"/>
      <c r="Y1495" s="188"/>
      <c r="Z1495" s="188"/>
      <c r="AA1495" s="188"/>
      <c r="AB1495" s="188"/>
      <c r="AC1495" s="188"/>
      <c r="AD1495" s="188"/>
      <c r="AE1495" s="188"/>
      <c r="AF1495" s="188"/>
      <c r="AG1495" s="188"/>
      <c r="AH1495" s="188"/>
      <c r="AI1495" s="188"/>
      <c r="AJ1495" s="188"/>
      <c r="AK1495" s="188"/>
      <c r="AL1495" s="188"/>
      <c r="AM1495" s="188"/>
      <c r="AN1495" s="188"/>
      <c r="AO1495" s="188"/>
      <c r="AP1495" s="188"/>
      <c r="AQ1495" s="188"/>
      <c r="AR1495" s="188"/>
      <c r="AS1495" s="188"/>
      <c r="AT1495" s="188"/>
      <c r="AU1495" s="188"/>
      <c r="AV1495" s="188"/>
      <c r="AW1495" s="188"/>
      <c r="AX1495" s="188"/>
      <c r="AY1495" s="188"/>
      <c r="AZ1495" s="188"/>
      <c r="BA1495" s="188"/>
      <c r="BB1495" s="188"/>
      <c r="BC1495" s="188"/>
    </row>
    <row r="1496">
      <c r="A1496" s="188"/>
      <c r="B1496" s="188"/>
      <c r="C1496" s="188"/>
      <c r="D1496" s="188"/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188"/>
      <c r="Q1496" s="188"/>
      <c r="R1496" s="188"/>
      <c r="S1496" s="188"/>
      <c r="T1496" s="188"/>
      <c r="U1496" s="188"/>
      <c r="V1496" s="188"/>
      <c r="W1496" s="188"/>
      <c r="X1496" s="188"/>
      <c r="Y1496" s="188"/>
      <c r="Z1496" s="188"/>
      <c r="AA1496" s="188"/>
      <c r="AB1496" s="188"/>
      <c r="AC1496" s="188"/>
      <c r="AD1496" s="188"/>
      <c r="AE1496" s="188"/>
      <c r="AF1496" s="188"/>
      <c r="AG1496" s="188"/>
      <c r="AH1496" s="188"/>
      <c r="AI1496" s="188"/>
      <c r="AJ1496" s="188"/>
      <c r="AK1496" s="188"/>
      <c r="AL1496" s="188"/>
      <c r="AM1496" s="188"/>
      <c r="AN1496" s="188"/>
      <c r="AO1496" s="188"/>
      <c r="AP1496" s="188"/>
      <c r="AQ1496" s="188"/>
      <c r="AR1496" s="188"/>
      <c r="AS1496" s="188"/>
      <c r="AT1496" s="188"/>
      <c r="AU1496" s="188"/>
      <c r="AV1496" s="188"/>
      <c r="AW1496" s="188"/>
      <c r="AX1496" s="188"/>
      <c r="AY1496" s="188"/>
      <c r="AZ1496" s="188"/>
      <c r="BA1496" s="188"/>
      <c r="BB1496" s="188"/>
      <c r="BC1496" s="188"/>
    </row>
    <row r="1497">
      <c r="A1497" s="188"/>
      <c r="B1497" s="188"/>
      <c r="C1497" s="188"/>
      <c r="D1497" s="188"/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188"/>
      <c r="Q1497" s="188"/>
      <c r="R1497" s="188"/>
      <c r="S1497" s="188"/>
      <c r="T1497" s="188"/>
      <c r="U1497" s="188"/>
      <c r="V1497" s="188"/>
      <c r="W1497" s="188"/>
      <c r="X1497" s="188"/>
      <c r="Y1497" s="188"/>
      <c r="Z1497" s="188"/>
      <c r="AA1497" s="188"/>
      <c r="AB1497" s="188"/>
      <c r="AC1497" s="188"/>
      <c r="AD1497" s="188"/>
      <c r="AE1497" s="188"/>
      <c r="AF1497" s="188"/>
      <c r="AG1497" s="188"/>
      <c r="AH1497" s="188"/>
      <c r="AI1497" s="188"/>
      <c r="AJ1497" s="188"/>
      <c r="AK1497" s="188"/>
      <c r="AL1497" s="188"/>
      <c r="AM1497" s="188"/>
      <c r="AN1497" s="188"/>
      <c r="AO1497" s="188"/>
      <c r="AP1497" s="188"/>
      <c r="AQ1497" s="188"/>
      <c r="AR1497" s="188"/>
      <c r="AS1497" s="188"/>
      <c r="AT1497" s="188"/>
      <c r="AU1497" s="188"/>
      <c r="AV1497" s="188"/>
      <c r="AW1497" s="188"/>
      <c r="AX1497" s="188"/>
      <c r="AY1497" s="188"/>
      <c r="AZ1497" s="188"/>
      <c r="BA1497" s="188"/>
      <c r="BB1497" s="188"/>
      <c r="BC1497" s="188"/>
    </row>
    <row r="1498">
      <c r="A1498" s="188"/>
      <c r="B1498" s="188"/>
      <c r="C1498" s="188"/>
      <c r="D1498" s="188"/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188"/>
      <c r="Q1498" s="188"/>
      <c r="R1498" s="188"/>
      <c r="S1498" s="188"/>
      <c r="T1498" s="188"/>
      <c r="U1498" s="188"/>
      <c r="V1498" s="188"/>
      <c r="W1498" s="188"/>
      <c r="X1498" s="188"/>
      <c r="Y1498" s="188"/>
      <c r="Z1498" s="188"/>
      <c r="AA1498" s="188"/>
      <c r="AB1498" s="188"/>
      <c r="AC1498" s="188"/>
      <c r="AD1498" s="188"/>
      <c r="AE1498" s="188"/>
      <c r="AF1498" s="188"/>
      <c r="AG1498" s="188"/>
      <c r="AH1498" s="188"/>
      <c r="AI1498" s="188"/>
      <c r="AJ1498" s="188"/>
      <c r="AK1498" s="188"/>
      <c r="AL1498" s="188"/>
      <c r="AM1498" s="188"/>
      <c r="AN1498" s="188"/>
      <c r="AO1498" s="188"/>
      <c r="AP1498" s="188"/>
      <c r="AQ1498" s="188"/>
      <c r="AR1498" s="188"/>
      <c r="AS1498" s="188"/>
      <c r="AT1498" s="188"/>
      <c r="AU1498" s="188"/>
      <c r="AV1498" s="188"/>
      <c r="AW1498" s="188"/>
      <c r="AX1498" s="188"/>
      <c r="AY1498" s="188"/>
      <c r="AZ1498" s="188"/>
      <c r="BA1498" s="188"/>
      <c r="BB1498" s="188"/>
      <c r="BC1498" s="188"/>
    </row>
    <row r="1499">
      <c r="A1499" s="188"/>
      <c r="B1499" s="188"/>
      <c r="C1499" s="188"/>
      <c r="D1499" s="188"/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188"/>
      <c r="Q1499" s="188"/>
      <c r="R1499" s="188"/>
      <c r="S1499" s="188"/>
      <c r="T1499" s="188"/>
      <c r="U1499" s="188"/>
      <c r="V1499" s="188"/>
      <c r="W1499" s="188"/>
      <c r="X1499" s="188"/>
      <c r="Y1499" s="188"/>
      <c r="Z1499" s="188"/>
      <c r="AA1499" s="188"/>
      <c r="AB1499" s="188"/>
      <c r="AC1499" s="188"/>
      <c r="AD1499" s="188"/>
      <c r="AE1499" s="188"/>
      <c r="AF1499" s="188"/>
      <c r="AG1499" s="188"/>
      <c r="AH1499" s="188"/>
      <c r="AI1499" s="188"/>
      <c r="AJ1499" s="188"/>
      <c r="AK1499" s="188"/>
      <c r="AL1499" s="188"/>
      <c r="AM1499" s="188"/>
      <c r="AN1499" s="188"/>
      <c r="AO1499" s="188"/>
      <c r="AP1499" s="188"/>
      <c r="AQ1499" s="188"/>
      <c r="AR1499" s="188"/>
      <c r="AS1499" s="188"/>
      <c r="AT1499" s="188"/>
      <c r="AU1499" s="188"/>
      <c r="AV1499" s="188"/>
      <c r="AW1499" s="188"/>
      <c r="AX1499" s="188"/>
      <c r="AY1499" s="188"/>
      <c r="AZ1499" s="188"/>
      <c r="BA1499" s="188"/>
      <c r="BB1499" s="188"/>
      <c r="BC1499" s="188"/>
    </row>
    <row r="1500">
      <c r="A1500" s="188"/>
      <c r="B1500" s="188"/>
      <c r="C1500" s="188"/>
      <c r="D1500" s="188"/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188"/>
      <c r="Q1500" s="188"/>
      <c r="R1500" s="188"/>
      <c r="S1500" s="188"/>
      <c r="T1500" s="188"/>
      <c r="U1500" s="188"/>
      <c r="V1500" s="188"/>
      <c r="W1500" s="188"/>
      <c r="X1500" s="188"/>
      <c r="Y1500" s="188"/>
      <c r="Z1500" s="188"/>
      <c r="AA1500" s="188"/>
      <c r="AB1500" s="188"/>
      <c r="AC1500" s="188"/>
      <c r="AD1500" s="188"/>
      <c r="AE1500" s="188"/>
      <c r="AF1500" s="188"/>
      <c r="AG1500" s="188"/>
      <c r="AH1500" s="188"/>
      <c r="AI1500" s="188"/>
      <c r="AJ1500" s="188"/>
      <c r="AK1500" s="188"/>
      <c r="AL1500" s="188"/>
      <c r="AM1500" s="188"/>
      <c r="AN1500" s="188"/>
      <c r="AO1500" s="188"/>
      <c r="AP1500" s="188"/>
      <c r="AQ1500" s="188"/>
      <c r="AR1500" s="188"/>
      <c r="AS1500" s="188"/>
      <c r="AT1500" s="188"/>
      <c r="AU1500" s="188"/>
      <c r="AV1500" s="188"/>
      <c r="AW1500" s="188"/>
      <c r="AX1500" s="188"/>
      <c r="AY1500" s="188"/>
      <c r="AZ1500" s="188"/>
      <c r="BA1500" s="188"/>
      <c r="BB1500" s="188"/>
      <c r="BC1500" s="188"/>
    </row>
    <row r="1501">
      <c r="A1501" s="188"/>
      <c r="B1501" s="188"/>
      <c r="C1501" s="188"/>
      <c r="D1501" s="188"/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188"/>
      <c r="Q1501" s="188"/>
      <c r="R1501" s="188"/>
      <c r="S1501" s="188"/>
      <c r="T1501" s="188"/>
      <c r="U1501" s="188"/>
      <c r="V1501" s="188"/>
      <c r="W1501" s="188"/>
      <c r="X1501" s="188"/>
      <c r="Y1501" s="188"/>
      <c r="Z1501" s="188"/>
      <c r="AA1501" s="188"/>
      <c r="AB1501" s="188"/>
      <c r="AC1501" s="188"/>
      <c r="AD1501" s="188"/>
      <c r="AE1501" s="188"/>
      <c r="AF1501" s="188"/>
      <c r="AG1501" s="188"/>
      <c r="AH1501" s="188"/>
      <c r="AI1501" s="188"/>
      <c r="AJ1501" s="188"/>
      <c r="AK1501" s="188"/>
      <c r="AL1501" s="188"/>
      <c r="AM1501" s="188"/>
      <c r="AN1501" s="188"/>
      <c r="AO1501" s="188"/>
      <c r="AP1501" s="188"/>
      <c r="AQ1501" s="188"/>
      <c r="AR1501" s="188"/>
      <c r="AS1501" s="188"/>
      <c r="AT1501" s="188"/>
      <c r="AU1501" s="188"/>
      <c r="AV1501" s="188"/>
      <c r="AW1501" s="188"/>
      <c r="AX1501" s="188"/>
      <c r="AY1501" s="188"/>
      <c r="AZ1501" s="188"/>
      <c r="BA1501" s="188"/>
      <c r="BB1501" s="188"/>
      <c r="BC1501" s="188"/>
    </row>
    <row r="1502">
      <c r="A1502" s="188"/>
      <c r="B1502" s="188"/>
      <c r="C1502" s="188"/>
      <c r="D1502" s="188"/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188"/>
      <c r="Q1502" s="188"/>
      <c r="R1502" s="188"/>
      <c r="S1502" s="188"/>
      <c r="T1502" s="188"/>
      <c r="U1502" s="188"/>
      <c r="V1502" s="188"/>
      <c r="W1502" s="188"/>
      <c r="X1502" s="188"/>
      <c r="Y1502" s="188"/>
      <c r="Z1502" s="188"/>
      <c r="AA1502" s="188"/>
      <c r="AB1502" s="188"/>
      <c r="AC1502" s="188"/>
      <c r="AD1502" s="188"/>
      <c r="AE1502" s="188"/>
      <c r="AF1502" s="188"/>
      <c r="AG1502" s="188"/>
      <c r="AH1502" s="188"/>
      <c r="AI1502" s="188"/>
      <c r="AJ1502" s="188"/>
      <c r="AK1502" s="188"/>
      <c r="AL1502" s="188"/>
      <c r="AM1502" s="188"/>
      <c r="AN1502" s="188"/>
      <c r="AO1502" s="188"/>
      <c r="AP1502" s="188"/>
      <c r="AQ1502" s="188"/>
      <c r="AR1502" s="188"/>
      <c r="AS1502" s="188"/>
      <c r="AT1502" s="188"/>
      <c r="AU1502" s="188"/>
      <c r="AV1502" s="188"/>
      <c r="AW1502" s="188"/>
      <c r="AX1502" s="188"/>
      <c r="AY1502" s="188"/>
      <c r="AZ1502" s="188"/>
      <c r="BA1502" s="188"/>
      <c r="BB1502" s="188"/>
      <c r="BC1502" s="188"/>
    </row>
    <row r="1503">
      <c r="A1503" s="188"/>
      <c r="B1503" s="188"/>
      <c r="C1503" s="188"/>
      <c r="D1503" s="188"/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188"/>
      <c r="Q1503" s="188"/>
      <c r="R1503" s="188"/>
      <c r="S1503" s="188"/>
      <c r="T1503" s="188"/>
      <c r="U1503" s="188"/>
      <c r="V1503" s="188"/>
      <c r="W1503" s="188"/>
      <c r="X1503" s="188"/>
      <c r="Y1503" s="188"/>
      <c r="Z1503" s="188"/>
      <c r="AA1503" s="188"/>
      <c r="AB1503" s="188"/>
      <c r="AC1503" s="188"/>
      <c r="AD1503" s="188"/>
      <c r="AE1503" s="188"/>
      <c r="AF1503" s="188"/>
      <c r="AG1503" s="188"/>
      <c r="AH1503" s="188"/>
      <c r="AI1503" s="188"/>
      <c r="AJ1503" s="188"/>
      <c r="AK1503" s="188"/>
      <c r="AL1503" s="188"/>
      <c r="AM1503" s="188"/>
      <c r="AN1503" s="188"/>
      <c r="AO1503" s="188"/>
      <c r="AP1503" s="188"/>
      <c r="AQ1503" s="188"/>
      <c r="AR1503" s="188"/>
      <c r="AS1503" s="188"/>
      <c r="AT1503" s="188"/>
      <c r="AU1503" s="188"/>
      <c r="AV1503" s="188"/>
      <c r="AW1503" s="188"/>
      <c r="AX1503" s="188"/>
      <c r="AY1503" s="188"/>
      <c r="AZ1503" s="188"/>
      <c r="BA1503" s="188"/>
      <c r="BB1503" s="188"/>
      <c r="BC1503" s="188"/>
    </row>
    <row r="1504">
      <c r="A1504" s="188"/>
      <c r="B1504" s="188"/>
      <c r="C1504" s="188"/>
      <c r="D1504" s="188"/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188"/>
      <c r="Q1504" s="188"/>
      <c r="R1504" s="188"/>
      <c r="S1504" s="188"/>
      <c r="T1504" s="188"/>
      <c r="U1504" s="188"/>
      <c r="V1504" s="188"/>
      <c r="W1504" s="188"/>
      <c r="X1504" s="188"/>
      <c r="Y1504" s="188"/>
      <c r="Z1504" s="188"/>
      <c r="AA1504" s="188"/>
      <c r="AB1504" s="188"/>
      <c r="AC1504" s="188"/>
      <c r="AD1504" s="188"/>
      <c r="AE1504" s="188"/>
      <c r="AF1504" s="188"/>
      <c r="AG1504" s="188"/>
      <c r="AH1504" s="188"/>
      <c r="AI1504" s="188"/>
      <c r="AJ1504" s="188"/>
      <c r="AK1504" s="188"/>
      <c r="AL1504" s="188"/>
      <c r="AM1504" s="188"/>
      <c r="AN1504" s="188"/>
      <c r="AO1504" s="188"/>
      <c r="AP1504" s="188"/>
      <c r="AQ1504" s="188"/>
      <c r="AR1504" s="188"/>
      <c r="AS1504" s="188"/>
      <c r="AT1504" s="188"/>
      <c r="AU1504" s="188"/>
      <c r="AV1504" s="188"/>
      <c r="AW1504" s="188"/>
      <c r="AX1504" s="188"/>
      <c r="AY1504" s="188"/>
      <c r="AZ1504" s="188"/>
      <c r="BA1504" s="188"/>
      <c r="BB1504" s="188"/>
      <c r="BC1504" s="188"/>
    </row>
    <row r="1505">
      <c r="A1505" s="188"/>
      <c r="B1505" s="188"/>
      <c r="C1505" s="188"/>
      <c r="D1505" s="188"/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188"/>
      <c r="Q1505" s="188"/>
      <c r="R1505" s="188"/>
      <c r="S1505" s="188"/>
      <c r="T1505" s="188"/>
      <c r="U1505" s="188"/>
      <c r="V1505" s="188"/>
      <c r="W1505" s="188"/>
      <c r="X1505" s="188"/>
      <c r="Y1505" s="188"/>
      <c r="Z1505" s="188"/>
      <c r="AA1505" s="188"/>
      <c r="AB1505" s="188"/>
      <c r="AC1505" s="188"/>
      <c r="AD1505" s="188"/>
      <c r="AE1505" s="188"/>
      <c r="AF1505" s="188"/>
      <c r="AG1505" s="188"/>
      <c r="AH1505" s="188"/>
      <c r="AI1505" s="188"/>
      <c r="AJ1505" s="188"/>
      <c r="AK1505" s="188"/>
      <c r="AL1505" s="188"/>
      <c r="AM1505" s="188"/>
      <c r="AN1505" s="188"/>
      <c r="AO1505" s="188"/>
      <c r="AP1505" s="188"/>
      <c r="AQ1505" s="188"/>
      <c r="AR1505" s="188"/>
      <c r="AS1505" s="188"/>
      <c r="AT1505" s="188"/>
      <c r="AU1505" s="188"/>
      <c r="AV1505" s="188"/>
      <c r="AW1505" s="188"/>
      <c r="AX1505" s="188"/>
      <c r="AY1505" s="188"/>
      <c r="AZ1505" s="188"/>
      <c r="BA1505" s="188"/>
      <c r="BB1505" s="188"/>
      <c r="BC1505" s="188"/>
    </row>
    <row r="1506">
      <c r="A1506" s="188"/>
      <c r="B1506" s="188"/>
      <c r="C1506" s="188"/>
      <c r="D1506" s="188"/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188"/>
      <c r="Q1506" s="188"/>
      <c r="R1506" s="188"/>
      <c r="S1506" s="188"/>
      <c r="T1506" s="188"/>
      <c r="U1506" s="188"/>
      <c r="V1506" s="188"/>
      <c r="W1506" s="188"/>
      <c r="X1506" s="188"/>
      <c r="Y1506" s="188"/>
      <c r="Z1506" s="188"/>
      <c r="AA1506" s="188"/>
      <c r="AB1506" s="188"/>
      <c r="AC1506" s="188"/>
      <c r="AD1506" s="188"/>
      <c r="AE1506" s="188"/>
      <c r="AF1506" s="188"/>
      <c r="AG1506" s="188"/>
      <c r="AH1506" s="188"/>
      <c r="AI1506" s="188"/>
      <c r="AJ1506" s="188"/>
      <c r="AK1506" s="188"/>
      <c r="AL1506" s="188"/>
      <c r="AM1506" s="188"/>
      <c r="AN1506" s="188"/>
      <c r="AO1506" s="188"/>
      <c r="AP1506" s="188"/>
      <c r="AQ1506" s="188"/>
      <c r="AR1506" s="188"/>
      <c r="AS1506" s="188"/>
      <c r="AT1506" s="188"/>
      <c r="AU1506" s="188"/>
      <c r="AV1506" s="188"/>
      <c r="AW1506" s="188"/>
      <c r="AX1506" s="188"/>
      <c r="AY1506" s="188"/>
      <c r="AZ1506" s="188"/>
      <c r="BA1506" s="188"/>
      <c r="BB1506" s="188"/>
      <c r="BC1506" s="188"/>
    </row>
    <row r="1507">
      <c r="A1507" s="188"/>
      <c r="B1507" s="188"/>
      <c r="C1507" s="188"/>
      <c r="D1507" s="188"/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188"/>
      <c r="Q1507" s="188"/>
      <c r="R1507" s="188"/>
      <c r="S1507" s="188"/>
      <c r="T1507" s="188"/>
      <c r="U1507" s="188"/>
      <c r="V1507" s="188"/>
      <c r="W1507" s="188"/>
      <c r="X1507" s="188"/>
      <c r="Y1507" s="188"/>
      <c r="Z1507" s="188"/>
      <c r="AA1507" s="188"/>
      <c r="AB1507" s="188"/>
      <c r="AC1507" s="188"/>
      <c r="AD1507" s="188"/>
      <c r="AE1507" s="188"/>
      <c r="AF1507" s="188"/>
      <c r="AG1507" s="188"/>
      <c r="AH1507" s="188"/>
      <c r="AI1507" s="188"/>
      <c r="AJ1507" s="188"/>
      <c r="AK1507" s="188"/>
      <c r="AL1507" s="188"/>
      <c r="AM1507" s="188"/>
      <c r="AN1507" s="188"/>
      <c r="AO1507" s="188"/>
      <c r="AP1507" s="188"/>
      <c r="AQ1507" s="188"/>
      <c r="AR1507" s="188"/>
      <c r="AS1507" s="188"/>
      <c r="AT1507" s="188"/>
      <c r="AU1507" s="188"/>
      <c r="AV1507" s="188"/>
      <c r="AW1507" s="188"/>
      <c r="AX1507" s="188"/>
      <c r="AY1507" s="188"/>
      <c r="AZ1507" s="188"/>
      <c r="BA1507" s="188"/>
      <c r="BB1507" s="188"/>
      <c r="BC1507" s="188"/>
    </row>
    <row r="1508">
      <c r="A1508" s="188"/>
      <c r="B1508" s="188"/>
      <c r="C1508" s="188"/>
      <c r="D1508" s="188"/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188"/>
      <c r="Q1508" s="188"/>
      <c r="R1508" s="188"/>
      <c r="S1508" s="188"/>
      <c r="T1508" s="188"/>
      <c r="U1508" s="188"/>
      <c r="V1508" s="188"/>
      <c r="W1508" s="188"/>
      <c r="X1508" s="188"/>
      <c r="Y1508" s="188"/>
      <c r="Z1508" s="188"/>
      <c r="AA1508" s="188"/>
      <c r="AB1508" s="188"/>
      <c r="AC1508" s="188"/>
      <c r="AD1508" s="188"/>
      <c r="AE1508" s="188"/>
      <c r="AF1508" s="188"/>
      <c r="AG1508" s="188"/>
      <c r="AH1508" s="188"/>
      <c r="AI1508" s="188"/>
      <c r="AJ1508" s="188"/>
      <c r="AK1508" s="188"/>
      <c r="AL1508" s="188"/>
      <c r="AM1508" s="188"/>
      <c r="AN1508" s="188"/>
      <c r="AO1508" s="188"/>
      <c r="AP1508" s="188"/>
      <c r="AQ1508" s="188"/>
      <c r="AR1508" s="188"/>
      <c r="AS1508" s="188"/>
      <c r="AT1508" s="188"/>
      <c r="AU1508" s="188"/>
      <c r="AV1508" s="188"/>
      <c r="AW1508" s="188"/>
      <c r="AX1508" s="188"/>
      <c r="AY1508" s="188"/>
      <c r="AZ1508" s="188"/>
      <c r="BA1508" s="188"/>
      <c r="BB1508" s="188"/>
      <c r="BC1508" s="188"/>
    </row>
    <row r="1509">
      <c r="A1509" s="188"/>
      <c r="B1509" s="188"/>
      <c r="C1509" s="188"/>
      <c r="D1509" s="188"/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188"/>
      <c r="Q1509" s="188"/>
      <c r="R1509" s="188"/>
      <c r="S1509" s="188"/>
      <c r="T1509" s="188"/>
      <c r="U1509" s="188"/>
      <c r="V1509" s="188"/>
      <c r="W1509" s="188"/>
      <c r="X1509" s="188"/>
      <c r="Y1509" s="188"/>
      <c r="Z1509" s="188"/>
      <c r="AA1509" s="188"/>
      <c r="AB1509" s="188"/>
      <c r="AC1509" s="188"/>
      <c r="AD1509" s="188"/>
      <c r="AE1509" s="188"/>
      <c r="AF1509" s="188"/>
      <c r="AG1509" s="188"/>
      <c r="AH1509" s="188"/>
      <c r="AI1509" s="188"/>
      <c r="AJ1509" s="188"/>
      <c r="AK1509" s="188"/>
      <c r="AL1509" s="188"/>
      <c r="AM1509" s="188"/>
      <c r="AN1509" s="188"/>
      <c r="AO1509" s="188"/>
      <c r="AP1509" s="188"/>
      <c r="AQ1509" s="188"/>
      <c r="AR1509" s="188"/>
      <c r="AS1509" s="188"/>
      <c r="AT1509" s="188"/>
      <c r="AU1509" s="188"/>
      <c r="AV1509" s="188"/>
      <c r="AW1509" s="188"/>
      <c r="AX1509" s="188"/>
      <c r="AY1509" s="188"/>
      <c r="AZ1509" s="188"/>
      <c r="BA1509" s="188"/>
      <c r="BB1509" s="188"/>
      <c r="BC1509" s="188"/>
    </row>
    <row r="1510">
      <c r="A1510" s="188"/>
      <c r="B1510" s="188"/>
      <c r="C1510" s="188"/>
      <c r="D1510" s="188"/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188"/>
      <c r="Q1510" s="188"/>
      <c r="R1510" s="188"/>
      <c r="S1510" s="188"/>
      <c r="T1510" s="188"/>
      <c r="U1510" s="188"/>
      <c r="V1510" s="188"/>
      <c r="W1510" s="188"/>
      <c r="X1510" s="188"/>
      <c r="Y1510" s="188"/>
      <c r="Z1510" s="188"/>
      <c r="AA1510" s="188"/>
      <c r="AB1510" s="188"/>
      <c r="AC1510" s="188"/>
      <c r="AD1510" s="188"/>
      <c r="AE1510" s="188"/>
      <c r="AF1510" s="188"/>
      <c r="AG1510" s="188"/>
      <c r="AH1510" s="188"/>
      <c r="AI1510" s="188"/>
      <c r="AJ1510" s="188"/>
      <c r="AK1510" s="188"/>
      <c r="AL1510" s="188"/>
      <c r="AM1510" s="188"/>
      <c r="AN1510" s="188"/>
      <c r="AO1510" s="188"/>
      <c r="AP1510" s="188"/>
      <c r="AQ1510" s="188"/>
      <c r="AR1510" s="188"/>
      <c r="AS1510" s="188"/>
      <c r="AT1510" s="188"/>
      <c r="AU1510" s="188"/>
      <c r="AV1510" s="188"/>
      <c r="AW1510" s="188"/>
      <c r="AX1510" s="188"/>
      <c r="AY1510" s="188"/>
      <c r="AZ1510" s="188"/>
      <c r="BA1510" s="188"/>
      <c r="BB1510" s="188"/>
      <c r="BC1510" s="188"/>
    </row>
    <row r="1511">
      <c r="A1511" s="188"/>
      <c r="B1511" s="188"/>
      <c r="C1511" s="188"/>
      <c r="D1511" s="188"/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188"/>
      <c r="Q1511" s="188"/>
      <c r="R1511" s="188"/>
      <c r="S1511" s="188"/>
      <c r="T1511" s="188"/>
      <c r="U1511" s="188"/>
      <c r="V1511" s="188"/>
      <c r="W1511" s="188"/>
      <c r="X1511" s="188"/>
      <c r="Y1511" s="188"/>
      <c r="Z1511" s="188"/>
      <c r="AA1511" s="188"/>
      <c r="AB1511" s="188"/>
      <c r="AC1511" s="188"/>
      <c r="AD1511" s="188"/>
      <c r="AE1511" s="188"/>
      <c r="AF1511" s="188"/>
      <c r="AG1511" s="188"/>
      <c r="AH1511" s="188"/>
      <c r="AI1511" s="188"/>
      <c r="AJ1511" s="188"/>
      <c r="AK1511" s="188"/>
      <c r="AL1511" s="188"/>
      <c r="AM1511" s="188"/>
      <c r="AN1511" s="188"/>
      <c r="AO1511" s="188"/>
      <c r="AP1511" s="188"/>
      <c r="AQ1511" s="188"/>
      <c r="AR1511" s="188"/>
      <c r="AS1511" s="188"/>
      <c r="AT1511" s="188"/>
      <c r="AU1511" s="188"/>
      <c r="AV1511" s="188"/>
      <c r="AW1511" s="188"/>
      <c r="AX1511" s="188"/>
      <c r="AY1511" s="188"/>
      <c r="AZ1511" s="188"/>
      <c r="BA1511" s="188"/>
      <c r="BB1511" s="188"/>
      <c r="BC1511" s="188"/>
    </row>
    <row r="1512">
      <c r="A1512" s="188"/>
      <c r="B1512" s="188"/>
      <c r="C1512" s="188"/>
      <c r="D1512" s="188"/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188"/>
      <c r="Q1512" s="188"/>
      <c r="R1512" s="188"/>
      <c r="S1512" s="188"/>
      <c r="T1512" s="188"/>
      <c r="U1512" s="188"/>
      <c r="V1512" s="188"/>
      <c r="W1512" s="188"/>
      <c r="X1512" s="188"/>
      <c r="Y1512" s="188"/>
      <c r="Z1512" s="188"/>
      <c r="AA1512" s="188"/>
      <c r="AB1512" s="188"/>
      <c r="AC1512" s="188"/>
      <c r="AD1512" s="188"/>
      <c r="AE1512" s="188"/>
      <c r="AF1512" s="188"/>
      <c r="AG1512" s="188"/>
      <c r="AH1512" s="188"/>
      <c r="AI1512" s="188"/>
      <c r="AJ1512" s="188"/>
      <c r="AK1512" s="188"/>
      <c r="AL1512" s="188"/>
      <c r="AM1512" s="188"/>
      <c r="AN1512" s="188"/>
      <c r="AO1512" s="188"/>
      <c r="AP1512" s="188"/>
      <c r="AQ1512" s="188"/>
      <c r="AR1512" s="188"/>
      <c r="AS1512" s="188"/>
      <c r="AT1512" s="188"/>
      <c r="AU1512" s="188"/>
      <c r="AV1512" s="188"/>
      <c r="AW1512" s="188"/>
      <c r="AX1512" s="188"/>
      <c r="AY1512" s="188"/>
      <c r="AZ1512" s="188"/>
      <c r="BA1512" s="188"/>
      <c r="BB1512" s="188"/>
      <c r="BC1512" s="188"/>
    </row>
    <row r="1513">
      <c r="A1513" s="188"/>
      <c r="B1513" s="188"/>
      <c r="C1513" s="188"/>
      <c r="D1513" s="188"/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188"/>
      <c r="Q1513" s="188"/>
      <c r="R1513" s="188"/>
      <c r="S1513" s="188"/>
      <c r="T1513" s="188"/>
      <c r="U1513" s="188"/>
      <c r="V1513" s="188"/>
      <c r="W1513" s="188"/>
      <c r="X1513" s="188"/>
      <c r="Y1513" s="188"/>
      <c r="Z1513" s="188"/>
      <c r="AA1513" s="188"/>
      <c r="AB1513" s="188"/>
      <c r="AC1513" s="188"/>
      <c r="AD1513" s="188"/>
      <c r="AE1513" s="188"/>
      <c r="AF1513" s="188"/>
      <c r="AG1513" s="188"/>
      <c r="AH1513" s="188"/>
      <c r="AI1513" s="188"/>
      <c r="AJ1513" s="188"/>
      <c r="AK1513" s="188"/>
      <c r="AL1513" s="188"/>
      <c r="AM1513" s="188"/>
      <c r="AN1513" s="188"/>
      <c r="AO1513" s="188"/>
      <c r="AP1513" s="188"/>
      <c r="AQ1513" s="188"/>
      <c r="AR1513" s="188"/>
      <c r="AS1513" s="188"/>
      <c r="AT1513" s="188"/>
      <c r="AU1513" s="188"/>
      <c r="AV1513" s="188"/>
      <c r="AW1513" s="188"/>
      <c r="AX1513" s="188"/>
      <c r="AY1513" s="188"/>
      <c r="AZ1513" s="188"/>
      <c r="BA1513" s="188"/>
      <c r="BB1513" s="188"/>
      <c r="BC1513" s="188"/>
    </row>
    <row r="1514">
      <c r="A1514" s="188"/>
      <c r="B1514" s="188"/>
      <c r="C1514" s="188"/>
      <c r="D1514" s="188"/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188"/>
      <c r="Q1514" s="188"/>
      <c r="R1514" s="188"/>
      <c r="S1514" s="188"/>
      <c r="T1514" s="188"/>
      <c r="U1514" s="188"/>
      <c r="V1514" s="188"/>
      <c r="W1514" s="188"/>
      <c r="X1514" s="188"/>
      <c r="Y1514" s="188"/>
      <c r="Z1514" s="188"/>
      <c r="AA1514" s="188"/>
      <c r="AB1514" s="188"/>
      <c r="AC1514" s="188"/>
      <c r="AD1514" s="188"/>
      <c r="AE1514" s="188"/>
      <c r="AF1514" s="188"/>
      <c r="AG1514" s="188"/>
      <c r="AH1514" s="188"/>
      <c r="AI1514" s="188"/>
      <c r="AJ1514" s="188"/>
      <c r="AK1514" s="188"/>
      <c r="AL1514" s="188"/>
      <c r="AM1514" s="188"/>
      <c r="AN1514" s="188"/>
      <c r="AO1514" s="188"/>
      <c r="AP1514" s="188"/>
      <c r="AQ1514" s="188"/>
      <c r="AR1514" s="188"/>
      <c r="AS1514" s="188"/>
      <c r="AT1514" s="188"/>
      <c r="AU1514" s="188"/>
      <c r="AV1514" s="188"/>
      <c r="AW1514" s="188"/>
      <c r="AX1514" s="188"/>
      <c r="AY1514" s="188"/>
      <c r="AZ1514" s="188"/>
      <c r="BA1514" s="188"/>
      <c r="BB1514" s="188"/>
      <c r="BC1514" s="188"/>
    </row>
    <row r="1515">
      <c r="A1515" s="188"/>
      <c r="B1515" s="188"/>
      <c r="C1515" s="188"/>
      <c r="D1515" s="188"/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188"/>
      <c r="Q1515" s="188"/>
      <c r="R1515" s="188"/>
      <c r="S1515" s="188"/>
      <c r="T1515" s="188"/>
      <c r="U1515" s="188"/>
      <c r="V1515" s="188"/>
      <c r="W1515" s="188"/>
      <c r="X1515" s="188"/>
      <c r="Y1515" s="188"/>
      <c r="Z1515" s="188"/>
      <c r="AA1515" s="188"/>
      <c r="AB1515" s="188"/>
      <c r="AC1515" s="188"/>
      <c r="AD1515" s="188"/>
      <c r="AE1515" s="188"/>
      <c r="AF1515" s="188"/>
      <c r="AG1515" s="188"/>
      <c r="AH1515" s="188"/>
      <c r="AI1515" s="188"/>
      <c r="AJ1515" s="188"/>
      <c r="AK1515" s="188"/>
      <c r="AL1515" s="188"/>
      <c r="AM1515" s="188"/>
      <c r="AN1515" s="188"/>
      <c r="AO1515" s="188"/>
      <c r="AP1515" s="188"/>
      <c r="AQ1515" s="188"/>
      <c r="AR1515" s="188"/>
      <c r="AS1515" s="188"/>
      <c r="AT1515" s="188"/>
      <c r="AU1515" s="188"/>
      <c r="AV1515" s="188"/>
      <c r="AW1515" s="188"/>
      <c r="AX1515" s="188"/>
      <c r="AY1515" s="188"/>
      <c r="AZ1515" s="188"/>
      <c r="BA1515" s="188"/>
      <c r="BB1515" s="188"/>
      <c r="BC1515" s="188"/>
    </row>
    <row r="1516">
      <c r="A1516" s="188"/>
      <c r="B1516" s="188"/>
      <c r="C1516" s="188"/>
      <c r="D1516" s="188"/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188"/>
      <c r="Q1516" s="188"/>
      <c r="R1516" s="188"/>
      <c r="S1516" s="188"/>
      <c r="T1516" s="188"/>
      <c r="U1516" s="188"/>
      <c r="V1516" s="188"/>
      <c r="W1516" s="188"/>
      <c r="X1516" s="188"/>
      <c r="Y1516" s="188"/>
      <c r="Z1516" s="188"/>
      <c r="AA1516" s="188"/>
      <c r="AB1516" s="188"/>
      <c r="AC1516" s="188"/>
      <c r="AD1516" s="188"/>
      <c r="AE1516" s="188"/>
      <c r="AF1516" s="188"/>
      <c r="AG1516" s="188"/>
      <c r="AH1516" s="188"/>
      <c r="AI1516" s="188"/>
      <c r="AJ1516" s="188"/>
      <c r="AK1516" s="188"/>
      <c r="AL1516" s="188"/>
      <c r="AM1516" s="188"/>
      <c r="AN1516" s="188"/>
      <c r="AO1516" s="188"/>
      <c r="AP1516" s="188"/>
      <c r="AQ1516" s="188"/>
      <c r="AR1516" s="188"/>
      <c r="AS1516" s="188"/>
      <c r="AT1516" s="188"/>
      <c r="AU1516" s="188"/>
      <c r="AV1516" s="188"/>
      <c r="AW1516" s="188"/>
      <c r="AX1516" s="188"/>
      <c r="AY1516" s="188"/>
      <c r="AZ1516" s="188"/>
      <c r="BA1516" s="188"/>
      <c r="BB1516" s="188"/>
      <c r="BC1516" s="188"/>
    </row>
    <row r="1517">
      <c r="A1517" s="188"/>
      <c r="B1517" s="188"/>
      <c r="C1517" s="188"/>
      <c r="D1517" s="188"/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188"/>
      <c r="Q1517" s="188"/>
      <c r="R1517" s="188"/>
      <c r="S1517" s="188"/>
      <c r="T1517" s="188"/>
      <c r="U1517" s="188"/>
      <c r="V1517" s="188"/>
      <c r="W1517" s="188"/>
      <c r="X1517" s="188"/>
      <c r="Y1517" s="188"/>
      <c r="Z1517" s="188"/>
      <c r="AA1517" s="188"/>
      <c r="AB1517" s="188"/>
      <c r="AC1517" s="188"/>
      <c r="AD1517" s="188"/>
      <c r="AE1517" s="188"/>
      <c r="AF1517" s="188"/>
      <c r="AG1517" s="188"/>
      <c r="AH1517" s="188"/>
      <c r="AI1517" s="188"/>
      <c r="AJ1517" s="188"/>
      <c r="AK1517" s="188"/>
      <c r="AL1517" s="188"/>
      <c r="AM1517" s="188"/>
      <c r="AN1517" s="188"/>
      <c r="AO1517" s="188"/>
      <c r="AP1517" s="188"/>
      <c r="AQ1517" s="188"/>
      <c r="AR1517" s="188"/>
      <c r="AS1517" s="188"/>
      <c r="AT1517" s="188"/>
      <c r="AU1517" s="188"/>
      <c r="AV1517" s="188"/>
      <c r="AW1517" s="188"/>
      <c r="AX1517" s="188"/>
      <c r="AY1517" s="188"/>
      <c r="AZ1517" s="188"/>
      <c r="BA1517" s="188"/>
      <c r="BB1517" s="188"/>
      <c r="BC1517" s="188"/>
    </row>
    <row r="1518">
      <c r="A1518" s="188"/>
      <c r="B1518" s="188"/>
      <c r="C1518" s="188"/>
      <c r="D1518" s="188"/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188"/>
      <c r="Q1518" s="188"/>
      <c r="R1518" s="188"/>
      <c r="S1518" s="188"/>
      <c r="T1518" s="188"/>
      <c r="U1518" s="188"/>
      <c r="V1518" s="188"/>
      <c r="W1518" s="188"/>
      <c r="X1518" s="188"/>
      <c r="Y1518" s="188"/>
      <c r="Z1518" s="188"/>
      <c r="AA1518" s="188"/>
      <c r="AB1518" s="188"/>
      <c r="AC1518" s="188"/>
      <c r="AD1518" s="188"/>
      <c r="AE1518" s="188"/>
      <c r="AF1518" s="188"/>
      <c r="AG1518" s="188"/>
      <c r="AH1518" s="188"/>
      <c r="AI1518" s="188"/>
      <c r="AJ1518" s="188"/>
      <c r="AK1518" s="188"/>
      <c r="AL1518" s="188"/>
      <c r="AM1518" s="188"/>
      <c r="AN1518" s="188"/>
      <c r="AO1518" s="188"/>
      <c r="AP1518" s="188"/>
      <c r="AQ1518" s="188"/>
      <c r="AR1518" s="188"/>
      <c r="AS1518" s="188"/>
      <c r="AT1518" s="188"/>
      <c r="AU1518" s="188"/>
      <c r="AV1518" s="188"/>
      <c r="AW1518" s="188"/>
      <c r="AX1518" s="188"/>
      <c r="AY1518" s="188"/>
      <c r="AZ1518" s="188"/>
      <c r="BA1518" s="188"/>
      <c r="BB1518" s="188"/>
      <c r="BC1518" s="188"/>
    </row>
    <row r="1519">
      <c r="A1519" s="188"/>
      <c r="B1519" s="188"/>
      <c r="C1519" s="188"/>
      <c r="D1519" s="188"/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188"/>
      <c r="Q1519" s="188"/>
      <c r="R1519" s="188"/>
      <c r="S1519" s="188"/>
      <c r="T1519" s="188"/>
      <c r="U1519" s="188"/>
      <c r="V1519" s="188"/>
      <c r="W1519" s="188"/>
      <c r="X1519" s="188"/>
      <c r="Y1519" s="188"/>
      <c r="Z1519" s="188"/>
      <c r="AA1519" s="188"/>
      <c r="AB1519" s="188"/>
      <c r="AC1519" s="188"/>
      <c r="AD1519" s="188"/>
      <c r="AE1519" s="188"/>
      <c r="AF1519" s="188"/>
      <c r="AG1519" s="188"/>
      <c r="AH1519" s="188"/>
      <c r="AI1519" s="188"/>
      <c r="AJ1519" s="188"/>
      <c r="AK1519" s="188"/>
      <c r="AL1519" s="188"/>
      <c r="AM1519" s="188"/>
      <c r="AN1519" s="188"/>
      <c r="AO1519" s="188"/>
      <c r="AP1519" s="188"/>
      <c r="AQ1519" s="188"/>
      <c r="AR1519" s="188"/>
      <c r="AS1519" s="188"/>
      <c r="AT1519" s="188"/>
      <c r="AU1519" s="188"/>
      <c r="AV1519" s="188"/>
      <c r="AW1519" s="188"/>
      <c r="AX1519" s="188"/>
      <c r="AY1519" s="188"/>
      <c r="AZ1519" s="188"/>
      <c r="BA1519" s="188"/>
      <c r="BB1519" s="188"/>
      <c r="BC1519" s="188"/>
    </row>
    <row r="1520">
      <c r="A1520" s="188"/>
      <c r="B1520" s="188"/>
      <c r="C1520" s="188"/>
      <c r="D1520" s="188"/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188"/>
      <c r="Q1520" s="188"/>
      <c r="R1520" s="188"/>
      <c r="S1520" s="188"/>
      <c r="T1520" s="188"/>
      <c r="U1520" s="188"/>
      <c r="V1520" s="188"/>
      <c r="W1520" s="188"/>
      <c r="X1520" s="188"/>
      <c r="Y1520" s="188"/>
      <c r="Z1520" s="188"/>
      <c r="AA1520" s="188"/>
      <c r="AB1520" s="188"/>
      <c r="AC1520" s="188"/>
      <c r="AD1520" s="188"/>
      <c r="AE1520" s="188"/>
      <c r="AF1520" s="188"/>
      <c r="AG1520" s="188"/>
      <c r="AH1520" s="188"/>
      <c r="AI1520" s="188"/>
      <c r="AJ1520" s="188"/>
      <c r="AK1520" s="188"/>
      <c r="AL1520" s="188"/>
      <c r="AM1520" s="188"/>
      <c r="AN1520" s="188"/>
      <c r="AO1520" s="188"/>
      <c r="AP1520" s="188"/>
      <c r="AQ1520" s="188"/>
      <c r="AR1520" s="188"/>
      <c r="AS1520" s="188"/>
      <c r="AT1520" s="188"/>
      <c r="AU1520" s="188"/>
      <c r="AV1520" s="188"/>
      <c r="AW1520" s="188"/>
      <c r="AX1520" s="188"/>
      <c r="AY1520" s="188"/>
      <c r="AZ1520" s="188"/>
      <c r="BA1520" s="188"/>
      <c r="BB1520" s="188"/>
      <c r="BC1520" s="188"/>
    </row>
    <row r="1521">
      <c r="A1521" s="188"/>
      <c r="B1521" s="188"/>
      <c r="C1521" s="188"/>
      <c r="D1521" s="188"/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188"/>
      <c r="Q1521" s="188"/>
      <c r="R1521" s="188"/>
      <c r="S1521" s="188"/>
      <c r="T1521" s="188"/>
      <c r="U1521" s="188"/>
      <c r="V1521" s="188"/>
      <c r="W1521" s="188"/>
      <c r="X1521" s="188"/>
      <c r="Y1521" s="188"/>
      <c r="Z1521" s="188"/>
      <c r="AA1521" s="188"/>
      <c r="AB1521" s="188"/>
      <c r="AC1521" s="188"/>
      <c r="AD1521" s="188"/>
      <c r="AE1521" s="188"/>
      <c r="AF1521" s="188"/>
      <c r="AG1521" s="188"/>
      <c r="AH1521" s="188"/>
      <c r="AI1521" s="188"/>
      <c r="AJ1521" s="188"/>
      <c r="AK1521" s="188"/>
      <c r="AL1521" s="188"/>
      <c r="AM1521" s="188"/>
      <c r="AN1521" s="188"/>
      <c r="AO1521" s="188"/>
      <c r="AP1521" s="188"/>
      <c r="AQ1521" s="188"/>
      <c r="AR1521" s="188"/>
      <c r="AS1521" s="188"/>
      <c r="AT1521" s="188"/>
      <c r="AU1521" s="188"/>
      <c r="AV1521" s="188"/>
      <c r="AW1521" s="188"/>
      <c r="AX1521" s="188"/>
      <c r="AY1521" s="188"/>
      <c r="AZ1521" s="188"/>
      <c r="BA1521" s="188"/>
      <c r="BB1521" s="188"/>
      <c r="BC1521" s="188"/>
    </row>
    <row r="1522">
      <c r="A1522" s="188"/>
      <c r="B1522" s="188"/>
      <c r="C1522" s="188"/>
      <c r="D1522" s="188"/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188"/>
      <c r="Q1522" s="188"/>
      <c r="R1522" s="188"/>
      <c r="S1522" s="188"/>
      <c r="T1522" s="188"/>
      <c r="U1522" s="188"/>
      <c r="V1522" s="188"/>
      <c r="W1522" s="188"/>
      <c r="X1522" s="188"/>
      <c r="Y1522" s="188"/>
      <c r="Z1522" s="188"/>
      <c r="AA1522" s="188"/>
      <c r="AB1522" s="188"/>
      <c r="AC1522" s="188"/>
      <c r="AD1522" s="188"/>
      <c r="AE1522" s="188"/>
      <c r="AF1522" s="188"/>
      <c r="AG1522" s="188"/>
      <c r="AH1522" s="188"/>
      <c r="AI1522" s="188"/>
      <c r="AJ1522" s="188"/>
      <c r="AK1522" s="188"/>
      <c r="AL1522" s="188"/>
      <c r="AM1522" s="188"/>
      <c r="AN1522" s="188"/>
      <c r="AO1522" s="188"/>
      <c r="AP1522" s="188"/>
      <c r="AQ1522" s="188"/>
      <c r="AR1522" s="188"/>
      <c r="AS1522" s="188"/>
      <c r="AT1522" s="188"/>
      <c r="AU1522" s="188"/>
      <c r="AV1522" s="188"/>
      <c r="AW1522" s="188"/>
      <c r="AX1522" s="188"/>
      <c r="AY1522" s="188"/>
      <c r="AZ1522" s="188"/>
      <c r="BA1522" s="188"/>
      <c r="BB1522" s="188"/>
      <c r="BC1522" s="188"/>
    </row>
    <row r="1523">
      <c r="A1523" s="188"/>
      <c r="B1523" s="188"/>
      <c r="C1523" s="188"/>
      <c r="D1523" s="188"/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188"/>
      <c r="Q1523" s="188"/>
      <c r="R1523" s="188"/>
      <c r="S1523" s="188"/>
      <c r="T1523" s="188"/>
      <c r="U1523" s="188"/>
      <c r="V1523" s="188"/>
      <c r="W1523" s="188"/>
      <c r="X1523" s="188"/>
      <c r="Y1523" s="188"/>
      <c r="Z1523" s="188"/>
      <c r="AA1523" s="188"/>
      <c r="AB1523" s="188"/>
      <c r="AC1523" s="188"/>
      <c r="AD1523" s="188"/>
      <c r="AE1523" s="188"/>
      <c r="AF1523" s="188"/>
      <c r="AG1523" s="188"/>
      <c r="AH1523" s="188"/>
      <c r="AI1523" s="188"/>
      <c r="AJ1523" s="188"/>
      <c r="AK1523" s="188"/>
      <c r="AL1523" s="188"/>
      <c r="AM1523" s="188"/>
      <c r="AN1523" s="188"/>
      <c r="AO1523" s="188"/>
      <c r="AP1523" s="188"/>
      <c r="AQ1523" s="188"/>
      <c r="AR1523" s="188"/>
      <c r="AS1523" s="188"/>
      <c r="AT1523" s="188"/>
      <c r="AU1523" s="188"/>
      <c r="AV1523" s="188"/>
      <c r="AW1523" s="188"/>
      <c r="AX1523" s="188"/>
      <c r="AY1523" s="188"/>
      <c r="AZ1523" s="188"/>
      <c r="BA1523" s="188"/>
      <c r="BB1523" s="188"/>
      <c r="BC1523" s="188"/>
    </row>
    <row r="1524">
      <c r="A1524" s="188"/>
      <c r="B1524" s="188"/>
      <c r="C1524" s="188"/>
      <c r="D1524" s="188"/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188"/>
      <c r="Q1524" s="188"/>
      <c r="R1524" s="188"/>
      <c r="S1524" s="188"/>
      <c r="T1524" s="188"/>
      <c r="U1524" s="188"/>
      <c r="V1524" s="188"/>
      <c r="W1524" s="188"/>
      <c r="X1524" s="188"/>
      <c r="Y1524" s="188"/>
      <c r="Z1524" s="188"/>
      <c r="AA1524" s="188"/>
      <c r="AB1524" s="188"/>
      <c r="AC1524" s="188"/>
      <c r="AD1524" s="188"/>
      <c r="AE1524" s="188"/>
      <c r="AF1524" s="188"/>
      <c r="AG1524" s="188"/>
      <c r="AH1524" s="188"/>
      <c r="AI1524" s="188"/>
      <c r="AJ1524" s="188"/>
      <c r="AK1524" s="188"/>
      <c r="AL1524" s="188"/>
      <c r="AM1524" s="188"/>
      <c r="AN1524" s="188"/>
      <c r="AO1524" s="188"/>
      <c r="AP1524" s="188"/>
      <c r="AQ1524" s="188"/>
      <c r="AR1524" s="188"/>
      <c r="AS1524" s="188"/>
      <c r="AT1524" s="188"/>
      <c r="AU1524" s="188"/>
      <c r="AV1524" s="188"/>
      <c r="AW1524" s="188"/>
      <c r="AX1524" s="188"/>
      <c r="AY1524" s="188"/>
      <c r="AZ1524" s="188"/>
      <c r="BA1524" s="188"/>
      <c r="BB1524" s="188"/>
      <c r="BC1524" s="188"/>
    </row>
    <row r="1525">
      <c r="A1525" s="188"/>
      <c r="B1525" s="188"/>
      <c r="C1525" s="188"/>
      <c r="D1525" s="188"/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188"/>
      <c r="Q1525" s="188"/>
      <c r="R1525" s="188"/>
      <c r="S1525" s="188"/>
      <c r="T1525" s="188"/>
      <c r="U1525" s="188"/>
      <c r="V1525" s="188"/>
      <c r="W1525" s="188"/>
      <c r="X1525" s="188"/>
      <c r="Y1525" s="188"/>
      <c r="Z1525" s="188"/>
      <c r="AA1525" s="188"/>
      <c r="AB1525" s="188"/>
      <c r="AC1525" s="188"/>
      <c r="AD1525" s="188"/>
      <c r="AE1525" s="188"/>
      <c r="AF1525" s="188"/>
      <c r="AG1525" s="188"/>
      <c r="AH1525" s="188"/>
      <c r="AI1525" s="188"/>
      <c r="AJ1525" s="188"/>
      <c r="AK1525" s="188"/>
      <c r="AL1525" s="188"/>
      <c r="AM1525" s="188"/>
      <c r="AN1525" s="188"/>
      <c r="AO1525" s="188"/>
      <c r="AP1525" s="188"/>
      <c r="AQ1525" s="188"/>
      <c r="AR1525" s="188"/>
      <c r="AS1525" s="188"/>
      <c r="AT1525" s="188"/>
      <c r="AU1525" s="188"/>
      <c r="AV1525" s="188"/>
      <c r="AW1525" s="188"/>
      <c r="AX1525" s="188"/>
      <c r="AY1525" s="188"/>
      <c r="AZ1525" s="188"/>
      <c r="BA1525" s="188"/>
      <c r="BB1525" s="188"/>
      <c r="BC1525" s="188"/>
    </row>
    <row r="1526">
      <c r="A1526" s="188"/>
      <c r="B1526" s="188"/>
      <c r="C1526" s="188"/>
      <c r="D1526" s="188"/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188"/>
      <c r="Q1526" s="188"/>
      <c r="R1526" s="188"/>
      <c r="S1526" s="188"/>
      <c r="T1526" s="188"/>
      <c r="U1526" s="188"/>
      <c r="V1526" s="188"/>
      <c r="W1526" s="188"/>
      <c r="X1526" s="188"/>
      <c r="Y1526" s="188"/>
      <c r="Z1526" s="188"/>
      <c r="AA1526" s="188"/>
      <c r="AB1526" s="188"/>
      <c r="AC1526" s="188"/>
      <c r="AD1526" s="188"/>
      <c r="AE1526" s="188"/>
      <c r="AF1526" s="188"/>
      <c r="AG1526" s="188"/>
      <c r="AH1526" s="188"/>
      <c r="AI1526" s="188"/>
      <c r="AJ1526" s="188"/>
      <c r="AK1526" s="188"/>
      <c r="AL1526" s="188"/>
      <c r="AM1526" s="188"/>
      <c r="AN1526" s="188"/>
      <c r="AO1526" s="188"/>
      <c r="AP1526" s="188"/>
      <c r="AQ1526" s="188"/>
      <c r="AR1526" s="188"/>
      <c r="AS1526" s="188"/>
      <c r="AT1526" s="188"/>
      <c r="AU1526" s="188"/>
      <c r="AV1526" s="188"/>
      <c r="AW1526" s="188"/>
      <c r="AX1526" s="188"/>
      <c r="AY1526" s="188"/>
      <c r="AZ1526" s="188"/>
      <c r="BA1526" s="188"/>
      <c r="BB1526" s="188"/>
      <c r="BC1526" s="188"/>
    </row>
    <row r="1527">
      <c r="A1527" s="188"/>
      <c r="B1527" s="188"/>
      <c r="C1527" s="188"/>
      <c r="D1527" s="188"/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188"/>
      <c r="Q1527" s="188"/>
      <c r="R1527" s="188"/>
      <c r="S1527" s="188"/>
      <c r="T1527" s="188"/>
      <c r="U1527" s="188"/>
      <c r="V1527" s="188"/>
      <c r="W1527" s="188"/>
      <c r="X1527" s="188"/>
      <c r="Y1527" s="188"/>
      <c r="Z1527" s="188"/>
      <c r="AA1527" s="188"/>
      <c r="AB1527" s="188"/>
      <c r="AC1527" s="188"/>
      <c r="AD1527" s="188"/>
      <c r="AE1527" s="188"/>
      <c r="AF1527" s="188"/>
      <c r="AG1527" s="188"/>
      <c r="AH1527" s="188"/>
      <c r="AI1527" s="188"/>
      <c r="AJ1527" s="188"/>
      <c r="AK1527" s="188"/>
      <c r="AL1527" s="188"/>
      <c r="AM1527" s="188"/>
      <c r="AN1527" s="188"/>
      <c r="AO1527" s="188"/>
      <c r="AP1527" s="188"/>
      <c r="AQ1527" s="188"/>
      <c r="AR1527" s="188"/>
      <c r="AS1527" s="188"/>
      <c r="AT1527" s="188"/>
      <c r="AU1527" s="188"/>
      <c r="AV1527" s="188"/>
      <c r="AW1527" s="188"/>
      <c r="AX1527" s="188"/>
      <c r="AY1527" s="188"/>
      <c r="AZ1527" s="188"/>
      <c r="BA1527" s="188"/>
      <c r="BB1527" s="188"/>
      <c r="BC1527" s="188"/>
    </row>
    <row r="1528">
      <c r="A1528" s="188"/>
      <c r="B1528" s="188"/>
      <c r="C1528" s="188"/>
      <c r="D1528" s="188"/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188"/>
      <c r="Q1528" s="188"/>
      <c r="R1528" s="188"/>
      <c r="S1528" s="188"/>
      <c r="T1528" s="188"/>
      <c r="U1528" s="188"/>
      <c r="V1528" s="188"/>
      <c r="W1528" s="188"/>
      <c r="X1528" s="188"/>
      <c r="Y1528" s="188"/>
      <c r="Z1528" s="188"/>
      <c r="AA1528" s="188"/>
      <c r="AB1528" s="188"/>
      <c r="AC1528" s="188"/>
      <c r="AD1528" s="188"/>
      <c r="AE1528" s="188"/>
      <c r="AF1528" s="188"/>
      <c r="AG1528" s="188"/>
      <c r="AH1528" s="188"/>
      <c r="AI1528" s="188"/>
      <c r="AJ1528" s="188"/>
      <c r="AK1528" s="188"/>
      <c r="AL1528" s="188"/>
      <c r="AM1528" s="188"/>
      <c r="AN1528" s="188"/>
      <c r="AO1528" s="188"/>
      <c r="AP1528" s="188"/>
      <c r="AQ1528" s="188"/>
      <c r="AR1528" s="188"/>
      <c r="AS1528" s="188"/>
      <c r="AT1528" s="188"/>
      <c r="AU1528" s="188"/>
      <c r="AV1528" s="188"/>
      <c r="AW1528" s="188"/>
      <c r="AX1528" s="188"/>
      <c r="AY1528" s="188"/>
      <c r="AZ1528" s="188"/>
      <c r="BA1528" s="188"/>
      <c r="BB1528" s="188"/>
      <c r="BC1528" s="188"/>
    </row>
    <row r="1529">
      <c r="A1529" s="188"/>
      <c r="B1529" s="188"/>
      <c r="C1529" s="188"/>
      <c r="D1529" s="188"/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188"/>
      <c r="Q1529" s="188"/>
      <c r="R1529" s="188"/>
      <c r="S1529" s="188"/>
      <c r="T1529" s="188"/>
      <c r="U1529" s="188"/>
      <c r="V1529" s="188"/>
      <c r="W1529" s="188"/>
      <c r="X1529" s="188"/>
      <c r="Y1529" s="188"/>
      <c r="Z1529" s="188"/>
      <c r="AA1529" s="188"/>
      <c r="AB1529" s="188"/>
      <c r="AC1529" s="188"/>
      <c r="AD1529" s="188"/>
      <c r="AE1529" s="188"/>
      <c r="AF1529" s="188"/>
      <c r="AG1529" s="188"/>
      <c r="AH1529" s="188"/>
      <c r="AI1529" s="188"/>
      <c r="AJ1529" s="188"/>
      <c r="AK1529" s="188"/>
      <c r="AL1529" s="188"/>
      <c r="AM1529" s="188"/>
      <c r="AN1529" s="188"/>
      <c r="AO1529" s="188"/>
      <c r="AP1529" s="188"/>
      <c r="AQ1529" s="188"/>
      <c r="AR1529" s="188"/>
      <c r="AS1529" s="188"/>
      <c r="AT1529" s="188"/>
      <c r="AU1529" s="188"/>
      <c r="AV1529" s="188"/>
      <c r="AW1529" s="188"/>
      <c r="AX1529" s="188"/>
      <c r="AY1529" s="188"/>
      <c r="AZ1529" s="188"/>
      <c r="BA1529" s="188"/>
      <c r="BB1529" s="188"/>
      <c r="BC1529" s="188"/>
    </row>
    <row r="1530">
      <c r="A1530" s="188"/>
      <c r="B1530" s="188"/>
      <c r="C1530" s="188"/>
      <c r="D1530" s="188"/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188"/>
      <c r="Q1530" s="188"/>
      <c r="R1530" s="188"/>
      <c r="S1530" s="188"/>
      <c r="T1530" s="188"/>
      <c r="U1530" s="188"/>
      <c r="V1530" s="188"/>
      <c r="W1530" s="188"/>
      <c r="X1530" s="188"/>
      <c r="Y1530" s="188"/>
      <c r="Z1530" s="188"/>
      <c r="AA1530" s="188"/>
      <c r="AB1530" s="188"/>
      <c r="AC1530" s="188"/>
      <c r="AD1530" s="188"/>
      <c r="AE1530" s="188"/>
      <c r="AF1530" s="188"/>
      <c r="AG1530" s="188"/>
      <c r="AH1530" s="188"/>
      <c r="AI1530" s="188"/>
      <c r="AJ1530" s="188"/>
      <c r="AK1530" s="188"/>
      <c r="AL1530" s="188"/>
      <c r="AM1530" s="188"/>
      <c r="AN1530" s="188"/>
      <c r="AO1530" s="188"/>
      <c r="AP1530" s="188"/>
      <c r="AQ1530" s="188"/>
      <c r="AR1530" s="188"/>
      <c r="AS1530" s="188"/>
      <c r="AT1530" s="188"/>
      <c r="AU1530" s="188"/>
      <c r="AV1530" s="188"/>
      <c r="AW1530" s="188"/>
      <c r="AX1530" s="188"/>
      <c r="AY1530" s="188"/>
      <c r="AZ1530" s="188"/>
      <c r="BA1530" s="188"/>
      <c r="BB1530" s="188"/>
      <c r="BC1530" s="188"/>
    </row>
    <row r="1531">
      <c r="A1531" s="188"/>
      <c r="B1531" s="188"/>
      <c r="C1531" s="188"/>
      <c r="D1531" s="188"/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188"/>
      <c r="Q1531" s="188"/>
      <c r="R1531" s="188"/>
      <c r="S1531" s="188"/>
      <c r="T1531" s="188"/>
      <c r="U1531" s="188"/>
      <c r="V1531" s="188"/>
      <c r="W1531" s="188"/>
      <c r="X1531" s="188"/>
      <c r="Y1531" s="188"/>
      <c r="Z1531" s="188"/>
      <c r="AA1531" s="188"/>
      <c r="AB1531" s="188"/>
      <c r="AC1531" s="188"/>
      <c r="AD1531" s="188"/>
      <c r="AE1531" s="188"/>
      <c r="AF1531" s="188"/>
      <c r="AG1531" s="188"/>
      <c r="AH1531" s="188"/>
      <c r="AI1531" s="188"/>
      <c r="AJ1531" s="188"/>
      <c r="AK1531" s="188"/>
      <c r="AL1531" s="188"/>
      <c r="AM1531" s="188"/>
      <c r="AN1531" s="188"/>
      <c r="AO1531" s="188"/>
      <c r="AP1531" s="188"/>
      <c r="AQ1531" s="188"/>
      <c r="AR1531" s="188"/>
      <c r="AS1531" s="188"/>
      <c r="AT1531" s="188"/>
      <c r="AU1531" s="188"/>
      <c r="AV1531" s="188"/>
      <c r="AW1531" s="188"/>
      <c r="AX1531" s="188"/>
      <c r="AY1531" s="188"/>
      <c r="AZ1531" s="188"/>
      <c r="BA1531" s="188"/>
      <c r="BB1531" s="188"/>
      <c r="BC1531" s="188"/>
    </row>
    <row r="1532">
      <c r="A1532" s="188"/>
      <c r="B1532" s="188"/>
      <c r="C1532" s="188"/>
      <c r="D1532" s="188"/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188"/>
      <c r="Q1532" s="188"/>
      <c r="R1532" s="188"/>
      <c r="S1532" s="188"/>
      <c r="T1532" s="188"/>
      <c r="U1532" s="188"/>
      <c r="V1532" s="188"/>
      <c r="W1532" s="188"/>
      <c r="X1532" s="188"/>
      <c r="Y1532" s="188"/>
      <c r="Z1532" s="188"/>
      <c r="AA1532" s="188"/>
      <c r="AB1532" s="188"/>
      <c r="AC1532" s="188"/>
      <c r="AD1532" s="188"/>
      <c r="AE1532" s="188"/>
      <c r="AF1532" s="188"/>
      <c r="AG1532" s="188"/>
      <c r="AH1532" s="188"/>
      <c r="AI1532" s="188"/>
      <c r="AJ1532" s="188"/>
      <c r="AK1532" s="188"/>
      <c r="AL1532" s="188"/>
      <c r="AM1532" s="188"/>
      <c r="AN1532" s="188"/>
      <c r="AO1532" s="188"/>
      <c r="AP1532" s="188"/>
      <c r="AQ1532" s="188"/>
      <c r="AR1532" s="188"/>
      <c r="AS1532" s="188"/>
      <c r="AT1532" s="188"/>
      <c r="AU1532" s="188"/>
      <c r="AV1532" s="188"/>
      <c r="AW1532" s="188"/>
      <c r="AX1532" s="188"/>
      <c r="AY1532" s="188"/>
      <c r="AZ1532" s="188"/>
      <c r="BA1532" s="188"/>
      <c r="BB1532" s="188"/>
      <c r="BC1532" s="188"/>
    </row>
    <row r="1533">
      <c r="A1533" s="188"/>
      <c r="B1533" s="188"/>
      <c r="C1533" s="188"/>
      <c r="D1533" s="188"/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188"/>
      <c r="Q1533" s="188"/>
      <c r="R1533" s="188"/>
      <c r="S1533" s="188"/>
      <c r="T1533" s="188"/>
      <c r="U1533" s="188"/>
      <c r="V1533" s="188"/>
      <c r="W1533" s="188"/>
      <c r="X1533" s="188"/>
      <c r="Y1533" s="188"/>
      <c r="Z1533" s="188"/>
      <c r="AA1533" s="188"/>
      <c r="AB1533" s="188"/>
      <c r="AC1533" s="188"/>
      <c r="AD1533" s="188"/>
      <c r="AE1533" s="188"/>
      <c r="AF1533" s="188"/>
      <c r="AG1533" s="188"/>
      <c r="AH1533" s="188"/>
      <c r="AI1533" s="188"/>
      <c r="AJ1533" s="188"/>
      <c r="AK1533" s="188"/>
      <c r="AL1533" s="188"/>
      <c r="AM1533" s="188"/>
      <c r="AN1533" s="188"/>
      <c r="AO1533" s="188"/>
      <c r="AP1533" s="188"/>
      <c r="AQ1533" s="188"/>
      <c r="AR1533" s="188"/>
      <c r="AS1533" s="188"/>
      <c r="AT1533" s="188"/>
      <c r="AU1533" s="188"/>
      <c r="AV1533" s="188"/>
      <c r="AW1533" s="188"/>
      <c r="AX1533" s="188"/>
      <c r="AY1533" s="188"/>
      <c r="AZ1533" s="188"/>
      <c r="BA1533" s="188"/>
      <c r="BB1533" s="188"/>
      <c r="BC1533" s="188"/>
    </row>
    <row r="1534">
      <c r="A1534" s="188"/>
      <c r="B1534" s="188"/>
      <c r="C1534" s="188"/>
      <c r="D1534" s="188"/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188"/>
      <c r="Q1534" s="188"/>
      <c r="R1534" s="188"/>
      <c r="S1534" s="188"/>
      <c r="T1534" s="188"/>
      <c r="U1534" s="188"/>
      <c r="V1534" s="188"/>
      <c r="W1534" s="188"/>
      <c r="X1534" s="188"/>
      <c r="Y1534" s="188"/>
      <c r="Z1534" s="188"/>
      <c r="AA1534" s="188"/>
      <c r="AB1534" s="188"/>
      <c r="AC1534" s="188"/>
      <c r="AD1534" s="188"/>
      <c r="AE1534" s="188"/>
      <c r="AF1534" s="188"/>
      <c r="AG1534" s="188"/>
      <c r="AH1534" s="188"/>
      <c r="AI1534" s="188"/>
      <c r="AJ1534" s="188"/>
      <c r="AK1534" s="188"/>
      <c r="AL1534" s="188"/>
      <c r="AM1534" s="188"/>
      <c r="AN1534" s="188"/>
      <c r="AO1534" s="188"/>
      <c r="AP1534" s="188"/>
      <c r="AQ1534" s="188"/>
      <c r="AR1534" s="188"/>
      <c r="AS1534" s="188"/>
      <c r="AT1534" s="188"/>
      <c r="AU1534" s="188"/>
      <c r="AV1534" s="188"/>
      <c r="AW1534" s="188"/>
      <c r="AX1534" s="188"/>
      <c r="AY1534" s="188"/>
      <c r="AZ1534" s="188"/>
      <c r="BA1534" s="188"/>
      <c r="BB1534" s="188"/>
      <c r="BC1534" s="188"/>
    </row>
    <row r="1535">
      <c r="A1535" s="188"/>
      <c r="B1535" s="188"/>
      <c r="C1535" s="188"/>
      <c r="D1535" s="188"/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188"/>
      <c r="Q1535" s="188"/>
      <c r="R1535" s="188"/>
      <c r="S1535" s="188"/>
      <c r="T1535" s="188"/>
      <c r="U1535" s="188"/>
      <c r="V1535" s="188"/>
      <c r="W1535" s="188"/>
      <c r="X1535" s="188"/>
      <c r="Y1535" s="188"/>
      <c r="Z1535" s="188"/>
      <c r="AA1535" s="188"/>
      <c r="AB1535" s="188"/>
      <c r="AC1535" s="188"/>
      <c r="AD1535" s="188"/>
      <c r="AE1535" s="188"/>
      <c r="AF1535" s="188"/>
      <c r="AG1535" s="188"/>
      <c r="AH1535" s="188"/>
      <c r="AI1535" s="188"/>
      <c r="AJ1535" s="188"/>
      <c r="AK1535" s="188"/>
      <c r="AL1535" s="188"/>
      <c r="AM1535" s="188"/>
      <c r="AN1535" s="188"/>
      <c r="AO1535" s="188"/>
      <c r="AP1535" s="188"/>
      <c r="AQ1535" s="188"/>
      <c r="AR1535" s="188"/>
      <c r="AS1535" s="188"/>
      <c r="AT1535" s="188"/>
      <c r="AU1535" s="188"/>
      <c r="AV1535" s="188"/>
      <c r="AW1535" s="188"/>
      <c r="AX1535" s="188"/>
      <c r="AY1535" s="188"/>
      <c r="AZ1535" s="188"/>
      <c r="BA1535" s="188"/>
      <c r="BB1535" s="188"/>
      <c r="BC1535" s="188"/>
    </row>
    <row r="1536">
      <c r="A1536" s="188"/>
      <c r="B1536" s="188"/>
      <c r="C1536" s="188"/>
      <c r="D1536" s="188"/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188"/>
      <c r="Q1536" s="188"/>
      <c r="R1536" s="188"/>
      <c r="S1536" s="188"/>
      <c r="T1536" s="188"/>
      <c r="U1536" s="188"/>
      <c r="V1536" s="188"/>
      <c r="W1536" s="188"/>
      <c r="X1536" s="188"/>
      <c r="Y1536" s="188"/>
      <c r="Z1536" s="188"/>
      <c r="AA1536" s="188"/>
      <c r="AB1536" s="188"/>
      <c r="AC1536" s="188"/>
      <c r="AD1536" s="188"/>
      <c r="AE1536" s="188"/>
      <c r="AF1536" s="188"/>
      <c r="AG1536" s="188"/>
      <c r="AH1536" s="188"/>
      <c r="AI1536" s="188"/>
      <c r="AJ1536" s="188"/>
      <c r="AK1536" s="188"/>
      <c r="AL1536" s="188"/>
      <c r="AM1536" s="188"/>
      <c r="AN1536" s="188"/>
      <c r="AO1536" s="188"/>
      <c r="AP1536" s="188"/>
      <c r="AQ1536" s="188"/>
      <c r="AR1536" s="188"/>
      <c r="AS1536" s="188"/>
      <c r="AT1536" s="188"/>
      <c r="AU1536" s="188"/>
      <c r="AV1536" s="188"/>
      <c r="AW1536" s="188"/>
      <c r="AX1536" s="188"/>
      <c r="AY1536" s="188"/>
      <c r="AZ1536" s="188"/>
      <c r="BA1536" s="188"/>
      <c r="BB1536" s="188"/>
      <c r="BC1536" s="188"/>
    </row>
    <row r="1537">
      <c r="A1537" s="188"/>
      <c r="B1537" s="188"/>
      <c r="C1537" s="188"/>
      <c r="D1537" s="188"/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188"/>
      <c r="Q1537" s="188"/>
      <c r="R1537" s="188"/>
      <c r="S1537" s="188"/>
      <c r="T1537" s="188"/>
      <c r="U1537" s="188"/>
      <c r="V1537" s="188"/>
      <c r="W1537" s="188"/>
      <c r="X1537" s="188"/>
      <c r="Y1537" s="188"/>
      <c r="Z1537" s="188"/>
      <c r="AA1537" s="188"/>
      <c r="AB1537" s="188"/>
      <c r="AC1537" s="188"/>
      <c r="AD1537" s="188"/>
      <c r="AE1537" s="188"/>
      <c r="AF1537" s="188"/>
      <c r="AG1537" s="188"/>
      <c r="AH1537" s="188"/>
      <c r="AI1537" s="188"/>
      <c r="AJ1537" s="188"/>
      <c r="AK1537" s="188"/>
      <c r="AL1537" s="188"/>
      <c r="AM1537" s="188"/>
      <c r="AN1537" s="188"/>
      <c r="AO1537" s="188"/>
      <c r="AP1537" s="188"/>
      <c r="AQ1537" s="188"/>
      <c r="AR1537" s="188"/>
      <c r="AS1537" s="188"/>
      <c r="AT1537" s="188"/>
      <c r="AU1537" s="188"/>
      <c r="AV1537" s="188"/>
      <c r="AW1537" s="188"/>
      <c r="AX1537" s="188"/>
      <c r="AY1537" s="188"/>
      <c r="AZ1537" s="188"/>
      <c r="BA1537" s="188"/>
      <c r="BB1537" s="188"/>
      <c r="BC1537" s="188"/>
    </row>
    <row r="1538">
      <c r="A1538" s="188"/>
      <c r="B1538" s="188"/>
      <c r="C1538" s="188"/>
      <c r="D1538" s="188"/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188"/>
      <c r="Q1538" s="188"/>
      <c r="R1538" s="188"/>
      <c r="S1538" s="188"/>
      <c r="T1538" s="188"/>
      <c r="U1538" s="188"/>
      <c r="V1538" s="188"/>
      <c r="W1538" s="188"/>
      <c r="X1538" s="188"/>
      <c r="Y1538" s="188"/>
      <c r="Z1538" s="188"/>
      <c r="AA1538" s="188"/>
      <c r="AB1538" s="188"/>
      <c r="AC1538" s="188"/>
      <c r="AD1538" s="188"/>
      <c r="AE1538" s="188"/>
      <c r="AF1538" s="188"/>
      <c r="AG1538" s="188"/>
      <c r="AH1538" s="188"/>
      <c r="AI1538" s="188"/>
      <c r="AJ1538" s="188"/>
      <c r="AK1538" s="188"/>
      <c r="AL1538" s="188"/>
      <c r="AM1538" s="188"/>
      <c r="AN1538" s="188"/>
      <c r="AO1538" s="188"/>
      <c r="AP1538" s="188"/>
      <c r="AQ1538" s="188"/>
      <c r="AR1538" s="188"/>
      <c r="AS1538" s="188"/>
      <c r="AT1538" s="188"/>
      <c r="AU1538" s="188"/>
      <c r="AV1538" s="188"/>
      <c r="AW1538" s="188"/>
      <c r="AX1538" s="188"/>
      <c r="AY1538" s="188"/>
      <c r="AZ1538" s="188"/>
      <c r="BA1538" s="188"/>
      <c r="BB1538" s="188"/>
      <c r="BC1538" s="188"/>
    </row>
    <row r="1539">
      <c r="A1539" s="188"/>
      <c r="B1539" s="188"/>
      <c r="C1539" s="188"/>
      <c r="D1539" s="188"/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188"/>
      <c r="Q1539" s="188"/>
      <c r="R1539" s="188"/>
      <c r="S1539" s="188"/>
      <c r="T1539" s="188"/>
      <c r="U1539" s="188"/>
      <c r="V1539" s="188"/>
      <c r="W1539" s="188"/>
      <c r="X1539" s="188"/>
      <c r="Y1539" s="188"/>
      <c r="Z1539" s="188"/>
      <c r="AA1539" s="188"/>
      <c r="AB1539" s="188"/>
      <c r="AC1539" s="188"/>
      <c r="AD1539" s="188"/>
      <c r="AE1539" s="188"/>
      <c r="AF1539" s="188"/>
      <c r="AG1539" s="188"/>
      <c r="AH1539" s="188"/>
      <c r="AI1539" s="188"/>
      <c r="AJ1539" s="188"/>
      <c r="AK1539" s="188"/>
      <c r="AL1539" s="188"/>
      <c r="AM1539" s="188"/>
      <c r="AN1539" s="188"/>
      <c r="AO1539" s="188"/>
      <c r="AP1539" s="188"/>
      <c r="AQ1539" s="188"/>
      <c r="AR1539" s="188"/>
      <c r="AS1539" s="188"/>
      <c r="AT1539" s="188"/>
      <c r="AU1539" s="188"/>
      <c r="AV1539" s="188"/>
      <c r="AW1539" s="188"/>
      <c r="AX1539" s="188"/>
      <c r="AY1539" s="188"/>
      <c r="AZ1539" s="188"/>
      <c r="BA1539" s="188"/>
      <c r="BB1539" s="188"/>
      <c r="BC1539" s="188"/>
    </row>
    <row r="1540">
      <c r="A1540" s="188"/>
      <c r="B1540" s="188"/>
      <c r="C1540" s="188"/>
      <c r="D1540" s="188"/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188"/>
      <c r="Q1540" s="188"/>
      <c r="R1540" s="188"/>
      <c r="S1540" s="188"/>
      <c r="T1540" s="188"/>
      <c r="U1540" s="188"/>
      <c r="V1540" s="188"/>
      <c r="W1540" s="188"/>
      <c r="X1540" s="188"/>
      <c r="Y1540" s="188"/>
      <c r="Z1540" s="188"/>
      <c r="AA1540" s="188"/>
      <c r="AB1540" s="188"/>
      <c r="AC1540" s="188"/>
      <c r="AD1540" s="188"/>
      <c r="AE1540" s="188"/>
      <c r="AF1540" s="188"/>
      <c r="AG1540" s="188"/>
      <c r="AH1540" s="188"/>
      <c r="AI1540" s="188"/>
      <c r="AJ1540" s="188"/>
      <c r="AK1540" s="188"/>
      <c r="AL1540" s="188"/>
      <c r="AM1540" s="188"/>
      <c r="AN1540" s="188"/>
      <c r="AO1540" s="188"/>
      <c r="AP1540" s="188"/>
      <c r="AQ1540" s="188"/>
      <c r="AR1540" s="188"/>
      <c r="AS1540" s="188"/>
      <c r="AT1540" s="188"/>
      <c r="AU1540" s="188"/>
      <c r="AV1540" s="188"/>
      <c r="AW1540" s="188"/>
      <c r="AX1540" s="188"/>
      <c r="AY1540" s="188"/>
      <c r="AZ1540" s="188"/>
      <c r="BA1540" s="188"/>
      <c r="BB1540" s="188"/>
      <c r="BC1540" s="188"/>
    </row>
    <row r="1541">
      <c r="A1541" s="188"/>
      <c r="B1541" s="188"/>
      <c r="C1541" s="188"/>
      <c r="D1541" s="188"/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188"/>
      <c r="Q1541" s="188"/>
      <c r="R1541" s="188"/>
      <c r="S1541" s="188"/>
      <c r="T1541" s="188"/>
      <c r="U1541" s="188"/>
      <c r="V1541" s="188"/>
      <c r="W1541" s="188"/>
      <c r="X1541" s="188"/>
      <c r="Y1541" s="188"/>
      <c r="Z1541" s="188"/>
      <c r="AA1541" s="188"/>
      <c r="AB1541" s="188"/>
      <c r="AC1541" s="188"/>
      <c r="AD1541" s="188"/>
      <c r="AE1541" s="188"/>
      <c r="AF1541" s="188"/>
      <c r="AG1541" s="188"/>
      <c r="AH1541" s="188"/>
      <c r="AI1541" s="188"/>
      <c r="AJ1541" s="188"/>
      <c r="AK1541" s="188"/>
      <c r="AL1541" s="188"/>
      <c r="AM1541" s="188"/>
      <c r="AN1541" s="188"/>
      <c r="AO1541" s="188"/>
      <c r="AP1541" s="188"/>
      <c r="AQ1541" s="188"/>
      <c r="AR1541" s="188"/>
      <c r="AS1541" s="188"/>
      <c r="AT1541" s="188"/>
      <c r="AU1541" s="188"/>
      <c r="AV1541" s="188"/>
      <c r="AW1541" s="188"/>
      <c r="AX1541" s="188"/>
      <c r="AY1541" s="188"/>
      <c r="AZ1541" s="188"/>
      <c r="BA1541" s="188"/>
      <c r="BB1541" s="188"/>
      <c r="BC1541" s="188"/>
    </row>
    <row r="1542">
      <c r="A1542" s="188"/>
      <c r="B1542" s="188"/>
      <c r="C1542" s="188"/>
      <c r="D1542" s="188"/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188"/>
      <c r="Q1542" s="188"/>
      <c r="R1542" s="188"/>
      <c r="S1542" s="188"/>
      <c r="T1542" s="188"/>
      <c r="U1542" s="188"/>
      <c r="V1542" s="188"/>
      <c r="W1542" s="188"/>
      <c r="X1542" s="188"/>
      <c r="Y1542" s="188"/>
      <c r="Z1542" s="188"/>
      <c r="AA1542" s="188"/>
      <c r="AB1542" s="188"/>
      <c r="AC1542" s="188"/>
      <c r="AD1542" s="188"/>
      <c r="AE1542" s="188"/>
      <c r="AF1542" s="188"/>
      <c r="AG1542" s="188"/>
      <c r="AH1542" s="188"/>
      <c r="AI1542" s="188"/>
      <c r="AJ1542" s="188"/>
      <c r="AK1542" s="188"/>
      <c r="AL1542" s="188"/>
      <c r="AM1542" s="188"/>
      <c r="AN1542" s="188"/>
      <c r="AO1542" s="188"/>
      <c r="AP1542" s="188"/>
      <c r="AQ1542" s="188"/>
      <c r="AR1542" s="188"/>
      <c r="AS1542" s="188"/>
      <c r="AT1542" s="188"/>
      <c r="AU1542" s="188"/>
      <c r="AV1542" s="188"/>
      <c r="AW1542" s="188"/>
      <c r="AX1542" s="188"/>
      <c r="AY1542" s="188"/>
      <c r="AZ1542" s="188"/>
      <c r="BA1542" s="188"/>
      <c r="BB1542" s="188"/>
      <c r="BC1542" s="188"/>
    </row>
    <row r="1543">
      <c r="A1543" s="188"/>
      <c r="B1543" s="188"/>
      <c r="C1543" s="188"/>
      <c r="D1543" s="188"/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188"/>
      <c r="Q1543" s="188"/>
      <c r="R1543" s="188"/>
      <c r="S1543" s="188"/>
      <c r="T1543" s="188"/>
      <c r="U1543" s="188"/>
      <c r="V1543" s="188"/>
      <c r="W1543" s="188"/>
      <c r="X1543" s="188"/>
      <c r="Y1543" s="188"/>
      <c r="Z1543" s="188"/>
      <c r="AA1543" s="188"/>
      <c r="AB1543" s="188"/>
      <c r="AC1543" s="188"/>
      <c r="AD1543" s="188"/>
      <c r="AE1543" s="188"/>
      <c r="AF1543" s="188"/>
      <c r="AG1543" s="188"/>
      <c r="AH1543" s="188"/>
      <c r="AI1543" s="188"/>
      <c r="AJ1543" s="188"/>
      <c r="AK1543" s="188"/>
      <c r="AL1543" s="188"/>
      <c r="AM1543" s="188"/>
      <c r="AN1543" s="188"/>
      <c r="AO1543" s="188"/>
      <c r="AP1543" s="188"/>
      <c r="AQ1543" s="188"/>
      <c r="AR1543" s="188"/>
      <c r="AS1543" s="188"/>
      <c r="AT1543" s="188"/>
      <c r="AU1543" s="188"/>
      <c r="AV1543" s="188"/>
      <c r="AW1543" s="188"/>
      <c r="AX1543" s="188"/>
      <c r="AY1543" s="188"/>
      <c r="AZ1543" s="188"/>
      <c r="BA1543" s="188"/>
      <c r="BB1543" s="188"/>
      <c r="BC1543" s="188"/>
    </row>
    <row r="1544">
      <c r="A1544" s="188"/>
      <c r="B1544" s="188"/>
      <c r="C1544" s="188"/>
      <c r="D1544" s="188"/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188"/>
      <c r="Q1544" s="188"/>
      <c r="R1544" s="188"/>
      <c r="S1544" s="188"/>
      <c r="T1544" s="188"/>
      <c r="U1544" s="188"/>
      <c r="V1544" s="188"/>
      <c r="W1544" s="188"/>
      <c r="X1544" s="188"/>
      <c r="Y1544" s="188"/>
      <c r="Z1544" s="188"/>
      <c r="AA1544" s="188"/>
      <c r="AB1544" s="188"/>
      <c r="AC1544" s="188"/>
      <c r="AD1544" s="188"/>
      <c r="AE1544" s="188"/>
      <c r="AF1544" s="188"/>
      <c r="AG1544" s="188"/>
      <c r="AH1544" s="188"/>
      <c r="AI1544" s="188"/>
      <c r="AJ1544" s="188"/>
      <c r="AK1544" s="188"/>
      <c r="AL1544" s="188"/>
      <c r="AM1544" s="188"/>
      <c r="AN1544" s="188"/>
      <c r="AO1544" s="188"/>
      <c r="AP1544" s="188"/>
      <c r="AQ1544" s="188"/>
      <c r="AR1544" s="188"/>
      <c r="AS1544" s="188"/>
      <c r="AT1544" s="188"/>
      <c r="AU1544" s="188"/>
      <c r="AV1544" s="188"/>
      <c r="AW1544" s="188"/>
      <c r="AX1544" s="188"/>
      <c r="AY1544" s="188"/>
      <c r="AZ1544" s="188"/>
      <c r="BA1544" s="188"/>
      <c r="BB1544" s="188"/>
      <c r="BC1544" s="188"/>
    </row>
    <row r="1545">
      <c r="A1545" s="188"/>
      <c r="B1545" s="188"/>
      <c r="C1545" s="188"/>
      <c r="D1545" s="188"/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188"/>
      <c r="Q1545" s="188"/>
      <c r="R1545" s="188"/>
      <c r="S1545" s="188"/>
      <c r="T1545" s="188"/>
      <c r="U1545" s="188"/>
      <c r="V1545" s="188"/>
      <c r="W1545" s="188"/>
      <c r="X1545" s="188"/>
      <c r="Y1545" s="188"/>
      <c r="Z1545" s="188"/>
      <c r="AA1545" s="188"/>
      <c r="AB1545" s="188"/>
      <c r="AC1545" s="188"/>
      <c r="AD1545" s="188"/>
      <c r="AE1545" s="188"/>
      <c r="AF1545" s="188"/>
      <c r="AG1545" s="188"/>
      <c r="AH1545" s="188"/>
      <c r="AI1545" s="188"/>
      <c r="AJ1545" s="188"/>
      <c r="AK1545" s="188"/>
      <c r="AL1545" s="188"/>
      <c r="AM1545" s="188"/>
      <c r="AN1545" s="188"/>
      <c r="AO1545" s="188"/>
      <c r="AP1545" s="188"/>
      <c r="AQ1545" s="188"/>
      <c r="AR1545" s="188"/>
      <c r="AS1545" s="188"/>
      <c r="AT1545" s="188"/>
      <c r="AU1545" s="188"/>
      <c r="AV1545" s="188"/>
      <c r="AW1545" s="188"/>
      <c r="AX1545" s="188"/>
      <c r="AY1545" s="188"/>
      <c r="AZ1545" s="188"/>
      <c r="BA1545" s="188"/>
      <c r="BB1545" s="188"/>
      <c r="BC1545" s="188"/>
    </row>
    <row r="1546">
      <c r="A1546" s="188"/>
      <c r="B1546" s="188"/>
      <c r="C1546" s="188"/>
      <c r="D1546" s="188"/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188"/>
      <c r="Q1546" s="188"/>
      <c r="R1546" s="188"/>
      <c r="S1546" s="188"/>
      <c r="T1546" s="188"/>
      <c r="U1546" s="188"/>
      <c r="V1546" s="188"/>
      <c r="W1546" s="188"/>
      <c r="X1546" s="188"/>
      <c r="Y1546" s="188"/>
      <c r="Z1546" s="188"/>
      <c r="AA1546" s="188"/>
      <c r="AB1546" s="188"/>
      <c r="AC1546" s="188"/>
      <c r="AD1546" s="188"/>
      <c r="AE1546" s="188"/>
      <c r="AF1546" s="188"/>
      <c r="AG1546" s="188"/>
      <c r="AH1546" s="188"/>
      <c r="AI1546" s="188"/>
      <c r="AJ1546" s="188"/>
      <c r="AK1546" s="188"/>
      <c r="AL1546" s="188"/>
      <c r="AM1546" s="188"/>
      <c r="AN1546" s="188"/>
      <c r="AO1546" s="188"/>
      <c r="AP1546" s="188"/>
      <c r="AQ1546" s="188"/>
      <c r="AR1546" s="188"/>
      <c r="AS1546" s="188"/>
      <c r="AT1546" s="188"/>
      <c r="AU1546" s="188"/>
      <c r="AV1546" s="188"/>
      <c r="AW1546" s="188"/>
      <c r="AX1546" s="188"/>
      <c r="AY1546" s="188"/>
      <c r="AZ1546" s="188"/>
      <c r="BA1546" s="188"/>
      <c r="BB1546" s="188"/>
      <c r="BC1546" s="188"/>
    </row>
    <row r="1547">
      <c r="A1547" s="188"/>
      <c r="B1547" s="188"/>
      <c r="C1547" s="188"/>
      <c r="D1547" s="188"/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188"/>
      <c r="Q1547" s="188"/>
      <c r="R1547" s="188"/>
      <c r="S1547" s="188"/>
      <c r="T1547" s="188"/>
      <c r="U1547" s="188"/>
      <c r="V1547" s="188"/>
      <c r="W1547" s="188"/>
      <c r="X1547" s="188"/>
      <c r="Y1547" s="188"/>
      <c r="Z1547" s="188"/>
      <c r="AA1547" s="188"/>
      <c r="AB1547" s="188"/>
      <c r="AC1547" s="188"/>
      <c r="AD1547" s="188"/>
      <c r="AE1547" s="188"/>
      <c r="AF1547" s="188"/>
      <c r="AG1547" s="188"/>
      <c r="AH1547" s="188"/>
      <c r="AI1547" s="188"/>
      <c r="AJ1547" s="188"/>
      <c r="AK1547" s="188"/>
      <c r="AL1547" s="188"/>
      <c r="AM1547" s="188"/>
      <c r="AN1547" s="188"/>
      <c r="AO1547" s="188"/>
      <c r="AP1547" s="188"/>
      <c r="AQ1547" s="188"/>
      <c r="AR1547" s="188"/>
      <c r="AS1547" s="188"/>
      <c r="AT1547" s="188"/>
      <c r="AU1547" s="188"/>
      <c r="AV1547" s="188"/>
      <c r="AW1547" s="188"/>
      <c r="AX1547" s="188"/>
      <c r="AY1547" s="188"/>
      <c r="AZ1547" s="188"/>
      <c r="BA1547" s="188"/>
      <c r="BB1547" s="188"/>
      <c r="BC1547" s="188"/>
    </row>
    <row r="1548">
      <c r="A1548" s="188"/>
      <c r="B1548" s="188"/>
      <c r="C1548" s="188"/>
      <c r="D1548" s="188"/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188"/>
      <c r="Q1548" s="188"/>
      <c r="R1548" s="188"/>
      <c r="S1548" s="188"/>
      <c r="T1548" s="188"/>
      <c r="U1548" s="188"/>
      <c r="V1548" s="188"/>
      <c r="W1548" s="188"/>
      <c r="X1548" s="188"/>
      <c r="Y1548" s="188"/>
      <c r="Z1548" s="188"/>
      <c r="AA1548" s="188"/>
      <c r="AB1548" s="188"/>
      <c r="AC1548" s="188"/>
      <c r="AD1548" s="188"/>
      <c r="AE1548" s="188"/>
      <c r="AF1548" s="188"/>
      <c r="AG1548" s="188"/>
      <c r="AH1548" s="188"/>
      <c r="AI1548" s="188"/>
      <c r="AJ1548" s="188"/>
      <c r="AK1548" s="188"/>
      <c r="AL1548" s="188"/>
      <c r="AM1548" s="188"/>
      <c r="AN1548" s="188"/>
      <c r="AO1548" s="188"/>
      <c r="AP1548" s="188"/>
      <c r="AQ1548" s="188"/>
      <c r="AR1548" s="188"/>
      <c r="AS1548" s="188"/>
      <c r="AT1548" s="188"/>
      <c r="AU1548" s="188"/>
      <c r="AV1548" s="188"/>
      <c r="AW1548" s="188"/>
      <c r="AX1548" s="188"/>
      <c r="AY1548" s="188"/>
      <c r="AZ1548" s="188"/>
      <c r="BA1548" s="188"/>
      <c r="BB1548" s="188"/>
      <c r="BC1548" s="188"/>
    </row>
    <row r="1549">
      <c r="A1549" s="188"/>
      <c r="B1549" s="188"/>
      <c r="C1549" s="188"/>
      <c r="D1549" s="188"/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188"/>
      <c r="Q1549" s="188"/>
      <c r="R1549" s="188"/>
      <c r="S1549" s="188"/>
      <c r="T1549" s="188"/>
      <c r="U1549" s="188"/>
      <c r="V1549" s="188"/>
      <c r="W1549" s="188"/>
      <c r="X1549" s="188"/>
      <c r="Y1549" s="188"/>
      <c r="Z1549" s="188"/>
      <c r="AA1549" s="188"/>
      <c r="AB1549" s="188"/>
      <c r="AC1549" s="188"/>
      <c r="AD1549" s="188"/>
      <c r="AE1549" s="188"/>
      <c r="AF1549" s="188"/>
      <c r="AG1549" s="188"/>
      <c r="AH1549" s="188"/>
      <c r="AI1549" s="188"/>
      <c r="AJ1549" s="188"/>
      <c r="AK1549" s="188"/>
      <c r="AL1549" s="188"/>
      <c r="AM1549" s="188"/>
      <c r="AN1549" s="188"/>
      <c r="AO1549" s="188"/>
      <c r="AP1549" s="188"/>
      <c r="AQ1549" s="188"/>
      <c r="AR1549" s="188"/>
      <c r="AS1549" s="188"/>
      <c r="AT1549" s="188"/>
      <c r="AU1549" s="188"/>
      <c r="AV1549" s="188"/>
      <c r="AW1549" s="188"/>
      <c r="AX1549" s="188"/>
      <c r="AY1549" s="188"/>
      <c r="AZ1549" s="188"/>
      <c r="BA1549" s="188"/>
      <c r="BB1549" s="188"/>
      <c r="BC1549" s="188"/>
    </row>
    <row r="1550">
      <c r="A1550" s="188"/>
      <c r="B1550" s="188"/>
      <c r="C1550" s="188"/>
      <c r="D1550" s="188"/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188"/>
      <c r="Q1550" s="188"/>
      <c r="R1550" s="188"/>
      <c r="S1550" s="188"/>
      <c r="T1550" s="188"/>
      <c r="U1550" s="188"/>
      <c r="V1550" s="188"/>
      <c r="W1550" s="188"/>
      <c r="X1550" s="188"/>
      <c r="Y1550" s="188"/>
      <c r="Z1550" s="188"/>
      <c r="AA1550" s="188"/>
      <c r="AB1550" s="188"/>
      <c r="AC1550" s="188"/>
      <c r="AD1550" s="188"/>
      <c r="AE1550" s="188"/>
      <c r="AF1550" s="188"/>
      <c r="AG1550" s="188"/>
      <c r="AH1550" s="188"/>
      <c r="AI1550" s="188"/>
      <c r="AJ1550" s="188"/>
      <c r="AK1550" s="188"/>
      <c r="AL1550" s="188"/>
      <c r="AM1550" s="188"/>
      <c r="AN1550" s="188"/>
      <c r="AO1550" s="188"/>
      <c r="AP1550" s="188"/>
      <c r="AQ1550" s="188"/>
      <c r="AR1550" s="188"/>
      <c r="AS1550" s="188"/>
      <c r="AT1550" s="188"/>
      <c r="AU1550" s="188"/>
      <c r="AV1550" s="188"/>
      <c r="AW1550" s="188"/>
      <c r="AX1550" s="188"/>
      <c r="AY1550" s="188"/>
      <c r="AZ1550" s="188"/>
      <c r="BA1550" s="188"/>
      <c r="BB1550" s="188"/>
      <c r="BC1550" s="188"/>
    </row>
    <row r="1551">
      <c r="A1551" s="188"/>
      <c r="B1551" s="188"/>
      <c r="C1551" s="188"/>
      <c r="D1551" s="188"/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188"/>
      <c r="Q1551" s="188"/>
      <c r="R1551" s="188"/>
      <c r="S1551" s="188"/>
      <c r="T1551" s="188"/>
      <c r="U1551" s="188"/>
      <c r="V1551" s="188"/>
      <c r="W1551" s="188"/>
      <c r="X1551" s="188"/>
      <c r="Y1551" s="188"/>
      <c r="Z1551" s="188"/>
      <c r="AA1551" s="188"/>
      <c r="AB1551" s="188"/>
      <c r="AC1551" s="188"/>
      <c r="AD1551" s="188"/>
      <c r="AE1551" s="188"/>
      <c r="AF1551" s="188"/>
      <c r="AG1551" s="188"/>
      <c r="AH1551" s="188"/>
      <c r="AI1551" s="188"/>
      <c r="AJ1551" s="188"/>
      <c r="AK1551" s="188"/>
      <c r="AL1551" s="188"/>
      <c r="AM1551" s="188"/>
      <c r="AN1551" s="188"/>
      <c r="AO1551" s="188"/>
      <c r="AP1551" s="188"/>
      <c r="AQ1551" s="188"/>
      <c r="AR1551" s="188"/>
      <c r="AS1551" s="188"/>
      <c r="AT1551" s="188"/>
      <c r="AU1551" s="188"/>
      <c r="AV1551" s="188"/>
      <c r="AW1551" s="188"/>
      <c r="AX1551" s="188"/>
      <c r="AY1551" s="188"/>
      <c r="AZ1551" s="188"/>
      <c r="BA1551" s="188"/>
      <c r="BB1551" s="188"/>
      <c r="BC1551" s="188"/>
    </row>
    <row r="1552">
      <c r="A1552" s="188"/>
      <c r="B1552" s="188"/>
      <c r="C1552" s="188"/>
      <c r="D1552" s="188"/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188"/>
      <c r="Q1552" s="188"/>
      <c r="R1552" s="188"/>
      <c r="S1552" s="188"/>
      <c r="T1552" s="188"/>
      <c r="U1552" s="188"/>
      <c r="V1552" s="188"/>
      <c r="W1552" s="188"/>
      <c r="X1552" s="188"/>
      <c r="Y1552" s="188"/>
      <c r="Z1552" s="188"/>
      <c r="AA1552" s="188"/>
      <c r="AB1552" s="188"/>
      <c r="AC1552" s="188"/>
      <c r="AD1552" s="188"/>
      <c r="AE1552" s="188"/>
      <c r="AF1552" s="188"/>
      <c r="AG1552" s="188"/>
      <c r="AH1552" s="188"/>
      <c r="AI1552" s="188"/>
      <c r="AJ1552" s="188"/>
      <c r="AK1552" s="188"/>
      <c r="AL1552" s="188"/>
      <c r="AM1552" s="188"/>
      <c r="AN1552" s="188"/>
      <c r="AO1552" s="188"/>
      <c r="AP1552" s="188"/>
      <c r="AQ1552" s="188"/>
      <c r="AR1552" s="188"/>
      <c r="AS1552" s="188"/>
      <c r="AT1552" s="188"/>
      <c r="AU1552" s="188"/>
      <c r="AV1552" s="188"/>
      <c r="AW1552" s="188"/>
      <c r="AX1552" s="188"/>
      <c r="AY1552" s="188"/>
      <c r="AZ1552" s="188"/>
      <c r="BA1552" s="188"/>
      <c r="BB1552" s="188"/>
      <c r="BC1552" s="188"/>
    </row>
    <row r="1553">
      <c r="A1553" s="188"/>
      <c r="B1553" s="188"/>
      <c r="C1553" s="188"/>
      <c r="D1553" s="188"/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188"/>
      <c r="Q1553" s="188"/>
      <c r="R1553" s="188"/>
      <c r="S1553" s="188"/>
      <c r="T1553" s="188"/>
      <c r="U1553" s="188"/>
      <c r="V1553" s="188"/>
      <c r="W1553" s="188"/>
      <c r="X1553" s="188"/>
      <c r="Y1553" s="188"/>
      <c r="Z1553" s="188"/>
      <c r="AA1553" s="188"/>
      <c r="AB1553" s="188"/>
      <c r="AC1553" s="188"/>
      <c r="AD1553" s="188"/>
      <c r="AE1553" s="188"/>
      <c r="AF1553" s="188"/>
      <c r="AG1553" s="188"/>
      <c r="AH1553" s="188"/>
      <c r="AI1553" s="188"/>
      <c r="AJ1553" s="188"/>
      <c r="AK1553" s="188"/>
      <c r="AL1553" s="188"/>
      <c r="AM1553" s="188"/>
      <c r="AN1553" s="188"/>
      <c r="AO1553" s="188"/>
      <c r="AP1553" s="188"/>
      <c r="AQ1553" s="188"/>
      <c r="AR1553" s="188"/>
      <c r="AS1553" s="188"/>
      <c r="AT1553" s="188"/>
      <c r="AU1553" s="188"/>
      <c r="AV1553" s="188"/>
      <c r="AW1553" s="188"/>
      <c r="AX1553" s="188"/>
      <c r="AY1553" s="188"/>
      <c r="AZ1553" s="188"/>
      <c r="BA1553" s="188"/>
      <c r="BB1553" s="188"/>
      <c r="BC1553" s="188"/>
    </row>
    <row r="1554">
      <c r="A1554" s="188"/>
      <c r="B1554" s="188"/>
      <c r="C1554" s="188"/>
      <c r="D1554" s="188"/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188"/>
      <c r="Q1554" s="188"/>
      <c r="R1554" s="188"/>
      <c r="S1554" s="188"/>
      <c r="T1554" s="188"/>
      <c r="U1554" s="188"/>
      <c r="V1554" s="188"/>
      <c r="W1554" s="188"/>
      <c r="X1554" s="188"/>
      <c r="Y1554" s="188"/>
      <c r="Z1554" s="188"/>
      <c r="AA1554" s="188"/>
      <c r="AB1554" s="188"/>
      <c r="AC1554" s="188"/>
      <c r="AD1554" s="188"/>
      <c r="AE1554" s="188"/>
      <c r="AF1554" s="188"/>
      <c r="AG1554" s="188"/>
      <c r="AH1554" s="188"/>
      <c r="AI1554" s="188"/>
      <c r="AJ1554" s="188"/>
      <c r="AK1554" s="188"/>
      <c r="AL1554" s="188"/>
      <c r="AM1554" s="188"/>
      <c r="AN1554" s="188"/>
      <c r="AO1554" s="188"/>
      <c r="AP1554" s="188"/>
      <c r="AQ1554" s="188"/>
      <c r="AR1554" s="188"/>
      <c r="AS1554" s="188"/>
      <c r="AT1554" s="188"/>
      <c r="AU1554" s="188"/>
      <c r="AV1554" s="188"/>
      <c r="AW1554" s="188"/>
      <c r="AX1554" s="188"/>
      <c r="AY1554" s="188"/>
      <c r="AZ1554" s="188"/>
      <c r="BA1554" s="188"/>
      <c r="BB1554" s="188"/>
      <c r="BC1554" s="188"/>
    </row>
    <row r="1555">
      <c r="A1555" s="188"/>
      <c r="B1555" s="188"/>
      <c r="C1555" s="188"/>
      <c r="D1555" s="188"/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188"/>
      <c r="Q1555" s="188"/>
      <c r="R1555" s="188"/>
      <c r="S1555" s="188"/>
      <c r="T1555" s="188"/>
      <c r="U1555" s="188"/>
      <c r="V1555" s="188"/>
      <c r="W1555" s="188"/>
      <c r="X1555" s="188"/>
      <c r="Y1555" s="188"/>
      <c r="Z1555" s="188"/>
      <c r="AA1555" s="188"/>
      <c r="AB1555" s="188"/>
      <c r="AC1555" s="188"/>
      <c r="AD1555" s="188"/>
      <c r="AE1555" s="188"/>
      <c r="AF1555" s="188"/>
      <c r="AG1555" s="188"/>
      <c r="AH1555" s="188"/>
      <c r="AI1555" s="188"/>
      <c r="AJ1555" s="188"/>
      <c r="AK1555" s="188"/>
      <c r="AL1555" s="188"/>
      <c r="AM1555" s="188"/>
      <c r="AN1555" s="188"/>
      <c r="AO1555" s="188"/>
      <c r="AP1555" s="188"/>
      <c r="AQ1555" s="188"/>
      <c r="AR1555" s="188"/>
      <c r="AS1555" s="188"/>
      <c r="AT1555" s="188"/>
      <c r="AU1555" s="188"/>
      <c r="AV1555" s="188"/>
      <c r="AW1555" s="188"/>
      <c r="AX1555" s="188"/>
      <c r="AY1555" s="188"/>
      <c r="AZ1555" s="188"/>
      <c r="BA1555" s="188"/>
      <c r="BB1555" s="188"/>
      <c r="BC1555" s="188"/>
    </row>
    <row r="1556">
      <c r="A1556" s="188"/>
      <c r="B1556" s="188"/>
      <c r="C1556" s="188"/>
      <c r="D1556" s="188"/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188"/>
      <c r="Q1556" s="188"/>
      <c r="R1556" s="188"/>
      <c r="S1556" s="188"/>
      <c r="T1556" s="188"/>
      <c r="U1556" s="188"/>
      <c r="V1556" s="188"/>
      <c r="W1556" s="188"/>
      <c r="X1556" s="188"/>
      <c r="Y1556" s="188"/>
      <c r="Z1556" s="188"/>
      <c r="AA1556" s="188"/>
      <c r="AB1556" s="188"/>
      <c r="AC1556" s="188"/>
      <c r="AD1556" s="188"/>
      <c r="AE1556" s="188"/>
      <c r="AF1556" s="188"/>
      <c r="AG1556" s="188"/>
      <c r="AH1556" s="188"/>
      <c r="AI1556" s="188"/>
      <c r="AJ1556" s="188"/>
      <c r="AK1556" s="188"/>
      <c r="AL1556" s="188"/>
      <c r="AM1556" s="188"/>
      <c r="AN1556" s="188"/>
      <c r="AO1556" s="188"/>
      <c r="AP1556" s="188"/>
      <c r="AQ1556" s="188"/>
      <c r="AR1556" s="188"/>
      <c r="AS1556" s="188"/>
      <c r="AT1556" s="188"/>
      <c r="AU1556" s="188"/>
      <c r="AV1556" s="188"/>
      <c r="AW1556" s="188"/>
      <c r="AX1556" s="188"/>
      <c r="AY1556" s="188"/>
      <c r="AZ1556" s="188"/>
      <c r="BA1556" s="188"/>
      <c r="BB1556" s="188"/>
      <c r="BC1556" s="188"/>
    </row>
    <row r="1557">
      <c r="A1557" s="188"/>
      <c r="B1557" s="188"/>
      <c r="C1557" s="188"/>
      <c r="D1557" s="188"/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188"/>
      <c r="Q1557" s="188"/>
      <c r="R1557" s="188"/>
      <c r="S1557" s="188"/>
      <c r="T1557" s="188"/>
      <c r="U1557" s="188"/>
      <c r="V1557" s="188"/>
      <c r="W1557" s="188"/>
      <c r="X1557" s="188"/>
      <c r="Y1557" s="188"/>
      <c r="Z1557" s="188"/>
      <c r="AA1557" s="188"/>
      <c r="AB1557" s="188"/>
      <c r="AC1557" s="188"/>
      <c r="AD1557" s="188"/>
      <c r="AE1557" s="188"/>
      <c r="AF1557" s="188"/>
      <c r="AG1557" s="188"/>
      <c r="AH1557" s="188"/>
      <c r="AI1557" s="188"/>
      <c r="AJ1557" s="188"/>
      <c r="AK1557" s="188"/>
      <c r="AL1557" s="188"/>
      <c r="AM1557" s="188"/>
      <c r="AN1557" s="188"/>
      <c r="AO1557" s="188"/>
      <c r="AP1557" s="188"/>
      <c r="AQ1557" s="188"/>
      <c r="AR1557" s="188"/>
      <c r="AS1557" s="188"/>
      <c r="AT1557" s="188"/>
      <c r="AU1557" s="188"/>
      <c r="AV1557" s="188"/>
      <c r="AW1557" s="188"/>
      <c r="AX1557" s="188"/>
      <c r="AY1557" s="188"/>
      <c r="AZ1557" s="188"/>
      <c r="BA1557" s="188"/>
      <c r="BB1557" s="188"/>
      <c r="BC1557" s="188"/>
    </row>
    <row r="1558">
      <c r="A1558" s="188"/>
      <c r="B1558" s="188"/>
      <c r="C1558" s="188"/>
      <c r="D1558" s="188"/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188"/>
      <c r="Q1558" s="188"/>
      <c r="R1558" s="188"/>
      <c r="S1558" s="188"/>
      <c r="T1558" s="188"/>
      <c r="U1558" s="188"/>
      <c r="V1558" s="188"/>
      <c r="W1558" s="188"/>
      <c r="X1558" s="188"/>
      <c r="Y1558" s="188"/>
      <c r="Z1558" s="188"/>
      <c r="AA1558" s="188"/>
      <c r="AB1558" s="188"/>
      <c r="AC1558" s="188"/>
      <c r="AD1558" s="188"/>
      <c r="AE1558" s="188"/>
      <c r="AF1558" s="188"/>
      <c r="AG1558" s="188"/>
      <c r="AH1558" s="188"/>
      <c r="AI1558" s="188"/>
      <c r="AJ1558" s="188"/>
      <c r="AK1558" s="188"/>
      <c r="AL1558" s="188"/>
      <c r="AM1558" s="188"/>
      <c r="AN1558" s="188"/>
      <c r="AO1558" s="188"/>
      <c r="AP1558" s="188"/>
      <c r="AQ1558" s="188"/>
      <c r="AR1558" s="188"/>
      <c r="AS1558" s="188"/>
      <c r="AT1558" s="188"/>
      <c r="AU1558" s="188"/>
      <c r="AV1558" s="188"/>
      <c r="AW1558" s="188"/>
      <c r="AX1558" s="188"/>
      <c r="AY1558" s="188"/>
      <c r="AZ1558" s="188"/>
      <c r="BA1558" s="188"/>
      <c r="BB1558" s="188"/>
      <c r="BC1558" s="188"/>
    </row>
    <row r="1559">
      <c r="A1559" s="188"/>
      <c r="B1559" s="188"/>
      <c r="C1559" s="188"/>
      <c r="D1559" s="188"/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188"/>
      <c r="Q1559" s="188"/>
      <c r="R1559" s="188"/>
      <c r="S1559" s="188"/>
      <c r="T1559" s="188"/>
      <c r="U1559" s="188"/>
      <c r="V1559" s="188"/>
      <c r="W1559" s="188"/>
      <c r="X1559" s="188"/>
      <c r="Y1559" s="188"/>
      <c r="Z1559" s="188"/>
      <c r="AA1559" s="188"/>
      <c r="AB1559" s="188"/>
      <c r="AC1559" s="188"/>
      <c r="AD1559" s="188"/>
      <c r="AE1559" s="188"/>
      <c r="AF1559" s="188"/>
      <c r="AG1559" s="188"/>
      <c r="AH1559" s="188"/>
      <c r="AI1559" s="188"/>
      <c r="AJ1559" s="188"/>
      <c r="AK1559" s="188"/>
      <c r="AL1559" s="188"/>
      <c r="AM1559" s="188"/>
      <c r="AN1559" s="188"/>
      <c r="AO1559" s="188"/>
      <c r="AP1559" s="188"/>
      <c r="AQ1559" s="188"/>
      <c r="AR1559" s="188"/>
      <c r="AS1559" s="188"/>
      <c r="AT1559" s="188"/>
      <c r="AU1559" s="188"/>
      <c r="AV1559" s="188"/>
      <c r="AW1559" s="188"/>
      <c r="AX1559" s="188"/>
      <c r="AY1559" s="188"/>
      <c r="AZ1559" s="188"/>
      <c r="BA1559" s="188"/>
      <c r="BB1559" s="188"/>
      <c r="BC1559" s="188"/>
    </row>
    <row r="1560">
      <c r="A1560" s="188"/>
      <c r="B1560" s="188"/>
      <c r="C1560" s="188"/>
      <c r="D1560" s="188"/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188"/>
      <c r="Q1560" s="188"/>
      <c r="R1560" s="188"/>
      <c r="S1560" s="188"/>
      <c r="T1560" s="188"/>
      <c r="U1560" s="188"/>
      <c r="V1560" s="188"/>
      <c r="W1560" s="188"/>
      <c r="X1560" s="188"/>
      <c r="Y1560" s="188"/>
      <c r="Z1560" s="188"/>
      <c r="AA1560" s="188"/>
      <c r="AB1560" s="188"/>
      <c r="AC1560" s="188"/>
      <c r="AD1560" s="188"/>
      <c r="AE1560" s="188"/>
      <c r="AF1560" s="188"/>
      <c r="AG1560" s="188"/>
      <c r="AH1560" s="188"/>
      <c r="AI1560" s="188"/>
      <c r="AJ1560" s="188"/>
      <c r="AK1560" s="188"/>
      <c r="AL1560" s="188"/>
      <c r="AM1560" s="188"/>
      <c r="AN1560" s="188"/>
      <c r="AO1560" s="188"/>
      <c r="AP1560" s="188"/>
      <c r="AQ1560" s="188"/>
      <c r="AR1560" s="188"/>
      <c r="AS1560" s="188"/>
      <c r="AT1560" s="188"/>
      <c r="AU1560" s="188"/>
      <c r="AV1560" s="188"/>
      <c r="AW1560" s="188"/>
      <c r="AX1560" s="188"/>
      <c r="AY1560" s="188"/>
      <c r="AZ1560" s="188"/>
      <c r="BA1560" s="188"/>
      <c r="BB1560" s="188"/>
      <c r="BC1560" s="188"/>
    </row>
    <row r="1561">
      <c r="A1561" s="188"/>
      <c r="B1561" s="188"/>
      <c r="C1561" s="188"/>
      <c r="D1561" s="188"/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188"/>
      <c r="Q1561" s="188"/>
      <c r="R1561" s="188"/>
      <c r="S1561" s="188"/>
      <c r="T1561" s="188"/>
      <c r="U1561" s="188"/>
      <c r="V1561" s="188"/>
      <c r="W1561" s="188"/>
      <c r="X1561" s="188"/>
      <c r="Y1561" s="188"/>
      <c r="Z1561" s="188"/>
      <c r="AA1561" s="188"/>
      <c r="AB1561" s="188"/>
      <c r="AC1561" s="188"/>
      <c r="AD1561" s="188"/>
      <c r="AE1561" s="188"/>
      <c r="AF1561" s="188"/>
      <c r="AG1561" s="188"/>
      <c r="AH1561" s="188"/>
      <c r="AI1561" s="188"/>
      <c r="AJ1561" s="188"/>
      <c r="AK1561" s="188"/>
      <c r="AL1561" s="188"/>
      <c r="AM1561" s="188"/>
      <c r="AN1561" s="188"/>
      <c r="AO1561" s="188"/>
      <c r="AP1561" s="188"/>
      <c r="AQ1561" s="188"/>
      <c r="AR1561" s="188"/>
      <c r="AS1561" s="188"/>
      <c r="AT1561" s="188"/>
      <c r="AU1561" s="188"/>
      <c r="AV1561" s="188"/>
      <c r="AW1561" s="188"/>
      <c r="AX1561" s="188"/>
      <c r="AY1561" s="188"/>
      <c r="AZ1561" s="188"/>
      <c r="BA1561" s="188"/>
      <c r="BB1561" s="188"/>
      <c r="BC1561" s="188"/>
    </row>
    <row r="1562">
      <c r="A1562" s="188"/>
      <c r="B1562" s="188"/>
      <c r="C1562" s="188"/>
      <c r="D1562" s="188"/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188"/>
      <c r="Q1562" s="188"/>
      <c r="R1562" s="188"/>
      <c r="S1562" s="188"/>
      <c r="T1562" s="188"/>
      <c r="U1562" s="188"/>
      <c r="V1562" s="188"/>
      <c r="W1562" s="188"/>
      <c r="X1562" s="188"/>
      <c r="Y1562" s="188"/>
      <c r="Z1562" s="188"/>
      <c r="AA1562" s="188"/>
      <c r="AB1562" s="188"/>
      <c r="AC1562" s="188"/>
      <c r="AD1562" s="188"/>
      <c r="AE1562" s="188"/>
      <c r="AF1562" s="188"/>
      <c r="AG1562" s="188"/>
      <c r="AH1562" s="188"/>
      <c r="AI1562" s="188"/>
      <c r="AJ1562" s="188"/>
      <c r="AK1562" s="188"/>
      <c r="AL1562" s="188"/>
      <c r="AM1562" s="188"/>
      <c r="AN1562" s="188"/>
      <c r="AO1562" s="188"/>
      <c r="AP1562" s="188"/>
      <c r="AQ1562" s="188"/>
      <c r="AR1562" s="188"/>
      <c r="AS1562" s="188"/>
      <c r="AT1562" s="188"/>
      <c r="AU1562" s="188"/>
      <c r="AV1562" s="188"/>
      <c r="AW1562" s="188"/>
      <c r="AX1562" s="188"/>
      <c r="AY1562" s="188"/>
      <c r="AZ1562" s="188"/>
      <c r="BA1562" s="188"/>
      <c r="BB1562" s="188"/>
      <c r="BC1562" s="188"/>
    </row>
    <row r="1563">
      <c r="A1563" s="188"/>
      <c r="B1563" s="188"/>
      <c r="C1563" s="188"/>
      <c r="D1563" s="188"/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188"/>
      <c r="Q1563" s="188"/>
      <c r="R1563" s="188"/>
      <c r="S1563" s="188"/>
      <c r="T1563" s="188"/>
      <c r="U1563" s="188"/>
      <c r="V1563" s="188"/>
      <c r="W1563" s="188"/>
      <c r="X1563" s="188"/>
      <c r="Y1563" s="188"/>
      <c r="Z1563" s="188"/>
      <c r="AA1563" s="188"/>
      <c r="AB1563" s="188"/>
      <c r="AC1563" s="188"/>
      <c r="AD1563" s="188"/>
      <c r="AE1563" s="188"/>
      <c r="AF1563" s="188"/>
      <c r="AG1563" s="188"/>
      <c r="AH1563" s="188"/>
      <c r="AI1563" s="188"/>
      <c r="AJ1563" s="188"/>
      <c r="AK1563" s="188"/>
      <c r="AL1563" s="188"/>
      <c r="AM1563" s="188"/>
      <c r="AN1563" s="188"/>
      <c r="AO1563" s="188"/>
      <c r="AP1563" s="188"/>
      <c r="AQ1563" s="188"/>
      <c r="AR1563" s="188"/>
      <c r="AS1563" s="188"/>
      <c r="AT1563" s="188"/>
      <c r="AU1563" s="188"/>
      <c r="AV1563" s="188"/>
      <c r="AW1563" s="188"/>
      <c r="AX1563" s="188"/>
      <c r="AY1563" s="188"/>
      <c r="AZ1563" s="188"/>
      <c r="BA1563" s="188"/>
      <c r="BB1563" s="188"/>
      <c r="BC1563" s="188"/>
    </row>
    <row r="1564">
      <c r="A1564" s="188"/>
      <c r="B1564" s="188"/>
      <c r="C1564" s="188"/>
      <c r="D1564" s="188"/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188"/>
      <c r="Q1564" s="188"/>
      <c r="R1564" s="188"/>
      <c r="S1564" s="188"/>
      <c r="T1564" s="188"/>
      <c r="U1564" s="188"/>
      <c r="V1564" s="188"/>
      <c r="W1564" s="188"/>
      <c r="X1564" s="188"/>
      <c r="Y1564" s="188"/>
      <c r="Z1564" s="188"/>
      <c r="AA1564" s="188"/>
      <c r="AB1564" s="188"/>
      <c r="AC1564" s="188"/>
      <c r="AD1564" s="188"/>
      <c r="AE1564" s="188"/>
      <c r="AF1564" s="188"/>
      <c r="AG1564" s="188"/>
      <c r="AH1564" s="188"/>
      <c r="AI1564" s="188"/>
      <c r="AJ1564" s="188"/>
      <c r="AK1564" s="188"/>
      <c r="AL1564" s="188"/>
      <c r="AM1564" s="188"/>
      <c r="AN1564" s="188"/>
      <c r="AO1564" s="188"/>
      <c r="AP1564" s="188"/>
      <c r="AQ1564" s="188"/>
      <c r="AR1564" s="188"/>
      <c r="AS1564" s="188"/>
      <c r="AT1564" s="188"/>
      <c r="AU1564" s="188"/>
      <c r="AV1564" s="188"/>
      <c r="AW1564" s="188"/>
      <c r="AX1564" s="188"/>
      <c r="AY1564" s="188"/>
      <c r="AZ1564" s="188"/>
      <c r="BA1564" s="188"/>
      <c r="BB1564" s="188"/>
      <c r="BC1564" s="188"/>
    </row>
    <row r="1565">
      <c r="A1565" s="188"/>
      <c r="B1565" s="188"/>
      <c r="C1565" s="188"/>
      <c r="D1565" s="188"/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188"/>
      <c r="Q1565" s="188"/>
      <c r="R1565" s="188"/>
      <c r="S1565" s="188"/>
      <c r="T1565" s="188"/>
      <c r="U1565" s="188"/>
      <c r="V1565" s="188"/>
      <c r="W1565" s="188"/>
      <c r="X1565" s="188"/>
      <c r="Y1565" s="188"/>
      <c r="Z1565" s="188"/>
      <c r="AA1565" s="188"/>
      <c r="AB1565" s="188"/>
      <c r="AC1565" s="188"/>
      <c r="AD1565" s="188"/>
      <c r="AE1565" s="188"/>
      <c r="AF1565" s="188"/>
      <c r="AG1565" s="188"/>
      <c r="AH1565" s="188"/>
      <c r="AI1565" s="188"/>
      <c r="AJ1565" s="188"/>
      <c r="AK1565" s="188"/>
      <c r="AL1565" s="188"/>
      <c r="AM1565" s="188"/>
      <c r="AN1565" s="188"/>
      <c r="AO1565" s="188"/>
      <c r="AP1565" s="188"/>
      <c r="AQ1565" s="188"/>
      <c r="AR1565" s="188"/>
      <c r="AS1565" s="188"/>
      <c r="AT1565" s="188"/>
      <c r="AU1565" s="188"/>
      <c r="AV1565" s="188"/>
      <c r="AW1565" s="188"/>
      <c r="AX1565" s="188"/>
      <c r="AY1565" s="188"/>
      <c r="AZ1565" s="188"/>
      <c r="BA1565" s="188"/>
      <c r="BB1565" s="188"/>
      <c r="BC1565" s="188"/>
    </row>
    <row r="1566">
      <c r="A1566" s="188"/>
      <c r="B1566" s="188"/>
      <c r="C1566" s="188"/>
      <c r="D1566" s="188"/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188"/>
      <c r="Q1566" s="188"/>
      <c r="R1566" s="188"/>
      <c r="S1566" s="188"/>
      <c r="T1566" s="188"/>
      <c r="U1566" s="188"/>
      <c r="V1566" s="188"/>
      <c r="W1566" s="188"/>
      <c r="X1566" s="188"/>
      <c r="Y1566" s="188"/>
      <c r="Z1566" s="188"/>
      <c r="AA1566" s="188"/>
      <c r="AB1566" s="188"/>
      <c r="AC1566" s="188"/>
      <c r="AD1566" s="188"/>
      <c r="AE1566" s="188"/>
      <c r="AF1566" s="188"/>
      <c r="AG1566" s="188"/>
      <c r="AH1566" s="188"/>
      <c r="AI1566" s="188"/>
      <c r="AJ1566" s="188"/>
      <c r="AK1566" s="188"/>
      <c r="AL1566" s="188"/>
      <c r="AM1566" s="188"/>
      <c r="AN1566" s="188"/>
      <c r="AO1566" s="188"/>
      <c r="AP1566" s="188"/>
      <c r="AQ1566" s="188"/>
      <c r="AR1566" s="188"/>
      <c r="AS1566" s="188"/>
      <c r="AT1566" s="188"/>
      <c r="AU1566" s="188"/>
      <c r="AV1566" s="188"/>
      <c r="AW1566" s="188"/>
      <c r="AX1566" s="188"/>
      <c r="AY1566" s="188"/>
      <c r="AZ1566" s="188"/>
      <c r="BA1566" s="188"/>
      <c r="BB1566" s="188"/>
      <c r="BC1566" s="188"/>
    </row>
    <row r="1567">
      <c r="A1567" s="188"/>
      <c r="B1567" s="188"/>
      <c r="C1567" s="188"/>
      <c r="D1567" s="188"/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188"/>
      <c r="Q1567" s="188"/>
      <c r="R1567" s="188"/>
      <c r="S1567" s="188"/>
      <c r="T1567" s="188"/>
      <c r="U1567" s="188"/>
      <c r="V1567" s="188"/>
      <c r="W1567" s="188"/>
      <c r="X1567" s="188"/>
      <c r="Y1567" s="188"/>
      <c r="Z1567" s="188"/>
      <c r="AA1567" s="188"/>
      <c r="AB1567" s="188"/>
      <c r="AC1567" s="188"/>
      <c r="AD1567" s="188"/>
      <c r="AE1567" s="188"/>
      <c r="AF1567" s="188"/>
      <c r="AG1567" s="188"/>
      <c r="AH1567" s="188"/>
      <c r="AI1567" s="188"/>
      <c r="AJ1567" s="188"/>
      <c r="AK1567" s="188"/>
      <c r="AL1567" s="188"/>
      <c r="AM1567" s="188"/>
      <c r="AN1567" s="188"/>
      <c r="AO1567" s="188"/>
      <c r="AP1567" s="188"/>
      <c r="AQ1567" s="188"/>
      <c r="AR1567" s="188"/>
      <c r="AS1567" s="188"/>
      <c r="AT1567" s="188"/>
      <c r="AU1567" s="188"/>
      <c r="AV1567" s="188"/>
      <c r="AW1567" s="188"/>
      <c r="AX1567" s="188"/>
      <c r="AY1567" s="188"/>
      <c r="AZ1567" s="188"/>
      <c r="BA1567" s="188"/>
      <c r="BB1567" s="188"/>
      <c r="BC1567" s="188"/>
    </row>
    <row r="1568">
      <c r="A1568" s="188"/>
      <c r="B1568" s="188"/>
      <c r="C1568" s="188"/>
      <c r="D1568" s="188"/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188"/>
      <c r="Q1568" s="188"/>
      <c r="R1568" s="188"/>
      <c r="S1568" s="188"/>
      <c r="T1568" s="188"/>
      <c r="U1568" s="188"/>
      <c r="V1568" s="188"/>
      <c r="W1568" s="188"/>
      <c r="X1568" s="188"/>
      <c r="Y1568" s="188"/>
      <c r="Z1568" s="188"/>
      <c r="AA1568" s="188"/>
      <c r="AB1568" s="188"/>
      <c r="AC1568" s="188"/>
      <c r="AD1568" s="188"/>
      <c r="AE1568" s="188"/>
      <c r="AF1568" s="188"/>
      <c r="AG1568" s="188"/>
      <c r="AH1568" s="188"/>
      <c r="AI1568" s="188"/>
      <c r="AJ1568" s="188"/>
      <c r="AK1568" s="188"/>
      <c r="AL1568" s="188"/>
      <c r="AM1568" s="188"/>
      <c r="AN1568" s="188"/>
      <c r="AO1568" s="188"/>
      <c r="AP1568" s="188"/>
      <c r="AQ1568" s="188"/>
      <c r="AR1568" s="188"/>
      <c r="AS1568" s="188"/>
      <c r="AT1568" s="188"/>
      <c r="AU1568" s="188"/>
      <c r="AV1568" s="188"/>
      <c r="AW1568" s="188"/>
      <c r="AX1568" s="188"/>
      <c r="AY1568" s="188"/>
      <c r="AZ1568" s="188"/>
      <c r="BA1568" s="188"/>
      <c r="BB1568" s="188"/>
      <c r="BC1568" s="188"/>
    </row>
    <row r="1569">
      <c r="A1569" s="188"/>
      <c r="B1569" s="188"/>
      <c r="C1569" s="188"/>
      <c r="D1569" s="188"/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188"/>
      <c r="Q1569" s="188"/>
      <c r="R1569" s="188"/>
      <c r="S1569" s="188"/>
      <c r="T1569" s="188"/>
      <c r="U1569" s="188"/>
      <c r="V1569" s="188"/>
      <c r="W1569" s="188"/>
      <c r="X1569" s="188"/>
      <c r="Y1569" s="188"/>
      <c r="Z1569" s="188"/>
      <c r="AA1569" s="188"/>
      <c r="AB1569" s="188"/>
      <c r="AC1569" s="188"/>
      <c r="AD1569" s="188"/>
      <c r="AE1569" s="188"/>
      <c r="AF1569" s="188"/>
      <c r="AG1569" s="188"/>
      <c r="AH1569" s="188"/>
      <c r="AI1569" s="188"/>
      <c r="AJ1569" s="188"/>
      <c r="AK1569" s="188"/>
      <c r="AL1569" s="188"/>
      <c r="AM1569" s="188"/>
      <c r="AN1569" s="188"/>
      <c r="AO1569" s="188"/>
      <c r="AP1569" s="188"/>
      <c r="AQ1569" s="188"/>
      <c r="AR1569" s="188"/>
      <c r="AS1569" s="188"/>
      <c r="AT1569" s="188"/>
      <c r="AU1569" s="188"/>
      <c r="AV1569" s="188"/>
      <c r="AW1569" s="188"/>
      <c r="AX1569" s="188"/>
      <c r="AY1569" s="188"/>
      <c r="AZ1569" s="188"/>
      <c r="BA1569" s="188"/>
      <c r="BB1569" s="188"/>
      <c r="BC1569" s="188"/>
    </row>
    <row r="1570">
      <c r="A1570" s="188"/>
      <c r="B1570" s="188"/>
      <c r="C1570" s="188"/>
      <c r="D1570" s="188"/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188"/>
      <c r="Q1570" s="188"/>
      <c r="R1570" s="188"/>
      <c r="S1570" s="188"/>
      <c r="T1570" s="188"/>
      <c r="U1570" s="188"/>
      <c r="V1570" s="188"/>
      <c r="W1570" s="188"/>
      <c r="X1570" s="188"/>
      <c r="Y1570" s="188"/>
      <c r="Z1570" s="188"/>
      <c r="AA1570" s="188"/>
      <c r="AB1570" s="188"/>
      <c r="AC1570" s="188"/>
      <c r="AD1570" s="188"/>
      <c r="AE1570" s="188"/>
      <c r="AF1570" s="188"/>
      <c r="AG1570" s="188"/>
      <c r="AH1570" s="188"/>
      <c r="AI1570" s="188"/>
      <c r="AJ1570" s="188"/>
      <c r="AK1570" s="188"/>
      <c r="AL1570" s="188"/>
      <c r="AM1570" s="188"/>
      <c r="AN1570" s="188"/>
      <c r="AO1570" s="188"/>
      <c r="AP1570" s="188"/>
      <c r="AQ1570" s="188"/>
      <c r="AR1570" s="188"/>
      <c r="AS1570" s="188"/>
      <c r="AT1570" s="188"/>
      <c r="AU1570" s="188"/>
      <c r="AV1570" s="188"/>
      <c r="AW1570" s="188"/>
      <c r="AX1570" s="188"/>
      <c r="AY1570" s="188"/>
      <c r="AZ1570" s="188"/>
      <c r="BA1570" s="188"/>
      <c r="BB1570" s="188"/>
      <c r="BC1570" s="188"/>
    </row>
    <row r="1571">
      <c r="A1571" s="188"/>
      <c r="B1571" s="188"/>
      <c r="C1571" s="188"/>
      <c r="D1571" s="188"/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188"/>
      <c r="Q1571" s="188"/>
      <c r="R1571" s="188"/>
      <c r="S1571" s="188"/>
      <c r="T1571" s="188"/>
      <c r="U1571" s="188"/>
      <c r="V1571" s="188"/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  <c r="AJ1571" s="188"/>
      <c r="AK1571" s="188"/>
      <c r="AL1571" s="188"/>
      <c r="AM1571" s="188"/>
      <c r="AN1571" s="188"/>
      <c r="AO1571" s="188"/>
      <c r="AP1571" s="188"/>
      <c r="AQ1571" s="188"/>
      <c r="AR1571" s="188"/>
      <c r="AS1571" s="188"/>
      <c r="AT1571" s="188"/>
      <c r="AU1571" s="188"/>
      <c r="AV1571" s="188"/>
      <c r="AW1571" s="188"/>
      <c r="AX1571" s="188"/>
      <c r="AY1571" s="188"/>
      <c r="AZ1571" s="188"/>
      <c r="BA1571" s="188"/>
      <c r="BB1571" s="188"/>
      <c r="BC1571" s="188"/>
    </row>
    <row r="1572">
      <c r="A1572" s="188"/>
      <c r="B1572" s="188"/>
      <c r="C1572" s="188"/>
      <c r="D1572" s="188"/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188"/>
      <c r="Q1572" s="188"/>
      <c r="R1572" s="188"/>
      <c r="S1572" s="188"/>
      <c r="T1572" s="188"/>
      <c r="U1572" s="188"/>
      <c r="V1572" s="188"/>
      <c r="W1572" s="188"/>
      <c r="X1572" s="188"/>
      <c r="Y1572" s="188"/>
      <c r="Z1572" s="188"/>
      <c r="AA1572" s="188"/>
      <c r="AB1572" s="188"/>
      <c r="AC1572" s="188"/>
      <c r="AD1572" s="188"/>
      <c r="AE1572" s="188"/>
      <c r="AF1572" s="188"/>
      <c r="AG1572" s="188"/>
      <c r="AH1572" s="188"/>
      <c r="AI1572" s="188"/>
      <c r="AJ1572" s="188"/>
      <c r="AK1572" s="188"/>
      <c r="AL1572" s="188"/>
      <c r="AM1572" s="188"/>
      <c r="AN1572" s="188"/>
      <c r="AO1572" s="188"/>
      <c r="AP1572" s="188"/>
      <c r="AQ1572" s="188"/>
      <c r="AR1572" s="188"/>
      <c r="AS1572" s="188"/>
      <c r="AT1572" s="188"/>
      <c r="AU1572" s="188"/>
      <c r="AV1572" s="188"/>
      <c r="AW1572" s="188"/>
      <c r="AX1572" s="188"/>
      <c r="AY1572" s="188"/>
      <c r="AZ1572" s="188"/>
      <c r="BA1572" s="188"/>
      <c r="BB1572" s="188"/>
      <c r="BC1572" s="188"/>
    </row>
    <row r="1573">
      <c r="A1573" s="188"/>
      <c r="B1573" s="188"/>
      <c r="C1573" s="188"/>
      <c r="D1573" s="188"/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188"/>
      <c r="Q1573" s="188"/>
      <c r="R1573" s="188"/>
      <c r="S1573" s="188"/>
      <c r="T1573" s="188"/>
      <c r="U1573" s="188"/>
      <c r="V1573" s="188"/>
      <c r="W1573" s="188"/>
      <c r="X1573" s="188"/>
      <c r="Y1573" s="188"/>
      <c r="Z1573" s="188"/>
      <c r="AA1573" s="188"/>
      <c r="AB1573" s="188"/>
      <c r="AC1573" s="188"/>
      <c r="AD1573" s="188"/>
      <c r="AE1573" s="188"/>
      <c r="AF1573" s="188"/>
      <c r="AG1573" s="188"/>
      <c r="AH1573" s="188"/>
      <c r="AI1573" s="188"/>
      <c r="AJ1573" s="188"/>
      <c r="AK1573" s="188"/>
      <c r="AL1573" s="188"/>
      <c r="AM1573" s="188"/>
      <c r="AN1573" s="188"/>
      <c r="AO1573" s="188"/>
      <c r="AP1573" s="188"/>
      <c r="AQ1573" s="188"/>
      <c r="AR1573" s="188"/>
      <c r="AS1573" s="188"/>
      <c r="AT1573" s="188"/>
      <c r="AU1573" s="188"/>
      <c r="AV1573" s="188"/>
      <c r="AW1573" s="188"/>
      <c r="AX1573" s="188"/>
      <c r="AY1573" s="188"/>
      <c r="AZ1573" s="188"/>
      <c r="BA1573" s="188"/>
      <c r="BB1573" s="188"/>
      <c r="BC1573" s="188"/>
    </row>
    <row r="1574">
      <c r="A1574" s="188"/>
      <c r="B1574" s="188"/>
      <c r="C1574" s="188"/>
      <c r="D1574" s="188"/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188"/>
      <c r="Q1574" s="188"/>
      <c r="R1574" s="188"/>
      <c r="S1574" s="188"/>
      <c r="T1574" s="188"/>
      <c r="U1574" s="188"/>
      <c r="V1574" s="188"/>
      <c r="W1574" s="188"/>
      <c r="X1574" s="188"/>
      <c r="Y1574" s="188"/>
      <c r="Z1574" s="188"/>
      <c r="AA1574" s="188"/>
      <c r="AB1574" s="188"/>
      <c r="AC1574" s="188"/>
      <c r="AD1574" s="188"/>
      <c r="AE1574" s="188"/>
      <c r="AF1574" s="188"/>
      <c r="AG1574" s="188"/>
      <c r="AH1574" s="188"/>
      <c r="AI1574" s="188"/>
      <c r="AJ1574" s="188"/>
      <c r="AK1574" s="188"/>
      <c r="AL1574" s="188"/>
      <c r="AM1574" s="188"/>
      <c r="AN1574" s="188"/>
      <c r="AO1574" s="188"/>
      <c r="AP1574" s="188"/>
      <c r="AQ1574" s="188"/>
      <c r="AR1574" s="188"/>
      <c r="AS1574" s="188"/>
      <c r="AT1574" s="188"/>
      <c r="AU1574" s="188"/>
      <c r="AV1574" s="188"/>
      <c r="AW1574" s="188"/>
      <c r="AX1574" s="188"/>
      <c r="AY1574" s="188"/>
      <c r="AZ1574" s="188"/>
      <c r="BA1574" s="188"/>
      <c r="BB1574" s="188"/>
      <c r="BC1574" s="188"/>
    </row>
    <row r="1575">
      <c r="A1575" s="188"/>
      <c r="B1575" s="188"/>
      <c r="C1575" s="188"/>
      <c r="D1575" s="188"/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188"/>
      <c r="Q1575" s="188"/>
      <c r="R1575" s="188"/>
      <c r="S1575" s="188"/>
      <c r="T1575" s="188"/>
      <c r="U1575" s="188"/>
      <c r="V1575" s="188"/>
      <c r="W1575" s="188"/>
      <c r="X1575" s="188"/>
      <c r="Y1575" s="188"/>
      <c r="Z1575" s="188"/>
      <c r="AA1575" s="188"/>
      <c r="AB1575" s="188"/>
      <c r="AC1575" s="188"/>
      <c r="AD1575" s="188"/>
      <c r="AE1575" s="188"/>
      <c r="AF1575" s="188"/>
      <c r="AG1575" s="188"/>
      <c r="AH1575" s="188"/>
      <c r="AI1575" s="188"/>
      <c r="AJ1575" s="188"/>
      <c r="AK1575" s="188"/>
      <c r="AL1575" s="188"/>
      <c r="AM1575" s="188"/>
      <c r="AN1575" s="188"/>
      <c r="AO1575" s="188"/>
      <c r="AP1575" s="188"/>
      <c r="AQ1575" s="188"/>
      <c r="AR1575" s="188"/>
      <c r="AS1575" s="188"/>
      <c r="AT1575" s="188"/>
      <c r="AU1575" s="188"/>
      <c r="AV1575" s="188"/>
      <c r="AW1575" s="188"/>
      <c r="AX1575" s="188"/>
      <c r="AY1575" s="188"/>
      <c r="AZ1575" s="188"/>
      <c r="BA1575" s="188"/>
      <c r="BB1575" s="188"/>
      <c r="BC1575" s="188"/>
    </row>
    <row r="1576">
      <c r="A1576" s="188"/>
      <c r="B1576" s="188"/>
      <c r="C1576" s="188"/>
      <c r="D1576" s="188"/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188"/>
      <c r="Q1576" s="188"/>
      <c r="R1576" s="188"/>
      <c r="S1576" s="188"/>
      <c r="T1576" s="188"/>
      <c r="U1576" s="188"/>
      <c r="V1576" s="188"/>
      <c r="W1576" s="188"/>
      <c r="X1576" s="188"/>
      <c r="Y1576" s="188"/>
      <c r="Z1576" s="188"/>
      <c r="AA1576" s="188"/>
      <c r="AB1576" s="188"/>
      <c r="AC1576" s="188"/>
      <c r="AD1576" s="188"/>
      <c r="AE1576" s="188"/>
      <c r="AF1576" s="188"/>
      <c r="AG1576" s="188"/>
      <c r="AH1576" s="188"/>
      <c r="AI1576" s="188"/>
      <c r="AJ1576" s="188"/>
      <c r="AK1576" s="188"/>
      <c r="AL1576" s="188"/>
      <c r="AM1576" s="188"/>
      <c r="AN1576" s="188"/>
      <c r="AO1576" s="188"/>
      <c r="AP1576" s="188"/>
      <c r="AQ1576" s="188"/>
      <c r="AR1576" s="188"/>
      <c r="AS1576" s="188"/>
      <c r="AT1576" s="188"/>
      <c r="AU1576" s="188"/>
      <c r="AV1576" s="188"/>
      <c r="AW1576" s="188"/>
      <c r="AX1576" s="188"/>
      <c r="AY1576" s="188"/>
      <c r="AZ1576" s="188"/>
      <c r="BA1576" s="188"/>
      <c r="BB1576" s="188"/>
      <c r="BC1576" s="188"/>
    </row>
    <row r="1577">
      <c r="A1577" s="188"/>
      <c r="B1577" s="188"/>
      <c r="C1577" s="188"/>
      <c r="D1577" s="188"/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188"/>
      <c r="Q1577" s="188"/>
      <c r="R1577" s="188"/>
      <c r="S1577" s="188"/>
      <c r="T1577" s="188"/>
      <c r="U1577" s="188"/>
      <c r="V1577" s="188"/>
      <c r="W1577" s="188"/>
      <c r="X1577" s="188"/>
      <c r="Y1577" s="188"/>
      <c r="Z1577" s="188"/>
      <c r="AA1577" s="188"/>
      <c r="AB1577" s="188"/>
      <c r="AC1577" s="188"/>
      <c r="AD1577" s="188"/>
      <c r="AE1577" s="188"/>
      <c r="AF1577" s="188"/>
      <c r="AG1577" s="188"/>
      <c r="AH1577" s="188"/>
      <c r="AI1577" s="188"/>
      <c r="AJ1577" s="188"/>
      <c r="AK1577" s="188"/>
      <c r="AL1577" s="188"/>
      <c r="AM1577" s="188"/>
      <c r="AN1577" s="188"/>
      <c r="AO1577" s="188"/>
      <c r="AP1577" s="188"/>
      <c r="AQ1577" s="188"/>
      <c r="AR1577" s="188"/>
      <c r="AS1577" s="188"/>
      <c r="AT1577" s="188"/>
      <c r="AU1577" s="188"/>
      <c r="AV1577" s="188"/>
      <c r="AW1577" s="188"/>
      <c r="AX1577" s="188"/>
      <c r="AY1577" s="188"/>
      <c r="AZ1577" s="188"/>
      <c r="BA1577" s="188"/>
      <c r="BB1577" s="188"/>
      <c r="BC1577" s="188"/>
    </row>
    <row r="1578">
      <c r="A1578" s="188"/>
      <c r="B1578" s="188"/>
      <c r="C1578" s="188"/>
      <c r="D1578" s="188"/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188"/>
      <c r="Q1578" s="188"/>
      <c r="R1578" s="188"/>
      <c r="S1578" s="188"/>
      <c r="T1578" s="188"/>
      <c r="U1578" s="188"/>
      <c r="V1578" s="188"/>
      <c r="W1578" s="188"/>
      <c r="X1578" s="188"/>
      <c r="Y1578" s="188"/>
      <c r="Z1578" s="188"/>
      <c r="AA1578" s="188"/>
      <c r="AB1578" s="188"/>
      <c r="AC1578" s="188"/>
      <c r="AD1578" s="188"/>
      <c r="AE1578" s="188"/>
      <c r="AF1578" s="188"/>
      <c r="AG1578" s="188"/>
      <c r="AH1578" s="188"/>
      <c r="AI1578" s="188"/>
      <c r="AJ1578" s="188"/>
      <c r="AK1578" s="188"/>
      <c r="AL1578" s="188"/>
      <c r="AM1578" s="188"/>
      <c r="AN1578" s="188"/>
      <c r="AO1578" s="188"/>
      <c r="AP1578" s="188"/>
      <c r="AQ1578" s="188"/>
      <c r="AR1578" s="188"/>
      <c r="AS1578" s="188"/>
      <c r="AT1578" s="188"/>
      <c r="AU1578" s="188"/>
      <c r="AV1578" s="188"/>
      <c r="AW1578" s="188"/>
      <c r="AX1578" s="188"/>
      <c r="AY1578" s="188"/>
      <c r="AZ1578" s="188"/>
      <c r="BA1578" s="188"/>
      <c r="BB1578" s="188"/>
      <c r="BC1578" s="188"/>
    </row>
    <row r="1579">
      <c r="A1579" s="188"/>
      <c r="B1579" s="188"/>
      <c r="C1579" s="188"/>
      <c r="D1579" s="188"/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188"/>
      <c r="Q1579" s="188"/>
      <c r="R1579" s="188"/>
      <c r="S1579" s="188"/>
      <c r="T1579" s="188"/>
      <c r="U1579" s="188"/>
      <c r="V1579" s="188"/>
      <c r="W1579" s="188"/>
      <c r="X1579" s="188"/>
      <c r="Y1579" s="188"/>
      <c r="Z1579" s="188"/>
      <c r="AA1579" s="188"/>
      <c r="AB1579" s="188"/>
      <c r="AC1579" s="188"/>
      <c r="AD1579" s="188"/>
      <c r="AE1579" s="188"/>
      <c r="AF1579" s="188"/>
      <c r="AG1579" s="188"/>
      <c r="AH1579" s="188"/>
      <c r="AI1579" s="188"/>
      <c r="AJ1579" s="188"/>
      <c r="AK1579" s="188"/>
      <c r="AL1579" s="188"/>
      <c r="AM1579" s="188"/>
      <c r="AN1579" s="188"/>
      <c r="AO1579" s="188"/>
      <c r="AP1579" s="188"/>
      <c r="AQ1579" s="188"/>
      <c r="AR1579" s="188"/>
      <c r="AS1579" s="188"/>
      <c r="AT1579" s="188"/>
      <c r="AU1579" s="188"/>
      <c r="AV1579" s="188"/>
      <c r="AW1579" s="188"/>
      <c r="AX1579" s="188"/>
      <c r="AY1579" s="188"/>
      <c r="AZ1579" s="188"/>
      <c r="BA1579" s="188"/>
      <c r="BB1579" s="188"/>
      <c r="BC1579" s="188"/>
    </row>
    <row r="1580">
      <c r="A1580" s="188"/>
      <c r="B1580" s="188"/>
      <c r="C1580" s="188"/>
      <c r="D1580" s="188"/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188"/>
      <c r="Q1580" s="188"/>
      <c r="R1580" s="188"/>
      <c r="S1580" s="188"/>
      <c r="T1580" s="188"/>
      <c r="U1580" s="188"/>
      <c r="V1580" s="188"/>
      <c r="W1580" s="188"/>
      <c r="X1580" s="188"/>
      <c r="Y1580" s="188"/>
      <c r="Z1580" s="188"/>
      <c r="AA1580" s="188"/>
      <c r="AB1580" s="188"/>
      <c r="AC1580" s="188"/>
      <c r="AD1580" s="188"/>
      <c r="AE1580" s="188"/>
      <c r="AF1580" s="188"/>
      <c r="AG1580" s="188"/>
      <c r="AH1580" s="188"/>
      <c r="AI1580" s="188"/>
      <c r="AJ1580" s="188"/>
      <c r="AK1580" s="188"/>
      <c r="AL1580" s="188"/>
      <c r="AM1580" s="188"/>
      <c r="AN1580" s="188"/>
      <c r="AO1580" s="188"/>
      <c r="AP1580" s="188"/>
      <c r="AQ1580" s="188"/>
      <c r="AR1580" s="188"/>
      <c r="AS1580" s="188"/>
      <c r="AT1580" s="188"/>
      <c r="AU1580" s="188"/>
      <c r="AV1580" s="188"/>
      <c r="AW1580" s="188"/>
      <c r="AX1580" s="188"/>
      <c r="AY1580" s="188"/>
      <c r="AZ1580" s="188"/>
      <c r="BA1580" s="188"/>
      <c r="BB1580" s="188"/>
      <c r="BC1580" s="188"/>
    </row>
    <row r="1581">
      <c r="A1581" s="188"/>
      <c r="B1581" s="188"/>
      <c r="C1581" s="188"/>
      <c r="D1581" s="188"/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188"/>
      <c r="Q1581" s="188"/>
      <c r="R1581" s="188"/>
      <c r="S1581" s="188"/>
      <c r="T1581" s="188"/>
      <c r="U1581" s="188"/>
      <c r="V1581" s="188"/>
      <c r="W1581" s="188"/>
      <c r="X1581" s="188"/>
      <c r="Y1581" s="188"/>
      <c r="Z1581" s="188"/>
      <c r="AA1581" s="188"/>
      <c r="AB1581" s="188"/>
      <c r="AC1581" s="188"/>
      <c r="AD1581" s="188"/>
      <c r="AE1581" s="188"/>
      <c r="AF1581" s="188"/>
      <c r="AG1581" s="188"/>
      <c r="AH1581" s="188"/>
      <c r="AI1581" s="188"/>
      <c r="AJ1581" s="188"/>
      <c r="AK1581" s="188"/>
      <c r="AL1581" s="188"/>
      <c r="AM1581" s="188"/>
      <c r="AN1581" s="188"/>
      <c r="AO1581" s="188"/>
      <c r="AP1581" s="188"/>
      <c r="AQ1581" s="188"/>
      <c r="AR1581" s="188"/>
      <c r="AS1581" s="188"/>
      <c r="AT1581" s="188"/>
      <c r="AU1581" s="188"/>
      <c r="AV1581" s="188"/>
      <c r="AW1581" s="188"/>
      <c r="AX1581" s="188"/>
      <c r="AY1581" s="188"/>
      <c r="AZ1581" s="188"/>
      <c r="BA1581" s="188"/>
      <c r="BB1581" s="188"/>
      <c r="BC1581" s="188"/>
    </row>
    <row r="1582">
      <c r="A1582" s="188"/>
      <c r="B1582" s="188"/>
      <c r="C1582" s="188"/>
      <c r="D1582" s="188"/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188"/>
      <c r="Q1582" s="188"/>
      <c r="R1582" s="188"/>
      <c r="S1582" s="188"/>
      <c r="T1582" s="188"/>
      <c r="U1582" s="188"/>
      <c r="V1582" s="188"/>
      <c r="W1582" s="188"/>
      <c r="X1582" s="188"/>
      <c r="Y1582" s="188"/>
      <c r="Z1582" s="188"/>
      <c r="AA1582" s="188"/>
      <c r="AB1582" s="188"/>
      <c r="AC1582" s="188"/>
      <c r="AD1582" s="188"/>
      <c r="AE1582" s="188"/>
      <c r="AF1582" s="188"/>
      <c r="AG1582" s="188"/>
      <c r="AH1582" s="188"/>
      <c r="AI1582" s="188"/>
      <c r="AJ1582" s="188"/>
      <c r="AK1582" s="188"/>
      <c r="AL1582" s="188"/>
      <c r="AM1582" s="188"/>
      <c r="AN1582" s="188"/>
      <c r="AO1582" s="188"/>
      <c r="AP1582" s="188"/>
      <c r="AQ1582" s="188"/>
      <c r="AR1582" s="188"/>
      <c r="AS1582" s="188"/>
      <c r="AT1582" s="188"/>
      <c r="AU1582" s="188"/>
      <c r="AV1582" s="188"/>
      <c r="AW1582" s="188"/>
      <c r="AX1582" s="188"/>
      <c r="AY1582" s="188"/>
      <c r="AZ1582" s="188"/>
      <c r="BA1582" s="188"/>
      <c r="BB1582" s="188"/>
      <c r="BC1582" s="188"/>
    </row>
    <row r="1583">
      <c r="A1583" s="188"/>
      <c r="B1583" s="188"/>
      <c r="C1583" s="188"/>
      <c r="D1583" s="188"/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188"/>
      <c r="Q1583" s="188"/>
      <c r="R1583" s="188"/>
      <c r="S1583" s="188"/>
      <c r="T1583" s="188"/>
      <c r="U1583" s="188"/>
      <c r="V1583" s="188"/>
      <c r="W1583" s="188"/>
      <c r="X1583" s="188"/>
      <c r="Y1583" s="188"/>
      <c r="Z1583" s="188"/>
      <c r="AA1583" s="188"/>
      <c r="AB1583" s="188"/>
      <c r="AC1583" s="188"/>
      <c r="AD1583" s="188"/>
      <c r="AE1583" s="188"/>
      <c r="AF1583" s="188"/>
      <c r="AG1583" s="188"/>
      <c r="AH1583" s="188"/>
      <c r="AI1583" s="188"/>
      <c r="AJ1583" s="188"/>
      <c r="AK1583" s="188"/>
      <c r="AL1583" s="188"/>
      <c r="AM1583" s="188"/>
      <c r="AN1583" s="188"/>
      <c r="AO1583" s="188"/>
      <c r="AP1583" s="188"/>
      <c r="AQ1583" s="188"/>
      <c r="AR1583" s="188"/>
      <c r="AS1583" s="188"/>
      <c r="AT1583" s="188"/>
      <c r="AU1583" s="188"/>
      <c r="AV1583" s="188"/>
      <c r="AW1583" s="188"/>
      <c r="AX1583" s="188"/>
      <c r="AY1583" s="188"/>
      <c r="AZ1583" s="188"/>
      <c r="BA1583" s="188"/>
      <c r="BB1583" s="188"/>
      <c r="BC1583" s="188"/>
    </row>
    <row r="1584">
      <c r="A1584" s="188"/>
      <c r="B1584" s="188"/>
      <c r="C1584" s="188"/>
      <c r="D1584" s="188"/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188"/>
      <c r="Q1584" s="188"/>
      <c r="R1584" s="188"/>
      <c r="S1584" s="188"/>
      <c r="T1584" s="188"/>
      <c r="U1584" s="188"/>
      <c r="V1584" s="188"/>
      <c r="W1584" s="188"/>
      <c r="X1584" s="188"/>
      <c r="Y1584" s="188"/>
      <c r="Z1584" s="188"/>
      <c r="AA1584" s="188"/>
      <c r="AB1584" s="188"/>
      <c r="AC1584" s="188"/>
      <c r="AD1584" s="188"/>
      <c r="AE1584" s="188"/>
      <c r="AF1584" s="188"/>
      <c r="AG1584" s="188"/>
      <c r="AH1584" s="188"/>
      <c r="AI1584" s="188"/>
      <c r="AJ1584" s="188"/>
      <c r="AK1584" s="188"/>
      <c r="AL1584" s="188"/>
      <c r="AM1584" s="188"/>
      <c r="AN1584" s="188"/>
      <c r="AO1584" s="188"/>
      <c r="AP1584" s="188"/>
      <c r="AQ1584" s="188"/>
      <c r="AR1584" s="188"/>
      <c r="AS1584" s="188"/>
      <c r="AT1584" s="188"/>
      <c r="AU1584" s="188"/>
      <c r="AV1584" s="188"/>
      <c r="AW1584" s="188"/>
      <c r="AX1584" s="188"/>
      <c r="AY1584" s="188"/>
      <c r="AZ1584" s="188"/>
      <c r="BA1584" s="188"/>
      <c r="BB1584" s="188"/>
      <c r="BC1584" s="188"/>
    </row>
    <row r="1585">
      <c r="A1585" s="188"/>
      <c r="B1585" s="188"/>
      <c r="C1585" s="188"/>
      <c r="D1585" s="188"/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188"/>
      <c r="Q1585" s="188"/>
      <c r="R1585" s="188"/>
      <c r="S1585" s="188"/>
      <c r="T1585" s="188"/>
      <c r="U1585" s="188"/>
      <c r="V1585" s="188"/>
      <c r="W1585" s="188"/>
      <c r="X1585" s="188"/>
      <c r="Y1585" s="188"/>
      <c r="Z1585" s="188"/>
      <c r="AA1585" s="188"/>
      <c r="AB1585" s="188"/>
      <c r="AC1585" s="188"/>
      <c r="AD1585" s="188"/>
      <c r="AE1585" s="188"/>
      <c r="AF1585" s="188"/>
      <c r="AG1585" s="188"/>
      <c r="AH1585" s="188"/>
      <c r="AI1585" s="188"/>
      <c r="AJ1585" s="188"/>
      <c r="AK1585" s="188"/>
      <c r="AL1585" s="188"/>
      <c r="AM1585" s="188"/>
      <c r="AN1585" s="188"/>
      <c r="AO1585" s="188"/>
      <c r="AP1585" s="188"/>
      <c r="AQ1585" s="188"/>
      <c r="AR1585" s="188"/>
      <c r="AS1585" s="188"/>
      <c r="AT1585" s="188"/>
      <c r="AU1585" s="188"/>
      <c r="AV1585" s="188"/>
      <c r="AW1585" s="188"/>
      <c r="AX1585" s="188"/>
      <c r="AY1585" s="188"/>
      <c r="AZ1585" s="188"/>
      <c r="BA1585" s="188"/>
      <c r="BB1585" s="188"/>
      <c r="BC1585" s="188"/>
    </row>
    <row r="1586">
      <c r="A1586" s="188"/>
      <c r="B1586" s="188"/>
      <c r="C1586" s="188"/>
      <c r="D1586" s="188"/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188"/>
      <c r="Q1586" s="188"/>
      <c r="R1586" s="188"/>
      <c r="S1586" s="188"/>
      <c r="T1586" s="188"/>
      <c r="U1586" s="188"/>
      <c r="V1586" s="188"/>
      <c r="W1586" s="188"/>
      <c r="X1586" s="188"/>
      <c r="Y1586" s="188"/>
      <c r="Z1586" s="188"/>
      <c r="AA1586" s="188"/>
      <c r="AB1586" s="188"/>
      <c r="AC1586" s="188"/>
      <c r="AD1586" s="188"/>
      <c r="AE1586" s="188"/>
      <c r="AF1586" s="188"/>
      <c r="AG1586" s="188"/>
      <c r="AH1586" s="188"/>
      <c r="AI1586" s="188"/>
      <c r="AJ1586" s="188"/>
      <c r="AK1586" s="188"/>
      <c r="AL1586" s="188"/>
      <c r="AM1586" s="188"/>
      <c r="AN1586" s="188"/>
      <c r="AO1586" s="188"/>
      <c r="AP1586" s="188"/>
      <c r="AQ1586" s="188"/>
      <c r="AR1586" s="188"/>
      <c r="AS1586" s="188"/>
      <c r="AT1586" s="188"/>
      <c r="AU1586" s="188"/>
      <c r="AV1586" s="188"/>
      <c r="AW1586" s="188"/>
      <c r="AX1586" s="188"/>
      <c r="AY1586" s="188"/>
      <c r="AZ1586" s="188"/>
      <c r="BA1586" s="188"/>
      <c r="BB1586" s="188"/>
      <c r="BC1586" s="188"/>
    </row>
    <row r="1587">
      <c r="A1587" s="188"/>
      <c r="B1587" s="188"/>
      <c r="C1587" s="188"/>
      <c r="D1587" s="188"/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188"/>
      <c r="Q1587" s="188"/>
      <c r="R1587" s="188"/>
      <c r="S1587" s="188"/>
      <c r="T1587" s="188"/>
      <c r="U1587" s="188"/>
      <c r="V1587" s="188"/>
      <c r="W1587" s="188"/>
      <c r="X1587" s="188"/>
      <c r="Y1587" s="188"/>
      <c r="Z1587" s="188"/>
      <c r="AA1587" s="188"/>
      <c r="AB1587" s="188"/>
      <c r="AC1587" s="188"/>
      <c r="AD1587" s="188"/>
      <c r="AE1587" s="188"/>
      <c r="AF1587" s="188"/>
      <c r="AG1587" s="188"/>
      <c r="AH1587" s="188"/>
      <c r="AI1587" s="188"/>
      <c r="AJ1587" s="188"/>
      <c r="AK1587" s="188"/>
      <c r="AL1587" s="188"/>
      <c r="AM1587" s="188"/>
      <c r="AN1587" s="188"/>
      <c r="AO1587" s="188"/>
      <c r="AP1587" s="188"/>
      <c r="AQ1587" s="188"/>
      <c r="AR1587" s="188"/>
      <c r="AS1587" s="188"/>
      <c r="AT1587" s="188"/>
      <c r="AU1587" s="188"/>
      <c r="AV1587" s="188"/>
      <c r="AW1587" s="188"/>
      <c r="AX1587" s="188"/>
      <c r="AY1587" s="188"/>
      <c r="AZ1587" s="188"/>
      <c r="BA1587" s="188"/>
      <c r="BB1587" s="188"/>
      <c r="BC1587" s="188"/>
    </row>
    <row r="1588">
      <c r="A1588" s="188"/>
      <c r="B1588" s="188"/>
      <c r="C1588" s="188"/>
      <c r="D1588" s="188"/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188"/>
      <c r="Q1588" s="188"/>
      <c r="R1588" s="188"/>
      <c r="S1588" s="188"/>
      <c r="T1588" s="188"/>
      <c r="U1588" s="188"/>
      <c r="V1588" s="188"/>
      <c r="W1588" s="188"/>
      <c r="X1588" s="188"/>
      <c r="Y1588" s="188"/>
      <c r="Z1588" s="188"/>
      <c r="AA1588" s="188"/>
      <c r="AB1588" s="188"/>
      <c r="AC1588" s="188"/>
      <c r="AD1588" s="188"/>
      <c r="AE1588" s="188"/>
      <c r="AF1588" s="188"/>
      <c r="AG1588" s="188"/>
      <c r="AH1588" s="188"/>
      <c r="AI1588" s="188"/>
      <c r="AJ1588" s="188"/>
      <c r="AK1588" s="188"/>
      <c r="AL1588" s="188"/>
      <c r="AM1588" s="188"/>
      <c r="AN1588" s="188"/>
      <c r="AO1588" s="188"/>
      <c r="AP1588" s="188"/>
      <c r="AQ1588" s="188"/>
      <c r="AR1588" s="188"/>
      <c r="AS1588" s="188"/>
      <c r="AT1588" s="188"/>
      <c r="AU1588" s="188"/>
      <c r="AV1588" s="188"/>
      <c r="AW1588" s="188"/>
      <c r="AX1588" s="188"/>
      <c r="AY1588" s="188"/>
      <c r="AZ1588" s="188"/>
      <c r="BA1588" s="188"/>
      <c r="BB1588" s="188"/>
      <c r="BC1588" s="188"/>
    </row>
    <row r="1589">
      <c r="A1589" s="188"/>
      <c r="B1589" s="188"/>
      <c r="C1589" s="188"/>
      <c r="D1589" s="188"/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188"/>
      <c r="Q1589" s="188"/>
      <c r="R1589" s="188"/>
      <c r="S1589" s="188"/>
      <c r="T1589" s="188"/>
      <c r="U1589" s="188"/>
      <c r="V1589" s="188"/>
      <c r="W1589" s="188"/>
      <c r="X1589" s="188"/>
      <c r="Y1589" s="188"/>
      <c r="Z1589" s="188"/>
      <c r="AA1589" s="188"/>
      <c r="AB1589" s="188"/>
      <c r="AC1589" s="188"/>
      <c r="AD1589" s="188"/>
      <c r="AE1589" s="188"/>
      <c r="AF1589" s="188"/>
      <c r="AG1589" s="188"/>
      <c r="AH1589" s="188"/>
      <c r="AI1589" s="188"/>
      <c r="AJ1589" s="188"/>
      <c r="AK1589" s="188"/>
      <c r="AL1589" s="188"/>
      <c r="AM1589" s="188"/>
      <c r="AN1589" s="188"/>
      <c r="AO1589" s="188"/>
      <c r="AP1589" s="188"/>
      <c r="AQ1589" s="188"/>
      <c r="AR1589" s="188"/>
      <c r="AS1589" s="188"/>
      <c r="AT1589" s="188"/>
      <c r="AU1589" s="188"/>
      <c r="AV1589" s="188"/>
      <c r="AW1589" s="188"/>
      <c r="AX1589" s="188"/>
      <c r="AY1589" s="188"/>
      <c r="AZ1589" s="188"/>
      <c r="BA1589" s="188"/>
      <c r="BB1589" s="188"/>
      <c r="BC1589" s="188"/>
    </row>
    <row r="1590">
      <c r="A1590" s="188"/>
      <c r="B1590" s="188"/>
      <c r="C1590" s="188"/>
      <c r="D1590" s="188"/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188"/>
      <c r="Q1590" s="188"/>
      <c r="R1590" s="188"/>
      <c r="S1590" s="188"/>
      <c r="T1590" s="188"/>
      <c r="U1590" s="188"/>
      <c r="V1590" s="188"/>
      <c r="W1590" s="188"/>
      <c r="X1590" s="188"/>
      <c r="Y1590" s="188"/>
      <c r="Z1590" s="188"/>
      <c r="AA1590" s="188"/>
      <c r="AB1590" s="188"/>
      <c r="AC1590" s="188"/>
      <c r="AD1590" s="188"/>
      <c r="AE1590" s="188"/>
      <c r="AF1590" s="188"/>
      <c r="AG1590" s="188"/>
      <c r="AH1590" s="188"/>
      <c r="AI1590" s="188"/>
      <c r="AJ1590" s="188"/>
      <c r="AK1590" s="188"/>
      <c r="AL1590" s="188"/>
      <c r="AM1590" s="188"/>
      <c r="AN1590" s="188"/>
      <c r="AO1590" s="188"/>
      <c r="AP1590" s="188"/>
      <c r="AQ1590" s="188"/>
      <c r="AR1590" s="188"/>
      <c r="AS1590" s="188"/>
      <c r="AT1590" s="188"/>
      <c r="AU1590" s="188"/>
      <c r="AV1590" s="188"/>
      <c r="AW1590" s="188"/>
      <c r="AX1590" s="188"/>
      <c r="AY1590" s="188"/>
      <c r="AZ1590" s="188"/>
      <c r="BA1590" s="188"/>
      <c r="BB1590" s="188"/>
      <c r="BC1590" s="188"/>
    </row>
    <row r="1591">
      <c r="A1591" s="188"/>
      <c r="B1591" s="188"/>
      <c r="C1591" s="188"/>
      <c r="D1591" s="188"/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188"/>
      <c r="Q1591" s="188"/>
      <c r="R1591" s="188"/>
      <c r="S1591" s="188"/>
      <c r="T1591" s="188"/>
      <c r="U1591" s="188"/>
      <c r="V1591" s="188"/>
      <c r="W1591" s="188"/>
      <c r="X1591" s="188"/>
      <c r="Y1591" s="188"/>
      <c r="Z1591" s="188"/>
      <c r="AA1591" s="188"/>
      <c r="AB1591" s="188"/>
      <c r="AC1591" s="188"/>
      <c r="AD1591" s="188"/>
      <c r="AE1591" s="188"/>
      <c r="AF1591" s="188"/>
      <c r="AG1591" s="188"/>
      <c r="AH1591" s="188"/>
      <c r="AI1591" s="188"/>
      <c r="AJ1591" s="188"/>
      <c r="AK1591" s="188"/>
      <c r="AL1591" s="188"/>
      <c r="AM1591" s="188"/>
      <c r="AN1591" s="188"/>
      <c r="AO1591" s="188"/>
      <c r="AP1591" s="188"/>
      <c r="AQ1591" s="188"/>
      <c r="AR1591" s="188"/>
      <c r="AS1591" s="188"/>
      <c r="AT1591" s="188"/>
      <c r="AU1591" s="188"/>
      <c r="AV1591" s="188"/>
      <c r="AW1591" s="188"/>
      <c r="AX1591" s="188"/>
      <c r="AY1591" s="188"/>
      <c r="AZ1591" s="188"/>
      <c r="BA1591" s="188"/>
      <c r="BB1591" s="188"/>
      <c r="BC1591" s="188"/>
    </row>
    <row r="1592">
      <c r="A1592" s="188"/>
      <c r="B1592" s="188"/>
      <c r="C1592" s="188"/>
      <c r="D1592" s="188"/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188"/>
      <c r="Q1592" s="188"/>
      <c r="R1592" s="188"/>
      <c r="S1592" s="188"/>
      <c r="T1592" s="188"/>
      <c r="U1592" s="188"/>
      <c r="V1592" s="188"/>
      <c r="W1592" s="188"/>
      <c r="X1592" s="188"/>
      <c r="Y1592" s="188"/>
      <c r="Z1592" s="188"/>
      <c r="AA1592" s="188"/>
      <c r="AB1592" s="188"/>
      <c r="AC1592" s="188"/>
      <c r="AD1592" s="188"/>
      <c r="AE1592" s="188"/>
      <c r="AF1592" s="188"/>
      <c r="AG1592" s="188"/>
      <c r="AH1592" s="188"/>
      <c r="AI1592" s="188"/>
      <c r="AJ1592" s="188"/>
      <c r="AK1592" s="188"/>
      <c r="AL1592" s="188"/>
      <c r="AM1592" s="188"/>
      <c r="AN1592" s="188"/>
      <c r="AO1592" s="188"/>
      <c r="AP1592" s="188"/>
      <c r="AQ1592" s="188"/>
      <c r="AR1592" s="188"/>
      <c r="AS1592" s="188"/>
      <c r="AT1592" s="188"/>
      <c r="AU1592" s="188"/>
      <c r="AV1592" s="188"/>
      <c r="AW1592" s="188"/>
      <c r="AX1592" s="188"/>
      <c r="AY1592" s="188"/>
      <c r="AZ1592" s="188"/>
      <c r="BA1592" s="188"/>
      <c r="BB1592" s="188"/>
      <c r="BC1592" s="188"/>
    </row>
    <row r="1593">
      <c r="A1593" s="188"/>
      <c r="B1593" s="188"/>
      <c r="C1593" s="188"/>
      <c r="D1593" s="188"/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188"/>
      <c r="Q1593" s="188"/>
      <c r="R1593" s="188"/>
      <c r="S1593" s="188"/>
      <c r="T1593" s="188"/>
      <c r="U1593" s="188"/>
      <c r="V1593" s="188"/>
      <c r="W1593" s="188"/>
      <c r="X1593" s="188"/>
      <c r="Y1593" s="188"/>
      <c r="Z1593" s="188"/>
      <c r="AA1593" s="188"/>
      <c r="AB1593" s="188"/>
      <c r="AC1593" s="188"/>
      <c r="AD1593" s="188"/>
      <c r="AE1593" s="188"/>
      <c r="AF1593" s="188"/>
      <c r="AG1593" s="188"/>
      <c r="AH1593" s="188"/>
      <c r="AI1593" s="188"/>
      <c r="AJ1593" s="188"/>
      <c r="AK1593" s="188"/>
      <c r="AL1593" s="188"/>
      <c r="AM1593" s="188"/>
      <c r="AN1593" s="188"/>
      <c r="AO1593" s="188"/>
      <c r="AP1593" s="188"/>
      <c r="AQ1593" s="188"/>
      <c r="AR1593" s="188"/>
      <c r="AS1593" s="188"/>
      <c r="AT1593" s="188"/>
      <c r="AU1593" s="188"/>
      <c r="AV1593" s="188"/>
      <c r="AW1593" s="188"/>
      <c r="AX1593" s="188"/>
      <c r="AY1593" s="188"/>
      <c r="AZ1593" s="188"/>
      <c r="BA1593" s="188"/>
      <c r="BB1593" s="188"/>
      <c r="BC1593" s="188"/>
    </row>
    <row r="1594">
      <c r="A1594" s="188"/>
      <c r="B1594" s="188"/>
      <c r="C1594" s="188"/>
      <c r="D1594" s="188"/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188"/>
      <c r="Q1594" s="188"/>
      <c r="R1594" s="188"/>
      <c r="S1594" s="188"/>
      <c r="T1594" s="188"/>
      <c r="U1594" s="188"/>
      <c r="V1594" s="188"/>
      <c r="W1594" s="188"/>
      <c r="X1594" s="188"/>
      <c r="Y1594" s="188"/>
      <c r="Z1594" s="188"/>
      <c r="AA1594" s="188"/>
      <c r="AB1594" s="188"/>
      <c r="AC1594" s="188"/>
      <c r="AD1594" s="188"/>
      <c r="AE1594" s="188"/>
      <c r="AF1594" s="188"/>
      <c r="AG1594" s="188"/>
      <c r="AH1594" s="188"/>
      <c r="AI1594" s="188"/>
      <c r="AJ1594" s="188"/>
      <c r="AK1594" s="188"/>
      <c r="AL1594" s="188"/>
      <c r="AM1594" s="188"/>
      <c r="AN1594" s="188"/>
      <c r="AO1594" s="188"/>
      <c r="AP1594" s="188"/>
      <c r="AQ1594" s="188"/>
      <c r="AR1594" s="188"/>
      <c r="AS1594" s="188"/>
      <c r="AT1594" s="188"/>
      <c r="AU1594" s="188"/>
      <c r="AV1594" s="188"/>
      <c r="AW1594" s="188"/>
      <c r="AX1594" s="188"/>
      <c r="AY1594" s="188"/>
      <c r="AZ1594" s="188"/>
      <c r="BA1594" s="188"/>
      <c r="BB1594" s="188"/>
      <c r="BC1594" s="188"/>
    </row>
    <row r="1595">
      <c r="A1595" s="188"/>
      <c r="B1595" s="188"/>
      <c r="C1595" s="188"/>
      <c r="D1595" s="188"/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188"/>
      <c r="Q1595" s="188"/>
      <c r="R1595" s="188"/>
      <c r="S1595" s="188"/>
      <c r="T1595" s="188"/>
      <c r="U1595" s="188"/>
      <c r="V1595" s="188"/>
      <c r="W1595" s="188"/>
      <c r="X1595" s="188"/>
      <c r="Y1595" s="188"/>
      <c r="Z1595" s="188"/>
      <c r="AA1595" s="188"/>
      <c r="AB1595" s="188"/>
      <c r="AC1595" s="188"/>
      <c r="AD1595" s="188"/>
      <c r="AE1595" s="188"/>
      <c r="AF1595" s="188"/>
      <c r="AG1595" s="188"/>
      <c r="AH1595" s="188"/>
      <c r="AI1595" s="188"/>
      <c r="AJ1595" s="188"/>
      <c r="AK1595" s="188"/>
      <c r="AL1595" s="188"/>
      <c r="AM1595" s="188"/>
      <c r="AN1595" s="188"/>
      <c r="AO1595" s="188"/>
      <c r="AP1595" s="188"/>
      <c r="AQ1595" s="188"/>
      <c r="AR1595" s="188"/>
      <c r="AS1595" s="188"/>
      <c r="AT1595" s="188"/>
      <c r="AU1595" s="188"/>
      <c r="AV1595" s="188"/>
      <c r="AW1595" s="188"/>
      <c r="AX1595" s="188"/>
      <c r="AY1595" s="188"/>
      <c r="AZ1595" s="188"/>
      <c r="BA1595" s="188"/>
      <c r="BB1595" s="188"/>
      <c r="BC1595" s="188"/>
    </row>
    <row r="1596">
      <c r="A1596" s="188"/>
      <c r="B1596" s="188"/>
      <c r="C1596" s="188"/>
      <c r="D1596" s="188"/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188"/>
      <c r="Q1596" s="188"/>
      <c r="R1596" s="188"/>
      <c r="S1596" s="188"/>
      <c r="T1596" s="188"/>
      <c r="U1596" s="188"/>
      <c r="V1596" s="188"/>
      <c r="W1596" s="188"/>
      <c r="X1596" s="188"/>
      <c r="Y1596" s="188"/>
      <c r="Z1596" s="188"/>
      <c r="AA1596" s="188"/>
      <c r="AB1596" s="188"/>
      <c r="AC1596" s="188"/>
      <c r="AD1596" s="188"/>
      <c r="AE1596" s="188"/>
      <c r="AF1596" s="188"/>
      <c r="AG1596" s="188"/>
      <c r="AH1596" s="188"/>
      <c r="AI1596" s="188"/>
      <c r="AJ1596" s="188"/>
      <c r="AK1596" s="188"/>
      <c r="AL1596" s="188"/>
      <c r="AM1596" s="188"/>
      <c r="AN1596" s="188"/>
      <c r="AO1596" s="188"/>
      <c r="AP1596" s="188"/>
      <c r="AQ1596" s="188"/>
      <c r="AR1596" s="188"/>
      <c r="AS1596" s="188"/>
      <c r="AT1596" s="188"/>
      <c r="AU1596" s="188"/>
      <c r="AV1596" s="188"/>
      <c r="AW1596" s="188"/>
      <c r="AX1596" s="188"/>
      <c r="AY1596" s="188"/>
      <c r="AZ1596" s="188"/>
      <c r="BA1596" s="188"/>
      <c r="BB1596" s="188"/>
      <c r="BC1596" s="188"/>
    </row>
    <row r="1597">
      <c r="A1597" s="188"/>
      <c r="B1597" s="188"/>
      <c r="C1597" s="188"/>
      <c r="D1597" s="188"/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188"/>
      <c r="Q1597" s="188"/>
      <c r="R1597" s="188"/>
      <c r="S1597" s="188"/>
      <c r="T1597" s="188"/>
      <c r="U1597" s="188"/>
      <c r="V1597" s="188"/>
      <c r="W1597" s="188"/>
      <c r="X1597" s="188"/>
      <c r="Y1597" s="188"/>
      <c r="Z1597" s="188"/>
      <c r="AA1597" s="188"/>
      <c r="AB1597" s="188"/>
      <c r="AC1597" s="188"/>
      <c r="AD1597" s="188"/>
      <c r="AE1597" s="188"/>
      <c r="AF1597" s="188"/>
      <c r="AG1597" s="188"/>
      <c r="AH1597" s="188"/>
      <c r="AI1597" s="188"/>
      <c r="AJ1597" s="188"/>
      <c r="AK1597" s="188"/>
      <c r="AL1597" s="188"/>
      <c r="AM1597" s="188"/>
      <c r="AN1597" s="188"/>
      <c r="AO1597" s="188"/>
      <c r="AP1597" s="188"/>
      <c r="AQ1597" s="188"/>
      <c r="AR1597" s="188"/>
      <c r="AS1597" s="188"/>
      <c r="AT1597" s="188"/>
      <c r="AU1597" s="188"/>
      <c r="AV1597" s="188"/>
      <c r="AW1597" s="188"/>
      <c r="AX1597" s="188"/>
      <c r="AY1597" s="188"/>
      <c r="AZ1597" s="188"/>
      <c r="BA1597" s="188"/>
      <c r="BB1597" s="188"/>
      <c r="BC1597" s="188"/>
    </row>
    <row r="1598">
      <c r="A1598" s="188"/>
      <c r="B1598" s="188"/>
      <c r="C1598" s="188"/>
      <c r="D1598" s="188"/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188"/>
      <c r="Q1598" s="188"/>
      <c r="R1598" s="188"/>
      <c r="S1598" s="188"/>
      <c r="T1598" s="188"/>
      <c r="U1598" s="188"/>
      <c r="V1598" s="188"/>
      <c r="W1598" s="188"/>
      <c r="X1598" s="188"/>
      <c r="Y1598" s="188"/>
      <c r="Z1598" s="188"/>
      <c r="AA1598" s="188"/>
      <c r="AB1598" s="188"/>
      <c r="AC1598" s="188"/>
      <c r="AD1598" s="188"/>
      <c r="AE1598" s="188"/>
      <c r="AF1598" s="188"/>
      <c r="AG1598" s="188"/>
      <c r="AH1598" s="188"/>
      <c r="AI1598" s="188"/>
      <c r="AJ1598" s="188"/>
      <c r="AK1598" s="188"/>
      <c r="AL1598" s="188"/>
      <c r="AM1598" s="188"/>
      <c r="AN1598" s="188"/>
      <c r="AO1598" s="188"/>
      <c r="AP1598" s="188"/>
      <c r="AQ1598" s="188"/>
      <c r="AR1598" s="188"/>
      <c r="AS1598" s="188"/>
      <c r="AT1598" s="188"/>
      <c r="AU1598" s="188"/>
      <c r="AV1598" s="188"/>
      <c r="AW1598" s="188"/>
      <c r="AX1598" s="188"/>
      <c r="AY1598" s="188"/>
      <c r="AZ1598" s="188"/>
      <c r="BA1598" s="188"/>
      <c r="BB1598" s="188"/>
      <c r="BC1598" s="188"/>
    </row>
    <row r="1599">
      <c r="A1599" s="188"/>
      <c r="B1599" s="188"/>
      <c r="C1599" s="188"/>
      <c r="D1599" s="188"/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188"/>
      <c r="Q1599" s="188"/>
      <c r="R1599" s="188"/>
      <c r="S1599" s="188"/>
      <c r="T1599" s="188"/>
      <c r="U1599" s="188"/>
      <c r="V1599" s="188"/>
      <c r="W1599" s="188"/>
      <c r="X1599" s="188"/>
      <c r="Y1599" s="188"/>
      <c r="Z1599" s="188"/>
      <c r="AA1599" s="188"/>
      <c r="AB1599" s="188"/>
      <c r="AC1599" s="188"/>
      <c r="AD1599" s="188"/>
      <c r="AE1599" s="188"/>
      <c r="AF1599" s="188"/>
      <c r="AG1599" s="188"/>
      <c r="AH1599" s="188"/>
      <c r="AI1599" s="188"/>
      <c r="AJ1599" s="188"/>
      <c r="AK1599" s="188"/>
      <c r="AL1599" s="188"/>
      <c r="AM1599" s="188"/>
      <c r="AN1599" s="188"/>
      <c r="AO1599" s="188"/>
      <c r="AP1599" s="188"/>
      <c r="AQ1599" s="188"/>
      <c r="AR1599" s="188"/>
      <c r="AS1599" s="188"/>
      <c r="AT1599" s="188"/>
      <c r="AU1599" s="188"/>
      <c r="AV1599" s="188"/>
      <c r="AW1599" s="188"/>
      <c r="AX1599" s="188"/>
      <c r="AY1599" s="188"/>
      <c r="AZ1599" s="188"/>
      <c r="BA1599" s="188"/>
      <c r="BB1599" s="188"/>
      <c r="BC1599" s="188"/>
    </row>
    <row r="1600">
      <c r="A1600" s="188"/>
      <c r="B1600" s="188"/>
      <c r="C1600" s="188"/>
      <c r="D1600" s="188"/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188"/>
      <c r="Q1600" s="188"/>
      <c r="R1600" s="188"/>
      <c r="S1600" s="188"/>
      <c r="T1600" s="188"/>
      <c r="U1600" s="188"/>
      <c r="V1600" s="188"/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  <c r="AJ1600" s="188"/>
      <c r="AK1600" s="188"/>
      <c r="AL1600" s="188"/>
      <c r="AM1600" s="188"/>
      <c r="AN1600" s="188"/>
      <c r="AO1600" s="188"/>
      <c r="AP1600" s="188"/>
      <c r="AQ1600" s="188"/>
      <c r="AR1600" s="188"/>
      <c r="AS1600" s="188"/>
      <c r="AT1600" s="188"/>
      <c r="AU1600" s="188"/>
      <c r="AV1600" s="188"/>
      <c r="AW1600" s="188"/>
      <c r="AX1600" s="188"/>
      <c r="AY1600" s="188"/>
      <c r="AZ1600" s="188"/>
      <c r="BA1600" s="188"/>
      <c r="BB1600" s="188"/>
      <c r="BC1600" s="188"/>
    </row>
    <row r="1601">
      <c r="A1601" s="188"/>
      <c r="B1601" s="188"/>
      <c r="C1601" s="188"/>
      <c r="D1601" s="188"/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188"/>
      <c r="Q1601" s="188"/>
      <c r="R1601" s="188"/>
      <c r="S1601" s="188"/>
      <c r="T1601" s="188"/>
      <c r="U1601" s="188"/>
      <c r="V1601" s="188"/>
      <c r="W1601" s="188"/>
      <c r="X1601" s="188"/>
      <c r="Y1601" s="188"/>
      <c r="Z1601" s="188"/>
      <c r="AA1601" s="188"/>
      <c r="AB1601" s="188"/>
      <c r="AC1601" s="188"/>
      <c r="AD1601" s="188"/>
      <c r="AE1601" s="188"/>
      <c r="AF1601" s="188"/>
      <c r="AG1601" s="188"/>
      <c r="AH1601" s="188"/>
      <c r="AI1601" s="188"/>
      <c r="AJ1601" s="188"/>
      <c r="AK1601" s="188"/>
      <c r="AL1601" s="188"/>
      <c r="AM1601" s="188"/>
      <c r="AN1601" s="188"/>
      <c r="AO1601" s="188"/>
      <c r="AP1601" s="188"/>
      <c r="AQ1601" s="188"/>
      <c r="AR1601" s="188"/>
      <c r="AS1601" s="188"/>
      <c r="AT1601" s="188"/>
      <c r="AU1601" s="188"/>
      <c r="AV1601" s="188"/>
      <c r="AW1601" s="188"/>
      <c r="AX1601" s="188"/>
      <c r="AY1601" s="188"/>
      <c r="AZ1601" s="188"/>
      <c r="BA1601" s="188"/>
      <c r="BB1601" s="188"/>
      <c r="BC1601" s="188"/>
    </row>
    <row r="1602">
      <c r="A1602" s="188"/>
      <c r="B1602" s="188"/>
      <c r="C1602" s="188"/>
      <c r="D1602" s="188"/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188"/>
      <c r="Q1602" s="188"/>
      <c r="R1602" s="188"/>
      <c r="S1602" s="188"/>
      <c r="T1602" s="188"/>
      <c r="U1602" s="188"/>
      <c r="V1602" s="188"/>
      <c r="W1602" s="188"/>
      <c r="X1602" s="188"/>
      <c r="Y1602" s="188"/>
      <c r="Z1602" s="188"/>
      <c r="AA1602" s="188"/>
      <c r="AB1602" s="188"/>
      <c r="AC1602" s="188"/>
      <c r="AD1602" s="188"/>
      <c r="AE1602" s="188"/>
      <c r="AF1602" s="188"/>
      <c r="AG1602" s="188"/>
      <c r="AH1602" s="188"/>
      <c r="AI1602" s="188"/>
      <c r="AJ1602" s="188"/>
      <c r="AK1602" s="188"/>
      <c r="AL1602" s="188"/>
      <c r="AM1602" s="188"/>
      <c r="AN1602" s="188"/>
      <c r="AO1602" s="188"/>
      <c r="AP1602" s="188"/>
      <c r="AQ1602" s="188"/>
      <c r="AR1602" s="188"/>
      <c r="AS1602" s="188"/>
      <c r="AT1602" s="188"/>
      <c r="AU1602" s="188"/>
      <c r="AV1602" s="188"/>
      <c r="AW1602" s="188"/>
      <c r="AX1602" s="188"/>
      <c r="AY1602" s="188"/>
      <c r="AZ1602" s="188"/>
      <c r="BA1602" s="188"/>
      <c r="BB1602" s="188"/>
      <c r="BC1602" s="188"/>
    </row>
    <row r="1603">
      <c r="A1603" s="188"/>
      <c r="B1603" s="188"/>
      <c r="C1603" s="188"/>
      <c r="D1603" s="188"/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188"/>
      <c r="Q1603" s="188"/>
      <c r="R1603" s="188"/>
      <c r="S1603" s="188"/>
      <c r="T1603" s="188"/>
      <c r="U1603" s="188"/>
      <c r="V1603" s="188"/>
      <c r="W1603" s="188"/>
      <c r="X1603" s="188"/>
      <c r="Y1603" s="188"/>
      <c r="Z1603" s="188"/>
      <c r="AA1603" s="188"/>
      <c r="AB1603" s="188"/>
      <c r="AC1603" s="188"/>
      <c r="AD1603" s="188"/>
      <c r="AE1603" s="188"/>
      <c r="AF1603" s="188"/>
      <c r="AG1603" s="188"/>
      <c r="AH1603" s="188"/>
      <c r="AI1603" s="188"/>
      <c r="AJ1603" s="188"/>
      <c r="AK1603" s="188"/>
      <c r="AL1603" s="188"/>
      <c r="AM1603" s="188"/>
      <c r="AN1603" s="188"/>
      <c r="AO1603" s="188"/>
      <c r="AP1603" s="188"/>
      <c r="AQ1603" s="188"/>
      <c r="AR1603" s="188"/>
      <c r="AS1603" s="188"/>
      <c r="AT1603" s="188"/>
      <c r="AU1603" s="188"/>
      <c r="AV1603" s="188"/>
      <c r="AW1603" s="188"/>
      <c r="AX1603" s="188"/>
      <c r="AY1603" s="188"/>
      <c r="AZ1603" s="188"/>
      <c r="BA1603" s="188"/>
      <c r="BB1603" s="188"/>
      <c r="BC1603" s="188"/>
    </row>
    <row r="1604">
      <c r="A1604" s="188"/>
      <c r="B1604" s="188"/>
      <c r="C1604" s="188"/>
      <c r="D1604" s="188"/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188"/>
      <c r="Q1604" s="188"/>
      <c r="R1604" s="188"/>
      <c r="S1604" s="188"/>
      <c r="T1604" s="188"/>
      <c r="U1604" s="188"/>
      <c r="V1604" s="188"/>
      <c r="W1604" s="188"/>
      <c r="X1604" s="188"/>
      <c r="Y1604" s="188"/>
      <c r="Z1604" s="188"/>
      <c r="AA1604" s="188"/>
      <c r="AB1604" s="188"/>
      <c r="AC1604" s="188"/>
      <c r="AD1604" s="188"/>
      <c r="AE1604" s="188"/>
      <c r="AF1604" s="188"/>
      <c r="AG1604" s="188"/>
      <c r="AH1604" s="188"/>
      <c r="AI1604" s="188"/>
      <c r="AJ1604" s="188"/>
      <c r="AK1604" s="188"/>
      <c r="AL1604" s="188"/>
      <c r="AM1604" s="188"/>
      <c r="AN1604" s="188"/>
      <c r="AO1604" s="188"/>
      <c r="AP1604" s="188"/>
      <c r="AQ1604" s="188"/>
      <c r="AR1604" s="188"/>
      <c r="AS1604" s="188"/>
      <c r="AT1604" s="188"/>
      <c r="AU1604" s="188"/>
      <c r="AV1604" s="188"/>
      <c r="AW1604" s="188"/>
      <c r="AX1604" s="188"/>
      <c r="AY1604" s="188"/>
      <c r="AZ1604" s="188"/>
      <c r="BA1604" s="188"/>
      <c r="BB1604" s="188"/>
      <c r="BC1604" s="188"/>
    </row>
    <row r="1605">
      <c r="A1605" s="188"/>
      <c r="B1605" s="188"/>
      <c r="C1605" s="188"/>
      <c r="D1605" s="188"/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188"/>
      <c r="Q1605" s="188"/>
      <c r="R1605" s="188"/>
      <c r="S1605" s="188"/>
      <c r="T1605" s="188"/>
      <c r="U1605" s="188"/>
      <c r="V1605" s="188"/>
      <c r="W1605" s="188"/>
      <c r="X1605" s="188"/>
      <c r="Y1605" s="188"/>
      <c r="Z1605" s="188"/>
      <c r="AA1605" s="188"/>
      <c r="AB1605" s="188"/>
      <c r="AC1605" s="188"/>
      <c r="AD1605" s="188"/>
      <c r="AE1605" s="188"/>
      <c r="AF1605" s="188"/>
      <c r="AG1605" s="188"/>
      <c r="AH1605" s="188"/>
      <c r="AI1605" s="188"/>
      <c r="AJ1605" s="188"/>
      <c r="AK1605" s="188"/>
      <c r="AL1605" s="188"/>
      <c r="AM1605" s="188"/>
      <c r="AN1605" s="188"/>
      <c r="AO1605" s="188"/>
      <c r="AP1605" s="188"/>
      <c r="AQ1605" s="188"/>
      <c r="AR1605" s="188"/>
      <c r="AS1605" s="188"/>
      <c r="AT1605" s="188"/>
      <c r="AU1605" s="188"/>
      <c r="AV1605" s="188"/>
      <c r="AW1605" s="188"/>
      <c r="AX1605" s="188"/>
      <c r="AY1605" s="188"/>
      <c r="AZ1605" s="188"/>
      <c r="BA1605" s="188"/>
      <c r="BB1605" s="188"/>
      <c r="BC1605" s="188"/>
    </row>
    <row r="1606">
      <c r="A1606" s="188"/>
      <c r="B1606" s="188"/>
      <c r="C1606" s="188"/>
      <c r="D1606" s="188"/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188"/>
      <c r="Q1606" s="188"/>
      <c r="R1606" s="188"/>
      <c r="S1606" s="188"/>
      <c r="T1606" s="188"/>
      <c r="U1606" s="188"/>
      <c r="V1606" s="188"/>
      <c r="W1606" s="188"/>
      <c r="X1606" s="188"/>
      <c r="Y1606" s="188"/>
      <c r="Z1606" s="188"/>
      <c r="AA1606" s="188"/>
      <c r="AB1606" s="188"/>
      <c r="AC1606" s="188"/>
      <c r="AD1606" s="188"/>
      <c r="AE1606" s="188"/>
      <c r="AF1606" s="188"/>
      <c r="AG1606" s="188"/>
      <c r="AH1606" s="188"/>
      <c r="AI1606" s="188"/>
      <c r="AJ1606" s="188"/>
      <c r="AK1606" s="188"/>
      <c r="AL1606" s="188"/>
      <c r="AM1606" s="188"/>
      <c r="AN1606" s="188"/>
      <c r="AO1606" s="188"/>
      <c r="AP1606" s="188"/>
      <c r="AQ1606" s="188"/>
      <c r="AR1606" s="188"/>
      <c r="AS1606" s="188"/>
      <c r="AT1606" s="188"/>
      <c r="AU1606" s="188"/>
      <c r="AV1606" s="188"/>
      <c r="AW1606" s="188"/>
      <c r="AX1606" s="188"/>
      <c r="AY1606" s="188"/>
      <c r="AZ1606" s="188"/>
      <c r="BA1606" s="188"/>
      <c r="BB1606" s="188"/>
      <c r="BC1606" s="188"/>
    </row>
    <row r="1607">
      <c r="A1607" s="188"/>
      <c r="B1607" s="188"/>
      <c r="C1607" s="188"/>
      <c r="D1607" s="188"/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188"/>
      <c r="Q1607" s="188"/>
      <c r="R1607" s="188"/>
      <c r="S1607" s="188"/>
      <c r="T1607" s="188"/>
      <c r="U1607" s="188"/>
      <c r="V1607" s="188"/>
      <c r="W1607" s="188"/>
      <c r="X1607" s="188"/>
      <c r="Y1607" s="188"/>
      <c r="Z1607" s="188"/>
      <c r="AA1607" s="188"/>
      <c r="AB1607" s="188"/>
      <c r="AC1607" s="188"/>
      <c r="AD1607" s="188"/>
      <c r="AE1607" s="188"/>
      <c r="AF1607" s="188"/>
      <c r="AG1607" s="188"/>
      <c r="AH1607" s="188"/>
      <c r="AI1607" s="188"/>
      <c r="AJ1607" s="188"/>
      <c r="AK1607" s="188"/>
      <c r="AL1607" s="188"/>
      <c r="AM1607" s="188"/>
      <c r="AN1607" s="188"/>
      <c r="AO1607" s="188"/>
      <c r="AP1607" s="188"/>
      <c r="AQ1607" s="188"/>
      <c r="AR1607" s="188"/>
      <c r="AS1607" s="188"/>
      <c r="AT1607" s="188"/>
      <c r="AU1607" s="188"/>
      <c r="AV1607" s="188"/>
      <c r="AW1607" s="188"/>
      <c r="AX1607" s="188"/>
      <c r="AY1607" s="188"/>
      <c r="AZ1607" s="188"/>
      <c r="BA1607" s="188"/>
      <c r="BB1607" s="188"/>
      <c r="BC1607" s="188"/>
    </row>
    <row r="1608">
      <c r="A1608" s="188"/>
      <c r="B1608" s="188"/>
      <c r="C1608" s="188"/>
      <c r="D1608" s="188"/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188"/>
      <c r="Q1608" s="188"/>
      <c r="R1608" s="188"/>
      <c r="S1608" s="188"/>
      <c r="T1608" s="188"/>
      <c r="U1608" s="188"/>
      <c r="V1608" s="188"/>
      <c r="W1608" s="188"/>
      <c r="X1608" s="188"/>
      <c r="Y1608" s="188"/>
      <c r="Z1608" s="188"/>
      <c r="AA1608" s="188"/>
      <c r="AB1608" s="188"/>
      <c r="AC1608" s="188"/>
      <c r="AD1608" s="188"/>
      <c r="AE1608" s="188"/>
      <c r="AF1608" s="188"/>
      <c r="AG1608" s="188"/>
      <c r="AH1608" s="188"/>
      <c r="AI1608" s="188"/>
      <c r="AJ1608" s="188"/>
      <c r="AK1608" s="188"/>
      <c r="AL1608" s="188"/>
      <c r="AM1608" s="188"/>
      <c r="AN1608" s="188"/>
      <c r="AO1608" s="188"/>
      <c r="AP1608" s="188"/>
      <c r="AQ1608" s="188"/>
      <c r="AR1608" s="188"/>
      <c r="AS1608" s="188"/>
      <c r="AT1608" s="188"/>
      <c r="AU1608" s="188"/>
      <c r="AV1608" s="188"/>
      <c r="AW1608" s="188"/>
      <c r="AX1608" s="188"/>
      <c r="AY1608" s="188"/>
      <c r="AZ1608" s="188"/>
      <c r="BA1608" s="188"/>
      <c r="BB1608" s="188"/>
      <c r="BC1608" s="188"/>
    </row>
    <row r="1609">
      <c r="A1609" s="188"/>
      <c r="B1609" s="188"/>
      <c r="C1609" s="188"/>
      <c r="D1609" s="188"/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188"/>
      <c r="Q1609" s="188"/>
      <c r="R1609" s="188"/>
      <c r="S1609" s="188"/>
      <c r="T1609" s="188"/>
      <c r="U1609" s="188"/>
      <c r="V1609" s="188"/>
      <c r="W1609" s="188"/>
      <c r="X1609" s="188"/>
      <c r="Y1609" s="188"/>
      <c r="Z1609" s="188"/>
      <c r="AA1609" s="188"/>
      <c r="AB1609" s="188"/>
      <c r="AC1609" s="188"/>
      <c r="AD1609" s="188"/>
      <c r="AE1609" s="188"/>
      <c r="AF1609" s="188"/>
      <c r="AG1609" s="188"/>
      <c r="AH1609" s="188"/>
      <c r="AI1609" s="188"/>
      <c r="AJ1609" s="188"/>
      <c r="AK1609" s="188"/>
      <c r="AL1609" s="188"/>
      <c r="AM1609" s="188"/>
      <c r="AN1609" s="188"/>
      <c r="AO1609" s="188"/>
      <c r="AP1609" s="188"/>
      <c r="AQ1609" s="188"/>
      <c r="AR1609" s="188"/>
      <c r="AS1609" s="188"/>
      <c r="AT1609" s="188"/>
      <c r="AU1609" s="188"/>
      <c r="AV1609" s="188"/>
      <c r="AW1609" s="188"/>
      <c r="AX1609" s="188"/>
      <c r="AY1609" s="188"/>
      <c r="AZ1609" s="188"/>
      <c r="BA1609" s="188"/>
      <c r="BB1609" s="188"/>
      <c r="BC1609" s="188"/>
    </row>
    <row r="1610">
      <c r="A1610" s="188"/>
      <c r="B1610" s="188"/>
      <c r="C1610" s="188"/>
      <c r="D1610" s="188"/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188"/>
      <c r="Q1610" s="188"/>
      <c r="R1610" s="188"/>
      <c r="S1610" s="188"/>
      <c r="T1610" s="188"/>
      <c r="U1610" s="188"/>
      <c r="V1610" s="188"/>
      <c r="W1610" s="188"/>
      <c r="X1610" s="188"/>
      <c r="Y1610" s="188"/>
      <c r="Z1610" s="188"/>
      <c r="AA1610" s="188"/>
      <c r="AB1610" s="188"/>
      <c r="AC1610" s="188"/>
      <c r="AD1610" s="188"/>
      <c r="AE1610" s="188"/>
      <c r="AF1610" s="188"/>
      <c r="AG1610" s="188"/>
      <c r="AH1610" s="188"/>
      <c r="AI1610" s="188"/>
      <c r="AJ1610" s="188"/>
      <c r="AK1610" s="188"/>
      <c r="AL1610" s="188"/>
      <c r="AM1610" s="188"/>
      <c r="AN1610" s="188"/>
      <c r="AO1610" s="188"/>
      <c r="AP1610" s="188"/>
      <c r="AQ1610" s="188"/>
      <c r="AR1610" s="188"/>
      <c r="AS1610" s="188"/>
      <c r="AT1610" s="188"/>
      <c r="AU1610" s="188"/>
      <c r="AV1610" s="188"/>
      <c r="AW1610" s="188"/>
      <c r="AX1610" s="188"/>
      <c r="AY1610" s="188"/>
      <c r="AZ1610" s="188"/>
      <c r="BA1610" s="188"/>
      <c r="BB1610" s="188"/>
      <c r="BC1610" s="188"/>
    </row>
    <row r="1611">
      <c r="A1611" s="188"/>
      <c r="B1611" s="188"/>
      <c r="C1611" s="188"/>
      <c r="D1611" s="188"/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188"/>
      <c r="Q1611" s="188"/>
      <c r="R1611" s="188"/>
      <c r="S1611" s="188"/>
      <c r="T1611" s="188"/>
      <c r="U1611" s="188"/>
      <c r="V1611" s="188"/>
      <c r="W1611" s="188"/>
      <c r="X1611" s="188"/>
      <c r="Y1611" s="188"/>
      <c r="Z1611" s="188"/>
      <c r="AA1611" s="188"/>
      <c r="AB1611" s="188"/>
      <c r="AC1611" s="188"/>
      <c r="AD1611" s="188"/>
      <c r="AE1611" s="188"/>
      <c r="AF1611" s="188"/>
      <c r="AG1611" s="188"/>
      <c r="AH1611" s="188"/>
      <c r="AI1611" s="188"/>
      <c r="AJ1611" s="188"/>
      <c r="AK1611" s="188"/>
      <c r="AL1611" s="188"/>
      <c r="AM1611" s="188"/>
      <c r="AN1611" s="188"/>
      <c r="AO1611" s="188"/>
      <c r="AP1611" s="188"/>
      <c r="AQ1611" s="188"/>
      <c r="AR1611" s="188"/>
      <c r="AS1611" s="188"/>
      <c r="AT1611" s="188"/>
      <c r="AU1611" s="188"/>
      <c r="AV1611" s="188"/>
      <c r="AW1611" s="188"/>
      <c r="AX1611" s="188"/>
      <c r="AY1611" s="188"/>
      <c r="AZ1611" s="188"/>
      <c r="BA1611" s="188"/>
      <c r="BB1611" s="188"/>
      <c r="BC1611" s="188"/>
    </row>
    <row r="1612">
      <c r="A1612" s="188"/>
      <c r="B1612" s="188"/>
      <c r="C1612" s="188"/>
      <c r="D1612" s="188"/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188"/>
      <c r="Q1612" s="188"/>
      <c r="R1612" s="188"/>
      <c r="S1612" s="188"/>
      <c r="T1612" s="188"/>
      <c r="U1612" s="188"/>
      <c r="V1612" s="188"/>
      <c r="W1612" s="188"/>
      <c r="X1612" s="188"/>
      <c r="Y1612" s="188"/>
      <c r="Z1612" s="188"/>
      <c r="AA1612" s="188"/>
      <c r="AB1612" s="188"/>
      <c r="AC1612" s="188"/>
      <c r="AD1612" s="188"/>
      <c r="AE1612" s="188"/>
      <c r="AF1612" s="188"/>
      <c r="AG1612" s="188"/>
      <c r="AH1612" s="188"/>
      <c r="AI1612" s="188"/>
      <c r="AJ1612" s="188"/>
      <c r="AK1612" s="188"/>
      <c r="AL1612" s="188"/>
      <c r="AM1612" s="188"/>
      <c r="AN1612" s="188"/>
      <c r="AO1612" s="188"/>
      <c r="AP1612" s="188"/>
      <c r="AQ1612" s="188"/>
      <c r="AR1612" s="188"/>
      <c r="AS1612" s="188"/>
      <c r="AT1612" s="188"/>
      <c r="AU1612" s="188"/>
      <c r="AV1612" s="188"/>
      <c r="AW1612" s="188"/>
      <c r="AX1612" s="188"/>
      <c r="AY1612" s="188"/>
      <c r="AZ1612" s="188"/>
      <c r="BA1612" s="188"/>
      <c r="BB1612" s="188"/>
      <c r="BC1612" s="188"/>
    </row>
    <row r="1613">
      <c r="A1613" s="188"/>
      <c r="B1613" s="188"/>
      <c r="C1613" s="188"/>
      <c r="D1613" s="188"/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188"/>
      <c r="Q1613" s="188"/>
      <c r="R1613" s="188"/>
      <c r="S1613" s="188"/>
      <c r="T1613" s="188"/>
      <c r="U1613" s="188"/>
      <c r="V1613" s="188"/>
      <c r="W1613" s="188"/>
      <c r="X1613" s="188"/>
      <c r="Y1613" s="188"/>
      <c r="Z1613" s="188"/>
      <c r="AA1613" s="188"/>
      <c r="AB1613" s="188"/>
      <c r="AC1613" s="188"/>
      <c r="AD1613" s="188"/>
      <c r="AE1613" s="188"/>
      <c r="AF1613" s="188"/>
      <c r="AG1613" s="188"/>
      <c r="AH1613" s="188"/>
      <c r="AI1613" s="188"/>
      <c r="AJ1613" s="188"/>
      <c r="AK1613" s="188"/>
      <c r="AL1613" s="188"/>
      <c r="AM1613" s="188"/>
      <c r="AN1613" s="188"/>
      <c r="AO1613" s="188"/>
      <c r="AP1613" s="188"/>
      <c r="AQ1613" s="188"/>
      <c r="AR1613" s="188"/>
      <c r="AS1613" s="188"/>
      <c r="AT1613" s="188"/>
      <c r="AU1613" s="188"/>
      <c r="AV1613" s="188"/>
      <c r="AW1613" s="188"/>
      <c r="AX1613" s="188"/>
      <c r="AY1613" s="188"/>
      <c r="AZ1613" s="188"/>
      <c r="BA1613" s="188"/>
      <c r="BB1613" s="188"/>
      <c r="BC1613" s="188"/>
    </row>
    <row r="1614">
      <c r="A1614" s="188"/>
      <c r="B1614" s="188"/>
      <c r="C1614" s="188"/>
      <c r="D1614" s="188"/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188"/>
      <c r="Q1614" s="188"/>
      <c r="R1614" s="188"/>
      <c r="S1614" s="188"/>
      <c r="T1614" s="188"/>
      <c r="U1614" s="188"/>
      <c r="V1614" s="188"/>
      <c r="W1614" s="188"/>
      <c r="X1614" s="188"/>
      <c r="Y1614" s="188"/>
      <c r="Z1614" s="188"/>
      <c r="AA1614" s="188"/>
      <c r="AB1614" s="188"/>
      <c r="AC1614" s="188"/>
      <c r="AD1614" s="188"/>
      <c r="AE1614" s="188"/>
      <c r="AF1614" s="188"/>
      <c r="AG1614" s="188"/>
      <c r="AH1614" s="188"/>
      <c r="AI1614" s="188"/>
      <c r="AJ1614" s="188"/>
      <c r="AK1614" s="188"/>
      <c r="AL1614" s="188"/>
      <c r="AM1614" s="188"/>
      <c r="AN1614" s="188"/>
      <c r="AO1614" s="188"/>
      <c r="AP1614" s="188"/>
      <c r="AQ1614" s="188"/>
      <c r="AR1614" s="188"/>
      <c r="AS1614" s="188"/>
      <c r="AT1614" s="188"/>
      <c r="AU1614" s="188"/>
      <c r="AV1614" s="188"/>
      <c r="AW1614" s="188"/>
      <c r="AX1614" s="188"/>
      <c r="AY1614" s="188"/>
      <c r="AZ1614" s="188"/>
      <c r="BA1614" s="188"/>
      <c r="BB1614" s="188"/>
      <c r="BC1614" s="188"/>
    </row>
    <row r="1615">
      <c r="A1615" s="188"/>
      <c r="B1615" s="188"/>
      <c r="C1615" s="188"/>
      <c r="D1615" s="188"/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188"/>
      <c r="Q1615" s="188"/>
      <c r="R1615" s="188"/>
      <c r="S1615" s="188"/>
      <c r="T1615" s="188"/>
      <c r="U1615" s="188"/>
      <c r="V1615" s="188"/>
      <c r="W1615" s="188"/>
      <c r="X1615" s="188"/>
      <c r="Y1615" s="188"/>
      <c r="Z1615" s="188"/>
      <c r="AA1615" s="188"/>
      <c r="AB1615" s="188"/>
      <c r="AC1615" s="188"/>
      <c r="AD1615" s="188"/>
      <c r="AE1615" s="188"/>
      <c r="AF1615" s="188"/>
      <c r="AG1615" s="188"/>
      <c r="AH1615" s="188"/>
      <c r="AI1615" s="188"/>
      <c r="AJ1615" s="188"/>
      <c r="AK1615" s="188"/>
      <c r="AL1615" s="188"/>
      <c r="AM1615" s="188"/>
      <c r="AN1615" s="188"/>
      <c r="AO1615" s="188"/>
      <c r="AP1615" s="188"/>
      <c r="AQ1615" s="188"/>
      <c r="AR1615" s="188"/>
      <c r="AS1615" s="188"/>
      <c r="AT1615" s="188"/>
      <c r="AU1615" s="188"/>
      <c r="AV1615" s="188"/>
      <c r="AW1615" s="188"/>
      <c r="AX1615" s="188"/>
      <c r="AY1615" s="188"/>
      <c r="AZ1615" s="188"/>
      <c r="BA1615" s="188"/>
      <c r="BB1615" s="188"/>
      <c r="BC1615" s="188"/>
    </row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/>
      <c r="B1" s="191"/>
      <c r="C1" s="192" t="str">
        <f>IFERROR(__xludf.DUMMYFUNCTION("IMPORTRANGE(""1TpIiNTfR1pnpn85VWQTTdvQ2Xcr0GStmWJ2UvfKxG_A"", ""Mzdy!A1:F200"")")," ")</f>
        <v> 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3">
        <f>IFERROR(__xludf.DUMMYFUNCTION("IMPORTRANGE(""1TpIiNTfR1pnpn85VWQTTdvQ2Xcr0GStmWJ2UvfKxG_A"", ""Mzdy!ac1:ad200"")"),31.0)</f>
        <v>31</v>
      </c>
      <c r="W1" s="194" t="str">
        <f>IFERROR(__xludf.DUMMYFUNCTION("""COMPUTED_VALUE"""),"dní")</f>
        <v>dní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</row>
    <row r="2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4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</row>
    <row r="3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4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</row>
    <row r="4">
      <c r="A4" s="195" t="s">
        <v>2590</v>
      </c>
      <c r="B4" s="195" t="s">
        <v>2591</v>
      </c>
      <c r="C4" s="191" t="str">
        <f>IFERROR(__xludf.DUMMYFUNCTION("""COMPUTED_VALUE"""),"Manažer")</f>
        <v>Manažer</v>
      </c>
      <c r="D4" s="191" t="str">
        <f>IFERROR(__xludf.DUMMYFUNCTION("""COMPUTED_VALUE"""),"Instore")</f>
        <v>Instore</v>
      </c>
      <c r="E4" s="191" t="str">
        <f>IFERROR(__xludf.DUMMYFUNCTION("""COMPUTED_VALUE"""),"První domácí,          Pobočky max 4")</f>
        <v>První domácí,          Pobočky max 4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 t="str">
        <f>IFERROR(__xludf.DUMMYFUNCTION("""COMPUTED_VALUE"""),"Sp.hr. / h")</f>
        <v>Sp.hr. / h</v>
      </c>
      <c r="W4" s="194" t="str">
        <f>IFERROR(__xludf.DUMMYFUNCTION("""COMPUTED_VALUE"""),"Sp.hr. / den")</f>
        <v>Sp.hr. / den</v>
      </c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</row>
    <row r="5">
      <c r="A5" s="191" t="str">
        <f>IF(AND(B5&lt;&gt;"", C5=TRUE, E5=Report!$B$1), B5, "")</f>
        <v>Nedbal Michal</v>
      </c>
      <c r="B5" s="196" t="str">
        <f>IF(OR(E5=Report!$B$1, F5=Report!$B$1, G5=Report!$B$1, H5=Report!$B$1), D5, "")</f>
        <v>Nedbal Michal</v>
      </c>
      <c r="C5" s="191" t="b">
        <f>IFERROR(__xludf.DUMMYFUNCTION("""COMPUTED_VALUE"""),TRUE)</f>
        <v>1</v>
      </c>
      <c r="D5" s="191" t="str">
        <f>IFERROR(__xludf.DUMMYFUNCTION("""COMPUTED_VALUE"""),"Nedbal Michal")</f>
        <v>Nedbal Michal</v>
      </c>
      <c r="E5" s="191" t="str">
        <f>IFERROR(__xludf.DUMMYFUNCTION("""COMPUTED_VALUE"""),"Zličín")</f>
        <v>Zličín</v>
      </c>
      <c r="F5" s="191" t="str">
        <f>IFERROR(__xludf.DUMMYFUNCTION("""COMPUTED_VALUE"""),"Malešice")</f>
        <v>Malešice</v>
      </c>
      <c r="G5" s="191" t="str">
        <f>IFERROR(__xludf.DUMMYFUNCTION("""COMPUTED_VALUE"""),"Prosek")</f>
        <v>Prosek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4">
        <f>IFERROR(__xludf.DUMMYFUNCTION("""COMPUTED_VALUE"""),432.3078)</f>
        <v>432.3078</v>
      </c>
      <c r="W5" s="194">
        <f>IFERROR(__xludf.DUMMYFUNCTION("""COMPUTED_VALUE"""),2789.082580645161)</f>
        <v>2789.082581</v>
      </c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</row>
    <row r="6">
      <c r="A6" s="191" t="str">
        <f>IF(AND(B6&lt;&gt;"", C6=TRUE, E6=Report!$B$1), B6, "")</f>
        <v/>
      </c>
      <c r="B6" s="196" t="str">
        <f>IF(OR(E6=Report!$B$1, F6=Report!$B$1, G6=Report!$B$1, H6=Report!$B$1), D6, "")</f>
        <v/>
      </c>
      <c r="C6" s="191" t="b">
        <f>IFERROR(__xludf.DUMMYFUNCTION("""COMPUTED_VALUE"""),TRUE)</f>
        <v>1</v>
      </c>
      <c r="D6" s="191" t="str">
        <f>IFERROR(__xludf.DUMMYFUNCTION("""COMPUTED_VALUE"""),"Sova Martin")</f>
        <v>Sova Martin</v>
      </c>
      <c r="E6" s="191" t="str">
        <f>IFERROR(__xludf.DUMMYFUNCTION("""COMPUTED_VALUE"""),"Chodov")</f>
        <v>Chodov</v>
      </c>
      <c r="F6" s="191" t="str">
        <f>IFERROR(__xludf.DUMMYFUNCTION("""COMPUTED_VALUE"""),"Libuš")</f>
        <v>Libuš</v>
      </c>
      <c r="G6" s="191" t="str">
        <f>IFERROR(__xludf.DUMMYFUNCTION("""COMPUTED_VALUE"""),"Výroba")</f>
        <v>Výroba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4">
        <f>IFERROR(__xludf.DUMMYFUNCTION("""COMPUTED_VALUE"""),432.3078)</f>
        <v>432.3078</v>
      </c>
      <c r="W6" s="194">
        <f>IFERROR(__xludf.DUMMYFUNCTION("""COMPUTED_VALUE"""),2789.082580645161)</f>
        <v>2789.082581</v>
      </c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</row>
    <row r="7">
      <c r="A7" s="191" t="str">
        <f>IF(AND(B7&lt;&gt;"", C7=TRUE, E7=Report!$B$1), B7, "")</f>
        <v/>
      </c>
      <c r="B7" s="196" t="str">
        <f>IF(OR(E7=Report!$B$1, F7=Report!$B$1, G7=Report!$B$1, H7=Report!$B$1), D7, "")</f>
        <v/>
      </c>
      <c r="C7" s="191" t="b">
        <f>IFERROR(__xludf.DUMMYFUNCTION("""COMPUTED_VALUE"""),TRUE)</f>
        <v>1</v>
      </c>
      <c r="D7" s="191" t="str">
        <f>IFERROR(__xludf.DUMMYFUNCTION("""COMPUTED_VALUE"""),"Paziak Viktoriia")</f>
        <v>Paziak Viktoriia</v>
      </c>
      <c r="E7" s="191" t="str">
        <f>IFERROR(__xludf.DUMMYFUNCTION("""COMPUTED_VALUE"""),"Výroba")</f>
        <v>Výroba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4">
        <f>IFERROR(__xludf.DUMMYFUNCTION("""COMPUTED_VALUE"""),341.19)</f>
        <v>341.19</v>
      </c>
      <c r="W7" s="194">
        <f>IFERROR(__xludf.DUMMYFUNCTION("""COMPUTED_VALUE"""),2201.2258064516127)</f>
        <v>2201.225806</v>
      </c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</row>
    <row r="8">
      <c r="A8" s="191" t="str">
        <f>IF(AND(B8&lt;&gt;"", C8=TRUE, E8=Report!$B$1), B8, "")</f>
        <v/>
      </c>
      <c r="B8" s="196" t="str">
        <f>IF(OR(E8=Report!$B$1, F8=Report!$B$1, G8=Report!$B$1, H8=Report!$B$1), D8, "")</f>
        <v/>
      </c>
      <c r="C8" s="191" t="b">
        <f>IFERROR(__xludf.DUMMYFUNCTION("""COMPUTED_VALUE"""),FALSE)</f>
        <v>0</v>
      </c>
      <c r="D8" s="191" t="str">
        <f>IFERROR(__xludf.DUMMYFUNCTION("""COMPUTED_VALUE"""),"Ahurieva Viktoriia")</f>
        <v>Ahurieva Viktoriia</v>
      </c>
      <c r="E8" s="191" t="str">
        <f>IFERROR(__xludf.DUMMYFUNCTION("""COMPUTED_VALUE"""),"Libuš")</f>
        <v>Libuš</v>
      </c>
      <c r="F8" s="191" t="str">
        <f>IFERROR(__xludf.DUMMYFUNCTION("""COMPUTED_VALUE"""),"Malešice")</f>
        <v>Malešice</v>
      </c>
      <c r="G8" s="191" t="str">
        <f>IFERROR(__xludf.DUMMYFUNCTION("""COMPUTED_VALUE"""),"Výroba")</f>
        <v>Výroba</v>
      </c>
      <c r="H8" s="191" t="str">
        <f>IFERROR(__xludf.DUMMYFUNCTION("""COMPUTED_VALUE"""),"Prosek")</f>
        <v>Prosek</v>
      </c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4">
        <f>IFERROR(__xludf.DUMMYFUNCTION("""COMPUTED_VALUE"""),432.3078)</f>
        <v>432.3078</v>
      </c>
      <c r="W8" s="194">
        <f>IFERROR(__xludf.DUMMYFUNCTION("""COMPUTED_VALUE"""),2789.082580645161)</f>
        <v>2789.082581</v>
      </c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</row>
    <row r="9">
      <c r="A9" s="191" t="str">
        <f>IF(AND(B9&lt;&gt;"", C9=TRUE, E9=Report!$B$1), B9, "")</f>
        <v/>
      </c>
      <c r="B9" s="196" t="str">
        <f>IF(OR(E9=Report!$B$1, F9=Report!$B$1, G9=Report!$B$1, H9=Report!$B$1), D9, "")</f>
        <v/>
      </c>
      <c r="C9" s="191" t="b">
        <f>IFERROR(__xludf.DUMMYFUNCTION("""COMPUTED_VALUE"""),TRUE)</f>
        <v>1</v>
      </c>
      <c r="D9" s="191" t="str">
        <f>IFERROR(__xludf.DUMMYFUNCTION("""COMPUTED_VALUE"""),"Pešová Hana")</f>
        <v>Pešová Hana</v>
      </c>
      <c r="E9" s="191" t="str">
        <f>IFERROR(__xludf.DUMMYFUNCTION("""COMPUTED_VALUE"""),"Chodov")</f>
        <v>Chodov</v>
      </c>
      <c r="F9" s="191" t="str">
        <f>IFERROR(__xludf.DUMMYFUNCTION("""COMPUTED_VALUE"""),"Prosek")</f>
        <v>Prosek</v>
      </c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4">
        <f>IFERROR(__xludf.DUMMYFUNCTION("""COMPUTED_VALUE"""),341.19)</f>
        <v>341.19</v>
      </c>
      <c r="W9" s="194">
        <f>IFERROR(__xludf.DUMMYFUNCTION("""COMPUTED_VALUE"""),2201.2258064516127)</f>
        <v>2201.225806</v>
      </c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</row>
    <row r="10">
      <c r="A10" s="191" t="str">
        <f>IF(AND(B10&lt;&gt;"", C10=TRUE, E10=Report!$B$1), B10, "")</f>
        <v/>
      </c>
      <c r="B10" s="196" t="str">
        <f>IF(OR(E10=Report!$B$1, F10=Report!$B$1, G10=Report!$B$1, H10=Report!$B$1), D10, "")</f>
        <v/>
      </c>
      <c r="C10" s="191" t="b">
        <f>IFERROR(__xludf.DUMMYFUNCTION("""COMPUTED_VALUE"""),TRUE)</f>
        <v>1</v>
      </c>
      <c r="D10" s="191" t="str">
        <f>IFERROR(__xludf.DUMMYFUNCTION("""COMPUTED_VALUE"""),"Šebesta Tomáš")</f>
        <v>Šebesta Tomáš</v>
      </c>
      <c r="E10" s="191" t="str">
        <f>IFERROR(__xludf.DUMMYFUNCTION("""COMPUTED_VALUE"""),"Prosek")</f>
        <v>Prosek</v>
      </c>
      <c r="F10" s="191" t="str">
        <f>IFERROR(__xludf.DUMMYFUNCTION("""COMPUTED_VALUE"""),"Libuš")</f>
        <v>Libuš</v>
      </c>
      <c r="G10" s="191" t="str">
        <f>IFERROR(__xludf.DUMMYFUNCTION("""COMPUTED_VALUE"""),"Malešice")</f>
        <v>Malešice</v>
      </c>
      <c r="H10" s="191" t="str">
        <f>IFERROR(__xludf.DUMMYFUNCTION("""COMPUTED_VALUE"""),"Chodov")</f>
        <v>Chodov</v>
      </c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4">
        <f>IFERROR(__xludf.DUMMYFUNCTION("""COMPUTED_VALUE"""),432.3078)</f>
        <v>432.3078</v>
      </c>
      <c r="W10" s="194">
        <f>IFERROR(__xludf.DUMMYFUNCTION("""COMPUTED_VALUE"""),2789.082580645161)</f>
        <v>2789.082581</v>
      </c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</row>
    <row r="11">
      <c r="A11" s="191" t="str">
        <f>IF(AND(B11&lt;&gt;"", C11=TRUE, E11=Report!$B$1), B11, "")</f>
        <v/>
      </c>
      <c r="B11" s="196" t="str">
        <f>IF(OR(E11=Report!$B$1, F11=Report!$B$1, G11=Report!$B$1, H11=Report!$B$1), D11, "")</f>
        <v>Hanakova Ayuna</v>
      </c>
      <c r="C11" s="191" t="b">
        <f>IFERROR(__xludf.DUMMYFUNCTION("""COMPUTED_VALUE"""),FALSE)</f>
        <v>0</v>
      </c>
      <c r="D11" s="191" t="str">
        <f>IFERROR(__xludf.DUMMYFUNCTION("""COMPUTED_VALUE"""),"Hanakova Ayuna")</f>
        <v>Hanakova Ayuna</v>
      </c>
      <c r="E11" s="191" t="str">
        <f>IFERROR(__xludf.DUMMYFUNCTION("""COMPUTED_VALUE"""),"Zličín")</f>
        <v>Zličín</v>
      </c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4">
        <f>IFERROR(__xludf.DUMMYFUNCTION("""COMPUTED_VALUE"""),295.698)</f>
        <v>295.698</v>
      </c>
      <c r="W11" s="194">
        <f>IFERROR(__xludf.DUMMYFUNCTION("""COMPUTED_VALUE"""),0.0)</f>
        <v>0</v>
      </c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</row>
    <row r="12">
      <c r="A12" s="191" t="str">
        <f>IF(AND(B12&lt;&gt;"", C12=TRUE, E12=Report!$B$1), B12, "")</f>
        <v/>
      </c>
      <c r="B12" s="196" t="str">
        <f>IF(OR(E12=Report!$B$1, F12=Report!$B$1, G12=Report!$B$1, H12=Report!$B$1), D12, "")</f>
        <v/>
      </c>
      <c r="C12" s="191" t="b">
        <f>IFERROR(__xludf.DUMMYFUNCTION("""COMPUTED_VALUE"""),FALSE)</f>
        <v>0</v>
      </c>
      <c r="D12" s="191" t="str">
        <f>IFERROR(__xludf.DUMMYFUNCTION("""COMPUTED_VALUE"""),"Vondráček Lukáš")</f>
        <v>Vondráček Lukáš</v>
      </c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4">
        <f>IFERROR(__xludf.DUMMYFUNCTION("""COMPUTED_VALUE"""),0.0)</f>
        <v>0</v>
      </c>
      <c r="W12" s="194">
        <f>IFERROR(__xludf.DUMMYFUNCTION("""COMPUTED_VALUE"""),0.0)</f>
        <v>0</v>
      </c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</row>
    <row r="13">
      <c r="A13" s="191" t="str">
        <f>IF(AND(B13&lt;&gt;"", C13=TRUE, E13=Report!$B$1), B13, "")</f>
        <v>Veselý Ondřej</v>
      </c>
      <c r="B13" s="196" t="str">
        <f>IF(OR(E13=Report!$B$1, F13=Report!$B$1, G13=Report!$B$1, H13=Report!$B$1), D13, "")</f>
        <v>Veselý Ondřej</v>
      </c>
      <c r="C13" s="191" t="b">
        <f>IFERROR(__xludf.DUMMYFUNCTION("""COMPUTED_VALUE"""),TRUE)</f>
        <v>1</v>
      </c>
      <c r="D13" s="191" t="str">
        <f>IFERROR(__xludf.DUMMYFUNCTION("""COMPUTED_VALUE"""),"Veselý Ondřej")</f>
        <v>Veselý Ondřej</v>
      </c>
      <c r="E13" s="191" t="str">
        <f>IFERROR(__xludf.DUMMYFUNCTION("""COMPUTED_VALUE"""),"Zličín")</f>
        <v>Zličín</v>
      </c>
      <c r="F13" s="191" t="str">
        <f>IFERROR(__xludf.DUMMYFUNCTION("""COMPUTED_VALUE"""),"Malešice")</f>
        <v>Malešice</v>
      </c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4">
        <f>IFERROR(__xludf.DUMMYFUNCTION("""COMPUTED_VALUE"""),341.19)</f>
        <v>341.19</v>
      </c>
      <c r="W13" s="194">
        <f>IFERROR(__xludf.DUMMYFUNCTION("""COMPUTED_VALUE"""),2201.2258064516127)</f>
        <v>2201.225806</v>
      </c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</row>
    <row r="14">
      <c r="A14" s="191" t="str">
        <f>IF(AND(B14&lt;&gt;"", C14=TRUE, E14=Report!$B$1), B14, "")</f>
        <v/>
      </c>
      <c r="B14" s="196" t="str">
        <f>IF(OR(E14=Report!$B$1, F14=Report!$B$1, G14=Report!$B$1, H14=Report!$B$1), D14, "")</f>
        <v/>
      </c>
      <c r="C14" s="191" t="b">
        <f>IFERROR(__xludf.DUMMYFUNCTION("""COMPUTED_VALUE"""),FALSE)</f>
        <v>0</v>
      </c>
      <c r="D14" s="191" t="str">
        <f>IFERROR(__xludf.DUMMYFUNCTION("""COMPUTED_VALUE"""),"Coufal Jakub")</f>
        <v>Coufal Jakub</v>
      </c>
      <c r="E14" s="191" t="str">
        <f>IFERROR(__xludf.DUMMYFUNCTION("""COMPUTED_VALUE"""),"Libuš")</f>
        <v>Libuš</v>
      </c>
      <c r="F14" s="191" t="str">
        <f>IFERROR(__xludf.DUMMYFUNCTION("""COMPUTED_VALUE"""),"Malešice")</f>
        <v>Malešice</v>
      </c>
      <c r="G14" s="191" t="str">
        <f>IFERROR(__xludf.DUMMYFUNCTION("""COMPUTED_VALUE"""),"Prosek")</f>
        <v>Prosek</v>
      </c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4">
        <f>IFERROR(__xludf.DUMMYFUNCTION("""COMPUTED_VALUE"""),250.20600000000002)</f>
        <v>250.206</v>
      </c>
      <c r="W14" s="194">
        <f>IFERROR(__xludf.DUMMYFUNCTION("""COMPUTED_VALUE"""),0.0)</f>
        <v>0</v>
      </c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</row>
    <row r="15">
      <c r="A15" s="191" t="str">
        <f>IF(AND(B15&lt;&gt;"", C15=TRUE, E15=Report!$B$1), B15, "")</f>
        <v/>
      </c>
      <c r="B15" s="196" t="str">
        <f>IF(OR(E15=Report!$B$1, F15=Report!$B$1, G15=Report!$B$1, H15=Report!$B$1), D15, "")</f>
        <v/>
      </c>
      <c r="C15" s="191" t="b">
        <f>IFERROR(__xludf.DUMMYFUNCTION("""COMPUTED_VALUE"""),TRUE)</f>
        <v>1</v>
      </c>
      <c r="D15" s="191" t="str">
        <f>IFERROR(__xludf.DUMMYFUNCTION("""COMPUTED_VALUE"""),"Kinkorová Petra")</f>
        <v>Kinkorová Petra</v>
      </c>
      <c r="E15" s="191" t="str">
        <f>IFERROR(__xludf.DUMMYFUNCTION("""COMPUTED_VALUE"""),"Malešice")</f>
        <v>Malešice</v>
      </c>
      <c r="F15" s="191" t="str">
        <f>IFERROR(__xludf.DUMMYFUNCTION("""COMPUTED_VALUE"""),"Bolevec")</f>
        <v>Bolevec</v>
      </c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4">
        <f>IFERROR(__xludf.DUMMYFUNCTION("""COMPUTED_VALUE"""),341.19)</f>
        <v>341.19</v>
      </c>
      <c r="W15" s="194">
        <f>IFERROR(__xludf.DUMMYFUNCTION("""COMPUTED_VALUE"""),2201.2258064516127)</f>
        <v>2201.225806</v>
      </c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</row>
    <row r="16">
      <c r="A16" s="191" t="str">
        <f>IF(AND(B16&lt;&gt;"", C16=TRUE, E16=Report!$B$1), B16, "")</f>
        <v/>
      </c>
      <c r="B16" s="196" t="str">
        <f>IF(OR(E16=Report!$B$1, F16=Report!$B$1, G16=Report!$B$1, H16=Report!$B$1), D16, "")</f>
        <v/>
      </c>
      <c r="C16" s="191" t="b">
        <f>IFERROR(__xludf.DUMMYFUNCTION("""COMPUTED_VALUE"""),TRUE)</f>
        <v>1</v>
      </c>
      <c r="D16" s="191" t="str">
        <f>IFERROR(__xludf.DUMMYFUNCTION("""COMPUTED_VALUE"""),"Nováková Adéla")</f>
        <v>Nováková Adéla</v>
      </c>
      <c r="E16" s="191" t="str">
        <f>IFERROR(__xludf.DUMMYFUNCTION("""COMPUTED_VALUE"""),"Prosek")</f>
        <v>Prosek</v>
      </c>
      <c r="F16" s="191" t="str">
        <f>IFERROR(__xludf.DUMMYFUNCTION("""COMPUTED_VALUE"""),"Malešice")</f>
        <v>Malešice</v>
      </c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4">
        <f>IFERROR(__xludf.DUMMYFUNCTION("""COMPUTED_VALUE"""),341.19)</f>
        <v>341.19</v>
      </c>
      <c r="W16" s="194">
        <f>IFERROR(__xludf.DUMMYFUNCTION("""COMPUTED_VALUE"""),2201.2258064516127)</f>
        <v>2201.225806</v>
      </c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</row>
    <row r="17">
      <c r="A17" s="191" t="str">
        <f>IF(AND(B17&lt;&gt;"", C17=TRUE, E17=Report!$B$1), B17, "")</f>
        <v/>
      </c>
      <c r="B17" s="196" t="str">
        <f>IF(OR(E17=Report!$B$1, F17=Report!$B$1, G17=Report!$B$1, H17=Report!$B$1), D17, "")</f>
        <v>Pechová Barbora</v>
      </c>
      <c r="C17" s="191" t="b">
        <f>IFERROR(__xludf.DUMMYFUNCTION("""COMPUTED_VALUE"""),FALSE)</f>
        <v>0</v>
      </c>
      <c r="D17" s="191" t="str">
        <f>IFERROR(__xludf.DUMMYFUNCTION("""COMPUTED_VALUE"""),"Pechová Barbora")</f>
        <v>Pechová Barbora</v>
      </c>
      <c r="E17" s="191" t="str">
        <f>IFERROR(__xludf.DUMMYFUNCTION("""COMPUTED_VALUE"""),"Zličín")</f>
        <v>Zličín</v>
      </c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4">
        <f>IFERROR(__xludf.DUMMYFUNCTION("""COMPUTED_VALUE"""),267.6)</f>
        <v>267.6</v>
      </c>
      <c r="W17" s="194">
        <f>IFERROR(__xludf.DUMMYFUNCTION("""COMPUTED_VALUE"""),0.0)</f>
        <v>0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</row>
    <row r="18">
      <c r="A18" s="191" t="str">
        <f>IF(AND(B18&lt;&gt;"", C18=TRUE, E18=Report!$B$1), B18, "")</f>
        <v/>
      </c>
      <c r="B18" s="196" t="str">
        <f>IF(OR(E18=Report!$B$1, F18=Report!$B$1, G18=Report!$B$1, H18=Report!$B$1), D18, "")</f>
        <v>Pánková Vendula</v>
      </c>
      <c r="C18" s="191" t="b">
        <f>IFERROR(__xludf.DUMMYFUNCTION("""COMPUTED_VALUE"""),FALSE)</f>
        <v>0</v>
      </c>
      <c r="D18" s="191" t="str">
        <f>IFERROR(__xludf.DUMMYFUNCTION("""COMPUTED_VALUE"""),"Pánková Vendula")</f>
        <v>Pánková Vendula</v>
      </c>
      <c r="E18" s="191" t="str">
        <f>IFERROR(__xludf.DUMMYFUNCTION("""COMPUTED_VALUE"""),"Zličín")</f>
        <v>Zličín</v>
      </c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4">
        <f>IFERROR(__xludf.DUMMYFUNCTION("""COMPUTED_VALUE"""),267.6)</f>
        <v>267.6</v>
      </c>
      <c r="W18" s="194">
        <f>IFERROR(__xludf.DUMMYFUNCTION("""COMPUTED_VALUE"""),0.0)</f>
        <v>0</v>
      </c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</row>
    <row r="19">
      <c r="A19" s="191" t="str">
        <f>IF(AND(B19&lt;&gt;"", C19=TRUE, E19=Report!$B$1), B19, "")</f>
        <v/>
      </c>
      <c r="B19" s="196" t="str">
        <f>IF(OR(E19=Report!$B$1, F19=Report!$B$1, G19=Report!$B$1, H19=Report!$B$1), D19, "")</f>
        <v>Hegedüs Erik</v>
      </c>
      <c r="C19" s="191" t="b">
        <f>IFERROR(__xludf.DUMMYFUNCTION("""COMPUTED_VALUE"""),TRUE)</f>
        <v>1</v>
      </c>
      <c r="D19" s="191" t="str">
        <f>IFERROR(__xludf.DUMMYFUNCTION("""COMPUTED_VALUE"""),"Hegedüs Erik")</f>
        <v>Hegedüs Erik</v>
      </c>
      <c r="E19" s="191" t="str">
        <f>IFERROR(__xludf.DUMMYFUNCTION("""COMPUTED_VALUE"""),"Libuš")</f>
        <v>Libuš</v>
      </c>
      <c r="F19" s="191" t="str">
        <f>IFERROR(__xludf.DUMMYFUNCTION("""COMPUTED_VALUE"""),"Chodov")</f>
        <v>Chodov</v>
      </c>
      <c r="G19" s="191" t="str">
        <f>IFERROR(__xludf.DUMMYFUNCTION("""COMPUTED_VALUE"""),"Malešice")</f>
        <v>Malešice</v>
      </c>
      <c r="H19" s="191" t="str">
        <f>IFERROR(__xludf.DUMMYFUNCTION("""COMPUTED_VALUE"""),"Zličín")</f>
        <v>Zličín</v>
      </c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4">
        <f>IFERROR(__xludf.DUMMYFUNCTION("""COMPUTED_VALUE"""),432.3078)</f>
        <v>432.3078</v>
      </c>
      <c r="W19" s="194">
        <f>IFERROR(__xludf.DUMMYFUNCTION("""COMPUTED_VALUE"""),2789.082580645161)</f>
        <v>2789.082581</v>
      </c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</row>
    <row r="20">
      <c r="A20" s="191" t="str">
        <f>IF(AND(B20&lt;&gt;"", C20=TRUE, E20=Report!$B$1), B20, "")</f>
        <v/>
      </c>
      <c r="B20" s="196" t="str">
        <f>IF(OR(E20=Report!$B$1, F20=Report!$B$1, G20=Report!$B$1, H20=Report!$B$1), D20, "")</f>
        <v/>
      </c>
      <c r="C20" s="191" t="b">
        <f>IFERROR(__xludf.DUMMYFUNCTION("""COMPUTED_VALUE"""),TRUE)</f>
        <v>1</v>
      </c>
      <c r="D20" s="191" t="str">
        <f>IFERROR(__xludf.DUMMYFUNCTION("""COMPUTED_VALUE"""),"Roth Stanislav ml.")</f>
        <v>Roth Stanislav ml.</v>
      </c>
      <c r="E20" s="191" t="str">
        <f>IFERROR(__xludf.DUMMYFUNCTION("""COMPUTED_VALUE"""),"Bolevec")</f>
        <v>Bolevec</v>
      </c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4">
        <f>IFERROR(__xludf.DUMMYFUNCTION("""COMPUTED_VALUE"""),432.3078)</f>
        <v>432.3078</v>
      </c>
      <c r="W20" s="194">
        <f>IFERROR(__xludf.DUMMYFUNCTION("""COMPUTED_VALUE"""),2789.082580645161)</f>
        <v>2789.082581</v>
      </c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</row>
    <row r="21">
      <c r="A21" s="191" t="str">
        <f>IF(AND(B21&lt;&gt;"", C21=TRUE, E21=Report!$B$1), B21, "")</f>
        <v/>
      </c>
      <c r="B21" s="196" t="str">
        <f>IF(OR(E21=Report!$B$1, F21=Report!$B$1, G21=Report!$B$1, H21=Report!$B$1), D21, "")</f>
        <v/>
      </c>
      <c r="C21" s="191" t="b">
        <f>IFERROR(__xludf.DUMMYFUNCTION("""COMPUTED_VALUE"""),FALSE)</f>
        <v>0</v>
      </c>
      <c r="D21" s="191" t="str">
        <f>IFERROR(__xludf.DUMMYFUNCTION("""COMPUTED_VALUE"""),"Bubník Martin")</f>
        <v>Bubník Martin</v>
      </c>
      <c r="E21" s="191" t="str">
        <f>IFERROR(__xludf.DUMMYFUNCTION("""COMPUTED_VALUE"""),"Libuš")</f>
        <v>Libuš</v>
      </c>
      <c r="F21" s="191" t="str">
        <f>IFERROR(__xludf.DUMMYFUNCTION("""COMPUTED_VALUE"""),"Malešice")</f>
        <v>Malešice</v>
      </c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4">
        <f>IFERROR(__xludf.DUMMYFUNCTION("""COMPUTED_VALUE"""),267.6)</f>
        <v>267.6</v>
      </c>
      <c r="W21" s="194">
        <f>IFERROR(__xludf.DUMMYFUNCTION("""COMPUTED_VALUE"""),0.0)</f>
        <v>0</v>
      </c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</row>
    <row r="22">
      <c r="A22" s="191" t="str">
        <f>IF(AND(B22&lt;&gt;"", C22=TRUE, E22=Report!$B$1), B22, "")</f>
        <v/>
      </c>
      <c r="B22" s="196" t="str">
        <f>IF(OR(E22=Report!$B$1, F22=Report!$B$1, G22=Report!$B$1, H22=Report!$B$1), D22, "")</f>
        <v/>
      </c>
      <c r="C22" s="191" t="b">
        <f>IFERROR(__xludf.DUMMYFUNCTION("""COMPUTED_VALUE"""),FALSE)</f>
        <v>0</v>
      </c>
      <c r="D22" s="191" t="str">
        <f>IFERROR(__xludf.DUMMYFUNCTION("""COMPUTED_VALUE"""),"Berdar Vasyl")</f>
        <v>Berdar Vasyl</v>
      </c>
      <c r="E22" s="191" t="str">
        <f>IFERROR(__xludf.DUMMYFUNCTION("""COMPUTED_VALUE"""),"Libuš")</f>
        <v>Libuš</v>
      </c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4">
        <f>IFERROR(__xludf.DUMMYFUNCTION("""COMPUTED_VALUE"""),286.332)</f>
        <v>286.332</v>
      </c>
      <c r="W22" s="194">
        <f>IFERROR(__xludf.DUMMYFUNCTION("""COMPUTED_VALUE"""),0.0)</f>
        <v>0</v>
      </c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</row>
    <row r="23">
      <c r="A23" s="191" t="str">
        <f>IF(AND(B23&lt;&gt;"", C23=TRUE, E23=Report!$B$1), B23, "")</f>
        <v/>
      </c>
      <c r="B23" s="196" t="str">
        <f>IF(OR(E23=Report!$B$1, F23=Report!$B$1, G23=Report!$B$1, H23=Report!$B$1), D23, "")</f>
        <v>Yarushynskyi Vladyslav</v>
      </c>
      <c r="C23" s="191" t="b">
        <f>IFERROR(__xludf.DUMMYFUNCTION("""COMPUTED_VALUE"""),FALSE)</f>
        <v>0</v>
      </c>
      <c r="D23" s="191" t="str">
        <f>IFERROR(__xludf.DUMMYFUNCTION("""COMPUTED_VALUE"""),"Yarushynskyi Vladyslav")</f>
        <v>Yarushynskyi Vladyslav</v>
      </c>
      <c r="E23" s="191" t="str">
        <f>IFERROR(__xludf.DUMMYFUNCTION("""COMPUTED_VALUE"""),"Malešice")</f>
        <v>Malešice</v>
      </c>
      <c r="F23" s="191" t="str">
        <f>IFERROR(__xludf.DUMMYFUNCTION("""COMPUTED_VALUE"""),"Chodov")</f>
        <v>Chodov</v>
      </c>
      <c r="G23" s="191" t="str">
        <f>IFERROR(__xludf.DUMMYFUNCTION("""COMPUTED_VALUE"""),"Zličín")</f>
        <v>Zličín</v>
      </c>
      <c r="H23" s="191" t="str">
        <f>IFERROR(__xludf.DUMMYFUNCTION("""COMPUTED_VALUE"""),"Prosek")</f>
        <v>Prosek</v>
      </c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4">
        <f>IFERROR(__xludf.DUMMYFUNCTION("""COMPUTED_VALUE"""),267.6)</f>
        <v>267.6</v>
      </c>
      <c r="W23" s="194">
        <f>IFERROR(__xludf.DUMMYFUNCTION("""COMPUTED_VALUE"""),0.0)</f>
        <v>0</v>
      </c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</row>
    <row r="24">
      <c r="A24" s="191" t="str">
        <f>IF(AND(B24&lt;&gt;"", C24=TRUE, E24=Report!$B$1), B24, "")</f>
        <v/>
      </c>
      <c r="B24" s="196" t="str">
        <f>IF(OR(E24=Report!$B$1, F24=Report!$B$1, G24=Report!$B$1, H24=Report!$B$1), D24, "")</f>
        <v/>
      </c>
      <c r="C24" s="191" t="b">
        <f>IFERROR(__xludf.DUMMYFUNCTION("""COMPUTED_VALUE"""),FALSE)</f>
        <v>0</v>
      </c>
      <c r="D24" s="191" t="str">
        <f>IFERROR(__xludf.DUMMYFUNCTION("""COMPUTED_VALUE"""),"Židek Petr")</f>
        <v>Židek Petr</v>
      </c>
      <c r="E24" s="191" t="str">
        <f>IFERROR(__xludf.DUMMYFUNCTION("""COMPUTED_VALUE"""),"Chodov")</f>
        <v>Chodov</v>
      </c>
      <c r="F24" s="191" t="str">
        <f>IFERROR(__xludf.DUMMYFUNCTION("""COMPUTED_VALUE"""),"Malešice")</f>
        <v>Malešice</v>
      </c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4">
        <f>IFERROR(__xludf.DUMMYFUNCTION("""COMPUTED_VALUE"""),250.20600000000002)</f>
        <v>250.206</v>
      </c>
      <c r="W24" s="194">
        <f>IFERROR(__xludf.DUMMYFUNCTION("""COMPUTED_VALUE"""),0.0)</f>
        <v>0</v>
      </c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</row>
    <row r="25">
      <c r="A25" s="191" t="str">
        <f>IF(AND(B25&lt;&gt;"", C25=TRUE, E25=Report!$B$1), B25, "")</f>
        <v/>
      </c>
      <c r="B25" s="196" t="str">
        <f>IF(OR(E25=Report!$B$1, F25=Report!$B$1, G25=Report!$B$1, H25=Report!$B$1), D25, "")</f>
        <v/>
      </c>
      <c r="C25" s="191" t="b">
        <f>IFERROR(__xludf.DUMMYFUNCTION("""COMPUTED_VALUE"""),FALSE)</f>
        <v>0</v>
      </c>
      <c r="D25" s="191" t="str">
        <f>IFERROR(__xludf.DUMMYFUNCTION("""COMPUTED_VALUE"""),"Gorol Patrik")</f>
        <v>Gorol Patrik</v>
      </c>
      <c r="E25" s="191" t="str">
        <f>IFERROR(__xludf.DUMMYFUNCTION("""COMPUTED_VALUE"""),"Malešice")</f>
        <v>Malešice</v>
      </c>
      <c r="F25" s="191" t="str">
        <f>IFERROR(__xludf.DUMMYFUNCTION("""COMPUTED_VALUE"""),"Libuš")</f>
        <v>Libuš</v>
      </c>
      <c r="G25" s="191" t="str">
        <f>IFERROR(__xludf.DUMMYFUNCTION("""COMPUTED_VALUE"""),"Prosek")</f>
        <v>Prosek</v>
      </c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4">
        <f>IFERROR(__xludf.DUMMYFUNCTION("""COMPUTED_VALUE"""),231.474)</f>
        <v>231.474</v>
      </c>
      <c r="W25" s="194">
        <f>IFERROR(__xludf.DUMMYFUNCTION("""COMPUTED_VALUE"""),0.0)</f>
        <v>0</v>
      </c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</row>
    <row r="26">
      <c r="A26" s="191" t="str">
        <f>IF(AND(B26&lt;&gt;"", C26=TRUE, E26=Report!$B$1), B26, "")</f>
        <v/>
      </c>
      <c r="B26" s="196" t="str">
        <f>IF(OR(E26=Report!$B$1, F26=Report!$B$1, G26=Report!$B$1, H26=Report!$B$1), D26, "")</f>
        <v/>
      </c>
      <c r="C26" s="191" t="b">
        <f>IFERROR(__xludf.DUMMYFUNCTION("""COMPUTED_VALUE"""),FALSE)</f>
        <v>0</v>
      </c>
      <c r="D26" s="191" t="str">
        <f>IFERROR(__xludf.DUMMYFUNCTION("""COMPUTED_VALUE"""),"Hegedüs Gergö")</f>
        <v>Hegedüs Gergö</v>
      </c>
      <c r="E26" s="191" t="str">
        <f>IFERROR(__xludf.DUMMYFUNCTION("""COMPUTED_VALUE"""),"Libuš")</f>
        <v>Libuš</v>
      </c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4">
        <f>IFERROR(__xludf.DUMMYFUNCTION("""COMPUTED_VALUE"""),214.08)</f>
        <v>214.08</v>
      </c>
      <c r="W26" s="194">
        <f>IFERROR(__xludf.DUMMYFUNCTION("""COMPUTED_VALUE"""),0.0)</f>
        <v>0</v>
      </c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</row>
    <row r="27">
      <c r="A27" s="191" t="str">
        <f>IF(AND(B27&lt;&gt;"", C27=TRUE, E27=Report!$B$1), B27, "")</f>
        <v/>
      </c>
      <c r="B27" s="196" t="str">
        <f>IF(OR(E27=Report!$B$1, F27=Report!$B$1, G27=Report!$B$1, H27=Report!$B$1), D27, "")</f>
        <v/>
      </c>
      <c r="C27" s="191" t="b">
        <f>IFERROR(__xludf.DUMMYFUNCTION("""COMPUTED_VALUE"""),FALSE)</f>
        <v>0</v>
      </c>
      <c r="D27" s="191" t="str">
        <f>IFERROR(__xludf.DUMMYFUNCTION("""COMPUTED_VALUE"""),"Barvínková Eliška")</f>
        <v>Barvínková Eliška</v>
      </c>
      <c r="E27" s="191" t="str">
        <f>IFERROR(__xludf.DUMMYFUNCTION("""COMPUTED_VALUE"""),"Libuš")</f>
        <v>Libuš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4">
        <f>IFERROR(__xludf.DUMMYFUNCTION("""COMPUTED_VALUE"""),231.474)</f>
        <v>231.474</v>
      </c>
      <c r="W27" s="194">
        <f>IFERROR(__xludf.DUMMYFUNCTION("""COMPUTED_VALUE"""),0.0)</f>
        <v>0</v>
      </c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</row>
    <row r="28">
      <c r="A28" s="191" t="str">
        <f>IF(AND(B28&lt;&gt;"", C28=TRUE, E28=Report!$B$1), B28, "")</f>
        <v/>
      </c>
      <c r="B28" s="196" t="str">
        <f>IF(OR(E28=Report!$B$1, F28=Report!$B$1, G28=Report!$B$1, H28=Report!$B$1), D28, "")</f>
        <v/>
      </c>
      <c r="C28" s="191" t="b">
        <f>IFERROR(__xludf.DUMMYFUNCTION("""COMPUTED_VALUE"""),FALSE)</f>
        <v>0</v>
      </c>
      <c r="D28" s="191" t="str">
        <f>IFERROR(__xludf.DUMMYFUNCTION("""COMPUTED_VALUE"""),"Kursheva Diana")</f>
        <v>Kursheva Diana</v>
      </c>
      <c r="E28" s="191" t="str">
        <f>IFERROR(__xludf.DUMMYFUNCTION("""COMPUTED_VALUE"""),"Výroba")</f>
        <v>Výroba</v>
      </c>
      <c r="F28" s="191" t="str">
        <f>IFERROR(__xludf.DUMMYFUNCTION("""COMPUTED_VALUE"""),"Chodov")</f>
        <v>Chodov</v>
      </c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4">
        <f>IFERROR(__xludf.DUMMYFUNCTION("""COMPUTED_VALUE"""),250.20600000000002)</f>
        <v>250.206</v>
      </c>
      <c r="W28" s="194">
        <f>IFERROR(__xludf.DUMMYFUNCTION("""COMPUTED_VALUE"""),0.0)</f>
        <v>0</v>
      </c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</row>
    <row r="29">
      <c r="A29" s="191" t="str">
        <f>IF(AND(B29&lt;&gt;"", C29=TRUE, E29=Report!$B$1), B29, "")</f>
        <v/>
      </c>
      <c r="B29" s="196" t="str">
        <f>IF(OR(E29=Report!$B$1, F29=Report!$B$1, G29=Report!$B$1, H29=Report!$B$1), D29, "")</f>
        <v/>
      </c>
      <c r="C29" s="191" t="b">
        <f>IFERROR(__xludf.DUMMYFUNCTION("""COMPUTED_VALUE"""),FALSE)</f>
        <v>0</v>
      </c>
      <c r="D29" s="191" t="str">
        <f>IFERROR(__xludf.DUMMYFUNCTION("""COMPUTED_VALUE"""),"Kubík Martin")</f>
        <v>Kubík Martin</v>
      </c>
      <c r="E29" s="191" t="str">
        <f>IFERROR(__xludf.DUMMYFUNCTION("""COMPUTED_VALUE"""),"Libuš")</f>
        <v>Libuš</v>
      </c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4">
        <f>IFERROR(__xludf.DUMMYFUNCTION("""COMPUTED_VALUE"""),250.20600000000002)</f>
        <v>250.206</v>
      </c>
      <c r="W29" s="194">
        <f>IFERROR(__xludf.DUMMYFUNCTION("""COMPUTED_VALUE"""),0.0)</f>
        <v>0</v>
      </c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</row>
    <row r="30">
      <c r="A30" s="191" t="str">
        <f>IF(AND(B30&lt;&gt;"", C30=TRUE, E30=Report!$B$1), B30, "")</f>
        <v/>
      </c>
      <c r="B30" s="196" t="str">
        <f>IF(OR(E30=Report!$B$1, F30=Report!$B$1, G30=Report!$B$1, H30=Report!$B$1), D30, "")</f>
        <v>Putna Jaroslav</v>
      </c>
      <c r="C30" s="191" t="b">
        <f>IFERROR(__xludf.DUMMYFUNCTION("""COMPUTED_VALUE"""),FALSE)</f>
        <v>0</v>
      </c>
      <c r="D30" s="191" t="str">
        <f>IFERROR(__xludf.DUMMYFUNCTION("""COMPUTED_VALUE"""),"Putna Jaroslav")</f>
        <v>Putna Jaroslav</v>
      </c>
      <c r="E30" s="191" t="str">
        <f>IFERROR(__xludf.DUMMYFUNCTION("""COMPUTED_VALUE"""),"Zličín")</f>
        <v>Zličín</v>
      </c>
      <c r="F30" s="191" t="str">
        <f>IFERROR(__xludf.DUMMYFUNCTION("""COMPUTED_VALUE"""),"Prosek")</f>
        <v>Prosek</v>
      </c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4">
        <f>IFERROR(__xludf.DUMMYFUNCTION("""COMPUTED_VALUE"""),250.20600000000002)</f>
        <v>250.206</v>
      </c>
      <c r="W30" s="194">
        <f>IFERROR(__xludf.DUMMYFUNCTION("""COMPUTED_VALUE"""),0.0)</f>
        <v>0</v>
      </c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</row>
    <row r="31">
      <c r="A31" s="191" t="str">
        <f>IF(AND(B31&lt;&gt;"", C31=TRUE, E31=Report!$B$1), B31, "")</f>
        <v/>
      </c>
      <c r="B31" s="196" t="str">
        <f>IF(OR(E31=Report!$B$1, F31=Report!$B$1, G31=Report!$B$1, H31=Report!$B$1), D31, "")</f>
        <v/>
      </c>
      <c r="C31" s="191" t="b">
        <f>IFERROR(__xludf.DUMMYFUNCTION("""COMPUTED_VALUE"""),FALSE)</f>
        <v>0</v>
      </c>
      <c r="D31" s="191" t="str">
        <f>IFERROR(__xludf.DUMMYFUNCTION("""COMPUTED_VALUE"""),"Kopic Jakub")</f>
        <v>Kopic Jakub</v>
      </c>
      <c r="E31" s="191" t="str">
        <f>IFERROR(__xludf.DUMMYFUNCTION("""COMPUTED_VALUE"""),"Malešice")</f>
        <v>Malešice</v>
      </c>
      <c r="F31" s="191" t="str">
        <f>IFERROR(__xludf.DUMMYFUNCTION("""COMPUTED_VALUE"""),"Prosek")</f>
        <v>Prosek</v>
      </c>
      <c r="G31" s="191" t="str">
        <f>IFERROR(__xludf.DUMMYFUNCTION("""COMPUTED_VALUE"""),"Libuš")</f>
        <v>Libuš</v>
      </c>
      <c r="H31" s="191" t="str">
        <f>IFERROR(__xludf.DUMMYFUNCTION("""COMPUTED_VALUE"""),"Prosek")</f>
        <v>Prosek</v>
      </c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4">
        <f>IFERROR(__xludf.DUMMYFUNCTION("""COMPUTED_VALUE"""),250.20600000000002)</f>
        <v>250.206</v>
      </c>
      <c r="W31" s="194">
        <f>IFERROR(__xludf.DUMMYFUNCTION("""COMPUTED_VALUE"""),0.0)</f>
        <v>0</v>
      </c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</row>
    <row r="32">
      <c r="A32" s="191" t="str">
        <f>IF(AND(B32&lt;&gt;"", C32=TRUE, E32=Report!$B$1), B32, "")</f>
        <v/>
      </c>
      <c r="B32" s="196" t="str">
        <f>IF(OR(E32=Report!$B$1, F32=Report!$B$1, G32=Report!$B$1, H32=Report!$B$1), D32, "")</f>
        <v/>
      </c>
      <c r="C32" s="191" t="b">
        <f>IFERROR(__xludf.DUMMYFUNCTION("""COMPUTED_VALUE"""),FALSE)</f>
        <v>0</v>
      </c>
      <c r="D32" s="191" t="str">
        <f>IFERROR(__xludf.DUMMYFUNCTION("""COMPUTED_VALUE"""),"Fáberová Kateřina")</f>
        <v>Fáberová Kateřina</v>
      </c>
      <c r="E32" s="191" t="str">
        <f>IFERROR(__xludf.DUMMYFUNCTION("""COMPUTED_VALUE"""),"Prosek")</f>
        <v>Prosek</v>
      </c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4">
        <f>IFERROR(__xludf.DUMMYFUNCTION("""COMPUTED_VALUE"""),250.20600000000002)</f>
        <v>250.206</v>
      </c>
      <c r="W32" s="194">
        <f>IFERROR(__xludf.DUMMYFUNCTION("""COMPUTED_VALUE"""),0.0)</f>
        <v>0</v>
      </c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</row>
    <row r="33">
      <c r="A33" s="191" t="str">
        <f>IF(AND(B33&lt;&gt;"", C33=TRUE, E33=Report!$B$1), B33, "")</f>
        <v/>
      </c>
      <c r="B33" s="196" t="str">
        <f>IF(OR(E33=Report!$B$1, F33=Report!$B$1, G33=Report!$B$1, H33=Report!$B$1), D33, "")</f>
        <v/>
      </c>
      <c r="C33" s="191" t="b">
        <f>IFERROR(__xludf.DUMMYFUNCTION("""COMPUTED_VALUE"""),FALSE)</f>
        <v>0</v>
      </c>
      <c r="D33" s="191" t="str">
        <f>IFERROR(__xludf.DUMMYFUNCTION("""COMPUTED_VALUE"""),"Chlubnová Adéla")</f>
        <v>Chlubnová Adéla</v>
      </c>
      <c r="E33" s="191" t="str">
        <f>IFERROR(__xludf.DUMMYFUNCTION("""COMPUTED_VALUE"""),"Chodov")</f>
        <v>Chodov</v>
      </c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4">
        <f>IFERROR(__xludf.DUMMYFUNCTION("""COMPUTED_VALUE"""),250.20600000000002)</f>
        <v>250.206</v>
      </c>
      <c r="W33" s="194">
        <f>IFERROR(__xludf.DUMMYFUNCTION("""COMPUTED_VALUE"""),0.0)</f>
        <v>0</v>
      </c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</row>
    <row r="34">
      <c r="A34" s="191" t="str">
        <f>IF(AND(B34&lt;&gt;"", C34=TRUE, E34=Report!$B$1), B34, "")</f>
        <v/>
      </c>
      <c r="B34" s="196" t="str">
        <f>IF(OR(E34=Report!$B$1, F34=Report!$B$1, G34=Report!$B$1, H34=Report!$B$1), D34, "")</f>
        <v/>
      </c>
      <c r="C34" s="191" t="b">
        <f>IFERROR(__xludf.DUMMYFUNCTION("""COMPUTED_VALUE"""),FALSE)</f>
        <v>0</v>
      </c>
      <c r="D34" s="191" t="str">
        <f>IFERROR(__xludf.DUMMYFUNCTION("""COMPUTED_VALUE"""),"Prošek Václav")</f>
        <v>Prošek Václav</v>
      </c>
      <c r="E34" s="191" t="str">
        <f>IFERROR(__xludf.DUMMYFUNCTION("""COMPUTED_VALUE"""),"Libuš")</f>
        <v>Libuš</v>
      </c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4">
        <f>IFERROR(__xludf.DUMMYFUNCTION("""COMPUTED_VALUE"""),250.20600000000002)</f>
        <v>250.206</v>
      </c>
      <c r="W34" s="194">
        <f>IFERROR(__xludf.DUMMYFUNCTION("""COMPUTED_VALUE"""),0.0)</f>
        <v>0</v>
      </c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</row>
    <row r="35">
      <c r="A35" s="191" t="str">
        <f>IF(AND(B35&lt;&gt;"", C35=TRUE, E35=Report!$B$1), B35, "")</f>
        <v/>
      </c>
      <c r="B35" s="196" t="str">
        <f>IF(OR(E35=Report!$B$1, F35=Report!$B$1, G35=Report!$B$1, H35=Report!$B$1), D35, "")</f>
        <v/>
      </c>
      <c r="C35" s="191" t="b">
        <f>IFERROR(__xludf.DUMMYFUNCTION("""COMPUTED_VALUE"""),FALSE)</f>
        <v>0</v>
      </c>
      <c r="D35" s="191" t="str">
        <f>IFERROR(__xludf.DUMMYFUNCTION("""COMPUTED_VALUE"""),"Millington Emmanuel")</f>
        <v>Millington Emmanuel</v>
      </c>
      <c r="E35" s="191" t="str">
        <f>IFERROR(__xludf.DUMMYFUNCTION("""COMPUTED_VALUE"""),"Libuš")</f>
        <v>Libuš</v>
      </c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4">
        <f>IFERROR(__xludf.DUMMYFUNCTION("""COMPUTED_VALUE"""),250.20600000000002)</f>
        <v>250.206</v>
      </c>
      <c r="W35" s="194">
        <f>IFERROR(__xludf.DUMMYFUNCTION("""COMPUTED_VALUE"""),0.0)</f>
        <v>0</v>
      </c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</row>
    <row r="36">
      <c r="A36" s="191" t="str">
        <f>IF(AND(B36&lt;&gt;"", C36=TRUE, E36=Report!$B$1), B36, "")</f>
        <v/>
      </c>
      <c r="B36" s="196" t="str">
        <f>IF(OR(E36=Report!$B$1, F36=Report!$B$1, G36=Report!$B$1, H36=Report!$B$1), D36, "")</f>
        <v/>
      </c>
      <c r="C36" s="191" t="b">
        <f>IFERROR(__xludf.DUMMYFUNCTION("""COMPUTED_VALUE"""),FALSE)</f>
        <v>0</v>
      </c>
      <c r="D36" s="191" t="str">
        <f>IFERROR(__xludf.DUMMYFUNCTION("""COMPUTED_VALUE"""),"Kašpárek Jan")</f>
        <v>Kašpárek Jan</v>
      </c>
      <c r="E36" s="191" t="str">
        <f>IFERROR(__xludf.DUMMYFUNCTION("""COMPUTED_VALUE"""),"Libuš")</f>
        <v>Libuš</v>
      </c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4">
        <f>IFERROR(__xludf.DUMMYFUNCTION("""COMPUTED_VALUE"""),250.20600000000002)</f>
        <v>250.206</v>
      </c>
      <c r="W36" s="194">
        <f>IFERROR(__xludf.DUMMYFUNCTION("""COMPUTED_VALUE"""),0.0)</f>
        <v>0</v>
      </c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</row>
    <row r="37">
      <c r="A37" s="191" t="str">
        <f>IF(AND(B37&lt;&gt;"", C37=TRUE, E37=Report!$B$1), B37, "")</f>
        <v/>
      </c>
      <c r="B37" s="196" t="str">
        <f>IF(OR(E37=Report!$B$1, F37=Report!$B$1, G37=Report!$B$1, H37=Report!$B$1), D37, "")</f>
        <v/>
      </c>
      <c r="C37" s="191" t="b">
        <f>IFERROR(__xludf.DUMMYFUNCTION("""COMPUTED_VALUE"""),FALSE)</f>
        <v>0</v>
      </c>
      <c r="D37" s="191" t="str">
        <f>IFERROR(__xludf.DUMMYFUNCTION("""COMPUTED_VALUE"""),"Koteliuk Maryna")</f>
        <v>Koteliuk Maryna</v>
      </c>
      <c r="E37" s="191" t="str">
        <f>IFERROR(__xludf.DUMMYFUNCTION("""COMPUTED_VALUE"""),"Výroba")</f>
        <v>Výroba</v>
      </c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4">
        <f>IFERROR(__xludf.DUMMYFUNCTION("""COMPUTED_VALUE"""),250.20600000000002)</f>
        <v>250.206</v>
      </c>
      <c r="W37" s="194">
        <f>IFERROR(__xludf.DUMMYFUNCTION("""COMPUTED_VALUE"""),0.0)</f>
        <v>0</v>
      </c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</row>
    <row r="38">
      <c r="A38" s="191" t="str">
        <f>IF(AND(B38&lt;&gt;"", C38=TRUE, E38=Report!$B$1), B38, "")</f>
        <v/>
      </c>
      <c r="B38" s="196" t="str">
        <f>IF(OR(E38=Report!$B$1, F38=Report!$B$1, G38=Report!$B$1, H38=Report!$B$1), D38, "")</f>
        <v/>
      </c>
      <c r="C38" s="191" t="b">
        <f>IFERROR(__xludf.DUMMYFUNCTION("""COMPUTED_VALUE"""),FALSE)</f>
        <v>0</v>
      </c>
      <c r="D38" s="191" t="str">
        <f>IFERROR(__xludf.DUMMYFUNCTION("""COMPUTED_VALUE"""),"Remač Jiří")</f>
        <v>Remač Jiří</v>
      </c>
      <c r="E38" s="191" t="str">
        <f>IFERROR(__xludf.DUMMYFUNCTION("""COMPUTED_VALUE"""),"Libuš")</f>
        <v>Libuš</v>
      </c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4">
        <f>IFERROR(__xludf.DUMMYFUNCTION("""COMPUTED_VALUE"""),250.20600000000002)</f>
        <v>250.206</v>
      </c>
      <c r="W38" s="194">
        <f>IFERROR(__xludf.DUMMYFUNCTION("""COMPUTED_VALUE"""),0.0)</f>
        <v>0</v>
      </c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</row>
    <row r="39">
      <c r="A39" s="191" t="str">
        <f>IF(AND(B39&lt;&gt;"", C39=TRUE, E39=Report!$B$1), B39, "")</f>
        <v/>
      </c>
      <c r="B39" s="196" t="str">
        <f>IF(OR(E39=Report!$B$1, F39=Report!$B$1, G39=Report!$B$1, H39=Report!$B$1), D39, "")</f>
        <v/>
      </c>
      <c r="C39" s="191" t="b">
        <f>IFERROR(__xludf.DUMMYFUNCTION("""COMPUTED_VALUE"""),FALSE)</f>
        <v>0</v>
      </c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4">
        <f>IFERROR(__xludf.DUMMYFUNCTION("""COMPUTED_VALUE"""),0.0)</f>
        <v>0</v>
      </c>
      <c r="W39" s="194">
        <f>IFERROR(__xludf.DUMMYFUNCTION("""COMPUTED_VALUE"""),0.0)</f>
        <v>0</v>
      </c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</row>
    <row r="40">
      <c r="A40" s="191" t="str">
        <f>IF(AND(B40&lt;&gt;"", C40=TRUE, E40=Report!$B$1), B40, "")</f>
        <v/>
      </c>
      <c r="B40" s="196" t="str">
        <f>IF(OR(E40=Report!$B$1, F40=Report!$B$1, G40=Report!$B$1, H40=Report!$B$1), D40, "")</f>
        <v/>
      </c>
      <c r="C40" s="191" t="b">
        <f>IFERROR(__xludf.DUMMYFUNCTION("""COMPUTED_VALUE"""),FALSE)</f>
        <v>0</v>
      </c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4">
        <f>IFERROR(__xludf.DUMMYFUNCTION("""COMPUTED_VALUE"""),0.0)</f>
        <v>0</v>
      </c>
      <c r="W40" s="194">
        <f>IFERROR(__xludf.DUMMYFUNCTION("""COMPUTED_VALUE"""),0.0)</f>
        <v>0</v>
      </c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</row>
    <row r="41">
      <c r="A41" s="191" t="str">
        <f>IF(AND(B41&lt;&gt;"", C41=TRUE, E41=Report!$B$1), B41, "")</f>
        <v/>
      </c>
      <c r="B41" s="196" t="str">
        <f>IF(OR(E41=Report!$B$1, F41=Report!$B$1, G41=Report!$B$1, H41=Report!$B$1), D41, "")</f>
        <v/>
      </c>
      <c r="C41" s="191" t="b">
        <f>IFERROR(__xludf.DUMMYFUNCTION("""COMPUTED_VALUE"""),FALSE)</f>
        <v>0</v>
      </c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4">
        <f>IFERROR(__xludf.DUMMYFUNCTION("""COMPUTED_VALUE"""),0.0)</f>
        <v>0</v>
      </c>
      <c r="W41" s="194">
        <f>IFERROR(__xludf.DUMMYFUNCTION("""COMPUTED_VALUE"""),0.0)</f>
        <v>0</v>
      </c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</row>
    <row r="42">
      <c r="A42" s="191" t="str">
        <f>IF(AND(B42&lt;&gt;"", C42=TRUE, E42=Report!$B$1), B42, "")</f>
        <v/>
      </c>
      <c r="B42" s="196" t="str">
        <f>IF(OR(E42=Report!$B$1, F42=Report!$B$1, G42=Report!$B$1, H42=Report!$B$1), D42, "")</f>
        <v/>
      </c>
      <c r="C42" s="191" t="b">
        <f>IFERROR(__xludf.DUMMYFUNCTION("""COMPUTED_VALUE"""),FALSE)</f>
        <v>0</v>
      </c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4">
        <f>IFERROR(__xludf.DUMMYFUNCTION("""COMPUTED_VALUE"""),0.0)</f>
        <v>0</v>
      </c>
      <c r="W42" s="194">
        <f>IFERROR(__xludf.DUMMYFUNCTION("""COMPUTED_VALUE"""),0.0)</f>
        <v>0</v>
      </c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</row>
    <row r="43">
      <c r="A43" s="191" t="str">
        <f>IF(AND(B43&lt;&gt;"", C43=TRUE, E43=Report!$B$1), B43, "")</f>
        <v/>
      </c>
      <c r="B43" s="196" t="str">
        <f>IF(OR(E43=Report!$B$1, F43=Report!$B$1, G43=Report!$B$1, H43=Report!$B$1), D43, "")</f>
        <v/>
      </c>
      <c r="C43" s="191" t="b">
        <f>IFERROR(__xludf.DUMMYFUNCTION("""COMPUTED_VALUE"""),FALSE)</f>
        <v>0</v>
      </c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4">
        <f>IFERROR(__xludf.DUMMYFUNCTION("""COMPUTED_VALUE"""),0.0)</f>
        <v>0</v>
      </c>
      <c r="W43" s="194">
        <f>IFERROR(__xludf.DUMMYFUNCTION("""COMPUTED_VALUE"""),0.0)</f>
        <v>0</v>
      </c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</row>
    <row r="44">
      <c r="A44" s="191"/>
      <c r="B44" s="197" t="str">
        <f>IF(OR(E44=Report!$B$1, F44=Report!$B$1, G44=Report!$B$1, H44=Report!$B$1), D44, "")</f>
        <v/>
      </c>
      <c r="C44" s="191" t="b">
        <f>IFERROR(__xludf.DUMMYFUNCTION("""COMPUTED_VALUE"""),FALSE)</f>
        <v>0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4">
        <f>IFERROR(__xludf.DUMMYFUNCTION("""COMPUTED_VALUE"""),0.0)</f>
        <v>0</v>
      </c>
      <c r="W44" s="194">
        <f>IFERROR(__xludf.DUMMYFUNCTION("""COMPUTED_VALUE"""),0.0)</f>
        <v>0</v>
      </c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</row>
    <row r="45">
      <c r="A45" s="191"/>
      <c r="B45" s="197" t="str">
        <f>IF(OR(E45=Report!$B$1, F45=Report!$B$1, G45=Report!$B$1, H45=Report!$B$1), D45, "")</f>
        <v/>
      </c>
      <c r="C45" s="191" t="b">
        <f>IFERROR(__xludf.DUMMYFUNCTION("""COMPUTED_VALUE"""),FALSE)</f>
        <v>0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4">
        <f>IFERROR(__xludf.DUMMYFUNCTION("""COMPUTED_VALUE"""),0.0)</f>
        <v>0</v>
      </c>
      <c r="W45" s="194">
        <f>IFERROR(__xludf.DUMMYFUNCTION("""COMPUTED_VALUE"""),0.0)</f>
        <v>0</v>
      </c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</row>
    <row r="46">
      <c r="A46" s="191"/>
      <c r="B46" s="197" t="str">
        <f>IF(OR(E46=Report!$B$1, F46=Report!$B$1, G46=Report!$B$1, H46=Report!$B$1), D46, "")</f>
        <v/>
      </c>
      <c r="C46" s="191" t="b">
        <f>IFERROR(__xludf.DUMMYFUNCTION("""COMPUTED_VALUE"""),FALSE)</f>
        <v>0</v>
      </c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4">
        <f>IFERROR(__xludf.DUMMYFUNCTION("""COMPUTED_VALUE"""),0.0)</f>
        <v>0</v>
      </c>
      <c r="W46" s="194">
        <f>IFERROR(__xludf.DUMMYFUNCTION("""COMPUTED_VALUE"""),0.0)</f>
        <v>0</v>
      </c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</row>
    <row r="47">
      <c r="A47" s="191"/>
      <c r="B47" s="197" t="str">
        <f>IF(OR(E47=Report!$B$1, F47=Report!$B$1, G47=Report!$B$1, H47=Report!$B$1), D47, "")</f>
        <v/>
      </c>
      <c r="C47" s="191" t="b">
        <f>IFERROR(__xludf.DUMMYFUNCTION("""COMPUTED_VALUE"""),FALSE)</f>
        <v>0</v>
      </c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4">
        <f>IFERROR(__xludf.DUMMYFUNCTION("""COMPUTED_VALUE"""),0.0)</f>
        <v>0</v>
      </c>
      <c r="W47" s="194">
        <f>IFERROR(__xludf.DUMMYFUNCTION("""COMPUTED_VALUE"""),0.0)</f>
        <v>0</v>
      </c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</row>
    <row r="48">
      <c r="A48" s="191"/>
      <c r="B48" s="197" t="str">
        <f>IF(OR(E48=Report!$B$1, F48=Report!$B$1, G48=Report!$B$1, H48=Report!$B$1), D48, "")</f>
        <v/>
      </c>
      <c r="C48" s="191" t="b">
        <f>IFERROR(__xludf.DUMMYFUNCTION("""COMPUTED_VALUE"""),FALSE)</f>
        <v>0</v>
      </c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4">
        <f>IFERROR(__xludf.DUMMYFUNCTION("""COMPUTED_VALUE"""),0.0)</f>
        <v>0</v>
      </c>
      <c r="W48" s="194">
        <f>IFERROR(__xludf.DUMMYFUNCTION("""COMPUTED_VALUE"""),0.0)</f>
        <v>0</v>
      </c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</row>
    <row r="49">
      <c r="A49" s="191"/>
      <c r="B49" s="197" t="str">
        <f>IF(OR(E49=Report!$B$1, F49=Report!$B$1, G49=Report!$B$1, H49=Report!$B$1), D49, "")</f>
        <v/>
      </c>
      <c r="C49" s="191" t="b">
        <f>IFERROR(__xludf.DUMMYFUNCTION("""COMPUTED_VALUE"""),FALSE)</f>
        <v>0</v>
      </c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4">
        <f>IFERROR(__xludf.DUMMYFUNCTION("""COMPUTED_VALUE"""),0.0)</f>
        <v>0</v>
      </c>
      <c r="W49" s="194">
        <f>IFERROR(__xludf.DUMMYFUNCTION("""COMPUTED_VALUE"""),0.0)</f>
        <v>0</v>
      </c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</row>
    <row r="50">
      <c r="A50" s="191"/>
      <c r="B50" s="197" t="str">
        <f>IF(OR(E50=Report!$B$1, F50=Report!$B$1, G50=Report!$B$1, H50=Report!$B$1), D50, "")</f>
        <v/>
      </c>
      <c r="C50" s="191" t="b">
        <f>IFERROR(__xludf.DUMMYFUNCTION("""COMPUTED_VALUE"""),FALSE)</f>
        <v>0</v>
      </c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4">
        <f>IFERROR(__xludf.DUMMYFUNCTION("""COMPUTED_VALUE"""),0.0)</f>
        <v>0</v>
      </c>
      <c r="W50" s="194">
        <f>IFERROR(__xludf.DUMMYFUNCTION("""COMPUTED_VALUE"""),0.0)</f>
        <v>0</v>
      </c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</row>
    <row r="51">
      <c r="A51" s="191"/>
      <c r="B51" s="197" t="str">
        <f>IF(OR(E51=Report!$B$1, F51=Report!$B$1, G51=Report!$B$1, H51=Report!$B$1), D51, "")</f>
        <v/>
      </c>
      <c r="C51" s="191" t="b">
        <f>IFERROR(__xludf.DUMMYFUNCTION("""COMPUTED_VALUE"""),FALSE)</f>
        <v>0</v>
      </c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4">
        <f>IFERROR(__xludf.DUMMYFUNCTION("""COMPUTED_VALUE"""),0.0)</f>
        <v>0</v>
      </c>
      <c r="W51" s="194">
        <f>IFERROR(__xludf.DUMMYFUNCTION("""COMPUTED_VALUE"""),0.0)</f>
        <v>0</v>
      </c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</row>
    <row r="52">
      <c r="A52" s="191"/>
      <c r="B52" s="197" t="str">
        <f>IF(OR(E52=Report!$B$1, F52=Report!$B$1, G52=Report!$B$1, H52=Report!$B$1), D52, "")</f>
        <v/>
      </c>
      <c r="C52" s="191" t="b">
        <f>IFERROR(__xludf.DUMMYFUNCTION("""COMPUTED_VALUE"""),FALSE)</f>
        <v>0</v>
      </c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4">
        <f>IFERROR(__xludf.DUMMYFUNCTION("""COMPUTED_VALUE"""),0.0)</f>
        <v>0</v>
      </c>
      <c r="W52" s="194">
        <f>IFERROR(__xludf.DUMMYFUNCTION("""COMPUTED_VALUE"""),0.0)</f>
        <v>0</v>
      </c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</row>
    <row r="53">
      <c r="A53" s="191"/>
      <c r="B53" s="197" t="str">
        <f>IF(OR(E53=Report!$B$1, F53=Report!$B$1, G53=Report!$B$1, H53=Report!$B$1), D53, "")</f>
        <v/>
      </c>
      <c r="C53" s="191" t="b">
        <f>IFERROR(__xludf.DUMMYFUNCTION("""COMPUTED_VALUE"""),FALSE)</f>
        <v>0</v>
      </c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4">
        <f>IFERROR(__xludf.DUMMYFUNCTION("""COMPUTED_VALUE"""),0.0)</f>
        <v>0</v>
      </c>
      <c r="W53" s="194">
        <f>IFERROR(__xludf.DUMMYFUNCTION("""COMPUTED_VALUE"""),0.0)</f>
        <v>0</v>
      </c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</row>
    <row r="54">
      <c r="A54" s="191"/>
      <c r="B54" s="197" t="str">
        <f>IF(OR(E54=Report!$B$1, F54=Report!$B$1, G54=Report!$B$1, H54=Report!$B$1), D54, "")</f>
        <v/>
      </c>
      <c r="C54" s="191" t="b">
        <f>IFERROR(__xludf.DUMMYFUNCTION("""COMPUTED_VALUE"""),FALSE)</f>
        <v>0</v>
      </c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4">
        <f>IFERROR(__xludf.DUMMYFUNCTION("""COMPUTED_VALUE"""),0.0)</f>
        <v>0</v>
      </c>
      <c r="W54" s="194">
        <f>IFERROR(__xludf.DUMMYFUNCTION("""COMPUTED_VALUE"""),0.0)</f>
        <v>0</v>
      </c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</row>
    <row r="55">
      <c r="A55" s="191"/>
      <c r="B55" s="197" t="str">
        <f>IF(OR(E55=Report!$B$1, F55=Report!$B$1, G55=Report!$B$1, H55=Report!$B$1), D55, "")</f>
        <v/>
      </c>
      <c r="C55" s="191" t="b">
        <f>IFERROR(__xludf.DUMMYFUNCTION("""COMPUTED_VALUE"""),FALSE)</f>
        <v>0</v>
      </c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4">
        <f>IFERROR(__xludf.DUMMYFUNCTION("""COMPUTED_VALUE"""),0.0)</f>
        <v>0</v>
      </c>
      <c r="W55" s="194">
        <f>IFERROR(__xludf.DUMMYFUNCTION("""COMPUTED_VALUE"""),0.0)</f>
        <v>0</v>
      </c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</row>
    <row r="56">
      <c r="A56" s="191"/>
      <c r="B56" s="197" t="str">
        <f>IF(OR(E56=Report!$B$1, F56=Report!$B$1, G56=Report!$B$1, H56=Report!$B$1), D56, "")</f>
        <v/>
      </c>
      <c r="C56" s="191" t="b">
        <f>IFERROR(__xludf.DUMMYFUNCTION("""COMPUTED_VALUE"""),FALSE)</f>
        <v>0</v>
      </c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4">
        <f>IFERROR(__xludf.DUMMYFUNCTION("""COMPUTED_VALUE"""),250.20600000000002)</f>
        <v>250.206</v>
      </c>
      <c r="W56" s="194">
        <f>IFERROR(__xludf.DUMMYFUNCTION("""COMPUTED_VALUE"""),0.0)</f>
        <v>0</v>
      </c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</row>
    <row r="57">
      <c r="A57" s="191"/>
      <c r="B57" s="197" t="str">
        <f>IF(OR(E57=Report!$B$1, F57=Report!$B$1, G57=Report!$B$1, H57=Report!$B$1), D57, "")</f>
        <v/>
      </c>
      <c r="C57" s="191" t="b">
        <f>IFERROR(__xludf.DUMMYFUNCTION("""COMPUTED_VALUE"""),FALSE)</f>
        <v>0</v>
      </c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4">
        <f>IFERROR(__xludf.DUMMYFUNCTION("""COMPUTED_VALUE"""),0.0)</f>
        <v>0</v>
      </c>
      <c r="W57" s="194">
        <f>IFERROR(__xludf.DUMMYFUNCTION("""COMPUTED_VALUE"""),0.0)</f>
        <v>0</v>
      </c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</row>
    <row r="58">
      <c r="A58" s="191"/>
      <c r="B58" s="197" t="str">
        <f>IF(OR(E58=Report!$B$1, F58=Report!$B$1, G58=Report!$B$1, H58=Report!$B$1), D58, "")</f>
        <v/>
      </c>
      <c r="C58" s="191"/>
      <c r="D58" s="191" t="str">
        <f>IFERROR(__xludf.DUMMYFUNCTION("""COMPUTED_VALUE"""),"End")</f>
        <v>End</v>
      </c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4">
        <f>IFERROR(__xludf.DUMMYFUNCTION("""COMPUTED_VALUE"""),0.0)</f>
        <v>0</v>
      </c>
      <c r="W58" s="194">
        <f>IFERROR(__xludf.DUMMYFUNCTION("""COMPUTED_VALUE"""),0.0)</f>
        <v>0</v>
      </c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</row>
    <row r="59">
      <c r="A59" s="191"/>
      <c r="B59" s="197" t="str">
        <f>IF(OR(E59=Report!$B$1, F59=Report!$B$1, G59=Report!$B$1, H59=Report!$B$1), D59, "")</f>
        <v/>
      </c>
      <c r="C59" s="191"/>
      <c r="D59" s="191" t="str">
        <f>IFERROR(__xludf.DUMMYFUNCTION("""COMPUTED_VALUE"""),"Suma instor")</f>
        <v>Suma instor</v>
      </c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4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</row>
    <row r="60">
      <c r="A60" s="191"/>
      <c r="B60" s="197" t="str">
        <f>IF(OR(E60=Report!$B$1, F60=Report!$B$1, G60=Report!$B$1, H60=Report!$B$1), D60, "")</f>
        <v/>
      </c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4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</row>
    <row r="61">
      <c r="A61" s="191"/>
      <c r="B61" s="196" t="str">
        <f>IF(OR(E61=Report!$B$1, F61=Report!$B$1, G61=Report!$B$1, H61=Report!$B$1), D61, "")</f>
        <v/>
      </c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4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</row>
    <row r="62">
      <c r="A62" s="191"/>
      <c r="B62" s="196" t="str">
        <f>IF(OR(E62=Report!$B$1, F62=Report!$B$1, G62=Report!$B$1, H62=Report!$B$1), D62, "")</f>
        <v/>
      </c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4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</row>
    <row r="63">
      <c r="A63" s="191"/>
      <c r="B63" s="196" t="str">
        <f>IF(OR(E63=Report!$B$1, F63=Report!$B$1, G63=Report!$B$1, H63=Report!$B$1), D63, "")</f>
        <v/>
      </c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4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</row>
    <row r="64">
      <c r="A64" s="191"/>
      <c r="B64" s="196" t="str">
        <f>IF(OR(E64=Report!$B$1, F64=Report!$B$1, G64=Report!$B$1, H64=Report!$B$1), D64, "")</f>
        <v/>
      </c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4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</row>
    <row r="65">
      <c r="A65" s="191"/>
      <c r="B65" s="196" t="str">
        <f>IF(OR(E65=Report!$B$1, F65=Report!$B$1, G65=Report!$B$1, H65=Report!$B$1), D65, "")</f>
        <v/>
      </c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4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</row>
    <row r="66">
      <c r="A66" s="191"/>
      <c r="B66" s="196" t="str">
        <f>IF(OR(E66=Report!$B$1, F66=Report!$B$1, G66=Report!$B$1, H66=Report!$B$1), D66, "")</f>
        <v/>
      </c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4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</row>
    <row r="67">
      <c r="A67" s="191"/>
      <c r="B67" s="196" t="str">
        <f>IF(OR(E67=Report!$B$1, F67=Report!$B$1, G67=Report!$B$1, H67=Report!$B$1), D67, "")</f>
        <v/>
      </c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4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</row>
    <row r="68">
      <c r="A68" s="191"/>
      <c r="B68" s="196" t="str">
        <f>IF(OR(E68=Report!$B$1, F68=Report!$B$1, G68=Report!$B$1, H68=Report!$B$1), D68, "")</f>
        <v/>
      </c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4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</row>
    <row r="69">
      <c r="A69" s="191"/>
      <c r="B69" s="196" t="str">
        <f>IF(OR(E69=Report!$B$1, F69=Report!$B$1, G69=Report!$B$1, H69=Report!$B$1), D69, "")</f>
        <v/>
      </c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4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</row>
    <row r="70">
      <c r="A70" s="191"/>
      <c r="B70" s="196" t="str">
        <f>IF(OR(E70=Report!$B$1, F70=Report!$B$1, G70=Report!$B$1, H70=Report!$B$1), D70, "")</f>
        <v/>
      </c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4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</row>
    <row r="71">
      <c r="A71" s="191"/>
      <c r="B71" s="196" t="str">
        <f>IF(OR(E71=Report!$B$1, F71=Report!$B$1, G71=Report!$B$1, H71=Report!$B$1), D71, "")</f>
        <v/>
      </c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4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</row>
    <row r="72">
      <c r="A72" s="191"/>
      <c r="B72" s="196" t="str">
        <f>IF(OR(E72=Report!$B$1, F72=Report!$B$1, G72=Report!$B$1, H72=Report!$B$1), D72, "")</f>
        <v/>
      </c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4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</row>
    <row r="73">
      <c r="A73" s="191"/>
      <c r="B73" s="196" t="str">
        <f>IF(OR(E73=Report!$B$1, F73=Report!$B$1, G73=Report!$B$1, H73=Report!$B$1), D73, "")</f>
        <v/>
      </c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4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</row>
    <row r="74">
      <c r="A74" s="191"/>
      <c r="B74" s="196" t="str">
        <f>IF(OR(E74=Report!$B$1, F74=Report!$B$1, G74=Report!$B$1, H74=Report!$B$1), D74, "")</f>
        <v/>
      </c>
      <c r="C74" s="191" t="str">
        <f>IFERROR(__xludf.DUMMYFUNCTION("""COMPUTED_VALUE"""),"Manažer")</f>
        <v>Manažer</v>
      </c>
      <c r="D74" s="191" t="str">
        <f>IFERROR(__xludf.DUMMYFUNCTION("""COMPUTED_VALUE"""),"Kurýr")</f>
        <v>Kurýr</v>
      </c>
      <c r="E74" s="191" t="str">
        <f>IFERROR(__xludf.DUMMYFUNCTION("""COMPUTED_VALUE"""),"První domácí,          Pobočky max 4    ")</f>
        <v>První domácí,          Pobočky max 4    </v>
      </c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 t="str">
        <f>IFERROR(__xludf.DUMMYFUNCTION("""COMPUTED_VALUE"""),"Sp.hr. / h")</f>
        <v>Sp.hr. / h</v>
      </c>
      <c r="W74" s="194" t="str">
        <f>IFERROR(__xludf.DUMMYFUNCTION("""COMPUTED_VALUE"""),"Sp.hr. / den")</f>
        <v>Sp.hr. / den</v>
      </c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</row>
    <row r="75">
      <c r="A75" s="191"/>
      <c r="B75" s="196" t="str">
        <f>IF(OR(E75=Report!$B$1, F75=Report!$B$1, G75=Report!$B$1, H75=Report!$B$1), D75, "")</f>
        <v/>
      </c>
      <c r="C75" s="191" t="b">
        <f>IFERROR(__xludf.DUMMYFUNCTION("""COMPUTED_VALUE"""),FALSE)</f>
        <v>0</v>
      </c>
      <c r="D75" s="191" t="str">
        <f>IFERROR(__xludf.DUMMYFUNCTION("""COMPUTED_VALUE"""),"Jurkovič Martin")</f>
        <v>Jurkovič Martin</v>
      </c>
      <c r="E75" s="191" t="str">
        <f>IFERROR(__xludf.DUMMYFUNCTION("""COMPUTED_VALUE"""),"Libuš")</f>
        <v>Libuš</v>
      </c>
      <c r="F75" s="191" t="str">
        <f>IFERROR(__xludf.DUMMYFUNCTION("""COMPUTED_VALUE"""),"Chodov")</f>
        <v>Chodov</v>
      </c>
      <c r="G75" s="191" t="str">
        <f>IFERROR(__xludf.DUMMYFUNCTION("""COMPUTED_VALUE"""),"Malešice")</f>
        <v>Malešice</v>
      </c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4">
        <f>IFERROR(__xludf.DUMMYFUNCTION("""COMPUTED_VALUE"""),150.0)</f>
        <v>150</v>
      </c>
      <c r="W75" s="194">
        <f>IFERROR(__xludf.DUMMYFUNCTION("""COMPUTED_VALUE"""),0.0)</f>
        <v>0</v>
      </c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</row>
    <row r="76">
      <c r="A76" s="191"/>
      <c r="B76" s="196" t="str">
        <f>IF(OR(E76=Report!$B$1, F76=Report!$B$1, G76=Report!$B$1, H76=Report!$B$1), D76, "")</f>
        <v/>
      </c>
      <c r="C76" s="191" t="b">
        <f>IFERROR(__xludf.DUMMYFUNCTION("""COMPUTED_VALUE"""),FALSE)</f>
        <v>0</v>
      </c>
      <c r="D76" s="191" t="str">
        <f>IFERROR(__xludf.DUMMYFUNCTION("""COMPUTED_VALUE"""),"Navrátil Ondřej")</f>
        <v>Navrátil Ondřej</v>
      </c>
      <c r="E76" s="191" t="str">
        <f>IFERROR(__xludf.DUMMYFUNCTION("""COMPUTED_VALUE"""),"Chodov")</f>
        <v>Chodov</v>
      </c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4">
        <f>IFERROR(__xludf.DUMMYFUNCTION("""COMPUTED_VALUE"""),267.6)</f>
        <v>267.6</v>
      </c>
      <c r="W76" s="194">
        <f>IFERROR(__xludf.DUMMYFUNCTION("""COMPUTED_VALUE"""),0.0)</f>
        <v>0</v>
      </c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</row>
    <row r="77">
      <c r="A77" s="191"/>
      <c r="B77" s="196" t="str">
        <f>IF(OR(E77=Report!$B$1, F77=Report!$B$1, G77=Report!$B$1, H77=Report!$B$1), D77, "")</f>
        <v>Němec Filip</v>
      </c>
      <c r="C77" s="191" t="b">
        <f>IFERROR(__xludf.DUMMYFUNCTION("""COMPUTED_VALUE"""),FALSE)</f>
        <v>0</v>
      </c>
      <c r="D77" s="191" t="str">
        <f>IFERROR(__xludf.DUMMYFUNCTION("""COMPUTED_VALUE"""),"Němec Filip")</f>
        <v>Němec Filip</v>
      </c>
      <c r="E77" s="191" t="str">
        <f>IFERROR(__xludf.DUMMYFUNCTION("""COMPUTED_VALUE"""),"Zličín")</f>
        <v>Zličín</v>
      </c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4">
        <f>IFERROR(__xludf.DUMMYFUNCTION("""COMPUTED_VALUE"""),231.474)</f>
        <v>231.474</v>
      </c>
      <c r="W77" s="194">
        <f>IFERROR(__xludf.DUMMYFUNCTION("""COMPUTED_VALUE"""),0.0)</f>
        <v>0</v>
      </c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</row>
    <row r="78">
      <c r="A78" s="191"/>
      <c r="B78" s="196" t="str">
        <f>IF(OR(E78=Report!$B$1, F78=Report!$B$1, G78=Report!$B$1, H78=Report!$B$1), D78, "")</f>
        <v>Zimmer Jakub</v>
      </c>
      <c r="C78" s="191" t="b">
        <f>IFERROR(__xludf.DUMMYFUNCTION("""COMPUTED_VALUE"""),FALSE)</f>
        <v>0</v>
      </c>
      <c r="D78" s="191" t="str">
        <f>IFERROR(__xludf.DUMMYFUNCTION("""COMPUTED_VALUE"""),"Zimmer Jakub")</f>
        <v>Zimmer Jakub</v>
      </c>
      <c r="E78" s="191" t="str">
        <f>IFERROR(__xludf.DUMMYFUNCTION("""COMPUTED_VALUE"""),"Zličín")</f>
        <v>Zličín</v>
      </c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4">
        <f>IFERROR(__xludf.DUMMYFUNCTION("""COMPUTED_VALUE"""),267.6)</f>
        <v>267.6</v>
      </c>
      <c r="W78" s="194">
        <f>IFERROR(__xludf.DUMMYFUNCTION("""COMPUTED_VALUE"""),0.0)</f>
        <v>0</v>
      </c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</row>
    <row r="79">
      <c r="A79" s="191"/>
      <c r="B79" s="196" t="str">
        <f>IF(OR(E79=Report!$B$1, F79=Report!$B$1, G79=Report!$B$1, H79=Report!$B$1), D79, "")</f>
        <v>Nekolný Vladimír</v>
      </c>
      <c r="C79" s="191" t="b">
        <f>IFERROR(__xludf.DUMMYFUNCTION("""COMPUTED_VALUE"""),FALSE)</f>
        <v>0</v>
      </c>
      <c r="D79" s="191" t="str">
        <f>IFERROR(__xludf.DUMMYFUNCTION("""COMPUTED_VALUE"""),"Nekolný Vladimír")</f>
        <v>Nekolný Vladimír</v>
      </c>
      <c r="E79" s="191" t="str">
        <f>IFERROR(__xludf.DUMMYFUNCTION("""COMPUTED_VALUE"""),"Chodov")</f>
        <v>Chodov</v>
      </c>
      <c r="F79" s="191" t="str">
        <f>IFERROR(__xludf.DUMMYFUNCTION("""COMPUTED_VALUE"""),"Libuš")</f>
        <v>Libuš</v>
      </c>
      <c r="G79" s="191" t="str">
        <f>IFERROR(__xludf.DUMMYFUNCTION("""COMPUTED_VALUE"""),"Zličín")</f>
        <v>Zličín</v>
      </c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4">
        <f>IFERROR(__xludf.DUMMYFUNCTION("""COMPUTED_VALUE"""),231.474)</f>
        <v>231.474</v>
      </c>
      <c r="W79" s="194">
        <f>IFERROR(__xludf.DUMMYFUNCTION("""COMPUTED_VALUE"""),0.0)</f>
        <v>0</v>
      </c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</row>
    <row r="80">
      <c r="A80" s="191"/>
      <c r="B80" s="196" t="str">
        <f>IF(OR(E80=Report!$B$1, F80=Report!$B$1, G80=Report!$B$1, H80=Report!$B$1), D80, "")</f>
        <v/>
      </c>
      <c r="C80" s="191" t="b">
        <f>IFERROR(__xludf.DUMMYFUNCTION("""COMPUTED_VALUE"""),FALSE)</f>
        <v>0</v>
      </c>
      <c r="D80" s="191" t="str">
        <f>IFERROR(__xludf.DUMMYFUNCTION("""COMPUTED_VALUE"""),"Hanibal Filip")</f>
        <v>Hanibal Filip</v>
      </c>
      <c r="E80" s="191" t="str">
        <f>IFERROR(__xludf.DUMMYFUNCTION("""COMPUTED_VALUE"""),"Malešice")</f>
        <v>Malešice</v>
      </c>
      <c r="F80" s="191" t="str">
        <f>IFERROR(__xludf.DUMMYFUNCTION("""COMPUTED_VALUE"""),"Libuš")</f>
        <v>Libuš</v>
      </c>
      <c r="G80" s="191" t="str">
        <f>IFERROR(__xludf.DUMMYFUNCTION("""COMPUTED_VALUE"""),"Prosek")</f>
        <v>Prosek</v>
      </c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4">
        <f>IFERROR(__xludf.DUMMYFUNCTION("""COMPUTED_VALUE"""),250.20600000000002)</f>
        <v>250.206</v>
      </c>
      <c r="W80" s="194">
        <f>IFERROR(__xludf.DUMMYFUNCTION("""COMPUTED_VALUE"""),0.0)</f>
        <v>0</v>
      </c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</row>
    <row r="81">
      <c r="A81" s="191"/>
      <c r="B81" s="196" t="str">
        <f>IF(OR(E81=Report!$B$1, F81=Report!$B$1, G81=Report!$B$1, H81=Report!$B$1), D81, "")</f>
        <v>Novák Jakub</v>
      </c>
      <c r="C81" s="191" t="b">
        <f>IFERROR(__xludf.DUMMYFUNCTION("""COMPUTED_VALUE"""),FALSE)</f>
        <v>0</v>
      </c>
      <c r="D81" s="191" t="str">
        <f>IFERROR(__xludf.DUMMYFUNCTION("""COMPUTED_VALUE"""),"Novák Jakub")</f>
        <v>Novák Jakub</v>
      </c>
      <c r="E81" s="191" t="str">
        <f>IFERROR(__xludf.DUMMYFUNCTION("""COMPUTED_VALUE"""),"Zličín")</f>
        <v>Zličín</v>
      </c>
      <c r="F81" s="191" t="str">
        <f>IFERROR(__xludf.DUMMYFUNCTION("""COMPUTED_VALUE"""),"Malešice")</f>
        <v>Malešice</v>
      </c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4">
        <f>IFERROR(__xludf.DUMMYFUNCTION("""COMPUTED_VALUE"""),231.474)</f>
        <v>231.474</v>
      </c>
      <c r="W81" s="194">
        <f>IFERROR(__xludf.DUMMYFUNCTION("""COMPUTED_VALUE"""),0.0)</f>
        <v>0</v>
      </c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</row>
    <row r="82">
      <c r="A82" s="191"/>
      <c r="B82" s="196" t="str">
        <f>IF(OR(E82=Report!$B$1, F82=Report!$B$1, G82=Report!$B$1, H82=Report!$B$1), D82, "")</f>
        <v>Černohorský Otakar</v>
      </c>
      <c r="C82" s="191" t="b">
        <f>IFERROR(__xludf.DUMMYFUNCTION("""COMPUTED_VALUE"""),FALSE)</f>
        <v>0</v>
      </c>
      <c r="D82" s="191" t="str">
        <f>IFERROR(__xludf.DUMMYFUNCTION("""COMPUTED_VALUE"""),"Černohorský Otakar")</f>
        <v>Černohorský Otakar</v>
      </c>
      <c r="E82" s="191" t="str">
        <f>IFERROR(__xludf.DUMMYFUNCTION("""COMPUTED_VALUE"""),"Zličín")</f>
        <v>Zličín</v>
      </c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4">
        <f>IFERROR(__xludf.DUMMYFUNCTION("""COMPUTED_VALUE"""),231.474)</f>
        <v>231.474</v>
      </c>
      <c r="W82" s="194">
        <f>IFERROR(__xludf.DUMMYFUNCTION("""COMPUTED_VALUE"""),0.0)</f>
        <v>0</v>
      </c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</row>
    <row r="83">
      <c r="A83" s="191"/>
      <c r="B83" s="196" t="str">
        <f>IF(OR(E83=Report!$B$1, F83=Report!$B$1, G83=Report!$B$1, H83=Report!$B$1), D83, "")</f>
        <v/>
      </c>
      <c r="C83" s="191" t="b">
        <f>IFERROR(__xludf.DUMMYFUNCTION("""COMPUTED_VALUE"""),FALSE)</f>
        <v>0</v>
      </c>
      <c r="D83" s="191" t="str">
        <f>IFERROR(__xludf.DUMMYFUNCTION("""COMPUTED_VALUE"""),"Nedvěd Dominik")</f>
        <v>Nedvěd Dominik</v>
      </c>
      <c r="E83" s="191" t="str">
        <f>IFERROR(__xludf.DUMMYFUNCTION("""COMPUTED_VALUE"""),"Libuš")</f>
        <v>Libuš</v>
      </c>
      <c r="F83" s="191" t="str">
        <f>IFERROR(__xludf.DUMMYFUNCTION("""COMPUTED_VALUE"""),"Malešice")</f>
        <v>Malešice</v>
      </c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4">
        <f>IFERROR(__xludf.DUMMYFUNCTION("""COMPUTED_VALUE"""),231.474)</f>
        <v>231.474</v>
      </c>
      <c r="W83" s="194">
        <f>IFERROR(__xludf.DUMMYFUNCTION("""COMPUTED_VALUE"""),0.0)</f>
        <v>0</v>
      </c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</row>
    <row r="84">
      <c r="A84" s="191"/>
      <c r="B84" s="196" t="str">
        <f>IF(OR(E84=Report!$B$1, F84=Report!$B$1, G84=Report!$B$1, H84=Report!$B$1), D84, "")</f>
        <v/>
      </c>
      <c r="C84" s="191" t="b">
        <f>IFERROR(__xludf.DUMMYFUNCTION("""COMPUTED_VALUE"""),FALSE)</f>
        <v>0</v>
      </c>
      <c r="D84" s="191" t="str">
        <f>IFERROR(__xludf.DUMMYFUNCTION("""COMPUTED_VALUE"""),"Lanský Zoltan")</f>
        <v>Lanský Zoltan</v>
      </c>
      <c r="E84" s="191" t="str">
        <f>IFERROR(__xludf.DUMMYFUNCTION("""COMPUTED_VALUE"""),"Chodov")</f>
        <v>Chodov</v>
      </c>
      <c r="F84" s="191" t="str">
        <f>IFERROR(__xludf.DUMMYFUNCTION("""COMPUTED_VALUE"""),"Libuš")</f>
        <v>Libuš</v>
      </c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4">
        <f>IFERROR(__xludf.DUMMYFUNCTION("""COMPUTED_VALUE"""),250.20600000000002)</f>
        <v>250.206</v>
      </c>
      <c r="W84" s="194">
        <f>IFERROR(__xludf.DUMMYFUNCTION("""COMPUTED_VALUE"""),0.0)</f>
        <v>0</v>
      </c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</row>
    <row r="85">
      <c r="A85" s="191"/>
      <c r="B85" s="196" t="str">
        <f>IF(OR(E85=Report!$B$1, F85=Report!$B$1, G85=Report!$B$1, H85=Report!$B$1), D85, "")</f>
        <v>Lowe Jana</v>
      </c>
      <c r="C85" s="191" t="b">
        <f>IFERROR(__xludf.DUMMYFUNCTION("""COMPUTED_VALUE"""),FALSE)</f>
        <v>0</v>
      </c>
      <c r="D85" s="191" t="str">
        <f>IFERROR(__xludf.DUMMYFUNCTION("""COMPUTED_VALUE"""),"Lowe Jana")</f>
        <v>Lowe Jana</v>
      </c>
      <c r="E85" s="191" t="str">
        <f>IFERROR(__xludf.DUMMYFUNCTION("""COMPUTED_VALUE"""),"Zličín")</f>
        <v>Zličín</v>
      </c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4">
        <f>IFERROR(__xludf.DUMMYFUNCTION("""COMPUTED_VALUE"""),150.0)</f>
        <v>150</v>
      </c>
      <c r="W85" s="194">
        <f>IFERROR(__xludf.DUMMYFUNCTION("""COMPUTED_VALUE"""),0.0)</f>
        <v>0</v>
      </c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</row>
    <row r="86">
      <c r="A86" s="191"/>
      <c r="B86" s="196" t="str">
        <f>IF(OR(E86=Report!$B$1, F86=Report!$B$1, G86=Report!$B$1, H86=Report!$B$1), D86, "")</f>
        <v/>
      </c>
      <c r="C86" s="191" t="b">
        <f>IFERROR(__xludf.DUMMYFUNCTION("""COMPUTED_VALUE"""),FALSE)</f>
        <v>0</v>
      </c>
      <c r="D86" s="191" t="str">
        <f>IFERROR(__xludf.DUMMYFUNCTION("""COMPUTED_VALUE"""),"Hyský Aleš")</f>
        <v>Hyský Aleš</v>
      </c>
      <c r="E86" s="191" t="str">
        <f>IFERROR(__xludf.DUMMYFUNCTION("""COMPUTED_VALUE"""),"Chodov")</f>
        <v>Chodov</v>
      </c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4">
        <f>IFERROR(__xludf.DUMMYFUNCTION("""COMPUTED_VALUE"""),231.474)</f>
        <v>231.474</v>
      </c>
      <c r="W86" s="194">
        <f>IFERROR(__xludf.DUMMYFUNCTION("""COMPUTED_VALUE"""),0.0)</f>
        <v>0</v>
      </c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</row>
    <row r="87">
      <c r="A87" s="191"/>
      <c r="B87" s="196" t="str">
        <f>IF(OR(E87=Report!$B$1, F87=Report!$B$1, G87=Report!$B$1, H87=Report!$B$1), D87, "")</f>
        <v/>
      </c>
      <c r="C87" s="191" t="b">
        <f>IFERROR(__xludf.DUMMYFUNCTION("""COMPUTED_VALUE"""),FALSE)</f>
        <v>0</v>
      </c>
      <c r="D87" s="191" t="str">
        <f>IFERROR(__xludf.DUMMYFUNCTION("""COMPUTED_VALUE"""),"Lažek Jaroslav")</f>
        <v>Lažek Jaroslav</v>
      </c>
      <c r="E87" s="191" t="str">
        <f>IFERROR(__xludf.DUMMYFUNCTION("""COMPUTED_VALUE"""),"Libuš")</f>
        <v>Libuš</v>
      </c>
      <c r="F87" s="191" t="str">
        <f>IFERROR(__xludf.DUMMYFUNCTION("""COMPUTED_VALUE"""),"Chodov")</f>
        <v>Chodov</v>
      </c>
      <c r="G87" s="191" t="str">
        <f>IFERROR(__xludf.DUMMYFUNCTION("""COMPUTED_VALUE"""),"Malešice")</f>
        <v>Malešice</v>
      </c>
      <c r="H87" s="191" t="str">
        <f>IFERROR(__xludf.DUMMYFUNCTION("""COMPUTED_VALUE"""),"Výroba")</f>
        <v>Výroba</v>
      </c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4">
        <f>IFERROR(__xludf.DUMMYFUNCTION("""COMPUTED_VALUE"""),170.0)</f>
        <v>170</v>
      </c>
      <c r="W87" s="194">
        <f>IFERROR(__xludf.DUMMYFUNCTION("""COMPUTED_VALUE"""),0.0)</f>
        <v>0</v>
      </c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</row>
    <row r="88">
      <c r="A88" s="191"/>
      <c r="B88" s="196" t="str">
        <f>IF(OR(E88=Report!$B$1, F88=Report!$B$1, G88=Report!$B$1, H88=Report!$B$1), D88, "")</f>
        <v>Kormash Liubov</v>
      </c>
      <c r="C88" s="191" t="b">
        <f>IFERROR(__xludf.DUMMYFUNCTION("""COMPUTED_VALUE"""),FALSE)</f>
        <v>0</v>
      </c>
      <c r="D88" s="191" t="str">
        <f>IFERROR(__xludf.DUMMYFUNCTION("""COMPUTED_VALUE"""),"Kormash Liubov")</f>
        <v>Kormash Liubov</v>
      </c>
      <c r="E88" s="191" t="str">
        <f>IFERROR(__xludf.DUMMYFUNCTION("""COMPUTED_VALUE"""),"Zličín")</f>
        <v>Zličín</v>
      </c>
      <c r="F88" s="191" t="str">
        <f>IFERROR(__xludf.DUMMYFUNCTION("""COMPUTED_VALUE"""),"Prosek")</f>
        <v>Prosek</v>
      </c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4">
        <f>IFERROR(__xludf.DUMMYFUNCTION("""COMPUTED_VALUE"""),160.0)</f>
        <v>160</v>
      </c>
      <c r="W88" s="194">
        <f>IFERROR(__xludf.DUMMYFUNCTION("""COMPUTED_VALUE"""),0.0)</f>
        <v>0</v>
      </c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</row>
    <row r="89">
      <c r="A89" s="191"/>
      <c r="B89" s="196" t="str">
        <f>IF(OR(E89=Report!$B$1, F89=Report!$B$1, G89=Report!$B$1, H89=Report!$B$1), D89, "")</f>
        <v/>
      </c>
      <c r="C89" s="191" t="b">
        <f>IFERROR(__xludf.DUMMYFUNCTION("""COMPUTED_VALUE"""),FALSE)</f>
        <v>0</v>
      </c>
      <c r="D89" s="191" t="str">
        <f>IFERROR(__xludf.DUMMYFUNCTION("""COMPUTED_VALUE"""),"Chlubna Tomáš")</f>
        <v>Chlubna Tomáš</v>
      </c>
      <c r="E89" s="191" t="str">
        <f>IFERROR(__xludf.DUMMYFUNCTION("""COMPUTED_VALUE"""),"Chodov")</f>
        <v>Chodov</v>
      </c>
      <c r="F89" s="191" t="str">
        <f>IFERROR(__xludf.DUMMYFUNCTION("""COMPUTED_VALUE"""),"Libuš")</f>
        <v>Libuš</v>
      </c>
      <c r="G89" s="191" t="str">
        <f>IFERROR(__xludf.DUMMYFUNCTION("""COMPUTED_VALUE"""),"Výroba")</f>
        <v>Výroba</v>
      </c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4">
        <f>IFERROR(__xludf.DUMMYFUNCTION("""COMPUTED_VALUE"""),250.20600000000002)</f>
        <v>250.206</v>
      </c>
      <c r="W89" s="194">
        <f>IFERROR(__xludf.DUMMYFUNCTION("""COMPUTED_VALUE"""),0.0)</f>
        <v>0</v>
      </c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</row>
    <row r="90">
      <c r="A90" s="191"/>
      <c r="B90" s="196" t="str">
        <f>IF(OR(E90=Report!$B$1, F90=Report!$B$1, G90=Report!$B$1, H90=Report!$B$1), D90, "")</f>
        <v>Vychivskyi Volodymyr</v>
      </c>
      <c r="C90" s="191" t="b">
        <f>IFERROR(__xludf.DUMMYFUNCTION("""COMPUTED_VALUE"""),FALSE)</f>
        <v>0</v>
      </c>
      <c r="D90" s="191" t="str">
        <f>IFERROR(__xludf.DUMMYFUNCTION("""COMPUTED_VALUE"""),"Vychivskyi Volodymyr")</f>
        <v>Vychivskyi Volodymyr</v>
      </c>
      <c r="E90" s="191" t="str">
        <f>IFERROR(__xludf.DUMMYFUNCTION("""COMPUTED_VALUE"""),"Malešice")</f>
        <v>Malešice</v>
      </c>
      <c r="F90" s="191" t="str">
        <f>IFERROR(__xludf.DUMMYFUNCTION("""COMPUTED_VALUE"""),"Prosek")</f>
        <v>Prosek</v>
      </c>
      <c r="G90" s="191" t="str">
        <f>IFERROR(__xludf.DUMMYFUNCTION("""COMPUTED_VALUE"""),"Zličín")</f>
        <v>Zličín</v>
      </c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4">
        <f>IFERROR(__xludf.DUMMYFUNCTION("""COMPUTED_VALUE"""),250.20600000000002)</f>
        <v>250.206</v>
      </c>
      <c r="W90" s="194">
        <f>IFERROR(__xludf.DUMMYFUNCTION("""COMPUTED_VALUE"""),0.0)</f>
        <v>0</v>
      </c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</row>
    <row r="91">
      <c r="A91" s="191"/>
      <c r="B91" s="196" t="str">
        <f>IF(OR(E91=Report!$B$1, F91=Report!$B$1, G91=Report!$B$1, H91=Report!$B$1), D91, "")</f>
        <v/>
      </c>
      <c r="C91" s="191" t="b">
        <f>IFERROR(__xludf.DUMMYFUNCTION("""COMPUTED_VALUE"""),FALSE)</f>
        <v>0</v>
      </c>
      <c r="D91" s="191" t="str">
        <f>IFERROR(__xludf.DUMMYFUNCTION("""COMPUTED_VALUE"""),"Hřebík Martin")</f>
        <v>Hřebík Martin</v>
      </c>
      <c r="E91" s="191" t="str">
        <f>IFERROR(__xludf.DUMMYFUNCTION("""COMPUTED_VALUE"""),"Výroba")</f>
        <v>Výroba</v>
      </c>
      <c r="F91" s="191" t="str">
        <f>IFERROR(__xludf.DUMMYFUNCTION("""COMPUTED_VALUE"""),"Chodov")</f>
        <v>Chodov</v>
      </c>
      <c r="G91" s="191" t="str">
        <f>IFERROR(__xludf.DUMMYFUNCTION("""COMPUTED_VALUE"""),"Prosek")</f>
        <v>Prosek</v>
      </c>
      <c r="H91" s="191" t="str">
        <f>IFERROR(__xludf.DUMMYFUNCTION("""COMPUTED_VALUE"""),"Libuš")</f>
        <v>Libuš</v>
      </c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4">
        <f>IFERROR(__xludf.DUMMYFUNCTION("""COMPUTED_VALUE"""),386.68199999999996)</f>
        <v>386.682</v>
      </c>
      <c r="W91" s="194">
        <f>IFERROR(__xludf.DUMMYFUNCTION("""COMPUTED_VALUE"""),2494.722580645161)</f>
        <v>2494.722581</v>
      </c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</row>
    <row r="92">
      <c r="A92" s="191"/>
      <c r="B92" s="196" t="str">
        <f>IF(OR(E92=Report!$B$1, F92=Report!$B$1, G92=Report!$B$1, H92=Report!$B$1), D92, "")</f>
        <v/>
      </c>
      <c r="C92" s="191" t="b">
        <f>IFERROR(__xludf.DUMMYFUNCTION("""COMPUTED_VALUE"""),FALSE)</f>
        <v>0</v>
      </c>
      <c r="D92" s="191" t="str">
        <f>IFERROR(__xludf.DUMMYFUNCTION("""COMPUTED_VALUE"""),"Eszenyiová Patrícia")</f>
        <v>Eszenyiová Patrícia</v>
      </c>
      <c r="E92" s="191" t="str">
        <f>IFERROR(__xludf.DUMMYFUNCTION("""COMPUTED_VALUE"""),"Libuš")</f>
        <v>Libuš</v>
      </c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4">
        <f>IFERROR(__xludf.DUMMYFUNCTION("""COMPUTED_VALUE"""),250.20600000000002)</f>
        <v>250.206</v>
      </c>
      <c r="W92" s="194">
        <f>IFERROR(__xludf.DUMMYFUNCTION("""COMPUTED_VALUE"""),0.0)</f>
        <v>0</v>
      </c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</row>
    <row r="93">
      <c r="A93" s="191"/>
      <c r="B93" s="196" t="str">
        <f>IF(OR(E93=Report!$B$1, F93=Report!$B$1, G93=Report!$B$1, H93=Report!$B$1), D93, "")</f>
        <v/>
      </c>
      <c r="C93" s="191" t="b">
        <f>IFERROR(__xludf.DUMMYFUNCTION("""COMPUTED_VALUE"""),FALSE)</f>
        <v>0</v>
      </c>
      <c r="D93" s="191" t="str">
        <f>IFERROR(__xludf.DUMMYFUNCTION("""COMPUTED_VALUE"""),"Reischl Jan")</f>
        <v>Reischl Jan</v>
      </c>
      <c r="E93" s="191" t="str">
        <f>IFERROR(__xludf.DUMMYFUNCTION("""COMPUTED_VALUE"""),"Malešice")</f>
        <v>Malešice</v>
      </c>
      <c r="F93" s="191" t="str">
        <f>IFERROR(__xludf.DUMMYFUNCTION("""COMPUTED_VALUE"""),"Chodov")</f>
        <v>Chodov</v>
      </c>
      <c r="G93" s="191" t="str">
        <f>IFERROR(__xludf.DUMMYFUNCTION("""COMPUTED_VALUE"""),"Libuš")</f>
        <v>Libuš</v>
      </c>
      <c r="H93" s="191" t="str">
        <f>IFERROR(__xludf.DUMMYFUNCTION("""COMPUTED_VALUE"""),"Prosek")</f>
        <v>Prosek</v>
      </c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4">
        <f>IFERROR(__xludf.DUMMYFUNCTION("""COMPUTED_VALUE"""),214.08)</f>
        <v>214.08</v>
      </c>
      <c r="W93" s="194">
        <f>IFERROR(__xludf.DUMMYFUNCTION("""COMPUTED_VALUE"""),0.0)</f>
        <v>0</v>
      </c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</row>
    <row r="94">
      <c r="A94" s="191"/>
      <c r="B94" s="196" t="str">
        <f>IF(OR(E94=Report!$B$1, F94=Report!$B$1, G94=Report!$B$1, H94=Report!$B$1), D94, "")</f>
        <v/>
      </c>
      <c r="C94" s="191" t="b">
        <f>IFERROR(__xludf.DUMMYFUNCTION("""COMPUTED_VALUE"""),FALSE)</f>
        <v>0</v>
      </c>
      <c r="D94" s="191" t="str">
        <f>IFERROR(__xludf.DUMMYFUNCTION("""COMPUTED_VALUE"""),"Mikešová Adéla")</f>
        <v>Mikešová Adéla</v>
      </c>
      <c r="E94" s="191" t="str">
        <f>IFERROR(__xludf.DUMMYFUNCTION("""COMPUTED_VALUE"""),"Bolevec")</f>
        <v>Bolevec</v>
      </c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4">
        <f>IFERROR(__xludf.DUMMYFUNCTION("""COMPUTED_VALUE"""),214.08)</f>
        <v>214.08</v>
      </c>
      <c r="W94" s="194">
        <f>IFERROR(__xludf.DUMMYFUNCTION("""COMPUTED_VALUE"""),0.0)</f>
        <v>0</v>
      </c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</row>
    <row r="95">
      <c r="A95" s="191"/>
      <c r="B95" s="196" t="str">
        <f>IF(OR(E95=Report!$B$1, F95=Report!$B$1, G95=Report!$B$1, H95=Report!$B$1), D95, "")</f>
        <v/>
      </c>
      <c r="C95" s="191" t="b">
        <f>IFERROR(__xludf.DUMMYFUNCTION("""COMPUTED_VALUE"""),FALSE)</f>
        <v>0</v>
      </c>
      <c r="D95" s="191" t="str">
        <f>IFERROR(__xludf.DUMMYFUNCTION("""COMPUTED_VALUE"""),"Chyský David")</f>
        <v>Chyský David</v>
      </c>
      <c r="E95" s="191" t="str">
        <f>IFERROR(__xludf.DUMMYFUNCTION("""COMPUTED_VALUE"""),"Chodov")</f>
        <v>Chodov</v>
      </c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4">
        <f>IFERROR(__xludf.DUMMYFUNCTION("""COMPUTED_VALUE"""),231.474)</f>
        <v>231.474</v>
      </c>
      <c r="W95" s="194">
        <f>IFERROR(__xludf.DUMMYFUNCTION("""COMPUTED_VALUE"""),0.0)</f>
        <v>0</v>
      </c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</row>
    <row r="96">
      <c r="A96" s="191"/>
      <c r="B96" s="196" t="str">
        <f>IF(OR(E96=Report!$B$1, F96=Report!$B$1, G96=Report!$B$1, H96=Report!$B$1), D96, "")</f>
        <v/>
      </c>
      <c r="C96" s="191" t="b">
        <f>IFERROR(__xludf.DUMMYFUNCTION("""COMPUTED_VALUE"""),FALSE)</f>
        <v>0</v>
      </c>
      <c r="D96" s="191" t="str">
        <f>IFERROR(__xludf.DUMMYFUNCTION("""COMPUTED_VALUE"""),"Kalina Filip")</f>
        <v>Kalina Filip</v>
      </c>
      <c r="E96" s="191" t="str">
        <f>IFERROR(__xludf.DUMMYFUNCTION("""COMPUTED_VALUE"""),"Malešice")</f>
        <v>Malešice</v>
      </c>
      <c r="F96" s="191" t="str">
        <f>IFERROR(__xludf.DUMMYFUNCTION("""COMPUTED_VALUE"""),"Libuš")</f>
        <v>Libuš</v>
      </c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4">
        <f>IFERROR(__xludf.DUMMYFUNCTION("""COMPUTED_VALUE"""),231.474)</f>
        <v>231.474</v>
      </c>
      <c r="W96" s="194">
        <f>IFERROR(__xludf.DUMMYFUNCTION("""COMPUTED_VALUE"""),0.0)</f>
        <v>0</v>
      </c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</row>
    <row r="97">
      <c r="A97" s="191"/>
      <c r="B97" s="196" t="str">
        <f>IF(OR(E97=Report!$B$1, F97=Report!$B$1, G97=Report!$B$1, H97=Report!$B$1), D97, "")</f>
        <v/>
      </c>
      <c r="C97" s="191" t="b">
        <f>IFERROR(__xludf.DUMMYFUNCTION("""COMPUTED_VALUE"""),FALSE)</f>
        <v>0</v>
      </c>
      <c r="D97" s="191" t="str">
        <f>IFERROR(__xludf.DUMMYFUNCTION("""COMPUTED_VALUE"""),"Kaločai Rudolf")</f>
        <v>Kaločai Rudolf</v>
      </c>
      <c r="E97" s="191" t="str">
        <f>IFERROR(__xludf.DUMMYFUNCTION("""COMPUTED_VALUE"""),"Bolevec")</f>
        <v>Bolevec</v>
      </c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4">
        <f>IFERROR(__xludf.DUMMYFUNCTION("""COMPUTED_VALUE"""),140.0)</f>
        <v>140</v>
      </c>
      <c r="W97" s="194">
        <f>IFERROR(__xludf.DUMMYFUNCTION("""COMPUTED_VALUE"""),0.0)</f>
        <v>0</v>
      </c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</row>
    <row r="98">
      <c r="A98" s="191"/>
      <c r="B98" s="196" t="str">
        <f>IF(OR(E98=Report!$B$1, F98=Report!$B$1, G98=Report!$B$1, H98=Report!$B$1), D98, "")</f>
        <v/>
      </c>
      <c r="C98" s="191" t="b">
        <f>IFERROR(__xludf.DUMMYFUNCTION("""COMPUTED_VALUE"""),FALSE)</f>
        <v>0</v>
      </c>
      <c r="D98" s="191" t="str">
        <f>IFERROR(__xludf.DUMMYFUNCTION("""COMPUTED_VALUE"""),"Dušek Sam")</f>
        <v>Dušek Sam</v>
      </c>
      <c r="E98" s="191" t="str">
        <f>IFERROR(__xludf.DUMMYFUNCTION("""COMPUTED_VALUE"""),"Libuš")</f>
        <v>Libuš</v>
      </c>
      <c r="F98" s="191" t="str">
        <f>IFERROR(__xludf.DUMMYFUNCTION("""COMPUTED_VALUE"""),"Malešice")</f>
        <v>Malešice</v>
      </c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4">
        <f>IFERROR(__xludf.DUMMYFUNCTION("""COMPUTED_VALUE"""),250.20600000000002)</f>
        <v>250.206</v>
      </c>
      <c r="W98" s="194">
        <f>IFERROR(__xludf.DUMMYFUNCTION("""COMPUTED_VALUE"""),0.0)</f>
        <v>0</v>
      </c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</row>
    <row r="99">
      <c r="A99" s="191"/>
      <c r="B99" s="196" t="str">
        <f>IF(OR(E99=Report!$B$1, F99=Report!$B$1, G99=Report!$B$1, H99=Report!$B$1), D99, "")</f>
        <v>Banga Adam</v>
      </c>
      <c r="C99" s="191" t="b">
        <f>IFERROR(__xludf.DUMMYFUNCTION("""COMPUTED_VALUE"""),FALSE)</f>
        <v>0</v>
      </c>
      <c r="D99" s="191" t="str">
        <f>IFERROR(__xludf.DUMMYFUNCTION("""COMPUTED_VALUE"""),"Banga Adam")</f>
        <v>Banga Adam</v>
      </c>
      <c r="E99" s="191" t="str">
        <f>IFERROR(__xludf.DUMMYFUNCTION("""COMPUTED_VALUE"""),"Zličín")</f>
        <v>Zličín</v>
      </c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4">
        <f>IFERROR(__xludf.DUMMYFUNCTION("""COMPUTED_VALUE"""),231.474)</f>
        <v>231.474</v>
      </c>
      <c r="W99" s="194">
        <f>IFERROR(__xludf.DUMMYFUNCTION("""COMPUTED_VALUE"""),0.0)</f>
        <v>0</v>
      </c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</row>
    <row r="100">
      <c r="A100" s="191"/>
      <c r="B100" s="196" t="str">
        <f>IF(OR(E100=Report!$B$1, F100=Report!$B$1, G100=Report!$B$1, H100=Report!$B$1), D100, "")</f>
        <v/>
      </c>
      <c r="C100" s="191" t="b">
        <f>IFERROR(__xludf.DUMMYFUNCTION("""COMPUTED_VALUE"""),FALSE)</f>
        <v>0</v>
      </c>
      <c r="D100" s="191" t="str">
        <f>IFERROR(__xludf.DUMMYFUNCTION("""COMPUTED_VALUE"""),"Vopatová Anna")</f>
        <v>Vopatová Anna</v>
      </c>
      <c r="E100" s="191" t="str">
        <f>IFERROR(__xludf.DUMMYFUNCTION("""COMPUTED_VALUE"""),"Bolevec")</f>
        <v>Bolevec</v>
      </c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4">
        <f>IFERROR(__xludf.DUMMYFUNCTION("""COMPUTED_VALUE"""),214.08)</f>
        <v>214.08</v>
      </c>
      <c r="W100" s="194">
        <f>IFERROR(__xludf.DUMMYFUNCTION("""COMPUTED_VALUE"""),0.0)</f>
        <v>0</v>
      </c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</row>
    <row r="101">
      <c r="A101" s="191"/>
      <c r="B101" s="196" t="str">
        <f>IF(OR(E101=Report!$B$1, F101=Report!$B$1, G101=Report!$B$1, H101=Report!$B$1), D101, "")</f>
        <v/>
      </c>
      <c r="C101" s="191" t="b">
        <f>IFERROR(__xludf.DUMMYFUNCTION("""COMPUTED_VALUE"""),FALSE)</f>
        <v>0</v>
      </c>
      <c r="D101" s="191" t="str">
        <f>IFERROR(__xludf.DUMMYFUNCTION("""COMPUTED_VALUE"""),"Vopatová Šárka")</f>
        <v>Vopatová Šárka</v>
      </c>
      <c r="E101" s="191" t="str">
        <f>IFERROR(__xludf.DUMMYFUNCTION("""COMPUTED_VALUE"""),"Bolevec")</f>
        <v>Bolevec</v>
      </c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4">
        <f>IFERROR(__xludf.DUMMYFUNCTION("""COMPUTED_VALUE"""),214.08)</f>
        <v>214.08</v>
      </c>
      <c r="W101" s="194">
        <f>IFERROR(__xludf.DUMMYFUNCTION("""COMPUTED_VALUE"""),0.0)</f>
        <v>0</v>
      </c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</row>
    <row r="102">
      <c r="A102" s="191"/>
      <c r="B102" s="196" t="str">
        <f>IF(OR(E102=Report!$B$1, F102=Report!$B$1, G102=Report!$B$1, H102=Report!$B$1), D102, "")</f>
        <v/>
      </c>
      <c r="C102" s="191" t="b">
        <f>IFERROR(__xludf.DUMMYFUNCTION("""COMPUTED_VALUE"""),FALSE)</f>
        <v>0</v>
      </c>
      <c r="D102" s="191" t="str">
        <f>IFERROR(__xludf.DUMMYFUNCTION("""COMPUTED_VALUE"""),"Richterová Monika")</f>
        <v>Richterová Monika</v>
      </c>
      <c r="E102" s="191" t="str">
        <f>IFERROR(__xludf.DUMMYFUNCTION("""COMPUTED_VALUE"""),"Malešice")</f>
        <v>Malešice</v>
      </c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4">
        <f>IFERROR(__xludf.DUMMYFUNCTION("""COMPUTED_VALUE"""),214.08)</f>
        <v>214.08</v>
      </c>
      <c r="W102" s="194">
        <f>IFERROR(__xludf.DUMMYFUNCTION("""COMPUTED_VALUE"""),0.0)</f>
        <v>0</v>
      </c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</row>
    <row r="103">
      <c r="A103" s="191"/>
      <c r="B103" s="196" t="str">
        <f>IF(OR(E103=Report!$B$1, F103=Report!$B$1, G103=Report!$B$1, H103=Report!$B$1), D103, "")</f>
        <v/>
      </c>
      <c r="C103" s="191" t="b">
        <f>IFERROR(__xludf.DUMMYFUNCTION("""COMPUTED_VALUE"""),FALSE)</f>
        <v>0</v>
      </c>
      <c r="D103" s="191" t="str">
        <f>IFERROR(__xludf.DUMMYFUNCTION("""COMPUTED_VALUE"""),"Serin David")</f>
        <v>Serin David</v>
      </c>
      <c r="E103" s="191" t="str">
        <f>IFERROR(__xludf.DUMMYFUNCTION("""COMPUTED_VALUE"""),"Libuš")</f>
        <v>Libuš</v>
      </c>
      <c r="F103" s="191" t="str">
        <f>IFERROR(__xludf.DUMMYFUNCTION("""COMPUTED_VALUE"""),"Malešice")</f>
        <v>Malešice</v>
      </c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4">
        <f>IFERROR(__xludf.DUMMYFUNCTION("""COMPUTED_VALUE"""),250.20600000000002)</f>
        <v>250.206</v>
      </c>
      <c r="W103" s="194">
        <f>IFERROR(__xludf.DUMMYFUNCTION("""COMPUTED_VALUE"""),0.0)</f>
        <v>0</v>
      </c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</row>
    <row r="104">
      <c r="A104" s="191"/>
      <c r="B104" s="196" t="str">
        <f>IF(OR(E104=Report!$B$1, F104=Report!$B$1, G104=Report!$B$1, H104=Report!$B$1), D104, "")</f>
        <v/>
      </c>
      <c r="C104" s="191" t="b">
        <f>IFERROR(__xludf.DUMMYFUNCTION("""COMPUTED_VALUE"""),FALSE)</f>
        <v>0</v>
      </c>
      <c r="D104" s="191" t="str">
        <f>IFERROR(__xludf.DUMMYFUNCTION("""COMPUTED_VALUE"""),"Fabera Tomáš")</f>
        <v>Fabera Tomáš</v>
      </c>
      <c r="E104" s="191" t="str">
        <f>IFERROR(__xludf.DUMMYFUNCTION("""COMPUTED_VALUE"""),"Chodov")</f>
        <v>Chodov</v>
      </c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4">
        <f>IFERROR(__xludf.DUMMYFUNCTION("""COMPUTED_VALUE"""),231.474)</f>
        <v>231.474</v>
      </c>
      <c r="W104" s="194">
        <f>IFERROR(__xludf.DUMMYFUNCTION("""COMPUTED_VALUE"""),0.0)</f>
        <v>0</v>
      </c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</row>
    <row r="105">
      <c r="A105" s="191"/>
      <c r="B105" s="196" t="str">
        <f>IF(OR(E105=Report!$B$1, F105=Report!$B$1, G105=Report!$B$1, H105=Report!$B$1), D105, "")</f>
        <v/>
      </c>
      <c r="C105" s="191" t="b">
        <f>IFERROR(__xludf.DUMMYFUNCTION("""COMPUTED_VALUE"""),FALSE)</f>
        <v>0</v>
      </c>
      <c r="D105" s="191" t="str">
        <f>IFERROR(__xludf.DUMMYFUNCTION("""COMPUTED_VALUE"""),"Hendrych Rostislav")</f>
        <v>Hendrych Rostislav</v>
      </c>
      <c r="E105" s="191" t="str">
        <f>IFERROR(__xludf.DUMMYFUNCTION("""COMPUTED_VALUE"""),"Malešice")</f>
        <v>Malešice</v>
      </c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4">
        <f>IFERROR(__xludf.DUMMYFUNCTION("""COMPUTED_VALUE"""),250.20600000000002)</f>
        <v>250.206</v>
      </c>
      <c r="W105" s="194">
        <f>IFERROR(__xludf.DUMMYFUNCTION("""COMPUTED_VALUE"""),0.0)</f>
        <v>0</v>
      </c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</row>
    <row r="106">
      <c r="A106" s="191"/>
      <c r="B106" s="196" t="str">
        <f>IF(OR(E106=Report!$B$1, F106=Report!$B$1, G106=Report!$B$1, H106=Report!$B$1), D106, "")</f>
        <v/>
      </c>
      <c r="C106" s="191" t="b">
        <f>IFERROR(__xludf.DUMMYFUNCTION("""COMPUTED_VALUE"""),FALSE)</f>
        <v>0</v>
      </c>
      <c r="D106" s="191" t="str">
        <f>IFERROR(__xludf.DUMMYFUNCTION("""COMPUTED_VALUE"""),"Světlík František")</f>
        <v>Světlík František</v>
      </c>
      <c r="E106" s="191" t="str">
        <f>IFERROR(__xludf.DUMMYFUNCTION("""COMPUTED_VALUE"""),"Bolevec")</f>
        <v>Bolevec</v>
      </c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4">
        <f>IFERROR(__xludf.DUMMYFUNCTION("""COMPUTED_VALUE"""),214.08)</f>
        <v>214.08</v>
      </c>
      <c r="W106" s="194">
        <f>IFERROR(__xludf.DUMMYFUNCTION("""COMPUTED_VALUE"""),0.0)</f>
        <v>0</v>
      </c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</row>
    <row r="107">
      <c r="A107" s="191"/>
      <c r="B107" s="196" t="str">
        <f>IF(OR(E107=Report!$B$1, F107=Report!$B$1, G107=Report!$B$1, H107=Report!$B$1), D107, "")</f>
        <v/>
      </c>
      <c r="C107" s="191" t="b">
        <f>IFERROR(__xludf.DUMMYFUNCTION("""COMPUTED_VALUE"""),FALSE)</f>
        <v>0</v>
      </c>
      <c r="D107" s="191" t="str">
        <f>IFERROR(__xludf.DUMMYFUNCTION("""COMPUTED_VALUE"""),"Ženíšek Lukáš")</f>
        <v>Ženíšek Lukáš</v>
      </c>
      <c r="E107" s="191" t="str">
        <f>IFERROR(__xludf.DUMMYFUNCTION("""COMPUTED_VALUE"""),"Bolevec")</f>
        <v>Bolevec</v>
      </c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4">
        <f>IFERROR(__xludf.DUMMYFUNCTION("""COMPUTED_VALUE"""),214.08)</f>
        <v>214.08</v>
      </c>
      <c r="W107" s="194">
        <f>IFERROR(__xludf.DUMMYFUNCTION("""COMPUTED_VALUE"""),0.0)</f>
        <v>0</v>
      </c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</row>
    <row r="108">
      <c r="A108" s="191"/>
      <c r="B108" s="196" t="str">
        <f>IF(OR(E108=Report!$B$1, F108=Report!$B$1, G108=Report!$B$1, H108=Report!$B$1), D108, "")</f>
        <v/>
      </c>
      <c r="C108" s="191" t="b">
        <f>IFERROR(__xludf.DUMMYFUNCTION("""COMPUTED_VALUE"""),FALSE)</f>
        <v>0</v>
      </c>
      <c r="D108" s="191" t="str">
        <f>IFERROR(__xludf.DUMMYFUNCTION("""COMPUTED_VALUE"""),"Roth Stanislav st.")</f>
        <v>Roth Stanislav st.</v>
      </c>
      <c r="E108" s="191" t="str">
        <f>IFERROR(__xludf.DUMMYFUNCTION("""COMPUTED_VALUE"""),"Bolevec")</f>
        <v>Bolevec</v>
      </c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4">
        <f>IFERROR(__xludf.DUMMYFUNCTION("""COMPUTED_VALUE"""),49506.0)</f>
        <v>49506</v>
      </c>
      <c r="W108" s="194">
        <f>IFERROR(__xludf.DUMMYFUNCTION("""COMPUTED_VALUE"""),1596.967741935484)</f>
        <v>1596.967742</v>
      </c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</row>
    <row r="109">
      <c r="A109" s="191"/>
      <c r="B109" s="196" t="str">
        <f>IF(OR(E109=Report!$B$1, F109=Report!$B$1, G109=Report!$B$1, H109=Report!$B$1), D109, "")</f>
        <v>Vaníková Anna</v>
      </c>
      <c r="C109" s="191" t="b">
        <f>IFERROR(__xludf.DUMMYFUNCTION("""COMPUTED_VALUE"""),FALSE)</f>
        <v>0</v>
      </c>
      <c r="D109" s="191" t="str">
        <f>IFERROR(__xludf.DUMMYFUNCTION("""COMPUTED_VALUE"""),"Vaníková Anna")</f>
        <v>Vaníková Anna</v>
      </c>
      <c r="E109" s="191" t="str">
        <f>IFERROR(__xludf.DUMMYFUNCTION("""COMPUTED_VALUE"""),"Zličín")</f>
        <v>Zličín</v>
      </c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4">
        <f>IFERROR(__xludf.DUMMYFUNCTION("""COMPUTED_VALUE"""),250.20600000000002)</f>
        <v>250.206</v>
      </c>
      <c r="W109" s="194">
        <f>IFERROR(__xludf.DUMMYFUNCTION("""COMPUTED_VALUE"""),0.0)</f>
        <v>0</v>
      </c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</row>
    <row r="110">
      <c r="A110" s="191"/>
      <c r="B110" s="196" t="str">
        <f>IF(OR(E110=Report!$B$1, F110=Report!$B$1, G110=Report!$B$1, H110=Report!$B$1), D110, "")</f>
        <v/>
      </c>
      <c r="C110" s="191" t="b">
        <f>IFERROR(__xludf.DUMMYFUNCTION("""COMPUTED_VALUE"""),FALSE)</f>
        <v>0</v>
      </c>
      <c r="D110" s="191" t="str">
        <f>IFERROR(__xludf.DUMMYFUNCTION("""COMPUTED_VALUE"""),"Břicháč Pavel")</f>
        <v>Břicháč Pavel</v>
      </c>
      <c r="E110" s="191" t="str">
        <f>IFERROR(__xludf.DUMMYFUNCTION("""COMPUTED_VALUE"""),"Libuš")</f>
        <v>Libuš</v>
      </c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4">
        <f>IFERROR(__xludf.DUMMYFUNCTION("""COMPUTED_VALUE"""),231.474)</f>
        <v>231.474</v>
      </c>
      <c r="W110" s="194">
        <f>IFERROR(__xludf.DUMMYFUNCTION("""COMPUTED_VALUE"""),0.0)</f>
        <v>0</v>
      </c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</row>
    <row r="111">
      <c r="A111" s="191"/>
      <c r="B111" s="196" t="str">
        <f>IF(OR(E111=Report!$B$1, F111=Report!$B$1, G111=Report!$B$1, H111=Report!$B$1), D111, "")</f>
        <v>Čerešňák Michal</v>
      </c>
      <c r="C111" s="191" t="b">
        <f>IFERROR(__xludf.DUMMYFUNCTION("""COMPUTED_VALUE"""),FALSE)</f>
        <v>0</v>
      </c>
      <c r="D111" s="191" t="str">
        <f>IFERROR(__xludf.DUMMYFUNCTION("""COMPUTED_VALUE"""),"Čerešňák Michal")</f>
        <v>Čerešňák Michal</v>
      </c>
      <c r="E111" s="191" t="str">
        <f>IFERROR(__xludf.DUMMYFUNCTION("""COMPUTED_VALUE"""),"Zličín")</f>
        <v>Zličín</v>
      </c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4">
        <f>IFERROR(__xludf.DUMMYFUNCTION("""COMPUTED_VALUE"""),170.0)</f>
        <v>170</v>
      </c>
      <c r="W111" s="194">
        <f>IFERROR(__xludf.DUMMYFUNCTION("""COMPUTED_VALUE"""),0.0)</f>
        <v>0</v>
      </c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</row>
    <row r="112">
      <c r="A112" s="191"/>
      <c r="B112" s="196" t="str">
        <f>IF(OR(E112=Report!$B$1, F112=Report!$B$1, G112=Report!$B$1, H112=Report!$B$1), D112, "")</f>
        <v/>
      </c>
      <c r="C112" s="191" t="b">
        <f>IFERROR(__xludf.DUMMYFUNCTION("""COMPUTED_VALUE"""),FALSE)</f>
        <v>0</v>
      </c>
      <c r="D112" s="191" t="str">
        <f>IFERROR(__xludf.DUMMYFUNCTION("""COMPUTED_VALUE"""),"Weindling Josef")</f>
        <v>Weindling Josef</v>
      </c>
      <c r="E112" s="191" t="str">
        <f>IFERROR(__xludf.DUMMYFUNCTION("""COMPUTED_VALUE"""),"Libuš")</f>
        <v>Libuš</v>
      </c>
      <c r="F112" s="191" t="str">
        <f>IFERROR(__xludf.DUMMYFUNCTION("""COMPUTED_VALUE"""),"Malešice")</f>
        <v>Malešice</v>
      </c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4">
        <f>IFERROR(__xludf.DUMMYFUNCTION("""COMPUTED_VALUE"""),231.474)</f>
        <v>231.474</v>
      </c>
      <c r="W112" s="194">
        <f>IFERROR(__xludf.DUMMYFUNCTION("""COMPUTED_VALUE"""),0.0)</f>
        <v>0</v>
      </c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</row>
    <row r="113">
      <c r="A113" s="191"/>
      <c r="B113" s="196" t="str">
        <f>IF(OR(E113=Report!$B$1, F113=Report!$B$1, G113=Report!$B$1, H113=Report!$B$1), D113, "")</f>
        <v/>
      </c>
      <c r="C113" s="191" t="b">
        <f>IFERROR(__xludf.DUMMYFUNCTION("""COMPUTED_VALUE"""),FALSE)</f>
        <v>0</v>
      </c>
      <c r="D113" s="191" t="str">
        <f>IFERROR(__xludf.DUMMYFUNCTION("""COMPUTED_VALUE"""),"Fux Vojtěch")</f>
        <v>Fux Vojtěch</v>
      </c>
      <c r="E113" s="191" t="str">
        <f>IFERROR(__xludf.DUMMYFUNCTION("""COMPUTED_VALUE"""),"Chodov")</f>
        <v>Chodov</v>
      </c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4">
        <f>IFERROR(__xludf.DUMMYFUNCTION("""COMPUTED_VALUE"""),200.0)</f>
        <v>200</v>
      </c>
      <c r="W113" s="194">
        <f>IFERROR(__xludf.DUMMYFUNCTION("""COMPUTED_VALUE"""),0.0)</f>
        <v>0</v>
      </c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</row>
    <row r="114">
      <c r="A114" s="191"/>
      <c r="B114" s="196" t="str">
        <f>IF(OR(E114=Report!$B$1, F114=Report!$B$1, G114=Report!$B$1, H114=Report!$B$1), D114, "")</f>
        <v/>
      </c>
      <c r="C114" s="191" t="b">
        <f>IFERROR(__xludf.DUMMYFUNCTION("""COMPUTED_VALUE"""),FALSE)</f>
        <v>0</v>
      </c>
      <c r="D114" s="191" t="str">
        <f>IFERROR(__xludf.DUMMYFUNCTION("""COMPUTED_VALUE"""),"Kumar Jatinder")</f>
        <v>Kumar Jatinder</v>
      </c>
      <c r="E114" s="191" t="str">
        <f>IFERROR(__xludf.DUMMYFUNCTION("""COMPUTED_VALUE"""),"Libuš")</f>
        <v>Libuš</v>
      </c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4">
        <f>IFERROR(__xludf.DUMMYFUNCTION("""COMPUTED_VALUE"""),231.474)</f>
        <v>231.474</v>
      </c>
      <c r="W114" s="194">
        <f>IFERROR(__xludf.DUMMYFUNCTION("""COMPUTED_VALUE"""),0.0)</f>
        <v>0</v>
      </c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</row>
    <row r="115">
      <c r="A115" s="191"/>
      <c r="B115" s="196" t="str">
        <f>IF(OR(E115=Report!$B$1, F115=Report!$B$1, G115=Report!$B$1, H115=Report!$B$1), D115, "")</f>
        <v/>
      </c>
      <c r="C115" s="191" t="b">
        <f>IFERROR(__xludf.DUMMYFUNCTION("""COMPUTED_VALUE"""),FALSE)</f>
        <v>0</v>
      </c>
      <c r="D115" s="191" t="str">
        <f>IFERROR(__xludf.DUMMYFUNCTION("""COMPUTED_VALUE"""),"Stehlíková Magdaléna")</f>
        <v>Stehlíková Magdaléna</v>
      </c>
      <c r="E115" s="191" t="str">
        <f>IFERROR(__xludf.DUMMYFUNCTION("""COMPUTED_VALUE"""),"Bolevec")</f>
        <v>Bolevec</v>
      </c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4">
        <f>IFERROR(__xludf.DUMMYFUNCTION("""COMPUTED_VALUE"""),214.08)</f>
        <v>214.08</v>
      </c>
      <c r="W115" s="194">
        <f>IFERROR(__xludf.DUMMYFUNCTION("""COMPUTED_VALUE"""),0.0)</f>
        <v>0</v>
      </c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</row>
    <row r="116">
      <c r="A116" s="191"/>
      <c r="B116" s="196" t="str">
        <f>IF(OR(E116=Report!$B$1, F116=Report!$B$1, G116=Report!$B$1, H116=Report!$B$1), D116, "")</f>
        <v>Dragoun Alfréd</v>
      </c>
      <c r="C116" s="191" t="b">
        <f>IFERROR(__xludf.DUMMYFUNCTION("""COMPUTED_VALUE"""),FALSE)</f>
        <v>0</v>
      </c>
      <c r="D116" s="191" t="str">
        <f>IFERROR(__xludf.DUMMYFUNCTION("""COMPUTED_VALUE"""),"Dragoun Alfréd")</f>
        <v>Dragoun Alfréd</v>
      </c>
      <c r="E116" s="191" t="str">
        <f>IFERROR(__xludf.DUMMYFUNCTION("""COMPUTED_VALUE"""),"Zličín")</f>
        <v>Zličín</v>
      </c>
      <c r="F116" s="191" t="str">
        <f>IFERROR(__xludf.DUMMYFUNCTION("""COMPUTED_VALUE"""),"Malešice")</f>
        <v>Malešice</v>
      </c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4">
        <f>IFERROR(__xludf.DUMMYFUNCTION("""COMPUTED_VALUE"""),250.20600000000002)</f>
        <v>250.206</v>
      </c>
      <c r="W116" s="194">
        <f>IFERROR(__xludf.DUMMYFUNCTION("""COMPUTED_VALUE"""),0.0)</f>
        <v>0</v>
      </c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</row>
    <row r="117">
      <c r="A117" s="191"/>
      <c r="B117" s="196" t="str">
        <f>IF(OR(E117=Report!$B$1, F117=Report!$B$1, G117=Report!$B$1, H117=Report!$B$1), D117, "")</f>
        <v/>
      </c>
      <c r="C117" s="191" t="b">
        <f>IFERROR(__xludf.DUMMYFUNCTION("""COMPUTED_VALUE"""),FALSE)</f>
        <v>0</v>
      </c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4">
        <f>IFERROR(__xludf.DUMMYFUNCTION("""COMPUTED_VALUE"""),0.0)</f>
        <v>0</v>
      </c>
      <c r="W117" s="194">
        <f>IFERROR(__xludf.DUMMYFUNCTION("""COMPUTED_VALUE"""),0.0)</f>
        <v>0</v>
      </c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</row>
    <row r="118">
      <c r="A118" s="191"/>
      <c r="B118" s="196" t="str">
        <f>IF(OR(E118=Report!$B$1, F118=Report!$B$1, G118=Report!$B$1, H118=Report!$B$1), D118, "")</f>
        <v/>
      </c>
      <c r="C118" s="191" t="b">
        <f>IFERROR(__xludf.DUMMYFUNCTION("""COMPUTED_VALUE"""),FALSE)</f>
        <v>0</v>
      </c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4">
        <f>IFERROR(__xludf.DUMMYFUNCTION("""COMPUTED_VALUE"""),0.0)</f>
        <v>0</v>
      </c>
      <c r="W118" s="194">
        <f>IFERROR(__xludf.DUMMYFUNCTION("""COMPUTED_VALUE"""),0.0)</f>
        <v>0</v>
      </c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</row>
    <row r="119">
      <c r="A119" s="191"/>
      <c r="B119" s="196" t="str">
        <f>IF(OR(E119=Report!$B$1, F119=Report!$B$1, G119=Report!$B$1, H119=Report!$B$1), D119, "")</f>
        <v/>
      </c>
      <c r="C119" s="191" t="b">
        <f>IFERROR(__xludf.DUMMYFUNCTION("""COMPUTED_VALUE"""),FALSE)</f>
        <v>0</v>
      </c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4">
        <f>IFERROR(__xludf.DUMMYFUNCTION("""COMPUTED_VALUE"""),0.0)</f>
        <v>0</v>
      </c>
      <c r="W119" s="194">
        <f>IFERROR(__xludf.DUMMYFUNCTION("""COMPUTED_VALUE"""),0.0)</f>
        <v>0</v>
      </c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</row>
    <row r="120">
      <c r="A120" s="191"/>
      <c r="B120" s="196" t="str">
        <f>IF(OR(E120=Report!$B$1, F120=Report!$B$1, G120=Report!$B$1, H120=Report!$B$1), D120, "")</f>
        <v/>
      </c>
      <c r="C120" s="191" t="b">
        <f>IFERROR(__xludf.DUMMYFUNCTION("""COMPUTED_VALUE"""),FALSE)</f>
        <v>0</v>
      </c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4">
        <f>IFERROR(__xludf.DUMMYFUNCTION("""COMPUTED_VALUE"""),0.0)</f>
        <v>0</v>
      </c>
      <c r="W120" s="194">
        <f>IFERROR(__xludf.DUMMYFUNCTION("""COMPUTED_VALUE"""),0.0)</f>
        <v>0</v>
      </c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</row>
    <row r="121">
      <c r="A121" s="191"/>
      <c r="B121" s="196" t="str">
        <f>IF(OR(E121=Report!$B$1, F121=Report!$B$1, G121=Report!$B$1, H121=Report!$B$1), D121, "")</f>
        <v/>
      </c>
      <c r="C121" s="191" t="b">
        <f>IFERROR(__xludf.DUMMYFUNCTION("""COMPUTED_VALUE"""),FALSE)</f>
        <v>0</v>
      </c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4">
        <f>IFERROR(__xludf.DUMMYFUNCTION("""COMPUTED_VALUE"""),0.0)</f>
        <v>0</v>
      </c>
      <c r="W121" s="194">
        <f>IFERROR(__xludf.DUMMYFUNCTION("""COMPUTED_VALUE"""),0.0)</f>
        <v>0</v>
      </c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</row>
    <row r="122">
      <c r="A122" s="191"/>
      <c r="B122" s="196" t="str">
        <f>IF(OR(E122=Report!$B$1, F122=Report!$B$1, G122=Report!$B$1, H122=Report!$B$1), D122, "")</f>
        <v/>
      </c>
      <c r="C122" s="191" t="b">
        <f>IFERROR(__xludf.DUMMYFUNCTION("""COMPUTED_VALUE"""),FALSE)</f>
        <v>0</v>
      </c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4">
        <f>IFERROR(__xludf.DUMMYFUNCTION("""COMPUTED_VALUE"""),0.0)</f>
        <v>0</v>
      </c>
      <c r="W122" s="194">
        <f>IFERROR(__xludf.DUMMYFUNCTION("""COMPUTED_VALUE"""),0.0)</f>
        <v>0</v>
      </c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</row>
    <row r="123">
      <c r="A123" s="191"/>
      <c r="B123" s="196" t="str">
        <f>IF(OR(E123=Report!$B$1, F123=Report!$B$1, G123=Report!$B$1, H123=Report!$B$1), D123, "")</f>
        <v/>
      </c>
      <c r="C123" s="191" t="b">
        <f>IFERROR(__xludf.DUMMYFUNCTION("""COMPUTED_VALUE"""),FALSE)</f>
        <v>0</v>
      </c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4">
        <f>IFERROR(__xludf.DUMMYFUNCTION("""COMPUTED_VALUE"""),0.0)</f>
        <v>0</v>
      </c>
      <c r="W123" s="194">
        <f>IFERROR(__xludf.DUMMYFUNCTION("""COMPUTED_VALUE"""),0.0)</f>
        <v>0</v>
      </c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</row>
    <row r="124">
      <c r="A124" s="191"/>
      <c r="B124" s="196" t="str">
        <f>IF(OR(E124=Report!$B$1, F124=Report!$B$1, G124=Report!$B$1, H124=Report!$B$1), D124, "")</f>
        <v/>
      </c>
      <c r="C124" s="191" t="b">
        <f>IFERROR(__xludf.DUMMYFUNCTION("""COMPUTED_VALUE"""),FALSE)</f>
        <v>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4">
        <f>IFERROR(__xludf.DUMMYFUNCTION("""COMPUTED_VALUE"""),0.0)</f>
        <v>0</v>
      </c>
      <c r="W124" s="194">
        <f>IFERROR(__xludf.DUMMYFUNCTION("""COMPUTED_VALUE"""),0.0)</f>
        <v>0</v>
      </c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</row>
    <row r="125">
      <c r="A125" s="191"/>
      <c r="B125" s="196" t="str">
        <f>IF(OR(E125=Report!$B$1, F125=Report!$B$1, G125=Report!$B$1, H125=Report!$B$1), D125, "")</f>
        <v/>
      </c>
      <c r="C125" s="191" t="b">
        <f>IFERROR(__xludf.DUMMYFUNCTION("""COMPUTED_VALUE"""),FALSE)</f>
        <v>0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4">
        <f>IFERROR(__xludf.DUMMYFUNCTION("""COMPUTED_VALUE"""),0.0)</f>
        <v>0</v>
      </c>
      <c r="W125" s="194">
        <f>IFERROR(__xludf.DUMMYFUNCTION("""COMPUTED_VALUE"""),0.0)</f>
        <v>0</v>
      </c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</row>
    <row r="126">
      <c r="A126" s="191"/>
      <c r="B126" s="196" t="str">
        <f>IF(OR(E126=Report!$B$1, F126=Report!$B$1, G126=Report!$B$1, H126=Report!$B$1), D126, "")</f>
        <v/>
      </c>
      <c r="C126" s="191" t="b">
        <f>IFERROR(__xludf.DUMMYFUNCTION("""COMPUTED_VALUE"""),FALSE)</f>
        <v>0</v>
      </c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4">
        <f>IFERROR(__xludf.DUMMYFUNCTION("""COMPUTED_VALUE"""),0.0)</f>
        <v>0</v>
      </c>
      <c r="W126" s="194">
        <f>IFERROR(__xludf.DUMMYFUNCTION("""COMPUTED_VALUE"""),0.0)</f>
        <v>0</v>
      </c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</row>
    <row r="127">
      <c r="A127" s="191"/>
      <c r="B127" s="196" t="str">
        <f>IF(OR(E127=Report!$B$1, F127=Report!$B$1, G127=Report!$B$1, H127=Report!$B$1), D127, "")</f>
        <v/>
      </c>
      <c r="C127" s="191" t="b">
        <f>IFERROR(__xludf.DUMMYFUNCTION("""COMPUTED_VALUE"""),FALSE)</f>
        <v>0</v>
      </c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4">
        <f>IFERROR(__xludf.DUMMYFUNCTION("""COMPUTED_VALUE"""),0.0)</f>
        <v>0</v>
      </c>
      <c r="W127" s="194">
        <f>IFERROR(__xludf.DUMMYFUNCTION("""COMPUTED_VALUE"""),0.0)</f>
        <v>0</v>
      </c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</row>
    <row r="128">
      <c r="A128" s="191"/>
      <c r="B128" s="196" t="str">
        <f>IF(OR(E128=Report!$B$1, F128=Report!$B$1, G128=Report!$B$1, H128=Report!$B$1), D128, "")</f>
        <v/>
      </c>
      <c r="C128" s="191" t="b">
        <f>IFERROR(__xludf.DUMMYFUNCTION("""COMPUTED_VALUE"""),FALSE)</f>
        <v>0</v>
      </c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4">
        <f>IFERROR(__xludf.DUMMYFUNCTION("""COMPUTED_VALUE"""),0.0)</f>
        <v>0</v>
      </c>
      <c r="W128" s="194">
        <f>IFERROR(__xludf.DUMMYFUNCTION("""COMPUTED_VALUE"""),0.0)</f>
        <v>0</v>
      </c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</row>
    <row r="129">
      <c r="A129" s="191"/>
      <c r="B129" s="196" t="str">
        <f>IF(OR(E129=Report!$B$1, F129=Report!$B$1, G129=Report!$B$1, H129=Report!$B$1), D129, "")</f>
        <v/>
      </c>
      <c r="C129" s="191" t="b">
        <f>IFERROR(__xludf.DUMMYFUNCTION("""COMPUTED_VALUE"""),FALSE)</f>
        <v>0</v>
      </c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4">
        <f>IFERROR(__xludf.DUMMYFUNCTION("""COMPUTED_VALUE"""),0.0)</f>
        <v>0</v>
      </c>
      <c r="W129" s="194">
        <f>IFERROR(__xludf.DUMMYFUNCTION("""COMPUTED_VALUE"""),0.0)</f>
        <v>0</v>
      </c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</row>
    <row r="130">
      <c r="A130" s="191"/>
      <c r="B130" s="196" t="str">
        <f>IF(OR(E130=Report!$B$1, F130=Report!$B$1, G130=Report!$B$1, H130=Report!$B$1), D130, "")</f>
        <v/>
      </c>
      <c r="C130" s="191" t="b">
        <f>IFERROR(__xludf.DUMMYFUNCTION("""COMPUTED_VALUE"""),FALSE)</f>
        <v>0</v>
      </c>
      <c r="D130" s="191"/>
      <c r="E130" s="191" t="str">
        <f>IFERROR(__xludf.DUMMYFUNCTION("""COMPUTED_VALUE"""),"Chodov")</f>
        <v>Chodov</v>
      </c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4">
        <f>IFERROR(__xludf.DUMMYFUNCTION("""COMPUTED_VALUE"""),231.474)</f>
        <v>231.474</v>
      </c>
      <c r="W130" s="194">
        <f>IFERROR(__xludf.DUMMYFUNCTION("""COMPUTED_VALUE"""),0.0)</f>
        <v>0</v>
      </c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</row>
    <row r="131">
      <c r="A131" s="191"/>
      <c r="B131" s="196" t="str">
        <f>IF(OR(E131=Report!$B$1, F131=Report!$B$1, G131=Report!$B$1, H131=Report!$B$1), D131, "")</f>
        <v/>
      </c>
      <c r="C131" s="191" t="b">
        <f>IFERROR(__xludf.DUMMYFUNCTION("""COMPUTED_VALUE"""),FALSE)</f>
        <v>0</v>
      </c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4">
        <f>IFERROR(__xludf.DUMMYFUNCTION("""COMPUTED_VALUE"""),0.0)</f>
        <v>0</v>
      </c>
      <c r="W131" s="194">
        <f>IFERROR(__xludf.DUMMYFUNCTION("""COMPUTED_VALUE"""),0.0)</f>
        <v>0</v>
      </c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</row>
    <row r="132">
      <c r="A132" s="191"/>
      <c r="B132" s="196" t="str">
        <f>IF(OR(E132=Report!$B$1, F132=Report!$B$1, G132=Report!$B$1, H132=Report!$B$1), D132, "")</f>
        <v/>
      </c>
      <c r="C132" s="191" t="b">
        <f>IFERROR(__xludf.DUMMYFUNCTION("""COMPUTED_VALUE"""),FALSE)</f>
        <v>0</v>
      </c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4">
        <f>IFERROR(__xludf.DUMMYFUNCTION("""COMPUTED_VALUE"""),0.0)</f>
        <v>0</v>
      </c>
      <c r="W132" s="194">
        <f>IFERROR(__xludf.DUMMYFUNCTION("""COMPUTED_VALUE"""),0.0)</f>
        <v>0</v>
      </c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</row>
    <row r="133">
      <c r="A133" s="191"/>
      <c r="B133" s="196" t="str">
        <f>IF(OR(E133=Report!$B$1, F133=Report!$B$1, G133=Report!$B$1, H133=Report!$B$1), D133, "")</f>
        <v/>
      </c>
      <c r="C133" s="191" t="b">
        <f>IFERROR(__xludf.DUMMYFUNCTION("""COMPUTED_VALUE"""),FALSE)</f>
        <v>0</v>
      </c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4">
        <f>IFERROR(__xludf.DUMMYFUNCTION("""COMPUTED_VALUE"""),0.0)</f>
        <v>0</v>
      </c>
      <c r="W133" s="194">
        <f>IFERROR(__xludf.DUMMYFUNCTION("""COMPUTED_VALUE"""),0.0)</f>
        <v>0</v>
      </c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</row>
    <row r="134">
      <c r="A134" s="191"/>
      <c r="B134" s="196" t="str">
        <f>IF(OR(E134=Report!$B$1, F134=Report!$B$1, G134=Report!$B$1, H134=Report!$B$1), D134, "")</f>
        <v/>
      </c>
      <c r="C134" s="191" t="b">
        <f>IFERROR(__xludf.DUMMYFUNCTION("""COMPUTED_VALUE"""),FALSE)</f>
        <v>0</v>
      </c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4">
        <f>IFERROR(__xludf.DUMMYFUNCTION("""COMPUTED_VALUE"""),0.0)</f>
        <v>0</v>
      </c>
      <c r="W134" s="194">
        <f>IFERROR(__xludf.DUMMYFUNCTION("""COMPUTED_VALUE"""),0.0)</f>
        <v>0</v>
      </c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</row>
    <row r="135">
      <c r="A135" s="191"/>
      <c r="B135" s="196" t="str">
        <f>IF(OR(E135=Report!$B$1, F135=Report!$B$1, G135=Report!$B$1, H135=Report!$B$1), D135, "")</f>
        <v/>
      </c>
      <c r="C135" s="191" t="b">
        <f>IFERROR(__xludf.DUMMYFUNCTION("""COMPUTED_VALUE"""),FALSE)</f>
        <v>0</v>
      </c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4">
        <f>IFERROR(__xludf.DUMMYFUNCTION("""COMPUTED_VALUE"""),0.0)</f>
        <v>0</v>
      </c>
      <c r="W135" s="194">
        <f>IFERROR(__xludf.DUMMYFUNCTION("""COMPUTED_VALUE"""),0.0)</f>
        <v>0</v>
      </c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</row>
    <row r="136">
      <c r="A136" s="191"/>
      <c r="B136" s="196" t="str">
        <f>IF(OR(E136=Report!$B$1, F136=Report!$B$1, G136=Report!$B$1, H136=Report!$B$1), D136, "")</f>
        <v/>
      </c>
      <c r="C136" s="191" t="b">
        <f>IFERROR(__xludf.DUMMYFUNCTION("""COMPUTED_VALUE"""),FALSE)</f>
        <v>0</v>
      </c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4">
        <f>IFERROR(__xludf.DUMMYFUNCTION("""COMPUTED_VALUE"""),0.0)</f>
        <v>0</v>
      </c>
      <c r="W136" s="194">
        <f>IFERROR(__xludf.DUMMYFUNCTION("""COMPUTED_VALUE"""),0.0)</f>
        <v>0</v>
      </c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</row>
    <row r="137">
      <c r="A137" s="191"/>
      <c r="B137" s="196" t="str">
        <f>IF(OR(E137=Report!$B$1, F137=Report!$B$1, G137=Report!$B$1, H137=Report!$B$1), D137, "")</f>
        <v/>
      </c>
      <c r="C137" s="191" t="b">
        <f>IFERROR(__xludf.DUMMYFUNCTION("""COMPUTED_VALUE"""),FALSE)</f>
        <v>0</v>
      </c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4">
        <f>IFERROR(__xludf.DUMMYFUNCTION("""COMPUTED_VALUE"""),0.0)</f>
        <v>0</v>
      </c>
      <c r="W137" s="194">
        <f>IFERROR(__xludf.DUMMYFUNCTION("""COMPUTED_VALUE"""),0.0)</f>
        <v>0</v>
      </c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</row>
    <row r="138">
      <c r="A138" s="191"/>
      <c r="B138" s="196" t="str">
        <f>IF(OR(E138=Report!$B$1, F138=Report!$B$1, G138=Report!$B$1, H138=Report!$B$1), D138, "")</f>
        <v/>
      </c>
      <c r="C138" s="191" t="b">
        <f>IFERROR(__xludf.DUMMYFUNCTION("""COMPUTED_VALUE"""),FALSE)</f>
        <v>0</v>
      </c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4">
        <f>IFERROR(__xludf.DUMMYFUNCTION("""COMPUTED_VALUE"""),0.0)</f>
        <v>0</v>
      </c>
      <c r="W138" s="194">
        <f>IFERROR(__xludf.DUMMYFUNCTION("""COMPUTED_VALUE"""),0.0)</f>
        <v>0</v>
      </c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</row>
    <row r="139">
      <c r="A139" s="191"/>
      <c r="B139" s="196" t="str">
        <f>IF(OR(E139=Report!$B$1, F139=Report!$B$1, G139=Report!$B$1, H139=Report!$B$1), D139, "")</f>
        <v/>
      </c>
      <c r="C139" s="191" t="b">
        <f>IFERROR(__xludf.DUMMYFUNCTION("""COMPUTED_VALUE"""),FALSE)</f>
        <v>0</v>
      </c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4">
        <f>IFERROR(__xludf.DUMMYFUNCTION("""COMPUTED_VALUE"""),0.0)</f>
        <v>0</v>
      </c>
      <c r="W139" s="194">
        <f>IFERROR(__xludf.DUMMYFUNCTION("""COMPUTED_VALUE"""),0.0)</f>
        <v>0</v>
      </c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</row>
    <row r="140">
      <c r="A140" s="191"/>
      <c r="B140" s="196" t="str">
        <f>IF(OR(E140=Report!$B$1, F140=Report!$B$1, G140=Report!$B$1, H140=Report!$B$1), D140, "")</f>
        <v/>
      </c>
      <c r="C140" s="191" t="b">
        <f>IFERROR(__xludf.DUMMYFUNCTION("""COMPUTED_VALUE"""),FALSE)</f>
        <v>0</v>
      </c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4">
        <f>IFERROR(__xludf.DUMMYFUNCTION("""COMPUTED_VALUE"""),0.0)</f>
        <v>0</v>
      </c>
      <c r="W140" s="194">
        <f>IFERROR(__xludf.DUMMYFUNCTION("""COMPUTED_VALUE"""),0.0)</f>
        <v>0</v>
      </c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</row>
    <row r="141">
      <c r="A141" s="191"/>
      <c r="B141" s="196" t="str">
        <f>IF(OR(E141=Report!$B$1, F141=Report!$B$1, G141=Report!$B$1, H141=Report!$B$1), D141, "")</f>
        <v/>
      </c>
      <c r="C141" s="191" t="b">
        <f>IFERROR(__xludf.DUMMYFUNCTION("""COMPUTED_VALUE"""),FALSE)</f>
        <v>0</v>
      </c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4">
        <f>IFERROR(__xludf.DUMMYFUNCTION("""COMPUTED_VALUE"""),0.0)</f>
        <v>0</v>
      </c>
      <c r="W141" s="194">
        <f>IFERROR(__xludf.DUMMYFUNCTION("""COMPUTED_VALUE"""),0.0)</f>
        <v>0</v>
      </c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</row>
    <row r="142">
      <c r="A142" s="191"/>
      <c r="B142" s="196" t="str">
        <f>IF(OR(E142=Report!$B$1, F142=Report!$B$1, G142=Report!$B$1, H142=Report!$B$1), D142, "")</f>
        <v/>
      </c>
      <c r="C142" s="191" t="b">
        <f>IFERROR(__xludf.DUMMYFUNCTION("""COMPUTED_VALUE"""),FALSE)</f>
        <v>0</v>
      </c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4">
        <f>IFERROR(__xludf.DUMMYFUNCTION("""COMPUTED_VALUE"""),0.0)</f>
        <v>0</v>
      </c>
      <c r="W142" s="194">
        <f>IFERROR(__xludf.DUMMYFUNCTION("""COMPUTED_VALUE"""),0.0)</f>
        <v>0</v>
      </c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</row>
    <row r="143">
      <c r="A143" s="191"/>
      <c r="B143" s="196" t="str">
        <f>IF(OR(E143=Report!$B$1, F143=Report!$B$1, G143=Report!$B$1, H143=Report!$B$1), D143, "")</f>
        <v/>
      </c>
      <c r="C143" s="191" t="b">
        <f>IFERROR(__xludf.DUMMYFUNCTION("""COMPUTED_VALUE"""),FALSE)</f>
        <v>0</v>
      </c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4">
        <f>IFERROR(__xludf.DUMMYFUNCTION("""COMPUTED_VALUE"""),0.0)</f>
        <v>0</v>
      </c>
      <c r="W143" s="194">
        <f>IFERROR(__xludf.DUMMYFUNCTION("""COMPUTED_VALUE"""),0.0)</f>
        <v>0</v>
      </c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</row>
    <row r="144">
      <c r="A144" s="191"/>
      <c r="B144" s="196" t="str">
        <f>IF(OR(E144=Report!$B$1, F144=Report!$B$1, G144=Report!$B$1, H144=Report!$B$1), D144, "")</f>
        <v/>
      </c>
      <c r="C144" s="191" t="b">
        <f>IFERROR(__xludf.DUMMYFUNCTION("""COMPUTED_VALUE"""),FALSE)</f>
        <v>0</v>
      </c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4">
        <f>IFERROR(__xludf.DUMMYFUNCTION("""COMPUTED_VALUE"""),0.0)</f>
        <v>0</v>
      </c>
      <c r="W144" s="194">
        <f>IFERROR(__xludf.DUMMYFUNCTION("""COMPUTED_VALUE"""),0.0)</f>
        <v>0</v>
      </c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</row>
    <row r="145">
      <c r="A145" s="191"/>
      <c r="B145" s="196" t="str">
        <f>IF(OR(E145=Report!$B$1, F145=Report!$B$1, G145=Report!$B$1, H145=Report!$B$1), D145, "")</f>
        <v/>
      </c>
      <c r="C145" s="191" t="b">
        <f>IFERROR(__xludf.DUMMYFUNCTION("""COMPUTED_VALUE"""),FALSE)</f>
        <v>0</v>
      </c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4">
        <f>IFERROR(__xludf.DUMMYFUNCTION("""COMPUTED_VALUE"""),0.0)</f>
        <v>0</v>
      </c>
      <c r="W145" s="194">
        <f>IFERROR(__xludf.DUMMYFUNCTION("""COMPUTED_VALUE"""),0.0)</f>
        <v>0</v>
      </c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</row>
    <row r="146">
      <c r="A146" s="191"/>
      <c r="B146" s="196" t="str">
        <f>IF(OR(E146=Report!$B$1, F146=Report!$B$1, G146=Report!$B$1, H146=Report!$B$1), D146, "")</f>
        <v/>
      </c>
      <c r="C146" s="191" t="b">
        <f>IFERROR(__xludf.DUMMYFUNCTION("""COMPUTED_VALUE"""),FALSE)</f>
        <v>0</v>
      </c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4">
        <f>IFERROR(__xludf.DUMMYFUNCTION("""COMPUTED_VALUE"""),0.0)</f>
        <v>0</v>
      </c>
      <c r="W146" s="194">
        <f>IFERROR(__xludf.DUMMYFUNCTION("""COMPUTED_VALUE"""),0.0)</f>
        <v>0</v>
      </c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</row>
    <row r="147">
      <c r="A147" s="191"/>
      <c r="B147" s="196" t="str">
        <f>IF(OR(E147=Report!$B$1, F147=Report!$B$1, G147=Report!$B$1, H147=Report!$B$1), D147, "")</f>
        <v/>
      </c>
      <c r="C147" s="191" t="b">
        <f>IFERROR(__xludf.DUMMYFUNCTION("""COMPUTED_VALUE"""),FALSE)</f>
        <v>0</v>
      </c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4">
        <f>IFERROR(__xludf.DUMMYFUNCTION("""COMPUTED_VALUE"""),0.0)</f>
        <v>0</v>
      </c>
      <c r="W147" s="194">
        <f>IFERROR(__xludf.DUMMYFUNCTION("""COMPUTED_VALUE"""),0.0)</f>
        <v>0</v>
      </c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</row>
    <row r="148">
      <c r="A148" s="191"/>
      <c r="B148" s="196" t="str">
        <f>IF(OR(E148=Report!$B$1, F148=Report!$B$1, G148=Report!$B$1, H148=Report!$B$1), D148, "")</f>
        <v/>
      </c>
      <c r="C148" s="191" t="b">
        <f>IFERROR(__xludf.DUMMYFUNCTION("""COMPUTED_VALUE"""),FALSE)</f>
        <v>0</v>
      </c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4">
        <f>IFERROR(__xludf.DUMMYFUNCTION("""COMPUTED_VALUE"""),0.0)</f>
        <v>0</v>
      </c>
      <c r="W148" s="194">
        <f>IFERROR(__xludf.DUMMYFUNCTION("""COMPUTED_VALUE"""),0.0)</f>
        <v>0</v>
      </c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</row>
    <row r="149">
      <c r="A149" s="191"/>
      <c r="B149" s="196" t="str">
        <f>IF(OR(E149=Report!$B$1, F149=Report!$B$1, G149=Report!$B$1, H149=Report!$B$1), D149, "")</f>
        <v/>
      </c>
      <c r="C149" s="191" t="b">
        <f>IFERROR(__xludf.DUMMYFUNCTION("""COMPUTED_VALUE"""),FALSE)</f>
        <v>0</v>
      </c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4">
        <f>IFERROR(__xludf.DUMMYFUNCTION("""COMPUTED_VALUE"""),0.0)</f>
        <v>0</v>
      </c>
      <c r="W149" s="194">
        <f>IFERROR(__xludf.DUMMYFUNCTION("""COMPUTED_VALUE"""),0.0)</f>
        <v>0</v>
      </c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</row>
    <row r="150">
      <c r="A150" s="191"/>
      <c r="B150" s="196" t="str">
        <f>IF(OR(E150=Report!$B$1, F150=Report!$B$1, G150=Report!$B$1, H150=Report!$B$1), D150, "")</f>
        <v/>
      </c>
      <c r="C150" s="191" t="b">
        <f>IFERROR(__xludf.DUMMYFUNCTION("""COMPUTED_VALUE"""),FALSE)</f>
        <v>0</v>
      </c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4">
        <f>IFERROR(__xludf.DUMMYFUNCTION("""COMPUTED_VALUE"""),0.0)</f>
        <v>0</v>
      </c>
      <c r="W150" s="194">
        <f>IFERROR(__xludf.DUMMYFUNCTION("""COMPUTED_VALUE"""),0.0)</f>
        <v>0</v>
      </c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</row>
    <row r="151">
      <c r="A151" s="191"/>
      <c r="B151" s="196" t="str">
        <f>IF(OR(E151=Report!$B$1, F151=Report!$B$1, G151=Report!$B$1, H151=Report!$B$1), D151, "")</f>
        <v/>
      </c>
      <c r="C151" s="191" t="b">
        <f>IFERROR(__xludf.DUMMYFUNCTION("""COMPUTED_VALUE"""),FALSE)</f>
        <v>0</v>
      </c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4">
        <f>IFERROR(__xludf.DUMMYFUNCTION("""COMPUTED_VALUE"""),100.0)</f>
        <v>100</v>
      </c>
      <c r="W151" s="194">
        <f>IFERROR(__xludf.DUMMYFUNCTION("""COMPUTED_VALUE"""),0.0)</f>
        <v>0</v>
      </c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</row>
    <row r="152">
      <c r="A152" s="191"/>
      <c r="B152" s="196" t="str">
        <f>IF(OR(E152=Report!$B$1, F152=Report!$B$1, G152=Report!$B$1, H152=Report!$B$1), D152, "")</f>
        <v/>
      </c>
      <c r="C152" s="191" t="b">
        <f>IFERROR(__xludf.DUMMYFUNCTION("""COMPUTED_VALUE"""),FALSE)</f>
        <v>0</v>
      </c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4">
        <f>IFERROR(__xludf.DUMMYFUNCTION("""COMPUTED_VALUE"""),100.0)</f>
        <v>100</v>
      </c>
      <c r="W152" s="194">
        <f>IFERROR(__xludf.DUMMYFUNCTION("""COMPUTED_VALUE"""),0.0)</f>
        <v>0</v>
      </c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</row>
    <row r="153">
      <c r="A153" s="191"/>
      <c r="B153" s="196" t="str">
        <f>IF(OR(E153=Report!$B$1, F153=Report!$B$1, G153=Report!$B$1, H153=Report!$B$1), D153, "")</f>
        <v/>
      </c>
      <c r="C153" s="191" t="b">
        <f>IFERROR(__xludf.DUMMYFUNCTION("""COMPUTED_VALUE"""),FALSE)</f>
        <v>0</v>
      </c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4">
        <f>IFERROR(__xludf.DUMMYFUNCTION("""COMPUTED_VALUE"""),100.0)</f>
        <v>100</v>
      </c>
      <c r="W153" s="194">
        <f>IFERROR(__xludf.DUMMYFUNCTION("""COMPUTED_VALUE"""),0.0)</f>
        <v>0</v>
      </c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</row>
    <row r="154">
      <c r="A154" s="191"/>
      <c r="B154" s="196" t="str">
        <f>IF(OR(E154=Report!$B$1, F154=Report!$B$1, G154=Report!$B$1, H154=Report!$B$1), D154, "")</f>
        <v/>
      </c>
      <c r="C154" s="191" t="b">
        <f>IFERROR(__xludf.DUMMYFUNCTION("""COMPUTED_VALUE"""),FALSE)</f>
        <v>0</v>
      </c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4">
        <f>IFERROR(__xludf.DUMMYFUNCTION("""COMPUTED_VALUE"""),100.0)</f>
        <v>100</v>
      </c>
      <c r="W154" s="194">
        <f>IFERROR(__xludf.DUMMYFUNCTION("""COMPUTED_VALUE"""),0.0)</f>
        <v>0</v>
      </c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</row>
    <row r="155">
      <c r="A155" s="191"/>
      <c r="B155" s="196" t="str">
        <f>IF(OR(E155=Report!$B$1, F155=Report!$B$1, G155=Report!$B$1, H155=Report!$B$1), D155, "")</f>
        <v/>
      </c>
      <c r="C155" s="191" t="b">
        <f>IFERROR(__xludf.DUMMYFUNCTION("""COMPUTED_VALUE"""),FALSE)</f>
        <v>0</v>
      </c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4">
        <f>IFERROR(__xludf.DUMMYFUNCTION("""COMPUTED_VALUE"""),100.0)</f>
        <v>100</v>
      </c>
      <c r="W155" s="194">
        <f>IFERROR(__xludf.DUMMYFUNCTION("""COMPUTED_VALUE"""),0.0)</f>
        <v>0</v>
      </c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</row>
    <row r="156">
      <c r="A156" s="191"/>
      <c r="B156" s="196" t="str">
        <f>IF(OR(E156=Report!$B$1, F156=Report!$B$1, G156=Report!$B$1, H156=Report!$B$1), D156, "")</f>
        <v/>
      </c>
      <c r="C156" s="191" t="b">
        <f>IFERROR(__xludf.DUMMYFUNCTION("""COMPUTED_VALUE"""),FALSE)</f>
        <v>0</v>
      </c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4">
        <f>IFERROR(__xludf.DUMMYFUNCTION("""COMPUTED_VALUE"""),100.0)</f>
        <v>100</v>
      </c>
      <c r="W156" s="194">
        <f>IFERROR(__xludf.DUMMYFUNCTION("""COMPUTED_VALUE"""),0.0)</f>
        <v>0</v>
      </c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</row>
    <row r="157">
      <c r="A157" s="191"/>
      <c r="B157" s="196" t="str">
        <f>IF(OR(E157=Report!$B$1, F157=Report!$B$1, G157=Report!$B$1, H157=Report!$B$1), D157, "")</f>
        <v/>
      </c>
      <c r="C157" s="191" t="b">
        <f>IFERROR(__xludf.DUMMYFUNCTION("""COMPUTED_VALUE"""),FALSE)</f>
        <v>0</v>
      </c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4">
        <f>IFERROR(__xludf.DUMMYFUNCTION("""COMPUTED_VALUE"""),100.0)</f>
        <v>100</v>
      </c>
      <c r="W157" s="194">
        <f>IFERROR(__xludf.DUMMYFUNCTION("""COMPUTED_VALUE"""),0.0)</f>
        <v>0</v>
      </c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</row>
    <row r="158">
      <c r="A158" s="191"/>
      <c r="B158" s="196" t="str">
        <f>IF(OR(E158=Report!$B$1, F158=Report!$B$1, G158=Report!$B$1, H158=Report!$B$1), D158, "")</f>
        <v/>
      </c>
      <c r="C158" s="191" t="b">
        <f>IFERROR(__xludf.DUMMYFUNCTION("""COMPUTED_VALUE"""),FALSE)</f>
        <v>0</v>
      </c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4">
        <f>IFERROR(__xludf.DUMMYFUNCTION("""COMPUTED_VALUE"""),100.0)</f>
        <v>100</v>
      </c>
      <c r="W158" s="194">
        <f>IFERROR(__xludf.DUMMYFUNCTION("""COMPUTED_VALUE"""),0.0)</f>
        <v>0</v>
      </c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</row>
    <row r="159">
      <c r="A159" s="191"/>
      <c r="B159" s="196" t="str">
        <f>IF(OR(E159=Report!$B$1, F159=Report!$B$1, G159=Report!$B$1, H159=Report!$B$1), D159, "")</f>
        <v/>
      </c>
      <c r="C159" s="191" t="b">
        <f>IFERROR(__xludf.DUMMYFUNCTION("""COMPUTED_VALUE"""),FALSE)</f>
        <v>0</v>
      </c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4">
        <f>IFERROR(__xludf.DUMMYFUNCTION("""COMPUTED_VALUE"""),100.0)</f>
        <v>100</v>
      </c>
      <c r="W159" s="194">
        <f>IFERROR(__xludf.DUMMYFUNCTION("""COMPUTED_VALUE"""),0.0)</f>
        <v>0</v>
      </c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</row>
    <row r="160">
      <c r="A160" s="191"/>
      <c r="B160" s="196" t="str">
        <f>IF(OR(E160=Report!$B$1, F160=Report!$B$1, G160=Report!$B$1, H160=Report!$B$1), D160, "")</f>
        <v/>
      </c>
      <c r="C160" s="191" t="b">
        <f>IFERROR(__xludf.DUMMYFUNCTION("""COMPUTED_VALUE"""),FALSE)</f>
        <v>0</v>
      </c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4">
        <f>IFERROR(__xludf.DUMMYFUNCTION("""COMPUTED_VALUE"""),100.0)</f>
        <v>100</v>
      </c>
      <c r="W160" s="194">
        <f>IFERROR(__xludf.DUMMYFUNCTION("""COMPUTED_VALUE"""),0.0)</f>
        <v>0</v>
      </c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</row>
    <row r="161">
      <c r="A161" s="191"/>
      <c r="B161" s="196" t="str">
        <f>IF(OR(E161=Report!$B$1, F161=Report!$B$1, G161=Report!$B$1, H161=Report!$B$1), D161, "")</f>
        <v/>
      </c>
      <c r="C161" s="191" t="b">
        <f>IFERROR(__xludf.DUMMYFUNCTION("""COMPUTED_VALUE"""),FALSE)</f>
        <v>0</v>
      </c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4">
        <f>IFERROR(__xludf.DUMMYFUNCTION("""COMPUTED_VALUE"""),100.0)</f>
        <v>100</v>
      </c>
      <c r="W161" s="194">
        <f>IFERROR(__xludf.DUMMYFUNCTION("""COMPUTED_VALUE"""),0.0)</f>
        <v>0</v>
      </c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</row>
    <row r="162">
      <c r="A162" s="191"/>
      <c r="B162" s="196" t="str">
        <f>IF(OR(E162=Report!$B$1, F162=Report!$B$1, G162=Report!$B$1, H162=Report!$B$1), D162, "")</f>
        <v/>
      </c>
      <c r="C162" s="191" t="b">
        <f>IFERROR(__xludf.DUMMYFUNCTION("""COMPUTED_VALUE"""),FALSE)</f>
        <v>0</v>
      </c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4">
        <f>IFERROR(__xludf.DUMMYFUNCTION("""COMPUTED_VALUE"""),100.0)</f>
        <v>100</v>
      </c>
      <c r="W162" s="194">
        <f>IFERROR(__xludf.DUMMYFUNCTION("""COMPUTED_VALUE"""),0.0)</f>
        <v>0</v>
      </c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</row>
    <row r="163">
      <c r="A163" s="191"/>
      <c r="B163" s="196" t="str">
        <f>IF(OR(E163=Report!$B$1, F163=Report!$B$1, G163=Report!$B$1, H163=Report!$B$1), D163, "")</f>
        <v/>
      </c>
      <c r="C163" s="191" t="b">
        <f>IFERROR(__xludf.DUMMYFUNCTION("""COMPUTED_VALUE"""),FALSE)</f>
        <v>0</v>
      </c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4">
        <f>IFERROR(__xludf.DUMMYFUNCTION("""COMPUTED_VALUE"""),100.0)</f>
        <v>100</v>
      </c>
      <c r="W163" s="194">
        <f>IFERROR(__xludf.DUMMYFUNCTION("""COMPUTED_VALUE"""),0.0)</f>
        <v>0</v>
      </c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</row>
    <row r="164">
      <c r="A164" s="191"/>
      <c r="B164" s="196" t="str">
        <f>IF(OR(E164=Report!$B$1, F164=Report!$B$1, G164=Report!$B$1, H164=Report!$B$1), D164, "")</f>
        <v/>
      </c>
      <c r="C164" s="191" t="b">
        <f>IFERROR(__xludf.DUMMYFUNCTION("""COMPUTED_VALUE"""),FALSE)</f>
        <v>0</v>
      </c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4">
        <f>IFERROR(__xludf.DUMMYFUNCTION("""COMPUTED_VALUE"""),100.0)</f>
        <v>100</v>
      </c>
      <c r="W164" s="194">
        <f>IFERROR(__xludf.DUMMYFUNCTION("""COMPUTED_VALUE"""),0.0)</f>
        <v>0</v>
      </c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</row>
    <row r="165">
      <c r="A165" s="191"/>
      <c r="B165" s="196" t="str">
        <f>IF(OR(E165=Report!$B$1, F165=Report!$B$1, G165=Report!$B$1, H165=Report!$B$1), D165, "")</f>
        <v/>
      </c>
      <c r="C165" s="191" t="b">
        <f>IFERROR(__xludf.DUMMYFUNCTION("""COMPUTED_VALUE"""),FALSE)</f>
        <v>0</v>
      </c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4">
        <f>IFERROR(__xludf.DUMMYFUNCTION("""COMPUTED_VALUE"""),100.0)</f>
        <v>100</v>
      </c>
      <c r="W165" s="194">
        <f>IFERROR(__xludf.DUMMYFUNCTION("""COMPUTED_VALUE"""),0.0)</f>
        <v>0</v>
      </c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</row>
    <row r="166">
      <c r="A166" s="191"/>
      <c r="B166" s="196" t="str">
        <f>IF(OR(E166=Report!$B$1, F166=Report!$B$1, G166=Report!$B$1, H166=Report!$B$1), D166, "")</f>
        <v/>
      </c>
      <c r="C166" s="191" t="b">
        <f>IFERROR(__xludf.DUMMYFUNCTION("""COMPUTED_VALUE"""),FALSE)</f>
        <v>0</v>
      </c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4">
        <f>IFERROR(__xludf.DUMMYFUNCTION("""COMPUTED_VALUE"""),100.0)</f>
        <v>100</v>
      </c>
      <c r="W166" s="194">
        <f>IFERROR(__xludf.DUMMYFUNCTION("""COMPUTED_VALUE"""),0.0)</f>
        <v>0</v>
      </c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</row>
    <row r="167">
      <c r="A167" s="191"/>
      <c r="B167" s="196" t="str">
        <f>IF(OR(E167=Report!$B$1, F167=Report!$B$1, G167=Report!$B$1, H167=Report!$B$1), D167, "")</f>
        <v/>
      </c>
      <c r="C167" s="191" t="b">
        <f>IFERROR(__xludf.DUMMYFUNCTION("""COMPUTED_VALUE"""),FALSE)</f>
        <v>0</v>
      </c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4">
        <f>IFERROR(__xludf.DUMMYFUNCTION("""COMPUTED_VALUE"""),100.0)</f>
        <v>100</v>
      </c>
      <c r="W167" s="194">
        <f>IFERROR(__xludf.DUMMYFUNCTION("""COMPUTED_VALUE"""),0.0)</f>
        <v>0</v>
      </c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</row>
    <row r="168">
      <c r="A168" s="191"/>
      <c r="B168" s="196" t="str">
        <f>IF(OR(E168=Report!$B$1, F168=Report!$B$1, G168=Report!$B$1, H168=Report!$B$1), D168, "")</f>
        <v/>
      </c>
      <c r="C168" s="191" t="b">
        <f>IFERROR(__xludf.DUMMYFUNCTION("""COMPUTED_VALUE"""),FALSE)</f>
        <v>0</v>
      </c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4">
        <f>IFERROR(__xludf.DUMMYFUNCTION("""COMPUTED_VALUE"""),100.0)</f>
        <v>100</v>
      </c>
      <c r="W168" s="194">
        <f>IFERROR(__xludf.DUMMYFUNCTION("""COMPUTED_VALUE"""),0.0)</f>
        <v>0</v>
      </c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</row>
    <row r="169">
      <c r="A169" s="191"/>
      <c r="B169" s="196" t="str">
        <f>IF(OR(E169=Report!$B$1, F169=Report!$B$1, G169=Report!$B$1, H169=Report!$B$1), D169, "")</f>
        <v/>
      </c>
      <c r="C169" s="191" t="b">
        <f>IFERROR(__xludf.DUMMYFUNCTION("""COMPUTED_VALUE"""),FALSE)</f>
        <v>0</v>
      </c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4">
        <f>IFERROR(__xludf.DUMMYFUNCTION("""COMPUTED_VALUE"""),100.0)</f>
        <v>100</v>
      </c>
      <c r="W169" s="194">
        <f>IFERROR(__xludf.DUMMYFUNCTION("""COMPUTED_VALUE"""),0.0)</f>
        <v>0</v>
      </c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1"/>
      <c r="AK169" s="191"/>
    </row>
    <row r="170">
      <c r="A170" s="191"/>
      <c r="B170" s="196" t="str">
        <f>IF(OR(E170=Report!$B$1, F170=Report!$B$1, G170=Report!$B$1, H170=Report!$B$1), D170, "")</f>
        <v/>
      </c>
      <c r="C170" s="191" t="b">
        <f>IFERROR(__xludf.DUMMYFUNCTION("""COMPUTED_VALUE"""),FALSE)</f>
        <v>0</v>
      </c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4">
        <f>IFERROR(__xludf.DUMMYFUNCTION("""COMPUTED_VALUE"""),100.0)</f>
        <v>100</v>
      </c>
      <c r="W170" s="194">
        <f>IFERROR(__xludf.DUMMYFUNCTION("""COMPUTED_VALUE"""),0.0)</f>
        <v>0</v>
      </c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</row>
    <row r="171">
      <c r="A171" s="191"/>
      <c r="B171" s="196" t="str">
        <f>IF(OR(E171=Report!$B$1, F171=Report!$B$1, G171=Report!$B$1, H171=Report!$B$1), D171, "")</f>
        <v/>
      </c>
      <c r="C171" s="191" t="b">
        <f>IFERROR(__xludf.DUMMYFUNCTION("""COMPUTED_VALUE"""),FALSE)</f>
        <v>0</v>
      </c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4">
        <f>IFERROR(__xludf.DUMMYFUNCTION("""COMPUTED_VALUE"""),100.0)</f>
        <v>100</v>
      </c>
      <c r="W171" s="194">
        <f>IFERROR(__xludf.DUMMYFUNCTION("""COMPUTED_VALUE"""),0.0)</f>
        <v>0</v>
      </c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</row>
    <row r="172">
      <c r="A172" s="191"/>
      <c r="B172" s="196" t="str">
        <f>IF(OR(E172=Report!$B$1, F172=Report!$B$1, G172=Report!$B$1, H172=Report!$B$1), D172, "")</f>
        <v/>
      </c>
      <c r="C172" s="191" t="b">
        <f>IFERROR(__xludf.DUMMYFUNCTION("""COMPUTED_VALUE"""),FALSE)</f>
        <v>0</v>
      </c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4">
        <f>IFERROR(__xludf.DUMMYFUNCTION("""COMPUTED_VALUE"""),100.0)</f>
        <v>100</v>
      </c>
      <c r="W172" s="194">
        <f>IFERROR(__xludf.DUMMYFUNCTION("""COMPUTED_VALUE"""),0.0)</f>
        <v>0</v>
      </c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</row>
    <row r="173">
      <c r="A173" s="191"/>
      <c r="B173" s="196" t="str">
        <f>IF(OR(E173=Report!$B$1, F173=Report!$B$1, G173=Report!$B$1, H173=Report!$B$1), D173, "")</f>
        <v/>
      </c>
      <c r="C173" s="191" t="b">
        <f>IFERROR(__xludf.DUMMYFUNCTION("""COMPUTED_VALUE"""),FALSE)</f>
        <v>0</v>
      </c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4">
        <f>IFERROR(__xludf.DUMMYFUNCTION("""COMPUTED_VALUE"""),100.0)</f>
        <v>100</v>
      </c>
      <c r="W173" s="194">
        <f>IFERROR(__xludf.DUMMYFUNCTION("""COMPUTED_VALUE"""),0.0)</f>
        <v>0</v>
      </c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</row>
    <row r="174">
      <c r="A174" s="191"/>
      <c r="B174" s="196" t="str">
        <f>IF(OR(E174=Report!$B$1, F174=Report!$B$1, G174=Report!$B$1, H174=Report!$B$1), D174, "")</f>
        <v/>
      </c>
      <c r="C174" s="191" t="b">
        <f>IFERROR(__xludf.DUMMYFUNCTION("""COMPUTED_VALUE"""),FALSE)</f>
        <v>0</v>
      </c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4">
        <f>IFERROR(__xludf.DUMMYFUNCTION("""COMPUTED_VALUE"""),100.0)</f>
        <v>100</v>
      </c>
      <c r="W174" s="194">
        <f>IFERROR(__xludf.DUMMYFUNCTION("""COMPUTED_VALUE"""),0.0)</f>
        <v>0</v>
      </c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</row>
    <row r="175">
      <c r="A175" s="191"/>
      <c r="B175" s="196" t="str">
        <f>IF(OR(E175=Report!$B$1, F175=Report!$B$1, G175=Report!$B$1, H175=Report!$B$1), D175, "")</f>
        <v/>
      </c>
      <c r="C175" s="191" t="b">
        <f>IFERROR(__xludf.DUMMYFUNCTION("""COMPUTED_VALUE"""),FALSE)</f>
        <v>0</v>
      </c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4">
        <f>IFERROR(__xludf.DUMMYFUNCTION("""COMPUTED_VALUE"""),100.0)</f>
        <v>100</v>
      </c>
      <c r="W175" s="194">
        <f>IFERROR(__xludf.DUMMYFUNCTION("""COMPUTED_VALUE"""),0.0)</f>
        <v>0</v>
      </c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</row>
    <row r="176">
      <c r="A176" s="191"/>
      <c r="B176" s="196" t="str">
        <f>IF(OR(E176=Report!$B$1, F176=Report!$B$1, G176=Report!$B$1, H176=Report!$B$1), D176, "")</f>
        <v/>
      </c>
      <c r="C176" s="191" t="b">
        <f>IFERROR(__xludf.DUMMYFUNCTION("""COMPUTED_VALUE"""),FALSE)</f>
        <v>0</v>
      </c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4">
        <f>IFERROR(__xludf.DUMMYFUNCTION("""COMPUTED_VALUE"""),100.0)</f>
        <v>100</v>
      </c>
      <c r="W176" s="194">
        <f>IFERROR(__xludf.DUMMYFUNCTION("""COMPUTED_VALUE"""),0.0)</f>
        <v>0</v>
      </c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</row>
    <row r="177">
      <c r="A177" s="191"/>
      <c r="B177" s="196" t="str">
        <f>IF(OR(E177=Report!$B$1, F177=Report!$B$1, G177=Report!$B$1, H177=Report!$B$1), D177, "")</f>
        <v/>
      </c>
      <c r="C177" s="191" t="b">
        <f>IFERROR(__xludf.DUMMYFUNCTION("""COMPUTED_VALUE"""),FALSE)</f>
        <v>0</v>
      </c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4">
        <f>IFERROR(__xludf.DUMMYFUNCTION("""COMPUTED_VALUE"""),100.0)</f>
        <v>100</v>
      </c>
      <c r="W177" s="194">
        <f>IFERROR(__xludf.DUMMYFUNCTION("""COMPUTED_VALUE"""),0.0)</f>
        <v>0</v>
      </c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</row>
    <row r="178">
      <c r="A178" s="191"/>
      <c r="B178" s="196" t="str">
        <f>IF(OR(E178=Report!$B$1, F178=Report!$B$1, G178=Report!$B$1, H178=Report!$B$1), D178, "")</f>
        <v/>
      </c>
      <c r="C178" s="191" t="b">
        <f>IFERROR(__xludf.DUMMYFUNCTION("""COMPUTED_VALUE"""),FALSE)</f>
        <v>0</v>
      </c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4">
        <f>IFERROR(__xludf.DUMMYFUNCTION("""COMPUTED_VALUE"""),100.0)</f>
        <v>100</v>
      </c>
      <c r="W178" s="194">
        <f>IFERROR(__xludf.DUMMYFUNCTION("""COMPUTED_VALUE"""),0.0)</f>
        <v>0</v>
      </c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</row>
    <row r="179">
      <c r="A179" s="191"/>
      <c r="B179" s="196" t="str">
        <f>IF(OR(E179=Report!$B$1, F179=Report!$B$1, G179=Report!$B$1, H179=Report!$B$1), D179, "")</f>
        <v/>
      </c>
      <c r="C179" s="191" t="b">
        <f>IFERROR(__xludf.DUMMYFUNCTION("""COMPUTED_VALUE"""),FALSE)</f>
        <v>0</v>
      </c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4">
        <f>IFERROR(__xludf.DUMMYFUNCTION("""COMPUTED_VALUE"""),100.0)</f>
        <v>100</v>
      </c>
      <c r="W179" s="194">
        <f>IFERROR(__xludf.DUMMYFUNCTION("""COMPUTED_VALUE"""),0.0)</f>
        <v>0</v>
      </c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</row>
    <row r="180">
      <c r="A180" s="191"/>
      <c r="B180" s="191"/>
      <c r="C180" s="191" t="b">
        <f>IFERROR(__xludf.DUMMYFUNCTION("""COMPUTED_VALUE"""),FALSE)</f>
        <v>0</v>
      </c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4">
        <f>IFERROR(__xludf.DUMMYFUNCTION("""COMPUTED_VALUE"""),100.0)</f>
        <v>100</v>
      </c>
      <c r="W180" s="194">
        <f>IFERROR(__xludf.DUMMYFUNCTION("""COMPUTED_VALUE"""),0.0)</f>
        <v>0</v>
      </c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</row>
    <row r="181">
      <c r="A181" s="191"/>
      <c r="B181" s="191"/>
      <c r="C181" s="191" t="b">
        <f>IFERROR(__xludf.DUMMYFUNCTION("""COMPUTED_VALUE"""),FALSE)</f>
        <v>0</v>
      </c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4">
        <f>IFERROR(__xludf.DUMMYFUNCTION("""COMPUTED_VALUE"""),100.0)</f>
        <v>100</v>
      </c>
      <c r="W181" s="194">
        <f>IFERROR(__xludf.DUMMYFUNCTION("""COMPUTED_VALUE"""),0.0)</f>
        <v>0</v>
      </c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</row>
    <row r="182">
      <c r="A182" s="191"/>
      <c r="B182" s="191"/>
      <c r="C182" s="191" t="b">
        <f>IFERROR(__xludf.DUMMYFUNCTION("""COMPUTED_VALUE"""),FALSE)</f>
        <v>0</v>
      </c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4">
        <f>IFERROR(__xludf.DUMMYFUNCTION("""COMPUTED_VALUE"""),100.0)</f>
        <v>100</v>
      </c>
      <c r="W182" s="194">
        <f>IFERROR(__xludf.DUMMYFUNCTION("""COMPUTED_VALUE"""),0.0)</f>
        <v>0</v>
      </c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</row>
    <row r="183">
      <c r="A183" s="191"/>
      <c r="B183" s="191"/>
      <c r="C183" s="191" t="b">
        <f>IFERROR(__xludf.DUMMYFUNCTION("""COMPUTED_VALUE"""),FALSE)</f>
        <v>0</v>
      </c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4">
        <f>IFERROR(__xludf.DUMMYFUNCTION("""COMPUTED_VALUE"""),100.0)</f>
        <v>100</v>
      </c>
      <c r="W183" s="194">
        <f>IFERROR(__xludf.DUMMYFUNCTION("""COMPUTED_VALUE"""),0.0)</f>
        <v>0</v>
      </c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</row>
    <row r="184">
      <c r="A184" s="191"/>
      <c r="B184" s="191"/>
      <c r="C184" s="191" t="b">
        <f>IFERROR(__xludf.DUMMYFUNCTION("""COMPUTED_VALUE"""),FALSE)</f>
        <v>0</v>
      </c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4">
        <f>IFERROR(__xludf.DUMMYFUNCTION("""COMPUTED_VALUE"""),100.0)</f>
        <v>100</v>
      </c>
      <c r="W184" s="194">
        <f>IFERROR(__xludf.DUMMYFUNCTION("""COMPUTED_VALUE"""),0.0)</f>
        <v>0</v>
      </c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</row>
    <row r="185">
      <c r="A185" s="191"/>
      <c r="B185" s="191"/>
      <c r="C185" s="191" t="b">
        <f>IFERROR(__xludf.DUMMYFUNCTION("""COMPUTED_VALUE"""),FALSE)</f>
        <v>0</v>
      </c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4">
        <f>IFERROR(__xludf.DUMMYFUNCTION("""COMPUTED_VALUE"""),100.0)</f>
        <v>100</v>
      </c>
      <c r="W185" s="194">
        <f>IFERROR(__xludf.DUMMYFUNCTION("""COMPUTED_VALUE"""),0.0)</f>
        <v>0</v>
      </c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</row>
    <row r="186">
      <c r="A186" s="191"/>
      <c r="B186" s="191"/>
      <c r="C186" s="191" t="b">
        <f>IFERROR(__xludf.DUMMYFUNCTION("""COMPUTED_VALUE"""),FALSE)</f>
        <v>0</v>
      </c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4">
        <f>IFERROR(__xludf.DUMMYFUNCTION("""COMPUTED_VALUE"""),100.0)</f>
        <v>100</v>
      </c>
      <c r="W186" s="194">
        <f>IFERROR(__xludf.DUMMYFUNCTION("""COMPUTED_VALUE"""),0.0)</f>
        <v>0</v>
      </c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</row>
    <row r="187">
      <c r="A187" s="191"/>
      <c r="B187" s="191"/>
      <c r="C187" s="191" t="b">
        <f>IFERROR(__xludf.DUMMYFUNCTION("""COMPUTED_VALUE"""),FALSE)</f>
        <v>0</v>
      </c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4">
        <f>IFERROR(__xludf.DUMMYFUNCTION("""COMPUTED_VALUE"""),100.0)</f>
        <v>100</v>
      </c>
      <c r="W187" s="194">
        <f>IFERROR(__xludf.DUMMYFUNCTION("""COMPUTED_VALUE"""),0.0)</f>
        <v>0</v>
      </c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</row>
    <row r="188">
      <c r="A188" s="191"/>
      <c r="B188" s="191"/>
      <c r="C188" s="191" t="b">
        <f>IFERROR(__xludf.DUMMYFUNCTION("""COMPUTED_VALUE"""),FALSE)</f>
        <v>0</v>
      </c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4">
        <f>IFERROR(__xludf.DUMMYFUNCTION("""COMPUTED_VALUE"""),100.0)</f>
        <v>100</v>
      </c>
      <c r="W188" s="194">
        <f>IFERROR(__xludf.DUMMYFUNCTION("""COMPUTED_VALUE"""),0.0)</f>
        <v>0</v>
      </c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</row>
    <row r="189">
      <c r="A189" s="191"/>
      <c r="B189" s="191"/>
      <c r="C189" s="191" t="b">
        <f>IFERROR(__xludf.DUMMYFUNCTION("""COMPUTED_VALUE"""),FALSE)</f>
        <v>0</v>
      </c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4">
        <f>IFERROR(__xludf.DUMMYFUNCTION("""COMPUTED_VALUE"""),100.0)</f>
        <v>100</v>
      </c>
      <c r="W189" s="194">
        <f>IFERROR(__xludf.DUMMYFUNCTION("""COMPUTED_VALUE"""),0.0)</f>
        <v>0</v>
      </c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</row>
    <row r="190">
      <c r="A190" s="191"/>
      <c r="B190" s="191"/>
      <c r="C190" s="191" t="b">
        <f>IFERROR(__xludf.DUMMYFUNCTION("""COMPUTED_VALUE"""),FALSE)</f>
        <v>0</v>
      </c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4">
        <f>IFERROR(__xludf.DUMMYFUNCTION("""COMPUTED_VALUE"""),100.0)</f>
        <v>100</v>
      </c>
      <c r="W190" s="194">
        <f>IFERROR(__xludf.DUMMYFUNCTION("""COMPUTED_VALUE"""),0.0)</f>
        <v>0</v>
      </c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</row>
    <row r="191">
      <c r="A191" s="191"/>
      <c r="B191" s="191"/>
      <c r="C191" s="191" t="b">
        <f>IFERROR(__xludf.DUMMYFUNCTION("""COMPUTED_VALUE"""),FALSE)</f>
        <v>0</v>
      </c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4">
        <f>IFERROR(__xludf.DUMMYFUNCTION("""COMPUTED_VALUE"""),100.0)</f>
        <v>100</v>
      </c>
      <c r="W191" s="194">
        <f>IFERROR(__xludf.DUMMYFUNCTION("""COMPUTED_VALUE"""),0.0)</f>
        <v>0</v>
      </c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</row>
    <row r="192">
      <c r="A192" s="191"/>
      <c r="B192" s="191"/>
      <c r="C192" s="191" t="b">
        <f>IFERROR(__xludf.DUMMYFUNCTION("""COMPUTED_VALUE"""),FALSE)</f>
        <v>0</v>
      </c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4">
        <f>IFERROR(__xludf.DUMMYFUNCTION("""COMPUTED_VALUE"""),0.0)</f>
        <v>0</v>
      </c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</row>
    <row r="193">
      <c r="A193" s="191"/>
      <c r="B193" s="191"/>
      <c r="C193" s="191" t="b">
        <f>IFERROR(__xludf.DUMMYFUNCTION("""COMPUTED_VALUE"""),FALSE)</f>
        <v>0</v>
      </c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4">
        <f>IFERROR(__xludf.DUMMYFUNCTION("""COMPUTED_VALUE"""),0.0)</f>
        <v>0</v>
      </c>
      <c r="W193" s="194">
        <f>IFERROR(__xludf.DUMMYFUNCTION("""COMPUTED_VALUE"""),0.0)</f>
        <v>0</v>
      </c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</row>
    <row r="194">
      <c r="A194" s="191"/>
      <c r="B194" s="191"/>
      <c r="C194" s="191"/>
      <c r="D194" s="191" t="str">
        <f>IFERROR(__xludf.DUMMYFUNCTION("""COMPUTED_VALUE"""),"End")</f>
        <v>End</v>
      </c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4">
        <f>IFERROR(__xludf.DUMMYFUNCTION("""COMPUTED_VALUE"""),0.0)</f>
        <v>0</v>
      </c>
      <c r="W194" s="194">
        <f>IFERROR(__xludf.DUMMYFUNCTION("""COMPUTED_VALUE"""),0.0)</f>
        <v>0</v>
      </c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</row>
    <row r="195">
      <c r="A195" s="191"/>
      <c r="B195" s="191"/>
      <c r="C195" s="191"/>
      <c r="D195" s="191" t="str">
        <f>IFERROR(__xludf.DUMMYFUNCTION("""COMPUTED_VALUE"""),"Celkem kurýr")</f>
        <v>Celkem kurýr</v>
      </c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4">
        <f>IFERROR(__xludf.DUMMYFUNCTION("""COMPUTED_VALUE"""),0.0)</f>
        <v>0</v>
      </c>
      <c r="W195" s="194">
        <f>IFERROR(__xludf.DUMMYFUNCTION("""COMPUTED_VALUE"""),0.0)</f>
        <v>0</v>
      </c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</row>
    <row r="196">
      <c r="A196" s="191"/>
      <c r="B196" s="191"/>
      <c r="C196" s="191"/>
      <c r="D196" s="191" t="str">
        <f>IFERROR(__xludf.DUMMYFUNCTION("""COMPUTED_VALUE"""),"Celkem inst + kurýr")</f>
        <v>Celkem inst + kurýr</v>
      </c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4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4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4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4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4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4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4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4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4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4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4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4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4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4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4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4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4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4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4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4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4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4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4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4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191"/>
    </row>
    <row r="220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4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4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4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4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4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4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4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4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4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4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4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4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4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4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4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4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4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4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4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4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4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4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4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4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4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4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4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4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4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4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4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4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4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4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4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4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4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4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4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4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4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4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4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4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4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4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4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4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4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4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4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4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4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4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4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4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4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4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4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4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4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4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4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4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4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4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4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4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4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4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4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4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4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4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4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4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4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4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4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4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4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4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4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4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4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4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4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4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4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4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4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4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4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4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4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4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4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4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4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4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4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4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4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4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4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4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4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4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4"/>
      <c r="X328" s="191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4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4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4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4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4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4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4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4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4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4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4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4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4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4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4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4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4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4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4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4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4"/>
      <c r="X349" s="191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4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4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4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4"/>
      <c r="X353" s="191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4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4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4"/>
      <c r="X356" s="191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4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4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4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4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4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4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4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4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4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4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4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4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4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4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4"/>
      <c r="X371" s="191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4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4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4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4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4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4"/>
      <c r="X377" s="191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4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4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4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4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4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4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4"/>
      <c r="X384" s="191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4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4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4"/>
      <c r="X387" s="191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4"/>
      <c r="X388" s="191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4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4"/>
      <c r="X390" s="191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4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4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4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4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4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4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4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4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4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4"/>
      <c r="X400" s="191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4"/>
      <c r="X401" s="191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4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4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4"/>
      <c r="X404" s="191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4"/>
      <c r="X405" s="191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4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4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4"/>
      <c r="X408" s="191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4"/>
      <c r="X409" s="191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4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4"/>
      <c r="X411" s="191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4"/>
      <c r="X412" s="191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4"/>
      <c r="X413" s="191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4"/>
      <c r="X414" s="191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4"/>
      <c r="X415" s="191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4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4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4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4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4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4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4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4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4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4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4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4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4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4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4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4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4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4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4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4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4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4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4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4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4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4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4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4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4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4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4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4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4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4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4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4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4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4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4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4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4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4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4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4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4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4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4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4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4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4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4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4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4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4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4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4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4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4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4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4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4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4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4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4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4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4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4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4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4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4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4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4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4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4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4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4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4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4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4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4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4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4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4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4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4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4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4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4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4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4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4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4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4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4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4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4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4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4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4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4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4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4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4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4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4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4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4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4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4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4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4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4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4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4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4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4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4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4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4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4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4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4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4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4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4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4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4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4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4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4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4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4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4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4"/>
      <c r="X549" s="191"/>
      <c r="Y549" s="191"/>
      <c r="Z549" s="191"/>
      <c r="AA549" s="191"/>
      <c r="AB549" s="191"/>
      <c r="AC549" s="191"/>
      <c r="AD549" s="191"/>
      <c r="AE549" s="191"/>
      <c r="AF549" s="191"/>
      <c r="AG549" s="191"/>
      <c r="AH549" s="191"/>
      <c r="AI549" s="191"/>
      <c r="AJ549" s="191"/>
      <c r="AK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4"/>
      <c r="X550" s="191"/>
      <c r="Y550" s="191"/>
      <c r="Z550" s="191"/>
      <c r="AA550" s="191"/>
      <c r="AB550" s="191"/>
      <c r="AC550" s="191"/>
      <c r="AD550" s="191"/>
      <c r="AE550" s="191"/>
      <c r="AF550" s="191"/>
      <c r="AG550" s="191"/>
      <c r="AH550" s="191"/>
      <c r="AI550" s="191"/>
      <c r="AJ550" s="191"/>
      <c r="AK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4"/>
      <c r="X551" s="191"/>
      <c r="Y551" s="191"/>
      <c r="Z551" s="191"/>
      <c r="AA551" s="191"/>
      <c r="AB551" s="191"/>
      <c r="AC551" s="191"/>
      <c r="AD551" s="191"/>
      <c r="AE551" s="191"/>
      <c r="AF551" s="191"/>
      <c r="AG551" s="191"/>
      <c r="AH551" s="191"/>
      <c r="AI551" s="191"/>
      <c r="AJ551" s="191"/>
      <c r="AK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4"/>
      <c r="X552" s="191"/>
      <c r="Y552" s="191"/>
      <c r="Z552" s="191"/>
      <c r="AA552" s="191"/>
      <c r="AB552" s="191"/>
      <c r="AC552" s="191"/>
      <c r="AD552" s="191"/>
      <c r="AE552" s="191"/>
      <c r="AF552" s="191"/>
      <c r="AG552" s="191"/>
      <c r="AH552" s="191"/>
      <c r="AI552" s="191"/>
      <c r="AJ552" s="191"/>
      <c r="AK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4"/>
      <c r="X553" s="191"/>
      <c r="Y553" s="191"/>
      <c r="Z553" s="191"/>
      <c r="AA553" s="191"/>
      <c r="AB553" s="191"/>
      <c r="AC553" s="191"/>
      <c r="AD553" s="191"/>
      <c r="AE553" s="191"/>
      <c r="AF553" s="191"/>
      <c r="AG553" s="191"/>
      <c r="AH553" s="191"/>
      <c r="AI553" s="191"/>
      <c r="AJ553" s="191"/>
      <c r="AK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4"/>
      <c r="X554" s="191"/>
      <c r="Y554" s="191"/>
      <c r="Z554" s="191"/>
      <c r="AA554" s="191"/>
      <c r="AB554" s="191"/>
      <c r="AC554" s="191"/>
      <c r="AD554" s="191"/>
      <c r="AE554" s="191"/>
      <c r="AF554" s="191"/>
      <c r="AG554" s="191"/>
      <c r="AH554" s="191"/>
      <c r="AI554" s="191"/>
      <c r="AJ554" s="191"/>
      <c r="AK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4"/>
      <c r="X555" s="191"/>
      <c r="Y555" s="191"/>
      <c r="Z555" s="191"/>
      <c r="AA555" s="191"/>
      <c r="AB555" s="191"/>
      <c r="AC555" s="191"/>
      <c r="AD555" s="191"/>
      <c r="AE555" s="191"/>
      <c r="AF555" s="191"/>
      <c r="AG555" s="191"/>
      <c r="AH555" s="191"/>
      <c r="AI555" s="191"/>
      <c r="AJ555" s="191"/>
      <c r="AK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4"/>
      <c r="X556" s="191"/>
      <c r="Y556" s="191"/>
      <c r="Z556" s="191"/>
      <c r="AA556" s="191"/>
      <c r="AB556" s="191"/>
      <c r="AC556" s="191"/>
      <c r="AD556" s="191"/>
      <c r="AE556" s="191"/>
      <c r="AF556" s="191"/>
      <c r="AG556" s="191"/>
      <c r="AH556" s="191"/>
      <c r="AI556" s="191"/>
      <c r="AJ556" s="191"/>
      <c r="AK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4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4"/>
      <c r="X558" s="191"/>
      <c r="Y558" s="191"/>
      <c r="Z558" s="191"/>
      <c r="AA558" s="191"/>
      <c r="AB558" s="191"/>
      <c r="AC558" s="191"/>
      <c r="AD558" s="191"/>
      <c r="AE558" s="191"/>
      <c r="AF558" s="191"/>
      <c r="AG558" s="191"/>
      <c r="AH558" s="191"/>
      <c r="AI558" s="191"/>
      <c r="AJ558" s="191"/>
      <c r="AK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4"/>
      <c r="X559" s="191"/>
      <c r="Y559" s="191"/>
      <c r="Z559" s="191"/>
      <c r="AA559" s="191"/>
      <c r="AB559" s="191"/>
      <c r="AC559" s="191"/>
      <c r="AD559" s="191"/>
      <c r="AE559" s="191"/>
      <c r="AF559" s="191"/>
      <c r="AG559" s="191"/>
      <c r="AH559" s="191"/>
      <c r="AI559" s="191"/>
      <c r="AJ559" s="191"/>
      <c r="AK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4"/>
      <c r="X560" s="191"/>
      <c r="Y560" s="191"/>
      <c r="Z560" s="191"/>
      <c r="AA560" s="191"/>
      <c r="AB560" s="191"/>
      <c r="AC560" s="191"/>
      <c r="AD560" s="191"/>
      <c r="AE560" s="191"/>
      <c r="AF560" s="191"/>
      <c r="AG560" s="191"/>
      <c r="AH560" s="191"/>
      <c r="AI560" s="191"/>
      <c r="AJ560" s="191"/>
      <c r="AK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4"/>
      <c r="X561" s="191"/>
      <c r="Y561" s="191"/>
      <c r="Z561" s="191"/>
      <c r="AA561" s="191"/>
      <c r="AB561" s="191"/>
      <c r="AC561" s="191"/>
      <c r="AD561" s="191"/>
      <c r="AE561" s="191"/>
      <c r="AF561" s="191"/>
      <c r="AG561" s="191"/>
      <c r="AH561" s="191"/>
      <c r="AI561" s="191"/>
      <c r="AJ561" s="191"/>
      <c r="AK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4"/>
      <c r="X562" s="191"/>
      <c r="Y562" s="191"/>
      <c r="Z562" s="191"/>
      <c r="AA562" s="191"/>
      <c r="AB562" s="191"/>
      <c r="AC562" s="191"/>
      <c r="AD562" s="191"/>
      <c r="AE562" s="191"/>
      <c r="AF562" s="191"/>
      <c r="AG562" s="191"/>
      <c r="AH562" s="191"/>
      <c r="AI562" s="191"/>
      <c r="AJ562" s="191"/>
      <c r="AK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4"/>
      <c r="X563" s="191"/>
      <c r="Y563" s="191"/>
      <c r="Z563" s="191"/>
      <c r="AA563" s="191"/>
      <c r="AB563" s="191"/>
      <c r="AC563" s="191"/>
      <c r="AD563" s="191"/>
      <c r="AE563" s="191"/>
      <c r="AF563" s="191"/>
      <c r="AG563" s="191"/>
      <c r="AH563" s="191"/>
      <c r="AI563" s="191"/>
      <c r="AJ563" s="191"/>
      <c r="AK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4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1"/>
      <c r="AI564" s="191"/>
      <c r="AJ564" s="191"/>
      <c r="AK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4"/>
      <c r="X565" s="191"/>
      <c r="Y565" s="191"/>
      <c r="Z565" s="191"/>
      <c r="AA565" s="191"/>
      <c r="AB565" s="191"/>
      <c r="AC565" s="191"/>
      <c r="AD565" s="191"/>
      <c r="AE565" s="191"/>
      <c r="AF565" s="191"/>
      <c r="AG565" s="191"/>
      <c r="AH565" s="191"/>
      <c r="AI565" s="191"/>
      <c r="AJ565" s="191"/>
      <c r="AK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4"/>
      <c r="X566" s="191"/>
      <c r="Y566" s="191"/>
      <c r="Z566" s="191"/>
      <c r="AA566" s="191"/>
      <c r="AB566" s="191"/>
      <c r="AC566" s="191"/>
      <c r="AD566" s="191"/>
      <c r="AE566" s="191"/>
      <c r="AF566" s="191"/>
      <c r="AG566" s="191"/>
      <c r="AH566" s="191"/>
      <c r="AI566" s="191"/>
      <c r="AJ566" s="191"/>
      <c r="AK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4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  <c r="AI567" s="191"/>
      <c r="AJ567" s="191"/>
      <c r="AK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4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  <c r="AI568" s="191"/>
      <c r="AJ568" s="191"/>
      <c r="AK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4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  <c r="AI569" s="191"/>
      <c r="AJ569" s="191"/>
      <c r="AK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4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  <c r="AI570" s="191"/>
      <c r="AJ570" s="191"/>
      <c r="AK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4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  <c r="AI571" s="191"/>
      <c r="AJ571" s="191"/>
      <c r="AK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4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  <c r="AI572" s="191"/>
      <c r="AJ572" s="191"/>
      <c r="AK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4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  <c r="AI573" s="191"/>
      <c r="AJ573" s="191"/>
      <c r="AK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4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  <c r="AI574" s="191"/>
      <c r="AJ574" s="191"/>
      <c r="AK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4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  <c r="AI575" s="191"/>
      <c r="AJ575" s="191"/>
      <c r="AK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4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  <c r="AI576" s="191"/>
      <c r="AJ576" s="191"/>
      <c r="AK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4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  <c r="AI577" s="191"/>
      <c r="AJ577" s="191"/>
      <c r="AK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4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  <c r="AI578" s="191"/>
      <c r="AJ578" s="191"/>
      <c r="AK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4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  <c r="AI579" s="191"/>
      <c r="AJ579" s="191"/>
      <c r="AK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4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  <c r="AI580" s="191"/>
      <c r="AJ580" s="191"/>
      <c r="AK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4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  <c r="AI581" s="191"/>
      <c r="AJ581" s="191"/>
      <c r="AK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4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  <c r="AI582" s="191"/>
      <c r="AJ582" s="191"/>
      <c r="AK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4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  <c r="AI583" s="191"/>
      <c r="AJ583" s="191"/>
      <c r="AK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4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  <c r="AI584" s="191"/>
      <c r="AJ584" s="191"/>
      <c r="AK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4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  <c r="AI585" s="191"/>
      <c r="AJ585" s="191"/>
      <c r="AK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4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  <c r="AI586" s="191"/>
      <c r="AJ586" s="191"/>
      <c r="AK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4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  <c r="AI587" s="191"/>
      <c r="AJ587" s="191"/>
      <c r="AK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4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  <c r="AI588" s="191"/>
      <c r="AJ588" s="191"/>
      <c r="AK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4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  <c r="AI589" s="191"/>
      <c r="AJ589" s="191"/>
      <c r="AK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4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  <c r="AI590" s="191"/>
      <c r="AJ590" s="191"/>
      <c r="AK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4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  <c r="AI591" s="191"/>
      <c r="AJ591" s="191"/>
      <c r="AK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4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91"/>
      <c r="AK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4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  <c r="AI593" s="191"/>
      <c r="AJ593" s="191"/>
      <c r="AK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4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  <c r="AI594" s="191"/>
      <c r="AJ594" s="191"/>
      <c r="AK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4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  <c r="AI595" s="191"/>
      <c r="AJ595" s="191"/>
      <c r="AK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4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  <c r="AI596" s="191"/>
      <c r="AJ596" s="191"/>
      <c r="AK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4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4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  <c r="AI598" s="191"/>
      <c r="AJ598" s="191"/>
      <c r="AK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4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  <c r="AI599" s="191"/>
      <c r="AJ599" s="191"/>
      <c r="AK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4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  <c r="AI600" s="191"/>
      <c r="AJ600" s="191"/>
      <c r="AK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4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  <c r="AI601" s="191"/>
      <c r="AJ601" s="191"/>
      <c r="AK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4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  <c r="AI602" s="191"/>
      <c r="AJ602" s="191"/>
      <c r="AK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4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  <c r="AI603" s="191"/>
      <c r="AJ603" s="191"/>
      <c r="AK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4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  <c r="AI604" s="191"/>
      <c r="AJ604" s="191"/>
      <c r="AK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4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  <c r="AI605" s="191"/>
      <c r="AJ605" s="191"/>
      <c r="AK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4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  <c r="AI606" s="191"/>
      <c r="AJ606" s="191"/>
      <c r="AK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4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  <c r="AI607" s="191"/>
      <c r="AJ607" s="191"/>
      <c r="AK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4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  <c r="AI608" s="191"/>
      <c r="AJ608" s="191"/>
      <c r="AK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4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  <c r="AI609" s="191"/>
      <c r="AJ609" s="191"/>
      <c r="AK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4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  <c r="AI610" s="191"/>
      <c r="AJ610" s="191"/>
      <c r="AK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4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  <c r="AI611" s="191"/>
      <c r="AJ611" s="191"/>
      <c r="AK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4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4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  <c r="AI613" s="191"/>
      <c r="AJ613" s="191"/>
      <c r="AK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4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  <c r="AI614" s="191"/>
      <c r="AJ614" s="191"/>
      <c r="AK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4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  <c r="AI615" s="191"/>
      <c r="AJ615" s="191"/>
      <c r="AK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4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  <c r="AI616" s="191"/>
      <c r="AJ616" s="191"/>
      <c r="AK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4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  <c r="AI617" s="191"/>
      <c r="AJ617" s="191"/>
      <c r="AK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4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  <c r="AI618" s="191"/>
      <c r="AJ618" s="191"/>
      <c r="AK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4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  <c r="AI619" s="191"/>
      <c r="AJ619" s="191"/>
      <c r="AK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4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  <c r="AI620" s="191"/>
      <c r="AJ620" s="191"/>
      <c r="AK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4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  <c r="AI621" s="191"/>
      <c r="AJ621" s="191"/>
      <c r="AK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4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  <c r="AI622" s="191"/>
      <c r="AJ622" s="191"/>
      <c r="AK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4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  <c r="AI623" s="191"/>
      <c r="AJ623" s="191"/>
      <c r="AK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4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  <c r="AI624" s="191"/>
      <c r="AJ624" s="191"/>
      <c r="AK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4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  <c r="AI625" s="191"/>
      <c r="AJ625" s="191"/>
      <c r="AK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4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91"/>
      <c r="AK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4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  <c r="AI627" s="191"/>
      <c r="AJ627" s="191"/>
      <c r="AK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4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  <c r="AI628" s="191"/>
      <c r="AJ628" s="191"/>
      <c r="AK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4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  <c r="AI629" s="191"/>
      <c r="AJ629" s="191"/>
      <c r="AK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4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4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4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  <c r="AI632" s="191"/>
      <c r="AJ632" s="191"/>
      <c r="AK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4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4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191"/>
      <c r="AJ634" s="191"/>
      <c r="AK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4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  <c r="AI635" s="191"/>
      <c r="AJ635" s="191"/>
      <c r="AK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4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  <c r="AI636" s="191"/>
      <c r="AJ636" s="191"/>
      <c r="AK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4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191"/>
      <c r="AJ637" s="191"/>
      <c r="AK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4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4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  <c r="AI639" s="191"/>
      <c r="AJ639" s="191"/>
      <c r="AK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4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  <c r="AI640" s="191"/>
      <c r="AJ640" s="191"/>
      <c r="AK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4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91"/>
      <c r="AK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4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  <c r="AI642" s="191"/>
      <c r="AJ642" s="191"/>
      <c r="AK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4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  <c r="AI643" s="191"/>
      <c r="AJ643" s="191"/>
      <c r="AK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4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  <c r="AI644" s="191"/>
      <c r="AJ644" s="191"/>
      <c r="AK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4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4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4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  <c r="AI647" s="191"/>
      <c r="AJ647" s="191"/>
      <c r="AK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4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  <c r="AI648" s="191"/>
      <c r="AJ648" s="191"/>
      <c r="AK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4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  <c r="AI649" s="191"/>
      <c r="AJ649" s="191"/>
      <c r="AK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4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  <c r="AI650" s="191"/>
      <c r="AJ650" s="191"/>
      <c r="AK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4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  <c r="AI651" s="191"/>
      <c r="AJ651" s="191"/>
      <c r="AK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4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  <c r="AI652" s="191"/>
      <c r="AJ652" s="191"/>
      <c r="AK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4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  <c r="AI653" s="191"/>
      <c r="AJ653" s="191"/>
      <c r="AK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4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  <c r="AI654" s="191"/>
      <c r="AJ654" s="191"/>
      <c r="AK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4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  <c r="AI655" s="191"/>
      <c r="AJ655" s="191"/>
      <c r="AK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4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  <c r="AI656" s="191"/>
      <c r="AJ656" s="191"/>
      <c r="AK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4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  <c r="AI657" s="191"/>
      <c r="AJ657" s="191"/>
      <c r="AK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4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  <c r="AI658" s="191"/>
      <c r="AJ658" s="191"/>
      <c r="AK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4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  <c r="AI659" s="191"/>
      <c r="AJ659" s="191"/>
      <c r="AK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4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  <c r="AI660" s="191"/>
      <c r="AJ660" s="191"/>
      <c r="AK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4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  <c r="AI661" s="191"/>
      <c r="AJ661" s="191"/>
      <c r="AK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4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  <c r="AI662" s="191"/>
      <c r="AJ662" s="191"/>
      <c r="AK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4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  <c r="AI663" s="191"/>
      <c r="AJ663" s="191"/>
      <c r="AK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4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  <c r="AI664" s="191"/>
      <c r="AJ664" s="191"/>
      <c r="AK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4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  <c r="AI665" s="191"/>
      <c r="AJ665" s="191"/>
      <c r="AK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4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  <c r="AI666" s="191"/>
      <c r="AJ666" s="191"/>
      <c r="AK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4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4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  <c r="AI668" s="191"/>
      <c r="AJ668" s="191"/>
      <c r="AK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4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  <c r="AI669" s="191"/>
      <c r="AJ669" s="191"/>
      <c r="AK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4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  <c r="AI670" s="191"/>
      <c r="AJ670" s="191"/>
      <c r="AK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4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  <c r="AI671" s="191"/>
      <c r="AJ671" s="191"/>
      <c r="AK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4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  <c r="AI672" s="191"/>
      <c r="AJ672" s="191"/>
      <c r="AK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4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  <c r="AI673" s="191"/>
      <c r="AJ673" s="191"/>
      <c r="AK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4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  <c r="AI674" s="191"/>
      <c r="AJ674" s="191"/>
      <c r="AK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4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  <c r="AI675" s="191"/>
      <c r="AJ675" s="191"/>
      <c r="AK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4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  <c r="AI676" s="191"/>
      <c r="AJ676" s="191"/>
      <c r="AK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4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  <c r="AI677" s="191"/>
      <c r="AJ677" s="191"/>
      <c r="AK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4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  <c r="AI678" s="191"/>
      <c r="AJ678" s="191"/>
      <c r="AK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4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  <c r="AI679" s="191"/>
      <c r="AJ679" s="191"/>
      <c r="AK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4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  <c r="AI680" s="191"/>
      <c r="AJ680" s="191"/>
      <c r="AK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4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  <c r="AI681" s="191"/>
      <c r="AJ681" s="191"/>
      <c r="AK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4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  <c r="AI682" s="191"/>
      <c r="AJ682" s="191"/>
      <c r="AK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4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  <c r="AI683" s="191"/>
      <c r="AJ683" s="191"/>
      <c r="AK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4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  <c r="AI684" s="191"/>
      <c r="AJ684" s="191"/>
      <c r="AK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4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  <c r="AI685" s="191"/>
      <c r="AJ685" s="191"/>
      <c r="AK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4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  <c r="AI686" s="191"/>
      <c r="AJ686" s="191"/>
      <c r="AK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4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  <c r="AI687" s="191"/>
      <c r="AJ687" s="191"/>
      <c r="AK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4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  <c r="AI688" s="191"/>
      <c r="AJ688" s="191"/>
      <c r="AK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4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  <c r="AI689" s="191"/>
      <c r="AJ689" s="191"/>
      <c r="AK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4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  <c r="AI690" s="191"/>
      <c r="AJ690" s="191"/>
      <c r="AK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4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  <c r="AI691" s="191"/>
      <c r="AJ691" s="191"/>
      <c r="AK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4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  <c r="AI692" s="191"/>
      <c r="AJ692" s="191"/>
      <c r="AK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4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4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4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4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4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4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4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4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4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4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4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4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4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4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4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4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4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4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4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4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4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4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4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4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4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4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4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4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4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4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4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4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4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4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4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4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4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4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4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4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  <c r="AI732" s="191"/>
      <c r="AJ732" s="191"/>
      <c r="AK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4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  <c r="AI733" s="191"/>
      <c r="AJ733" s="191"/>
      <c r="AK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4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  <c r="AI734" s="191"/>
      <c r="AJ734" s="191"/>
      <c r="AK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4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  <c r="AI735" s="191"/>
      <c r="AJ735" s="191"/>
      <c r="AK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4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  <c r="AI736" s="191"/>
      <c r="AJ736" s="191"/>
      <c r="AK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4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  <c r="AI737" s="191"/>
      <c r="AJ737" s="191"/>
      <c r="AK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4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  <c r="AI738" s="191"/>
      <c r="AJ738" s="191"/>
      <c r="AK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4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  <c r="AI739" s="191"/>
      <c r="AJ739" s="191"/>
      <c r="AK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4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  <c r="AI740" s="191"/>
      <c r="AJ740" s="191"/>
      <c r="AK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4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  <c r="AI741" s="191"/>
      <c r="AJ741" s="191"/>
      <c r="AK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4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  <c r="AI742" s="191"/>
      <c r="AJ742" s="191"/>
      <c r="AK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4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  <c r="AI743" s="191"/>
      <c r="AJ743" s="191"/>
      <c r="AK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4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  <c r="AI744" s="191"/>
      <c r="AJ744" s="191"/>
      <c r="AK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4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  <c r="AI745" s="191"/>
      <c r="AJ745" s="191"/>
      <c r="AK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4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  <c r="AI746" s="191"/>
      <c r="AJ746" s="191"/>
      <c r="AK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4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  <c r="AI747" s="191"/>
      <c r="AJ747" s="191"/>
      <c r="AK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4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  <c r="AI748" s="191"/>
      <c r="AJ748" s="191"/>
      <c r="AK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4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  <c r="AI749" s="191"/>
      <c r="AJ749" s="191"/>
      <c r="AK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4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  <c r="AI750" s="191"/>
      <c r="AJ750" s="191"/>
      <c r="AK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4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  <c r="AI751" s="191"/>
      <c r="AJ751" s="191"/>
      <c r="AK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4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  <c r="AI752" s="191"/>
      <c r="AJ752" s="191"/>
      <c r="AK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4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  <c r="AI753" s="191"/>
      <c r="AJ753" s="191"/>
      <c r="AK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4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  <c r="AI754" s="191"/>
      <c r="AJ754" s="191"/>
      <c r="AK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4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  <c r="AI755" s="191"/>
      <c r="AJ755" s="191"/>
      <c r="AK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4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  <c r="AI756" s="191"/>
      <c r="AJ756" s="191"/>
      <c r="AK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4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  <c r="AI757" s="191"/>
      <c r="AJ757" s="191"/>
      <c r="AK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4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  <c r="AI758" s="191"/>
      <c r="AJ758" s="191"/>
      <c r="AK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4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  <c r="AI759" s="191"/>
      <c r="AJ759" s="191"/>
      <c r="AK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4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191"/>
      <c r="AJ760" s="191"/>
      <c r="AK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4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  <c r="AI761" s="191"/>
      <c r="AJ761" s="191"/>
      <c r="AK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4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  <c r="AI762" s="191"/>
      <c r="AJ762" s="191"/>
      <c r="AK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4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  <c r="AI763" s="191"/>
      <c r="AJ763" s="191"/>
      <c r="AK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4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  <c r="AI764" s="191"/>
      <c r="AJ764" s="191"/>
      <c r="AK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4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191"/>
      <c r="AJ765" s="191"/>
      <c r="AK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4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  <c r="AI766" s="191"/>
      <c r="AJ766" s="191"/>
      <c r="AK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4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  <c r="AI767" s="191"/>
      <c r="AJ767" s="191"/>
      <c r="AK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4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  <c r="AI768" s="191"/>
      <c r="AJ768" s="191"/>
      <c r="AK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4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  <c r="AI769" s="191"/>
      <c r="AJ769" s="191"/>
      <c r="AK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4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  <c r="AI770" s="191"/>
      <c r="AJ770" s="191"/>
      <c r="AK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4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  <c r="AI771" s="191"/>
      <c r="AJ771" s="191"/>
      <c r="AK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4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  <c r="AI772" s="191"/>
      <c r="AJ772" s="191"/>
      <c r="AK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4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  <c r="AI773" s="191"/>
      <c r="AJ773" s="191"/>
      <c r="AK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4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  <c r="AI774" s="191"/>
      <c r="AJ774" s="191"/>
      <c r="AK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4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  <c r="AI775" s="191"/>
      <c r="AJ775" s="191"/>
      <c r="AK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4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  <c r="AI776" s="191"/>
      <c r="AJ776" s="191"/>
      <c r="AK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4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4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  <c r="AI778" s="191"/>
      <c r="AJ778" s="191"/>
      <c r="AK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4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  <c r="AI779" s="191"/>
      <c r="AJ779" s="191"/>
      <c r="AK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4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  <c r="AI780" s="191"/>
      <c r="AJ780" s="191"/>
      <c r="AK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4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  <c r="AI781" s="191"/>
      <c r="AJ781" s="191"/>
      <c r="AK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4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  <c r="AI782" s="191"/>
      <c r="AJ782" s="191"/>
      <c r="AK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4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  <c r="AI783" s="191"/>
      <c r="AJ783" s="191"/>
      <c r="AK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4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  <c r="AI784" s="191"/>
      <c r="AJ784" s="191"/>
      <c r="AK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4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  <c r="AI785" s="191"/>
      <c r="AJ785" s="191"/>
      <c r="AK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4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  <c r="AI786" s="191"/>
      <c r="AJ786" s="191"/>
      <c r="AK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4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  <c r="AI787" s="191"/>
      <c r="AJ787" s="191"/>
      <c r="AK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4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  <c r="AI788" s="191"/>
      <c r="AJ788" s="191"/>
      <c r="AK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4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  <c r="AI789" s="191"/>
      <c r="AJ789" s="191"/>
      <c r="AK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4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  <c r="AI790" s="191"/>
      <c r="AJ790" s="191"/>
      <c r="AK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4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  <c r="AI791" s="191"/>
      <c r="AJ791" s="191"/>
      <c r="AK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4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  <c r="AI792" s="191"/>
      <c r="AJ792" s="191"/>
      <c r="AK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4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  <c r="AI793" s="191"/>
      <c r="AJ793" s="191"/>
      <c r="AK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4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  <c r="AI794" s="191"/>
      <c r="AJ794" s="191"/>
      <c r="AK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4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  <c r="AI795" s="191"/>
      <c r="AJ795" s="191"/>
      <c r="AK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4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  <c r="AI796" s="191"/>
      <c r="AJ796" s="191"/>
      <c r="AK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4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  <c r="AI797" s="191"/>
      <c r="AJ797" s="191"/>
      <c r="AK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4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  <c r="AI798" s="191"/>
      <c r="AJ798" s="191"/>
      <c r="AK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4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  <c r="AI799" s="191"/>
      <c r="AJ799" s="191"/>
      <c r="AK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4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  <c r="AI800" s="191"/>
      <c r="AJ800" s="191"/>
      <c r="AK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4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  <c r="AI801" s="191"/>
      <c r="AJ801" s="191"/>
      <c r="AK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4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  <c r="AI802" s="191"/>
      <c r="AJ802" s="191"/>
      <c r="AK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4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  <c r="AI803" s="191"/>
      <c r="AJ803" s="191"/>
      <c r="AK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4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  <c r="AI804" s="191"/>
      <c r="AJ804" s="191"/>
      <c r="AK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4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  <c r="AI805" s="191"/>
      <c r="AJ805" s="191"/>
      <c r="AK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4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  <c r="AI806" s="191"/>
      <c r="AJ806" s="191"/>
      <c r="AK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4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  <c r="AI807" s="191"/>
      <c r="AJ807" s="191"/>
      <c r="AK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4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  <c r="AI808" s="191"/>
      <c r="AJ808" s="191"/>
      <c r="AK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4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  <c r="AI809" s="191"/>
      <c r="AJ809" s="191"/>
      <c r="AK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4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  <c r="AI810" s="191"/>
      <c r="AJ810" s="191"/>
      <c r="AK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4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  <c r="AI811" s="191"/>
      <c r="AJ811" s="191"/>
      <c r="AK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4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  <c r="AI812" s="191"/>
      <c r="AJ812" s="191"/>
      <c r="AK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4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  <c r="AI813" s="191"/>
      <c r="AJ813" s="191"/>
      <c r="AK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4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  <c r="AI814" s="191"/>
      <c r="AJ814" s="191"/>
      <c r="AK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4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  <c r="AI815" s="191"/>
      <c r="AJ815" s="191"/>
      <c r="AK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4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  <c r="AI816" s="191"/>
      <c r="AJ816" s="191"/>
      <c r="AK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4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  <c r="AI817" s="191"/>
      <c r="AJ817" s="191"/>
      <c r="AK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4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  <c r="AI818" s="191"/>
      <c r="AJ818" s="191"/>
      <c r="AK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4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  <c r="AI819" s="191"/>
      <c r="AJ819" s="191"/>
      <c r="AK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4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  <c r="AI820" s="191"/>
      <c r="AJ820" s="191"/>
      <c r="AK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4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  <c r="AI821" s="191"/>
      <c r="AJ821" s="191"/>
      <c r="AK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4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  <c r="AI822" s="191"/>
      <c r="AJ822" s="191"/>
      <c r="AK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4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  <c r="AI823" s="191"/>
      <c r="AJ823" s="191"/>
      <c r="AK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4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  <c r="AI824" s="191"/>
      <c r="AJ824" s="191"/>
      <c r="AK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4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  <c r="AI825" s="191"/>
      <c r="AJ825" s="191"/>
      <c r="AK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4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  <c r="AI826" s="191"/>
      <c r="AJ826" s="191"/>
      <c r="AK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4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  <c r="AI827" s="191"/>
      <c r="AJ827" s="191"/>
      <c r="AK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4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  <c r="AI828" s="191"/>
      <c r="AJ828" s="191"/>
      <c r="AK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4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  <c r="AI829" s="191"/>
      <c r="AJ829" s="191"/>
      <c r="AK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4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  <c r="AI830" s="191"/>
      <c r="AJ830" s="191"/>
      <c r="AK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4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  <c r="AI831" s="191"/>
      <c r="AJ831" s="191"/>
      <c r="AK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4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  <c r="AI832" s="191"/>
      <c r="AJ832" s="191"/>
      <c r="AK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4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  <c r="AI833" s="191"/>
      <c r="AJ833" s="191"/>
      <c r="AK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4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  <c r="AI834" s="191"/>
      <c r="AJ834" s="191"/>
      <c r="AK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4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  <c r="AI835" s="191"/>
      <c r="AJ835" s="191"/>
      <c r="AK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4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  <c r="AI836" s="191"/>
      <c r="AJ836" s="191"/>
      <c r="AK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4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  <c r="AI837" s="191"/>
      <c r="AJ837" s="191"/>
      <c r="AK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4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  <c r="AI838" s="191"/>
      <c r="AJ838" s="191"/>
      <c r="AK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4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  <c r="AI839" s="191"/>
      <c r="AJ839" s="191"/>
      <c r="AK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4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  <c r="AI840" s="191"/>
      <c r="AJ840" s="191"/>
      <c r="AK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4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  <c r="AI841" s="191"/>
      <c r="AJ841" s="191"/>
      <c r="AK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4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  <c r="AI842" s="191"/>
      <c r="AJ842" s="191"/>
      <c r="AK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4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  <c r="AI843" s="191"/>
      <c r="AJ843" s="191"/>
      <c r="AK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4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  <c r="AI844" s="191"/>
      <c r="AJ844" s="191"/>
      <c r="AK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4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  <c r="AI845" s="191"/>
      <c r="AJ845" s="191"/>
      <c r="AK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4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  <c r="AI846" s="191"/>
      <c r="AJ846" s="191"/>
      <c r="AK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4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  <c r="AI847" s="191"/>
      <c r="AJ847" s="191"/>
      <c r="AK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4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  <c r="AI848" s="191"/>
      <c r="AJ848" s="191"/>
      <c r="AK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4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  <c r="AI849" s="191"/>
      <c r="AJ849" s="191"/>
      <c r="AK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4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  <c r="AI850" s="191"/>
      <c r="AJ850" s="191"/>
      <c r="AK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4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  <c r="AI851" s="191"/>
      <c r="AJ851" s="191"/>
      <c r="AK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4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  <c r="AI852" s="191"/>
      <c r="AJ852" s="191"/>
      <c r="AK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4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  <c r="AI853" s="191"/>
      <c r="AJ853" s="191"/>
      <c r="AK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4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  <c r="AI854" s="191"/>
      <c r="AJ854" s="191"/>
      <c r="AK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4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  <c r="AI855" s="191"/>
      <c r="AJ855" s="191"/>
      <c r="AK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4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  <c r="AI856" s="191"/>
      <c r="AJ856" s="191"/>
      <c r="AK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4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  <c r="AI857" s="191"/>
      <c r="AJ857" s="191"/>
      <c r="AK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4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  <c r="AI858" s="191"/>
      <c r="AJ858" s="191"/>
      <c r="AK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4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  <c r="AI859" s="191"/>
      <c r="AJ859" s="191"/>
      <c r="AK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4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  <c r="AI860" s="191"/>
      <c r="AJ860" s="191"/>
      <c r="AK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4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  <c r="AI861" s="191"/>
      <c r="AJ861" s="191"/>
      <c r="AK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4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  <c r="AI862" s="191"/>
      <c r="AJ862" s="191"/>
      <c r="AK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4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  <c r="AI863" s="191"/>
      <c r="AJ863" s="191"/>
      <c r="AK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4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  <c r="AI864" s="191"/>
      <c r="AJ864" s="191"/>
      <c r="AK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4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  <c r="AI865" s="191"/>
      <c r="AJ865" s="191"/>
      <c r="AK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4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  <c r="AI866" s="191"/>
      <c r="AJ866" s="191"/>
      <c r="AK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4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  <c r="AI867" s="191"/>
      <c r="AJ867" s="191"/>
      <c r="AK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4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  <c r="AI868" s="191"/>
      <c r="AJ868" s="191"/>
      <c r="AK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4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  <c r="AI869" s="191"/>
      <c r="AJ869" s="191"/>
      <c r="AK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4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  <c r="AI870" s="191"/>
      <c r="AJ870" s="191"/>
      <c r="AK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4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  <c r="AI871" s="191"/>
      <c r="AJ871" s="191"/>
      <c r="AK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4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  <c r="AI872" s="191"/>
      <c r="AJ872" s="191"/>
      <c r="AK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4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  <c r="AI873" s="191"/>
      <c r="AJ873" s="191"/>
      <c r="AK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4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  <c r="AI874" s="191"/>
      <c r="AJ874" s="191"/>
      <c r="AK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4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  <c r="AI875" s="191"/>
      <c r="AJ875" s="191"/>
      <c r="AK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4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  <c r="AI876" s="191"/>
      <c r="AJ876" s="191"/>
      <c r="AK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4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  <c r="AI877" s="191"/>
      <c r="AJ877" s="191"/>
      <c r="AK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4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  <c r="AI878" s="191"/>
      <c r="AJ878" s="191"/>
      <c r="AK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4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  <c r="AI879" s="191"/>
      <c r="AJ879" s="191"/>
      <c r="AK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4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  <c r="AI880" s="191"/>
      <c r="AJ880" s="191"/>
      <c r="AK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4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  <c r="AI881" s="191"/>
      <c r="AJ881" s="191"/>
      <c r="AK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4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  <c r="AI882" s="191"/>
      <c r="AJ882" s="191"/>
      <c r="AK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4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  <c r="AI883" s="191"/>
      <c r="AJ883" s="191"/>
      <c r="AK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4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  <c r="AI884" s="191"/>
      <c r="AJ884" s="191"/>
      <c r="AK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4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  <c r="AI885" s="191"/>
      <c r="AJ885" s="191"/>
      <c r="AK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4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  <c r="AI886" s="191"/>
      <c r="AJ886" s="191"/>
      <c r="AK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4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191"/>
      <c r="AJ887" s="191"/>
      <c r="AK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4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  <c r="AI888" s="191"/>
      <c r="AJ888" s="191"/>
      <c r="AK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4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  <c r="AI889" s="191"/>
      <c r="AJ889" s="191"/>
      <c r="AK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4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  <c r="AI890" s="191"/>
      <c r="AJ890" s="191"/>
      <c r="AK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4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  <c r="AI891" s="191"/>
      <c r="AJ891" s="191"/>
      <c r="AK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4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  <c r="AI892" s="191"/>
      <c r="AJ892" s="191"/>
      <c r="AK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4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191"/>
      <c r="AJ893" s="191"/>
      <c r="AK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4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  <c r="AI894" s="191"/>
      <c r="AJ894" s="191"/>
      <c r="AK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4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  <c r="AI895" s="191"/>
      <c r="AJ895" s="191"/>
      <c r="AK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4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  <c r="AI896" s="191"/>
      <c r="AJ896" s="191"/>
      <c r="AK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4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  <c r="AI897" s="191"/>
      <c r="AJ897" s="191"/>
      <c r="AK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4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  <c r="AI898" s="191"/>
      <c r="AJ898" s="191"/>
      <c r="AK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4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  <c r="AI899" s="191"/>
      <c r="AJ899" s="191"/>
      <c r="AK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4"/>
      <c r="X900" s="191"/>
      <c r="Y900" s="191"/>
      <c r="Z900" s="191"/>
      <c r="AA900" s="191"/>
      <c r="AB900" s="191"/>
      <c r="AC900" s="191"/>
      <c r="AD900" s="191"/>
      <c r="AE900" s="191"/>
      <c r="AF900" s="191"/>
      <c r="AG900" s="191"/>
      <c r="AH900" s="191"/>
      <c r="AI900" s="191"/>
      <c r="AJ900" s="191"/>
      <c r="AK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4"/>
      <c r="X901" s="191"/>
      <c r="Y901" s="191"/>
      <c r="Z901" s="191"/>
      <c r="AA901" s="191"/>
      <c r="AB901" s="191"/>
      <c r="AC901" s="191"/>
      <c r="AD901" s="191"/>
      <c r="AE901" s="191"/>
      <c r="AF901" s="191"/>
      <c r="AG901" s="191"/>
      <c r="AH901" s="191"/>
      <c r="AI901" s="191"/>
      <c r="AJ901" s="191"/>
      <c r="AK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4"/>
      <c r="X902" s="191"/>
      <c r="Y902" s="191"/>
      <c r="Z902" s="191"/>
      <c r="AA902" s="191"/>
      <c r="AB902" s="191"/>
      <c r="AC902" s="191"/>
      <c r="AD902" s="191"/>
      <c r="AE902" s="191"/>
      <c r="AF902" s="191"/>
      <c r="AG902" s="191"/>
      <c r="AH902" s="191"/>
      <c r="AI902" s="191"/>
      <c r="AJ902" s="191"/>
      <c r="AK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4"/>
      <c r="X903" s="191"/>
      <c r="Y903" s="191"/>
      <c r="Z903" s="191"/>
      <c r="AA903" s="191"/>
      <c r="AB903" s="191"/>
      <c r="AC903" s="191"/>
      <c r="AD903" s="191"/>
      <c r="AE903" s="191"/>
      <c r="AF903" s="191"/>
      <c r="AG903" s="191"/>
      <c r="AH903" s="191"/>
      <c r="AI903" s="191"/>
      <c r="AJ903" s="191"/>
      <c r="AK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4"/>
      <c r="X904" s="191"/>
      <c r="Y904" s="191"/>
      <c r="Z904" s="191"/>
      <c r="AA904" s="191"/>
      <c r="AB904" s="191"/>
      <c r="AC904" s="191"/>
      <c r="AD904" s="191"/>
      <c r="AE904" s="191"/>
      <c r="AF904" s="191"/>
      <c r="AG904" s="191"/>
      <c r="AH904" s="191"/>
      <c r="AI904" s="191"/>
      <c r="AJ904" s="191"/>
      <c r="AK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4"/>
      <c r="X905" s="191"/>
      <c r="Y905" s="191"/>
      <c r="Z905" s="191"/>
      <c r="AA905" s="191"/>
      <c r="AB905" s="191"/>
      <c r="AC905" s="191"/>
      <c r="AD905" s="191"/>
      <c r="AE905" s="191"/>
      <c r="AF905" s="191"/>
      <c r="AG905" s="191"/>
      <c r="AH905" s="191"/>
      <c r="AI905" s="191"/>
      <c r="AJ905" s="191"/>
      <c r="AK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4"/>
      <c r="X906" s="191"/>
      <c r="Y906" s="191"/>
      <c r="Z906" s="191"/>
      <c r="AA906" s="191"/>
      <c r="AB906" s="191"/>
      <c r="AC906" s="191"/>
      <c r="AD906" s="191"/>
      <c r="AE906" s="191"/>
      <c r="AF906" s="191"/>
      <c r="AG906" s="191"/>
      <c r="AH906" s="191"/>
      <c r="AI906" s="191"/>
      <c r="AJ906" s="191"/>
      <c r="AK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4"/>
      <c r="X907" s="191"/>
      <c r="Y907" s="191"/>
      <c r="Z907" s="191"/>
      <c r="AA907" s="191"/>
      <c r="AB907" s="191"/>
      <c r="AC907" s="191"/>
      <c r="AD907" s="191"/>
      <c r="AE907" s="191"/>
      <c r="AF907" s="191"/>
      <c r="AG907" s="191"/>
      <c r="AH907" s="191"/>
      <c r="AI907" s="191"/>
      <c r="AJ907" s="191"/>
      <c r="AK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4"/>
      <c r="X908" s="191"/>
      <c r="Y908" s="191"/>
      <c r="Z908" s="191"/>
      <c r="AA908" s="191"/>
      <c r="AB908" s="191"/>
      <c r="AC908" s="191"/>
      <c r="AD908" s="191"/>
      <c r="AE908" s="191"/>
      <c r="AF908" s="191"/>
      <c r="AG908" s="191"/>
      <c r="AH908" s="191"/>
      <c r="AI908" s="191"/>
      <c r="AJ908" s="191"/>
      <c r="AK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4"/>
      <c r="X909" s="191"/>
      <c r="Y909" s="191"/>
      <c r="Z909" s="191"/>
      <c r="AA909" s="191"/>
      <c r="AB909" s="191"/>
      <c r="AC909" s="191"/>
      <c r="AD909" s="191"/>
      <c r="AE909" s="191"/>
      <c r="AF909" s="191"/>
      <c r="AG909" s="191"/>
      <c r="AH909" s="191"/>
      <c r="AI909" s="191"/>
      <c r="AJ909" s="191"/>
      <c r="AK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4"/>
      <c r="X910" s="191"/>
      <c r="Y910" s="191"/>
      <c r="Z910" s="191"/>
      <c r="AA910" s="191"/>
      <c r="AB910" s="191"/>
      <c r="AC910" s="191"/>
      <c r="AD910" s="191"/>
      <c r="AE910" s="191"/>
      <c r="AF910" s="191"/>
      <c r="AG910" s="191"/>
      <c r="AH910" s="191"/>
      <c r="AI910" s="191"/>
      <c r="AJ910" s="191"/>
      <c r="AK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4"/>
      <c r="X911" s="191"/>
      <c r="Y911" s="191"/>
      <c r="Z911" s="191"/>
      <c r="AA911" s="191"/>
      <c r="AB911" s="191"/>
      <c r="AC911" s="191"/>
      <c r="AD911" s="191"/>
      <c r="AE911" s="191"/>
      <c r="AF911" s="191"/>
      <c r="AG911" s="191"/>
      <c r="AH911" s="191"/>
      <c r="AI911" s="191"/>
      <c r="AJ911" s="191"/>
      <c r="AK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4"/>
      <c r="X912" s="191"/>
      <c r="Y912" s="191"/>
      <c r="Z912" s="191"/>
      <c r="AA912" s="191"/>
      <c r="AB912" s="191"/>
      <c r="AC912" s="191"/>
      <c r="AD912" s="191"/>
      <c r="AE912" s="191"/>
      <c r="AF912" s="191"/>
      <c r="AG912" s="191"/>
      <c r="AH912" s="191"/>
      <c r="AI912" s="191"/>
      <c r="AJ912" s="191"/>
      <c r="AK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4"/>
      <c r="X913" s="191"/>
      <c r="Y913" s="191"/>
      <c r="Z913" s="191"/>
      <c r="AA913" s="191"/>
      <c r="AB913" s="191"/>
      <c r="AC913" s="191"/>
      <c r="AD913" s="191"/>
      <c r="AE913" s="191"/>
      <c r="AF913" s="191"/>
      <c r="AG913" s="191"/>
      <c r="AH913" s="191"/>
      <c r="AI913" s="191"/>
      <c r="AJ913" s="191"/>
      <c r="AK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4"/>
      <c r="X914" s="191"/>
      <c r="Y914" s="191"/>
      <c r="Z914" s="191"/>
      <c r="AA914" s="191"/>
      <c r="AB914" s="191"/>
      <c r="AC914" s="191"/>
      <c r="AD914" s="191"/>
      <c r="AE914" s="191"/>
      <c r="AF914" s="191"/>
      <c r="AG914" s="191"/>
      <c r="AH914" s="191"/>
      <c r="AI914" s="191"/>
      <c r="AJ914" s="191"/>
      <c r="AK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4"/>
      <c r="X915" s="191"/>
      <c r="Y915" s="191"/>
      <c r="Z915" s="191"/>
      <c r="AA915" s="191"/>
      <c r="AB915" s="191"/>
      <c r="AC915" s="191"/>
      <c r="AD915" s="191"/>
      <c r="AE915" s="191"/>
      <c r="AF915" s="191"/>
      <c r="AG915" s="191"/>
      <c r="AH915" s="191"/>
      <c r="AI915" s="191"/>
      <c r="AJ915" s="191"/>
      <c r="AK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4"/>
      <c r="X916" s="191"/>
      <c r="Y916" s="191"/>
      <c r="Z916" s="191"/>
      <c r="AA916" s="191"/>
      <c r="AB916" s="191"/>
      <c r="AC916" s="191"/>
      <c r="AD916" s="191"/>
      <c r="AE916" s="191"/>
      <c r="AF916" s="191"/>
      <c r="AG916" s="191"/>
      <c r="AH916" s="191"/>
      <c r="AI916" s="191"/>
      <c r="AJ916" s="191"/>
      <c r="AK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4"/>
      <c r="X917" s="191"/>
      <c r="Y917" s="191"/>
      <c r="Z917" s="191"/>
      <c r="AA917" s="191"/>
      <c r="AB917" s="191"/>
      <c r="AC917" s="191"/>
      <c r="AD917" s="191"/>
      <c r="AE917" s="191"/>
      <c r="AF917" s="191"/>
      <c r="AG917" s="191"/>
      <c r="AH917" s="191"/>
      <c r="AI917" s="191"/>
      <c r="AJ917" s="191"/>
      <c r="AK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4"/>
      <c r="X918" s="191"/>
      <c r="Y918" s="191"/>
      <c r="Z918" s="191"/>
      <c r="AA918" s="191"/>
      <c r="AB918" s="191"/>
      <c r="AC918" s="191"/>
      <c r="AD918" s="191"/>
      <c r="AE918" s="191"/>
      <c r="AF918" s="191"/>
      <c r="AG918" s="191"/>
      <c r="AH918" s="191"/>
      <c r="AI918" s="191"/>
      <c r="AJ918" s="191"/>
      <c r="AK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4"/>
      <c r="X919" s="191"/>
      <c r="Y919" s="191"/>
      <c r="Z919" s="191"/>
      <c r="AA919" s="191"/>
      <c r="AB919" s="191"/>
      <c r="AC919" s="191"/>
      <c r="AD919" s="191"/>
      <c r="AE919" s="191"/>
      <c r="AF919" s="191"/>
      <c r="AG919" s="191"/>
      <c r="AH919" s="191"/>
      <c r="AI919" s="191"/>
      <c r="AJ919" s="191"/>
      <c r="AK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4"/>
      <c r="X920" s="191"/>
      <c r="Y920" s="191"/>
      <c r="Z920" s="191"/>
      <c r="AA920" s="191"/>
      <c r="AB920" s="191"/>
      <c r="AC920" s="191"/>
      <c r="AD920" s="191"/>
      <c r="AE920" s="191"/>
      <c r="AF920" s="191"/>
      <c r="AG920" s="191"/>
      <c r="AH920" s="191"/>
      <c r="AI920" s="191"/>
      <c r="AJ920" s="191"/>
      <c r="AK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4"/>
      <c r="X921" s="191"/>
      <c r="Y921" s="191"/>
      <c r="Z921" s="191"/>
      <c r="AA921" s="191"/>
      <c r="AB921" s="191"/>
      <c r="AC921" s="191"/>
      <c r="AD921" s="191"/>
      <c r="AE921" s="191"/>
      <c r="AF921" s="191"/>
      <c r="AG921" s="191"/>
      <c r="AH921" s="191"/>
      <c r="AI921" s="191"/>
      <c r="AJ921" s="191"/>
      <c r="AK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4"/>
      <c r="X922" s="191"/>
      <c r="Y922" s="191"/>
      <c r="Z922" s="191"/>
      <c r="AA922" s="191"/>
      <c r="AB922" s="191"/>
      <c r="AC922" s="191"/>
      <c r="AD922" s="191"/>
      <c r="AE922" s="191"/>
      <c r="AF922" s="191"/>
      <c r="AG922" s="191"/>
      <c r="AH922" s="191"/>
      <c r="AI922" s="191"/>
      <c r="AJ922" s="191"/>
      <c r="AK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4"/>
      <c r="X923" s="191"/>
      <c r="Y923" s="191"/>
      <c r="Z923" s="191"/>
      <c r="AA923" s="191"/>
      <c r="AB923" s="191"/>
      <c r="AC923" s="191"/>
      <c r="AD923" s="191"/>
      <c r="AE923" s="191"/>
      <c r="AF923" s="191"/>
      <c r="AG923" s="191"/>
      <c r="AH923" s="191"/>
      <c r="AI923" s="191"/>
      <c r="AJ923" s="191"/>
      <c r="AK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4"/>
      <c r="X924" s="191"/>
      <c r="Y924" s="191"/>
      <c r="Z924" s="191"/>
      <c r="AA924" s="191"/>
      <c r="AB924" s="191"/>
      <c r="AC924" s="191"/>
      <c r="AD924" s="191"/>
      <c r="AE924" s="191"/>
      <c r="AF924" s="191"/>
      <c r="AG924" s="191"/>
      <c r="AH924" s="191"/>
      <c r="AI924" s="191"/>
      <c r="AJ924" s="191"/>
      <c r="AK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4"/>
      <c r="X925" s="191"/>
      <c r="Y925" s="191"/>
      <c r="Z925" s="191"/>
      <c r="AA925" s="191"/>
      <c r="AB925" s="191"/>
      <c r="AC925" s="191"/>
      <c r="AD925" s="191"/>
      <c r="AE925" s="191"/>
      <c r="AF925" s="191"/>
      <c r="AG925" s="191"/>
      <c r="AH925" s="191"/>
      <c r="AI925" s="191"/>
      <c r="AJ925" s="191"/>
      <c r="AK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4"/>
      <c r="X926" s="191"/>
      <c r="Y926" s="191"/>
      <c r="Z926" s="191"/>
      <c r="AA926" s="191"/>
      <c r="AB926" s="191"/>
      <c r="AC926" s="191"/>
      <c r="AD926" s="191"/>
      <c r="AE926" s="191"/>
      <c r="AF926" s="191"/>
      <c r="AG926" s="191"/>
      <c r="AH926" s="191"/>
      <c r="AI926" s="191"/>
      <c r="AJ926" s="191"/>
      <c r="AK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4"/>
      <c r="X927" s="191"/>
      <c r="Y927" s="191"/>
      <c r="Z927" s="191"/>
      <c r="AA927" s="191"/>
      <c r="AB927" s="191"/>
      <c r="AC927" s="191"/>
      <c r="AD927" s="191"/>
      <c r="AE927" s="191"/>
      <c r="AF927" s="191"/>
      <c r="AG927" s="191"/>
      <c r="AH927" s="191"/>
      <c r="AI927" s="191"/>
      <c r="AJ927" s="191"/>
      <c r="AK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4"/>
      <c r="X928" s="191"/>
      <c r="Y928" s="191"/>
      <c r="Z928" s="191"/>
      <c r="AA928" s="191"/>
      <c r="AB928" s="191"/>
      <c r="AC928" s="191"/>
      <c r="AD928" s="191"/>
      <c r="AE928" s="191"/>
      <c r="AF928" s="191"/>
      <c r="AG928" s="191"/>
      <c r="AH928" s="191"/>
      <c r="AI928" s="191"/>
      <c r="AJ928" s="191"/>
      <c r="AK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4"/>
      <c r="X929" s="191"/>
      <c r="Y929" s="191"/>
      <c r="Z929" s="191"/>
      <c r="AA929" s="191"/>
      <c r="AB929" s="191"/>
      <c r="AC929" s="191"/>
      <c r="AD929" s="191"/>
      <c r="AE929" s="191"/>
      <c r="AF929" s="191"/>
      <c r="AG929" s="191"/>
      <c r="AH929" s="191"/>
      <c r="AI929" s="191"/>
      <c r="AJ929" s="191"/>
      <c r="AK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4"/>
      <c r="X930" s="191"/>
      <c r="Y930" s="191"/>
      <c r="Z930" s="191"/>
      <c r="AA930" s="191"/>
      <c r="AB930" s="191"/>
      <c r="AC930" s="191"/>
      <c r="AD930" s="191"/>
      <c r="AE930" s="191"/>
      <c r="AF930" s="191"/>
      <c r="AG930" s="191"/>
      <c r="AH930" s="191"/>
      <c r="AI930" s="191"/>
      <c r="AJ930" s="191"/>
      <c r="AK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4"/>
      <c r="X931" s="191"/>
      <c r="Y931" s="191"/>
      <c r="Z931" s="191"/>
      <c r="AA931" s="191"/>
      <c r="AB931" s="191"/>
      <c r="AC931" s="191"/>
      <c r="AD931" s="191"/>
      <c r="AE931" s="191"/>
      <c r="AF931" s="191"/>
      <c r="AG931" s="191"/>
      <c r="AH931" s="191"/>
      <c r="AI931" s="191"/>
      <c r="AJ931" s="191"/>
      <c r="AK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4"/>
      <c r="X932" s="191"/>
      <c r="Y932" s="191"/>
      <c r="Z932" s="191"/>
      <c r="AA932" s="191"/>
      <c r="AB932" s="191"/>
      <c r="AC932" s="191"/>
      <c r="AD932" s="191"/>
      <c r="AE932" s="191"/>
      <c r="AF932" s="191"/>
      <c r="AG932" s="191"/>
      <c r="AH932" s="191"/>
      <c r="AI932" s="191"/>
      <c r="AJ932" s="191"/>
      <c r="AK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4"/>
      <c r="X933" s="191"/>
      <c r="Y933" s="191"/>
      <c r="Z933" s="191"/>
      <c r="AA933" s="191"/>
      <c r="AB933" s="191"/>
      <c r="AC933" s="191"/>
      <c r="AD933" s="191"/>
      <c r="AE933" s="191"/>
      <c r="AF933" s="191"/>
      <c r="AG933" s="191"/>
      <c r="AH933" s="191"/>
      <c r="AI933" s="191"/>
      <c r="AJ933" s="191"/>
      <c r="AK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4"/>
      <c r="X934" s="191"/>
      <c r="Y934" s="191"/>
      <c r="Z934" s="191"/>
      <c r="AA934" s="191"/>
      <c r="AB934" s="191"/>
      <c r="AC934" s="191"/>
      <c r="AD934" s="191"/>
      <c r="AE934" s="191"/>
      <c r="AF934" s="191"/>
      <c r="AG934" s="191"/>
      <c r="AH934" s="191"/>
      <c r="AI934" s="191"/>
      <c r="AJ934" s="191"/>
      <c r="AK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4"/>
      <c r="X935" s="191"/>
      <c r="Y935" s="191"/>
      <c r="Z935" s="191"/>
      <c r="AA935" s="191"/>
      <c r="AB935" s="191"/>
      <c r="AC935" s="191"/>
      <c r="AD935" s="191"/>
      <c r="AE935" s="191"/>
      <c r="AF935" s="191"/>
      <c r="AG935" s="191"/>
      <c r="AH935" s="191"/>
      <c r="AI935" s="191"/>
      <c r="AJ935" s="191"/>
      <c r="AK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4"/>
      <c r="X936" s="191"/>
      <c r="Y936" s="191"/>
      <c r="Z936" s="191"/>
      <c r="AA936" s="191"/>
      <c r="AB936" s="191"/>
      <c r="AC936" s="191"/>
      <c r="AD936" s="191"/>
      <c r="AE936" s="191"/>
      <c r="AF936" s="191"/>
      <c r="AG936" s="191"/>
      <c r="AH936" s="191"/>
      <c r="AI936" s="191"/>
      <c r="AJ936" s="191"/>
      <c r="AK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4"/>
      <c r="X937" s="191"/>
      <c r="Y937" s="191"/>
      <c r="Z937" s="191"/>
      <c r="AA937" s="191"/>
      <c r="AB937" s="191"/>
      <c r="AC937" s="191"/>
      <c r="AD937" s="191"/>
      <c r="AE937" s="191"/>
      <c r="AF937" s="191"/>
      <c r="AG937" s="191"/>
      <c r="AH937" s="191"/>
      <c r="AI937" s="191"/>
      <c r="AJ937" s="191"/>
      <c r="AK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4"/>
      <c r="X938" s="191"/>
      <c r="Y938" s="191"/>
      <c r="Z938" s="191"/>
      <c r="AA938" s="191"/>
      <c r="AB938" s="191"/>
      <c r="AC938" s="191"/>
      <c r="AD938" s="191"/>
      <c r="AE938" s="191"/>
      <c r="AF938" s="191"/>
      <c r="AG938" s="191"/>
      <c r="AH938" s="191"/>
      <c r="AI938" s="191"/>
      <c r="AJ938" s="191"/>
      <c r="AK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4"/>
      <c r="X939" s="191"/>
      <c r="Y939" s="191"/>
      <c r="Z939" s="191"/>
      <c r="AA939" s="191"/>
      <c r="AB939" s="191"/>
      <c r="AC939" s="191"/>
      <c r="AD939" s="191"/>
      <c r="AE939" s="191"/>
      <c r="AF939" s="191"/>
      <c r="AG939" s="191"/>
      <c r="AH939" s="191"/>
      <c r="AI939" s="191"/>
      <c r="AJ939" s="191"/>
      <c r="AK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4"/>
      <c r="X940" s="191"/>
      <c r="Y940" s="191"/>
      <c r="Z940" s="191"/>
      <c r="AA940" s="191"/>
      <c r="AB940" s="191"/>
      <c r="AC940" s="191"/>
      <c r="AD940" s="191"/>
      <c r="AE940" s="191"/>
      <c r="AF940" s="191"/>
      <c r="AG940" s="191"/>
      <c r="AH940" s="191"/>
      <c r="AI940" s="191"/>
      <c r="AJ940" s="191"/>
      <c r="AK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4"/>
      <c r="X941" s="191"/>
      <c r="Y941" s="191"/>
      <c r="Z941" s="191"/>
      <c r="AA941" s="191"/>
      <c r="AB941" s="191"/>
      <c r="AC941" s="191"/>
      <c r="AD941" s="191"/>
      <c r="AE941" s="191"/>
      <c r="AF941" s="191"/>
      <c r="AG941" s="191"/>
      <c r="AH941" s="191"/>
      <c r="AI941" s="191"/>
      <c r="AJ941" s="191"/>
      <c r="AK941" s="191"/>
    </row>
    <row r="942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4"/>
      <c r="X942" s="191"/>
      <c r="Y942" s="191"/>
      <c r="Z942" s="191"/>
      <c r="AA942" s="191"/>
      <c r="AB942" s="191"/>
      <c r="AC942" s="191"/>
      <c r="AD942" s="191"/>
      <c r="AE942" s="191"/>
      <c r="AF942" s="191"/>
      <c r="AG942" s="191"/>
      <c r="AH942" s="191"/>
      <c r="AI942" s="191"/>
      <c r="AJ942" s="191"/>
      <c r="AK942" s="191"/>
    </row>
    <row r="943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4"/>
      <c r="X943" s="191"/>
      <c r="Y943" s="191"/>
      <c r="Z943" s="191"/>
      <c r="AA943" s="191"/>
      <c r="AB943" s="191"/>
      <c r="AC943" s="191"/>
      <c r="AD943" s="191"/>
      <c r="AE943" s="191"/>
      <c r="AF943" s="191"/>
      <c r="AG943" s="191"/>
      <c r="AH943" s="191"/>
      <c r="AI943" s="191"/>
      <c r="AJ943" s="191"/>
      <c r="AK943" s="191"/>
    </row>
    <row r="944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4"/>
      <c r="X944" s="191"/>
      <c r="Y944" s="191"/>
      <c r="Z944" s="191"/>
      <c r="AA944" s="191"/>
      <c r="AB944" s="191"/>
      <c r="AC944" s="191"/>
      <c r="AD944" s="191"/>
      <c r="AE944" s="191"/>
      <c r="AF944" s="191"/>
      <c r="AG944" s="191"/>
      <c r="AH944" s="191"/>
      <c r="AI944" s="191"/>
      <c r="AJ944" s="191"/>
      <c r="AK944" s="191"/>
    </row>
    <row r="945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4"/>
      <c r="X945" s="191"/>
      <c r="Y945" s="191"/>
      <c r="Z945" s="191"/>
      <c r="AA945" s="191"/>
      <c r="AB945" s="191"/>
      <c r="AC945" s="191"/>
      <c r="AD945" s="191"/>
      <c r="AE945" s="191"/>
      <c r="AF945" s="191"/>
      <c r="AG945" s="191"/>
      <c r="AH945" s="191"/>
      <c r="AI945" s="191"/>
      <c r="AJ945" s="191"/>
      <c r="AK945" s="191"/>
    </row>
    <row r="946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4"/>
      <c r="X946" s="191"/>
      <c r="Y946" s="191"/>
      <c r="Z946" s="191"/>
      <c r="AA946" s="191"/>
      <c r="AB946" s="191"/>
      <c r="AC946" s="191"/>
      <c r="AD946" s="191"/>
      <c r="AE946" s="191"/>
      <c r="AF946" s="191"/>
      <c r="AG946" s="191"/>
      <c r="AH946" s="191"/>
      <c r="AI946" s="191"/>
      <c r="AJ946" s="191"/>
      <c r="AK946" s="191"/>
    </row>
    <row r="947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4"/>
      <c r="X947" s="191"/>
      <c r="Y947" s="191"/>
      <c r="Z947" s="191"/>
      <c r="AA947" s="191"/>
      <c r="AB947" s="191"/>
      <c r="AC947" s="191"/>
      <c r="AD947" s="191"/>
      <c r="AE947" s="191"/>
      <c r="AF947" s="191"/>
      <c r="AG947" s="191"/>
      <c r="AH947" s="191"/>
      <c r="AI947" s="191"/>
      <c r="AJ947" s="191"/>
      <c r="AK947" s="191"/>
    </row>
    <row r="948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4"/>
      <c r="X948" s="191"/>
      <c r="Y948" s="191"/>
      <c r="Z948" s="191"/>
      <c r="AA948" s="191"/>
      <c r="AB948" s="191"/>
      <c r="AC948" s="191"/>
      <c r="AD948" s="191"/>
      <c r="AE948" s="191"/>
      <c r="AF948" s="191"/>
      <c r="AG948" s="191"/>
      <c r="AH948" s="191"/>
      <c r="AI948" s="191"/>
      <c r="AJ948" s="191"/>
      <c r="AK948" s="191"/>
    </row>
    <row r="949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4"/>
      <c r="X949" s="191"/>
      <c r="Y949" s="191"/>
      <c r="Z949" s="191"/>
      <c r="AA949" s="191"/>
      <c r="AB949" s="191"/>
      <c r="AC949" s="191"/>
      <c r="AD949" s="191"/>
      <c r="AE949" s="191"/>
      <c r="AF949" s="191"/>
      <c r="AG949" s="191"/>
      <c r="AH949" s="191"/>
      <c r="AI949" s="191"/>
      <c r="AJ949" s="191"/>
      <c r="AK949" s="191"/>
    </row>
    <row r="950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4"/>
      <c r="X950" s="191"/>
      <c r="Y950" s="191"/>
      <c r="Z950" s="191"/>
      <c r="AA950" s="191"/>
      <c r="AB950" s="191"/>
      <c r="AC950" s="191"/>
      <c r="AD950" s="191"/>
      <c r="AE950" s="191"/>
      <c r="AF950" s="191"/>
      <c r="AG950" s="191"/>
      <c r="AH950" s="191"/>
      <c r="AI950" s="191"/>
      <c r="AJ950" s="191"/>
      <c r="AK950" s="191"/>
    </row>
    <row r="95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4"/>
      <c r="X951" s="191"/>
      <c r="Y951" s="191"/>
      <c r="Z951" s="191"/>
      <c r="AA951" s="191"/>
      <c r="AB951" s="191"/>
      <c r="AC951" s="191"/>
      <c r="AD951" s="191"/>
      <c r="AE951" s="191"/>
      <c r="AF951" s="191"/>
      <c r="AG951" s="191"/>
      <c r="AH951" s="191"/>
      <c r="AI951" s="191"/>
      <c r="AJ951" s="191"/>
      <c r="AK951" s="191"/>
    </row>
    <row r="952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4"/>
      <c r="X952" s="191"/>
      <c r="Y952" s="191"/>
      <c r="Z952" s="191"/>
      <c r="AA952" s="191"/>
      <c r="AB952" s="191"/>
      <c r="AC952" s="191"/>
      <c r="AD952" s="191"/>
      <c r="AE952" s="191"/>
      <c r="AF952" s="191"/>
      <c r="AG952" s="191"/>
      <c r="AH952" s="191"/>
      <c r="AI952" s="191"/>
      <c r="AJ952" s="191"/>
      <c r="AK952" s="191"/>
    </row>
    <row r="953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4"/>
      <c r="X953" s="191"/>
      <c r="Y953" s="191"/>
      <c r="Z953" s="191"/>
      <c r="AA953" s="191"/>
      <c r="AB953" s="191"/>
      <c r="AC953" s="191"/>
      <c r="AD953" s="191"/>
      <c r="AE953" s="191"/>
      <c r="AF953" s="191"/>
      <c r="AG953" s="191"/>
      <c r="AH953" s="191"/>
      <c r="AI953" s="191"/>
      <c r="AJ953" s="191"/>
      <c r="AK953" s="191"/>
    </row>
    <row r="954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4"/>
      <c r="X954" s="191"/>
      <c r="Y954" s="191"/>
      <c r="Z954" s="191"/>
      <c r="AA954" s="191"/>
      <c r="AB954" s="191"/>
      <c r="AC954" s="191"/>
      <c r="AD954" s="191"/>
      <c r="AE954" s="191"/>
      <c r="AF954" s="191"/>
      <c r="AG954" s="191"/>
      <c r="AH954" s="191"/>
      <c r="AI954" s="191"/>
      <c r="AJ954" s="191"/>
      <c r="AK954" s="191"/>
    </row>
    <row r="955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4"/>
      <c r="X955" s="191"/>
      <c r="Y955" s="191"/>
      <c r="Z955" s="191"/>
      <c r="AA955" s="191"/>
      <c r="AB955" s="191"/>
      <c r="AC955" s="191"/>
      <c r="AD955" s="191"/>
      <c r="AE955" s="191"/>
      <c r="AF955" s="191"/>
      <c r="AG955" s="191"/>
      <c r="AH955" s="191"/>
      <c r="AI955" s="191"/>
      <c r="AJ955" s="191"/>
      <c r="AK955" s="191"/>
    </row>
    <row r="956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4"/>
      <c r="X956" s="191"/>
      <c r="Y956" s="191"/>
      <c r="Z956" s="191"/>
      <c r="AA956" s="191"/>
      <c r="AB956" s="191"/>
      <c r="AC956" s="191"/>
      <c r="AD956" s="191"/>
      <c r="AE956" s="191"/>
      <c r="AF956" s="191"/>
      <c r="AG956" s="191"/>
      <c r="AH956" s="191"/>
      <c r="AI956" s="191"/>
      <c r="AJ956" s="191"/>
      <c r="AK956" s="191"/>
    </row>
    <row r="957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4"/>
      <c r="X957" s="191"/>
      <c r="Y957" s="191"/>
      <c r="Z957" s="191"/>
      <c r="AA957" s="191"/>
      <c r="AB957" s="191"/>
      <c r="AC957" s="191"/>
      <c r="AD957" s="191"/>
      <c r="AE957" s="191"/>
      <c r="AF957" s="191"/>
      <c r="AG957" s="191"/>
      <c r="AH957" s="191"/>
      <c r="AI957" s="191"/>
      <c r="AJ957" s="191"/>
      <c r="AK957" s="191"/>
    </row>
    <row r="958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4"/>
      <c r="X958" s="191"/>
      <c r="Y958" s="191"/>
      <c r="Z958" s="191"/>
      <c r="AA958" s="191"/>
      <c r="AB958" s="191"/>
      <c r="AC958" s="191"/>
      <c r="AD958" s="191"/>
      <c r="AE958" s="191"/>
      <c r="AF958" s="191"/>
      <c r="AG958" s="191"/>
      <c r="AH958" s="191"/>
      <c r="AI958" s="191"/>
      <c r="AJ958" s="191"/>
      <c r="AK958" s="191"/>
    </row>
    <row r="959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4"/>
      <c r="X959" s="191"/>
      <c r="Y959" s="191"/>
      <c r="Z959" s="191"/>
      <c r="AA959" s="191"/>
      <c r="AB959" s="191"/>
      <c r="AC959" s="191"/>
      <c r="AD959" s="191"/>
      <c r="AE959" s="191"/>
      <c r="AF959" s="191"/>
      <c r="AG959" s="191"/>
      <c r="AH959" s="191"/>
      <c r="AI959" s="191"/>
      <c r="AJ959" s="191"/>
      <c r="AK959" s="191"/>
    </row>
    <row r="960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4"/>
      <c r="X960" s="191"/>
      <c r="Y960" s="191"/>
      <c r="Z960" s="191"/>
      <c r="AA960" s="191"/>
      <c r="AB960" s="191"/>
      <c r="AC960" s="191"/>
      <c r="AD960" s="191"/>
      <c r="AE960" s="191"/>
      <c r="AF960" s="191"/>
      <c r="AG960" s="191"/>
      <c r="AH960" s="191"/>
      <c r="AI960" s="191"/>
      <c r="AJ960" s="191"/>
      <c r="AK960" s="191"/>
    </row>
    <row r="96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4"/>
      <c r="X961" s="191"/>
      <c r="Y961" s="191"/>
      <c r="Z961" s="191"/>
      <c r="AA961" s="191"/>
      <c r="AB961" s="191"/>
      <c r="AC961" s="191"/>
      <c r="AD961" s="191"/>
      <c r="AE961" s="191"/>
      <c r="AF961" s="191"/>
      <c r="AG961" s="191"/>
      <c r="AH961" s="191"/>
      <c r="AI961" s="191"/>
      <c r="AJ961" s="191"/>
      <c r="AK961" s="191"/>
    </row>
    <row r="962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4"/>
      <c r="X962" s="191"/>
      <c r="Y962" s="191"/>
      <c r="Z962" s="191"/>
      <c r="AA962" s="191"/>
      <c r="AB962" s="191"/>
      <c r="AC962" s="191"/>
      <c r="AD962" s="191"/>
      <c r="AE962" s="191"/>
      <c r="AF962" s="191"/>
      <c r="AG962" s="191"/>
      <c r="AH962" s="191"/>
      <c r="AI962" s="191"/>
      <c r="AJ962" s="191"/>
      <c r="AK962" s="191"/>
    </row>
    <row r="963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4"/>
      <c r="X963" s="191"/>
      <c r="Y963" s="191"/>
      <c r="Z963" s="191"/>
      <c r="AA963" s="191"/>
      <c r="AB963" s="191"/>
      <c r="AC963" s="191"/>
      <c r="AD963" s="191"/>
      <c r="AE963" s="191"/>
      <c r="AF963" s="191"/>
      <c r="AG963" s="191"/>
      <c r="AH963" s="191"/>
      <c r="AI963" s="191"/>
      <c r="AJ963" s="191"/>
      <c r="AK963" s="191"/>
    </row>
    <row r="964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4"/>
      <c r="X964" s="191"/>
      <c r="Y964" s="191"/>
      <c r="Z964" s="191"/>
      <c r="AA964" s="191"/>
      <c r="AB964" s="191"/>
      <c r="AC964" s="191"/>
      <c r="AD964" s="191"/>
      <c r="AE964" s="191"/>
      <c r="AF964" s="191"/>
      <c r="AG964" s="191"/>
      <c r="AH964" s="191"/>
      <c r="AI964" s="191"/>
      <c r="AJ964" s="191"/>
      <c r="AK964" s="191"/>
    </row>
    <row r="965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4"/>
      <c r="X965" s="191"/>
      <c r="Y965" s="191"/>
      <c r="Z965" s="191"/>
      <c r="AA965" s="191"/>
      <c r="AB965" s="191"/>
      <c r="AC965" s="191"/>
      <c r="AD965" s="191"/>
      <c r="AE965" s="191"/>
      <c r="AF965" s="191"/>
      <c r="AG965" s="191"/>
      <c r="AH965" s="191"/>
      <c r="AI965" s="191"/>
      <c r="AJ965" s="191"/>
      <c r="AK965" s="191"/>
    </row>
    <row r="966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4"/>
      <c r="X966" s="191"/>
      <c r="Y966" s="191"/>
      <c r="Z966" s="191"/>
      <c r="AA966" s="191"/>
      <c r="AB966" s="191"/>
      <c r="AC966" s="191"/>
      <c r="AD966" s="191"/>
      <c r="AE966" s="191"/>
      <c r="AF966" s="191"/>
      <c r="AG966" s="191"/>
      <c r="AH966" s="191"/>
      <c r="AI966" s="191"/>
      <c r="AJ966" s="191"/>
      <c r="AK966" s="191"/>
    </row>
    <row r="967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4"/>
      <c r="X967" s="191"/>
      <c r="Y967" s="191"/>
      <c r="Z967" s="191"/>
      <c r="AA967" s="191"/>
      <c r="AB967" s="191"/>
      <c r="AC967" s="191"/>
      <c r="AD967" s="191"/>
      <c r="AE967" s="191"/>
      <c r="AF967" s="191"/>
      <c r="AG967" s="191"/>
      <c r="AH967" s="191"/>
      <c r="AI967" s="191"/>
      <c r="AJ967" s="191"/>
      <c r="AK967" s="191"/>
    </row>
    <row r="968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4"/>
      <c r="X968" s="191"/>
      <c r="Y968" s="191"/>
      <c r="Z968" s="191"/>
      <c r="AA968" s="191"/>
      <c r="AB968" s="191"/>
      <c r="AC968" s="191"/>
      <c r="AD968" s="191"/>
      <c r="AE968" s="191"/>
      <c r="AF968" s="191"/>
      <c r="AG968" s="191"/>
      <c r="AH968" s="191"/>
      <c r="AI968" s="191"/>
      <c r="AJ968" s="191"/>
      <c r="AK968" s="191"/>
    </row>
    <row r="969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4"/>
      <c r="X969" s="191"/>
      <c r="Y969" s="191"/>
      <c r="Z969" s="191"/>
      <c r="AA969" s="191"/>
      <c r="AB969" s="191"/>
      <c r="AC969" s="191"/>
      <c r="AD969" s="191"/>
      <c r="AE969" s="191"/>
      <c r="AF969" s="191"/>
      <c r="AG969" s="191"/>
      <c r="AH969" s="191"/>
      <c r="AI969" s="191"/>
      <c r="AJ969" s="191"/>
      <c r="AK969" s="191"/>
    </row>
    <row r="970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4"/>
      <c r="X970" s="191"/>
      <c r="Y970" s="191"/>
      <c r="Z970" s="191"/>
      <c r="AA970" s="191"/>
      <c r="AB970" s="191"/>
      <c r="AC970" s="191"/>
      <c r="AD970" s="191"/>
      <c r="AE970" s="191"/>
      <c r="AF970" s="191"/>
      <c r="AG970" s="191"/>
      <c r="AH970" s="191"/>
      <c r="AI970" s="191"/>
      <c r="AJ970" s="191"/>
      <c r="AK970" s="191"/>
    </row>
    <row r="97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4"/>
      <c r="X971" s="191"/>
      <c r="Y971" s="191"/>
      <c r="Z971" s="191"/>
      <c r="AA971" s="191"/>
      <c r="AB971" s="191"/>
      <c r="AC971" s="191"/>
      <c r="AD971" s="191"/>
      <c r="AE971" s="191"/>
      <c r="AF971" s="191"/>
      <c r="AG971" s="191"/>
      <c r="AH971" s="191"/>
      <c r="AI971" s="191"/>
      <c r="AJ971" s="191"/>
      <c r="AK971" s="191"/>
    </row>
    <row r="972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4"/>
      <c r="X972" s="191"/>
      <c r="Y972" s="191"/>
      <c r="Z972" s="191"/>
      <c r="AA972" s="191"/>
      <c r="AB972" s="191"/>
      <c r="AC972" s="191"/>
      <c r="AD972" s="191"/>
      <c r="AE972" s="191"/>
      <c r="AF972" s="191"/>
      <c r="AG972" s="191"/>
      <c r="AH972" s="191"/>
      <c r="AI972" s="191"/>
      <c r="AJ972" s="191"/>
      <c r="AK972" s="191"/>
    </row>
    <row r="973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4"/>
      <c r="X973" s="191"/>
      <c r="Y973" s="191"/>
      <c r="Z973" s="191"/>
      <c r="AA973" s="191"/>
      <c r="AB973" s="191"/>
      <c r="AC973" s="191"/>
      <c r="AD973" s="191"/>
      <c r="AE973" s="191"/>
      <c r="AF973" s="191"/>
      <c r="AG973" s="191"/>
      <c r="AH973" s="191"/>
      <c r="AI973" s="191"/>
      <c r="AJ973" s="191"/>
      <c r="AK973" s="191"/>
    </row>
    <row r="974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4"/>
      <c r="X974" s="191"/>
      <c r="Y974" s="191"/>
      <c r="Z974" s="191"/>
      <c r="AA974" s="191"/>
      <c r="AB974" s="191"/>
      <c r="AC974" s="191"/>
      <c r="AD974" s="191"/>
      <c r="AE974" s="191"/>
      <c r="AF974" s="191"/>
      <c r="AG974" s="191"/>
      <c r="AH974" s="191"/>
      <c r="AI974" s="191"/>
      <c r="AJ974" s="191"/>
      <c r="AK974" s="191"/>
    </row>
    <row r="975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4"/>
      <c r="X975" s="191"/>
      <c r="Y975" s="191"/>
      <c r="Z975" s="191"/>
      <c r="AA975" s="191"/>
      <c r="AB975" s="191"/>
      <c r="AC975" s="191"/>
      <c r="AD975" s="191"/>
      <c r="AE975" s="191"/>
      <c r="AF975" s="191"/>
      <c r="AG975" s="191"/>
      <c r="AH975" s="191"/>
      <c r="AI975" s="191"/>
      <c r="AJ975" s="191"/>
      <c r="AK975" s="191"/>
    </row>
    <row r="976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4"/>
      <c r="X976" s="191"/>
      <c r="Y976" s="191"/>
      <c r="Z976" s="191"/>
      <c r="AA976" s="191"/>
      <c r="AB976" s="191"/>
      <c r="AC976" s="191"/>
      <c r="AD976" s="191"/>
      <c r="AE976" s="191"/>
      <c r="AF976" s="191"/>
      <c r="AG976" s="191"/>
      <c r="AH976" s="191"/>
      <c r="AI976" s="191"/>
      <c r="AJ976" s="191"/>
      <c r="AK976" s="191"/>
    </row>
    <row r="977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4"/>
      <c r="X977" s="191"/>
      <c r="Y977" s="191"/>
      <c r="Z977" s="191"/>
      <c r="AA977" s="191"/>
      <c r="AB977" s="191"/>
      <c r="AC977" s="191"/>
      <c r="AD977" s="191"/>
      <c r="AE977" s="191"/>
      <c r="AF977" s="191"/>
      <c r="AG977" s="191"/>
      <c r="AH977" s="191"/>
      <c r="AI977" s="191"/>
      <c r="AJ977" s="191"/>
      <c r="AK977" s="191"/>
    </row>
    <row r="978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4"/>
      <c r="X978" s="191"/>
      <c r="Y978" s="191"/>
      <c r="Z978" s="191"/>
      <c r="AA978" s="191"/>
      <c r="AB978" s="191"/>
      <c r="AC978" s="191"/>
      <c r="AD978" s="191"/>
      <c r="AE978" s="191"/>
      <c r="AF978" s="191"/>
      <c r="AG978" s="191"/>
      <c r="AH978" s="191"/>
      <c r="AI978" s="191"/>
      <c r="AJ978" s="191"/>
      <c r="AK978" s="191"/>
    </row>
    <row r="979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4"/>
      <c r="X979" s="191"/>
      <c r="Y979" s="191"/>
      <c r="Z979" s="191"/>
      <c r="AA979" s="191"/>
      <c r="AB979" s="191"/>
      <c r="AC979" s="191"/>
      <c r="AD979" s="191"/>
      <c r="AE979" s="191"/>
      <c r="AF979" s="191"/>
      <c r="AG979" s="191"/>
      <c r="AH979" s="191"/>
      <c r="AI979" s="191"/>
      <c r="AJ979" s="191"/>
      <c r="AK979" s="191"/>
    </row>
    <row r="980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4"/>
      <c r="X980" s="191"/>
      <c r="Y980" s="191"/>
      <c r="Z980" s="191"/>
      <c r="AA980" s="191"/>
      <c r="AB980" s="191"/>
      <c r="AC980" s="191"/>
      <c r="AD980" s="191"/>
      <c r="AE980" s="191"/>
      <c r="AF980" s="191"/>
      <c r="AG980" s="191"/>
      <c r="AH980" s="191"/>
      <c r="AI980" s="191"/>
      <c r="AJ980" s="191"/>
      <c r="AK980" s="191"/>
    </row>
    <row r="981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4"/>
      <c r="X981" s="191"/>
      <c r="Y981" s="191"/>
      <c r="Z981" s="191"/>
      <c r="AA981" s="191"/>
      <c r="AB981" s="191"/>
      <c r="AC981" s="191"/>
      <c r="AD981" s="191"/>
      <c r="AE981" s="191"/>
      <c r="AF981" s="191"/>
      <c r="AG981" s="191"/>
      <c r="AH981" s="191"/>
      <c r="AI981" s="191"/>
      <c r="AJ981" s="191"/>
      <c r="AK981" s="191"/>
    </row>
    <row r="982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4"/>
      <c r="X982" s="191"/>
      <c r="Y982" s="191"/>
      <c r="Z982" s="191"/>
      <c r="AA982" s="191"/>
      <c r="AB982" s="191"/>
      <c r="AC982" s="191"/>
      <c r="AD982" s="191"/>
      <c r="AE982" s="191"/>
      <c r="AF982" s="191"/>
      <c r="AG982" s="191"/>
      <c r="AH982" s="191"/>
      <c r="AI982" s="191"/>
      <c r="AJ982" s="191"/>
      <c r="AK982" s="191"/>
    </row>
    <row r="983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4"/>
      <c r="X983" s="191"/>
      <c r="Y983" s="191"/>
      <c r="Z983" s="191"/>
      <c r="AA983" s="191"/>
      <c r="AB983" s="191"/>
      <c r="AC983" s="191"/>
      <c r="AD983" s="191"/>
      <c r="AE983" s="191"/>
      <c r="AF983" s="191"/>
      <c r="AG983" s="191"/>
      <c r="AH983" s="191"/>
      <c r="AI983" s="191"/>
      <c r="AJ983" s="191"/>
      <c r="AK983" s="191"/>
    </row>
    <row r="984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4"/>
      <c r="X984" s="191"/>
      <c r="Y984" s="191"/>
      <c r="Z984" s="191"/>
      <c r="AA984" s="191"/>
      <c r="AB984" s="191"/>
      <c r="AC984" s="191"/>
      <c r="AD984" s="191"/>
      <c r="AE984" s="191"/>
      <c r="AF984" s="191"/>
      <c r="AG984" s="191"/>
      <c r="AH984" s="191"/>
      <c r="AI984" s="191"/>
      <c r="AJ984" s="191"/>
      <c r="AK984" s="191"/>
    </row>
    <row r="985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4"/>
      <c r="X985" s="191"/>
      <c r="Y985" s="191"/>
      <c r="Z985" s="191"/>
      <c r="AA985" s="191"/>
      <c r="AB985" s="191"/>
      <c r="AC985" s="191"/>
      <c r="AD985" s="191"/>
      <c r="AE985" s="191"/>
      <c r="AF985" s="191"/>
      <c r="AG985" s="191"/>
      <c r="AH985" s="191"/>
      <c r="AI985" s="191"/>
      <c r="AJ985" s="191"/>
      <c r="AK985" s="191"/>
    </row>
    <row r="986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4"/>
      <c r="X986" s="191"/>
      <c r="Y986" s="191"/>
      <c r="Z986" s="191"/>
      <c r="AA986" s="191"/>
      <c r="AB986" s="191"/>
      <c r="AC986" s="191"/>
      <c r="AD986" s="191"/>
      <c r="AE986" s="191"/>
      <c r="AF986" s="191"/>
      <c r="AG986" s="191"/>
      <c r="AH986" s="191"/>
      <c r="AI986" s="191"/>
      <c r="AJ986" s="191"/>
      <c r="AK986" s="191"/>
    </row>
    <row r="987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4"/>
      <c r="X987" s="191"/>
      <c r="Y987" s="191"/>
      <c r="Z987" s="191"/>
      <c r="AA987" s="191"/>
      <c r="AB987" s="191"/>
      <c r="AC987" s="191"/>
      <c r="AD987" s="191"/>
      <c r="AE987" s="191"/>
      <c r="AF987" s="191"/>
      <c r="AG987" s="191"/>
      <c r="AH987" s="191"/>
      <c r="AI987" s="191"/>
      <c r="AJ987" s="191"/>
      <c r="AK987" s="191"/>
    </row>
    <row r="988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4"/>
      <c r="X988" s="191"/>
      <c r="Y988" s="191"/>
      <c r="Z988" s="191"/>
      <c r="AA988" s="191"/>
      <c r="AB988" s="191"/>
      <c r="AC988" s="191"/>
      <c r="AD988" s="191"/>
      <c r="AE988" s="191"/>
      <c r="AF988" s="191"/>
      <c r="AG988" s="191"/>
      <c r="AH988" s="191"/>
      <c r="AI988" s="191"/>
      <c r="AJ988" s="191"/>
      <c r="AK988" s="191"/>
    </row>
    <row r="989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4"/>
      <c r="X989" s="191"/>
      <c r="Y989" s="191"/>
      <c r="Z989" s="191"/>
      <c r="AA989" s="191"/>
      <c r="AB989" s="191"/>
      <c r="AC989" s="191"/>
      <c r="AD989" s="191"/>
      <c r="AE989" s="191"/>
      <c r="AF989" s="191"/>
      <c r="AG989" s="191"/>
      <c r="AH989" s="191"/>
      <c r="AI989" s="191"/>
      <c r="AJ989" s="191"/>
      <c r="AK989" s="191"/>
    </row>
    <row r="990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4"/>
      <c r="X990" s="191"/>
      <c r="Y990" s="191"/>
      <c r="Z990" s="191"/>
      <c r="AA990" s="191"/>
      <c r="AB990" s="191"/>
      <c r="AC990" s="191"/>
      <c r="AD990" s="191"/>
      <c r="AE990" s="191"/>
      <c r="AF990" s="191"/>
      <c r="AG990" s="191"/>
      <c r="AH990" s="191"/>
      <c r="AI990" s="191"/>
      <c r="AJ990" s="191"/>
      <c r="AK990" s="191"/>
    </row>
    <row r="991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4"/>
      <c r="X991" s="191"/>
      <c r="Y991" s="191"/>
      <c r="Z991" s="191"/>
      <c r="AA991" s="191"/>
      <c r="AB991" s="191"/>
      <c r="AC991" s="191"/>
      <c r="AD991" s="191"/>
      <c r="AE991" s="191"/>
      <c r="AF991" s="191"/>
      <c r="AG991" s="191"/>
      <c r="AH991" s="191"/>
      <c r="AI991" s="191"/>
      <c r="AJ991" s="191"/>
      <c r="AK991" s="191"/>
    </row>
    <row r="992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4"/>
      <c r="X992" s="191"/>
      <c r="Y992" s="191"/>
      <c r="Z992" s="191"/>
      <c r="AA992" s="191"/>
      <c r="AB992" s="191"/>
      <c r="AC992" s="191"/>
      <c r="AD992" s="191"/>
      <c r="AE992" s="191"/>
      <c r="AF992" s="191"/>
      <c r="AG992" s="191"/>
      <c r="AH992" s="191"/>
      <c r="AI992" s="191"/>
      <c r="AJ992" s="191"/>
      <c r="AK992" s="191"/>
    </row>
    <row r="993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4"/>
      <c r="X993" s="191"/>
      <c r="Y993" s="191"/>
      <c r="Z993" s="191"/>
      <c r="AA993" s="191"/>
      <c r="AB993" s="191"/>
      <c r="AC993" s="191"/>
      <c r="AD993" s="191"/>
      <c r="AE993" s="191"/>
      <c r="AF993" s="191"/>
      <c r="AG993" s="191"/>
      <c r="AH993" s="191"/>
      <c r="AI993" s="191"/>
      <c r="AJ993" s="191"/>
      <c r="AK993" s="191"/>
    </row>
    <row r="994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4"/>
      <c r="X994" s="191"/>
      <c r="Y994" s="191"/>
      <c r="Z994" s="191"/>
      <c r="AA994" s="191"/>
      <c r="AB994" s="191"/>
      <c r="AC994" s="191"/>
      <c r="AD994" s="191"/>
      <c r="AE994" s="191"/>
      <c r="AF994" s="191"/>
      <c r="AG994" s="191"/>
      <c r="AH994" s="191"/>
      <c r="AI994" s="191"/>
      <c r="AJ994" s="191"/>
      <c r="AK994" s="191"/>
    </row>
    <row r="995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4"/>
      <c r="X995" s="191"/>
      <c r="Y995" s="191"/>
      <c r="Z995" s="191"/>
      <c r="AA995" s="191"/>
      <c r="AB995" s="191"/>
      <c r="AC995" s="191"/>
      <c r="AD995" s="191"/>
      <c r="AE995" s="191"/>
      <c r="AF995" s="191"/>
      <c r="AG995" s="191"/>
      <c r="AH995" s="191"/>
      <c r="AI995" s="191"/>
      <c r="AJ995" s="191"/>
      <c r="AK995" s="191"/>
    </row>
    <row r="996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4"/>
      <c r="X996" s="191"/>
      <c r="Y996" s="191"/>
      <c r="Z996" s="191"/>
      <c r="AA996" s="191"/>
      <c r="AB996" s="191"/>
      <c r="AC996" s="191"/>
      <c r="AD996" s="191"/>
      <c r="AE996" s="191"/>
      <c r="AF996" s="191"/>
      <c r="AG996" s="191"/>
      <c r="AH996" s="191"/>
      <c r="AI996" s="191"/>
      <c r="AJ996" s="191"/>
      <c r="AK996" s="191"/>
    </row>
    <row r="997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4"/>
      <c r="X997" s="191"/>
      <c r="Y997" s="191"/>
      <c r="Z997" s="191"/>
      <c r="AA997" s="191"/>
      <c r="AB997" s="191"/>
      <c r="AC997" s="191"/>
      <c r="AD997" s="191"/>
      <c r="AE997" s="191"/>
      <c r="AF997" s="191"/>
      <c r="AG997" s="191"/>
      <c r="AH997" s="191"/>
      <c r="AI997" s="191"/>
      <c r="AJ997" s="191"/>
      <c r="AK997" s="191"/>
    </row>
    <row r="998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  <c r="W998" s="194"/>
      <c r="X998" s="191"/>
      <c r="Y998" s="191"/>
      <c r="Z998" s="191"/>
      <c r="AA998" s="191"/>
      <c r="AB998" s="191"/>
      <c r="AC998" s="191"/>
      <c r="AD998" s="191"/>
      <c r="AE998" s="191"/>
      <c r="AF998" s="191"/>
      <c r="AG998" s="191"/>
      <c r="AH998" s="191"/>
      <c r="AI998" s="191"/>
      <c r="AJ998" s="191"/>
      <c r="AK998" s="191"/>
    </row>
    <row r="999">
      <c r="A999" s="191"/>
      <c r="B999" s="191"/>
      <c r="C999" s="191"/>
      <c r="D999" s="191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T999" s="191"/>
      <c r="U999" s="191"/>
      <c r="V999" s="191"/>
      <c r="W999" s="194"/>
      <c r="X999" s="191"/>
      <c r="Y999" s="191"/>
      <c r="Z999" s="191"/>
      <c r="AA999" s="191"/>
      <c r="AB999" s="191"/>
      <c r="AC999" s="191"/>
      <c r="AD999" s="191"/>
      <c r="AE999" s="191"/>
      <c r="AF999" s="191"/>
      <c r="AG999" s="191"/>
      <c r="AH999" s="191"/>
      <c r="AI999" s="191"/>
      <c r="AJ999" s="191"/>
      <c r="AK999" s="191"/>
    </row>
    <row r="1000">
      <c r="A1000" s="191"/>
      <c r="B1000" s="191"/>
      <c r="C1000" s="191"/>
      <c r="D1000" s="191"/>
      <c r="E1000" s="191"/>
      <c r="F1000" s="191"/>
      <c r="G1000" s="191"/>
      <c r="H1000" s="191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1"/>
      <c r="S1000" s="191"/>
      <c r="T1000" s="191"/>
      <c r="U1000" s="191"/>
      <c r="V1000" s="191"/>
      <c r="W1000" s="194"/>
      <c r="X1000" s="191"/>
      <c r="Y1000" s="191"/>
      <c r="Z1000" s="191"/>
      <c r="AA1000" s="191"/>
      <c r="AB1000" s="191"/>
      <c r="AC1000" s="191"/>
      <c r="AD1000" s="191"/>
      <c r="AE1000" s="191"/>
      <c r="AF1000" s="191"/>
      <c r="AG1000" s="191"/>
      <c r="AH1000" s="191"/>
      <c r="AI1000" s="191"/>
      <c r="AJ1000" s="191"/>
      <c r="AK1000" s="19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198" t="s">
        <v>2592</v>
      </c>
      <c r="B1" s="13"/>
      <c r="C1" s="13"/>
      <c r="D1" s="13"/>
      <c r="E1" s="13"/>
      <c r="F1" s="13"/>
      <c r="G1" s="13"/>
      <c r="H1" s="14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>
      <c r="A2" s="1" t="s">
        <v>2593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" t="s">
        <v>84</v>
      </c>
      <c r="AB2" s="1" t="s">
        <v>85</v>
      </c>
    </row>
    <row r="3">
      <c r="A3" s="1" t="s">
        <v>2594</v>
      </c>
      <c r="B3" s="1" t="s">
        <v>2595</v>
      </c>
      <c r="D3" s="1" t="s">
        <v>2596</v>
      </c>
      <c r="E3" s="1" t="s">
        <v>2596</v>
      </c>
      <c r="F3" s="1" t="s">
        <v>2596</v>
      </c>
      <c r="G3" s="1" t="s">
        <v>2596</v>
      </c>
    </row>
    <row r="4">
      <c r="A4" s="1" t="s">
        <v>2597</v>
      </c>
      <c r="B4" s="1" t="s">
        <v>2598</v>
      </c>
      <c r="C4" s="1" t="s">
        <v>2596</v>
      </c>
      <c r="E4" s="1" t="s">
        <v>2599</v>
      </c>
      <c r="F4" s="1" t="s">
        <v>2600</v>
      </c>
      <c r="G4" s="1" t="s">
        <v>2600</v>
      </c>
      <c r="H4" s="1" t="s">
        <v>2599</v>
      </c>
    </row>
    <row r="5">
      <c r="A5" s="1" t="s">
        <v>2601</v>
      </c>
      <c r="B5" s="1" t="s">
        <v>2602</v>
      </c>
      <c r="E5" s="1" t="s">
        <v>2603</v>
      </c>
      <c r="F5" s="1" t="s">
        <v>2604</v>
      </c>
      <c r="G5" s="1" t="s">
        <v>2605</v>
      </c>
      <c r="H5" s="1" t="s">
        <v>2596</v>
      </c>
    </row>
    <row r="6">
      <c r="A6" s="1" t="s">
        <v>2606</v>
      </c>
      <c r="B6" s="1" t="s">
        <v>2607</v>
      </c>
      <c r="D6" s="1" t="s">
        <v>2607</v>
      </c>
      <c r="F6" s="1" t="s">
        <v>2605</v>
      </c>
    </row>
    <row r="7">
      <c r="A7" s="1" t="s">
        <v>71</v>
      </c>
      <c r="B7" s="1" t="s">
        <v>2608</v>
      </c>
      <c r="D7" s="1" t="s">
        <v>2608</v>
      </c>
    </row>
    <row r="8">
      <c r="A8" s="1" t="s">
        <v>2609</v>
      </c>
      <c r="B8" s="1" t="s">
        <v>2602</v>
      </c>
      <c r="C8" s="1" t="s">
        <v>2602</v>
      </c>
      <c r="E8" s="1" t="s">
        <v>2602</v>
      </c>
      <c r="F8" s="1" t="s">
        <v>2610</v>
      </c>
    </row>
    <row r="9">
      <c r="A9" s="1" t="s">
        <v>44</v>
      </c>
      <c r="C9" s="1" t="s">
        <v>2599</v>
      </c>
      <c r="D9" s="1" t="s">
        <v>2599</v>
      </c>
      <c r="F9" s="1" t="s">
        <v>2600</v>
      </c>
      <c r="G9" s="1" t="s">
        <v>2600</v>
      </c>
      <c r="H9" s="1" t="s">
        <v>2599</v>
      </c>
    </row>
    <row r="10">
      <c r="A10" s="1" t="s">
        <v>2611</v>
      </c>
      <c r="C10" s="1" t="s">
        <v>2605</v>
      </c>
      <c r="E10" s="1" t="s">
        <v>2605</v>
      </c>
      <c r="G10" s="1" t="s">
        <v>2604</v>
      </c>
      <c r="H10" s="1" t="s">
        <v>2603</v>
      </c>
    </row>
    <row r="11">
      <c r="A11" s="1" t="s">
        <v>2612</v>
      </c>
      <c r="C11" s="1" t="s">
        <v>2603</v>
      </c>
      <c r="E11" s="1" t="s">
        <v>2603</v>
      </c>
    </row>
    <row r="12">
      <c r="A12" s="1" t="s">
        <v>2613</v>
      </c>
      <c r="D12" s="1" t="s">
        <v>2599</v>
      </c>
      <c r="E12" s="1" t="s">
        <v>2614</v>
      </c>
      <c r="F12" s="1" t="s">
        <v>2615</v>
      </c>
      <c r="G12" s="1" t="s">
        <v>2616</v>
      </c>
      <c r="H12" s="1" t="s">
        <v>2599</v>
      </c>
    </row>
    <row r="13">
      <c r="A13" s="1" t="s">
        <v>2617</v>
      </c>
      <c r="B13" s="188"/>
      <c r="C13" s="188"/>
      <c r="D13" s="188"/>
      <c r="E13" s="188"/>
      <c r="F13" s="1" t="s">
        <v>2604</v>
      </c>
      <c r="G13" s="1" t="s">
        <v>2618</v>
      </c>
      <c r="H13" s="1" t="s">
        <v>2619</v>
      </c>
      <c r="I13" s="188"/>
      <c r="J13" s="188"/>
      <c r="K13" s="188"/>
      <c r="L13" s="188"/>
      <c r="M13" s="188"/>
      <c r="N13" s="188"/>
      <c r="O13" s="188"/>
      <c r="P13" s="188"/>
      <c r="Q13" s="188"/>
      <c r="T13" s="188"/>
      <c r="U13" s="188"/>
      <c r="V13" s="188"/>
      <c r="W13" s="188"/>
      <c r="X13" s="188"/>
      <c r="Y13" s="188"/>
      <c r="Z13" s="188"/>
      <c r="AB13" s="1">
        <v>-5.0</v>
      </c>
    </row>
    <row r="14">
      <c r="A14" s="1" t="s">
        <v>2620</v>
      </c>
      <c r="B14" s="188"/>
      <c r="C14" s="188"/>
      <c r="D14" s="188"/>
      <c r="E14" s="188"/>
      <c r="F14" s="188"/>
      <c r="G14" s="1" t="s">
        <v>2596</v>
      </c>
      <c r="H14" s="1" t="s">
        <v>2596</v>
      </c>
      <c r="I14" s="188"/>
      <c r="J14" s="188"/>
      <c r="K14" s="188"/>
      <c r="L14" s="188"/>
      <c r="M14" s="188"/>
      <c r="N14" s="188"/>
      <c r="O14" s="188"/>
      <c r="P14" s="188"/>
      <c r="Q14" s="188"/>
      <c r="S14" s="188"/>
      <c r="T14" s="188"/>
      <c r="U14" s="188"/>
      <c r="V14" s="188"/>
      <c r="W14" s="188"/>
      <c r="X14" s="188"/>
      <c r="Y14" s="188"/>
      <c r="Z14" s="188"/>
      <c r="AB14" s="1">
        <v>-6.0</v>
      </c>
    </row>
    <row r="15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O15" s="188"/>
      <c r="P15" s="188"/>
      <c r="Q15" s="188"/>
      <c r="S15" s="188"/>
      <c r="T15" s="188"/>
      <c r="U15" s="188"/>
      <c r="V15" s="188"/>
      <c r="W15" s="188"/>
      <c r="X15" s="188"/>
      <c r="Y15" s="188"/>
      <c r="Z15" s="188"/>
      <c r="AB15" s="1">
        <v>2.0</v>
      </c>
    </row>
    <row r="16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" t="s">
        <v>2621</v>
      </c>
      <c r="AB16" s="1">
        <v>-11.0</v>
      </c>
    </row>
    <row r="17">
      <c r="A17" s="188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O17" s="188"/>
      <c r="P17" s="188"/>
      <c r="Q17" s="188"/>
      <c r="S17" s="188"/>
      <c r="T17" s="188"/>
      <c r="U17" s="188"/>
      <c r="V17" s="188"/>
      <c r="W17" s="188"/>
      <c r="X17" s="188"/>
      <c r="Y17" s="188"/>
      <c r="Z17" s="188"/>
      <c r="AB17" s="1">
        <v>0.0</v>
      </c>
    </row>
    <row r="18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O18" s="188"/>
      <c r="P18" s="188"/>
      <c r="Q18" s="188"/>
      <c r="S18" s="188"/>
      <c r="T18" s="188"/>
      <c r="U18" s="188"/>
      <c r="V18" s="188"/>
      <c r="W18" s="188"/>
      <c r="X18" s="188"/>
      <c r="Y18" s="188"/>
      <c r="Z18" s="188"/>
      <c r="AB18" s="1">
        <v>5.0</v>
      </c>
    </row>
    <row r="19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188"/>
      <c r="U19" s="188"/>
      <c r="V19" s="188"/>
      <c r="W19" s="188"/>
      <c r="X19" s="188"/>
      <c r="Y19" s="188"/>
      <c r="Z19" s="188"/>
      <c r="AB19" s="1">
        <v>-7.0</v>
      </c>
    </row>
    <row r="20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O20" s="188"/>
      <c r="P20" s="188"/>
      <c r="Q20" s="188"/>
      <c r="S20" s="188"/>
      <c r="T20" s="188"/>
      <c r="U20" s="188"/>
      <c r="V20" s="188"/>
      <c r="W20" s="188"/>
      <c r="X20" s="188"/>
      <c r="Y20" s="188"/>
      <c r="Z20" s="188"/>
      <c r="AB20" s="1">
        <v>1.0</v>
      </c>
    </row>
    <row r="21">
      <c r="A21" s="188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O21" s="188"/>
      <c r="P21" s="188"/>
      <c r="Q21" s="188"/>
      <c r="S21" s="188"/>
      <c r="T21" s="188"/>
      <c r="U21" s="188"/>
      <c r="V21" s="188"/>
      <c r="W21" s="188"/>
      <c r="X21" s="188"/>
      <c r="Y21" s="188"/>
      <c r="Z21" s="188"/>
      <c r="AB21" s="1">
        <v>-2.0</v>
      </c>
    </row>
    <row r="22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O22" s="188"/>
      <c r="P22" s="188"/>
      <c r="Q22" s="188"/>
      <c r="S22" s="188"/>
      <c r="T22" s="188"/>
      <c r="U22" s="188"/>
      <c r="V22" s="188"/>
      <c r="W22" s="188"/>
      <c r="X22" s="188"/>
      <c r="Y22" s="188"/>
      <c r="Z22" s="188"/>
      <c r="AB22" s="1">
        <v>-1.0</v>
      </c>
    </row>
    <row r="23">
      <c r="A23" s="188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O23" s="188"/>
      <c r="P23" s="188"/>
      <c r="Q23" s="188"/>
      <c r="S23" s="188"/>
      <c r="T23" s="188"/>
      <c r="U23" s="188"/>
      <c r="V23" s="188"/>
      <c r="W23" s="188"/>
      <c r="X23" s="188"/>
      <c r="Y23" s="188"/>
      <c r="Z23" s="188"/>
      <c r="AB23" s="1">
        <v>0.0</v>
      </c>
    </row>
    <row r="2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S24" s="188"/>
      <c r="T24" s="188"/>
      <c r="U24" s="188"/>
      <c r="V24" s="188"/>
      <c r="W24" s="188"/>
      <c r="X24" s="188"/>
      <c r="Y24" s="188"/>
      <c r="Z24" s="188"/>
      <c r="AB24" s="1">
        <v>-7.0</v>
      </c>
    </row>
    <row r="2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O25" s="188"/>
      <c r="P25" s="188"/>
      <c r="Q25" s="188"/>
      <c r="S25" s="188"/>
      <c r="T25" s="188"/>
      <c r="U25" s="188"/>
      <c r="V25" s="188"/>
      <c r="W25" s="188"/>
      <c r="X25" s="188"/>
      <c r="Y25" s="188"/>
      <c r="Z25" s="188"/>
      <c r="AB25" s="1">
        <v>-9.0</v>
      </c>
    </row>
    <row r="26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O26" s="188"/>
      <c r="P26" s="188"/>
      <c r="Q26" s="188"/>
      <c r="S26" s="188"/>
      <c r="T26" s="188"/>
      <c r="U26" s="188"/>
      <c r="V26" s="188"/>
      <c r="W26" s="188"/>
      <c r="X26" s="188"/>
      <c r="Y26" s="188"/>
      <c r="Z26" s="188"/>
      <c r="AB26" s="1">
        <v>0.0</v>
      </c>
    </row>
    <row r="27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" t="s">
        <v>2622</v>
      </c>
      <c r="AB27" s="1">
        <v>-8.0</v>
      </c>
    </row>
    <row r="28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T28" s="188"/>
      <c r="U28" s="188"/>
      <c r="V28" s="188"/>
      <c r="W28" s="188"/>
      <c r="X28" s="188"/>
      <c r="Y28" s="188"/>
      <c r="Z28" s="188"/>
      <c r="AB28" s="1">
        <v>-7.0</v>
      </c>
    </row>
    <row r="29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O29" s="188"/>
      <c r="P29" s="188"/>
      <c r="Q29" s="188"/>
      <c r="S29" s="188"/>
      <c r="T29" s="188"/>
      <c r="U29" s="188"/>
      <c r="V29" s="188"/>
      <c r="W29" s="188"/>
      <c r="X29" s="188"/>
      <c r="Y29" s="188"/>
      <c r="Z29" s="188"/>
      <c r="AB29" s="1">
        <v>-2.0</v>
      </c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T30" s="188"/>
      <c r="U30" s="188"/>
      <c r="V30" s="188"/>
      <c r="W30" s="188"/>
      <c r="X30" s="188"/>
      <c r="Y30" s="188"/>
      <c r="Z30" s="188"/>
      <c r="AB30" s="1">
        <v>-8.0</v>
      </c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" t="s">
        <v>2623</v>
      </c>
      <c r="AB31" s="1">
        <v>0.0</v>
      </c>
    </row>
    <row r="32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O32" s="188"/>
      <c r="P32" s="188"/>
      <c r="Q32" s="188"/>
      <c r="S32" s="188"/>
      <c r="T32" s="188"/>
      <c r="U32" s="188"/>
      <c r="V32" s="188"/>
      <c r="W32" s="188"/>
      <c r="X32" s="188"/>
      <c r="Y32" s="188"/>
      <c r="Z32" s="188"/>
      <c r="AB32" s="1">
        <v>1.0</v>
      </c>
    </row>
    <row r="33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O33" s="188"/>
      <c r="P33" s="188"/>
      <c r="Q33" s="188"/>
      <c r="S33" s="188"/>
      <c r="T33" s="188"/>
      <c r="U33" s="188"/>
      <c r="V33" s="188"/>
      <c r="Y33" s="188"/>
      <c r="Z33" s="188"/>
      <c r="AB33" s="1">
        <v>0.0</v>
      </c>
    </row>
    <row r="3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O34" s="188"/>
      <c r="P34" s="188"/>
      <c r="Q34" s="188"/>
      <c r="S34" s="188"/>
      <c r="T34" s="188"/>
      <c r="U34" s="188"/>
      <c r="V34" s="188"/>
      <c r="W34" s="188"/>
      <c r="X34" s="188"/>
      <c r="Y34" s="188"/>
      <c r="Z34" s="188"/>
      <c r="AB34" s="1">
        <v>4.0</v>
      </c>
    </row>
    <row r="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" t="s">
        <v>2624</v>
      </c>
      <c r="AB35" s="1">
        <v>-12.0</v>
      </c>
    </row>
    <row r="36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" t="s">
        <v>2625</v>
      </c>
      <c r="AB36" s="1">
        <v>0.0</v>
      </c>
    </row>
    <row r="37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O37" s="188"/>
      <c r="P37" s="188"/>
      <c r="Q37" s="188"/>
      <c r="S37" s="188"/>
      <c r="T37" s="188"/>
      <c r="U37" s="188"/>
      <c r="V37" s="188"/>
      <c r="W37" s="188"/>
      <c r="X37" s="188"/>
      <c r="Y37" s="188"/>
      <c r="Z37" s="188"/>
      <c r="AB37" s="1">
        <v>-2.0</v>
      </c>
    </row>
    <row r="38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O38" s="188"/>
      <c r="P38" s="188"/>
      <c r="Q38" s="188"/>
      <c r="S38" s="188"/>
      <c r="T38" s="188"/>
      <c r="U38" s="188"/>
      <c r="V38" s="188"/>
      <c r="W38" s="188"/>
      <c r="X38" s="188"/>
      <c r="Y38" s="188"/>
      <c r="Z38" s="188"/>
      <c r="AB38" s="1">
        <v>-10.0</v>
      </c>
    </row>
    <row r="39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" t="s">
        <v>2626</v>
      </c>
      <c r="AB39" s="1">
        <v>6.0</v>
      </c>
    </row>
    <row r="40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T40" s="188"/>
      <c r="U40" s="188"/>
      <c r="V40" s="188"/>
      <c r="W40" s="188"/>
      <c r="X40" s="188"/>
      <c r="Y40" s="188"/>
      <c r="Z40" s="188"/>
      <c r="AB40" s="1">
        <v>-7.0</v>
      </c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O41" s="188"/>
      <c r="P41" s="188"/>
      <c r="Q41" s="188"/>
      <c r="S41" s="188"/>
      <c r="T41" s="188"/>
      <c r="U41" s="188"/>
      <c r="V41" s="188"/>
      <c r="W41" s="188"/>
      <c r="X41" s="188"/>
      <c r="Y41" s="188"/>
      <c r="Z41" s="188"/>
      <c r="AB41" s="1">
        <v>-2.0</v>
      </c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O42" s="188"/>
      <c r="P42" s="188"/>
      <c r="Q42" s="188"/>
      <c r="S42" s="188"/>
      <c r="T42" s="188"/>
      <c r="U42" s="188"/>
      <c r="V42" s="188"/>
      <c r="W42" s="188"/>
      <c r="X42" s="188"/>
      <c r="Y42" s="188"/>
      <c r="Z42" s="188"/>
      <c r="AB42" s="1">
        <v>0.0</v>
      </c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T43" s="188"/>
      <c r="U43" s="188"/>
      <c r="V43" s="188"/>
      <c r="W43" s="188"/>
      <c r="X43" s="188"/>
      <c r="Y43" s="188"/>
      <c r="Z43" s="188"/>
      <c r="AB43" s="1">
        <v>-2.0</v>
      </c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O44" s="188"/>
      <c r="P44" s="188"/>
      <c r="Q44" s="188"/>
      <c r="S44" s="188"/>
      <c r="T44" s="188"/>
      <c r="U44" s="188"/>
      <c r="V44" s="188"/>
      <c r="W44" s="188"/>
      <c r="X44" s="188"/>
      <c r="Y44" s="188"/>
      <c r="Z44" s="188"/>
      <c r="AB44" s="1">
        <v>0.0</v>
      </c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" t="s">
        <v>2627</v>
      </c>
      <c r="AB45" s="1">
        <v>-13.0</v>
      </c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T46" s="188"/>
      <c r="U46" s="188"/>
      <c r="V46" s="188"/>
      <c r="W46" s="188"/>
      <c r="X46" s="188"/>
      <c r="Y46" s="188"/>
      <c r="Z46" s="188"/>
      <c r="AB46" s="1">
        <v>-6.0</v>
      </c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O47" s="188"/>
      <c r="P47" s="188"/>
      <c r="Q47" s="188"/>
      <c r="S47" s="188"/>
      <c r="T47" s="188"/>
      <c r="U47" s="188"/>
      <c r="V47" s="188"/>
      <c r="W47" s="188"/>
      <c r="X47" s="188"/>
      <c r="Y47" s="188"/>
      <c r="Z47" s="188"/>
      <c r="AB47" s="1">
        <v>0.0</v>
      </c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O48" s="188"/>
      <c r="P48" s="188"/>
      <c r="Q48" s="188"/>
      <c r="S48" s="188"/>
      <c r="T48" s="188"/>
      <c r="U48" s="188"/>
      <c r="V48" s="188"/>
      <c r="W48" s="188"/>
      <c r="X48" s="188"/>
      <c r="Y48" s="188"/>
      <c r="Z48" s="188"/>
      <c r="AB48" s="1">
        <v>-6.0</v>
      </c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" t="s">
        <v>2628</v>
      </c>
      <c r="AB49" s="1">
        <v>5.0</v>
      </c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O50" s="188"/>
      <c r="P50" s="188"/>
      <c r="Q50" s="188"/>
      <c r="S50" s="188"/>
      <c r="T50" s="188"/>
      <c r="U50" s="188"/>
      <c r="V50" s="188"/>
      <c r="W50" s="188"/>
      <c r="X50" s="188"/>
      <c r="Y50" s="188"/>
      <c r="Z50" s="188"/>
      <c r="AB50" s="1">
        <v>0.0</v>
      </c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O51" s="188"/>
      <c r="P51" s="188"/>
      <c r="Q51" s="188"/>
      <c r="S51" s="188"/>
      <c r="T51" s="188"/>
      <c r="U51" s="188"/>
      <c r="V51" s="188"/>
      <c r="W51" s="188"/>
      <c r="X51" s="188"/>
      <c r="Y51" s="188"/>
      <c r="Z51" s="188"/>
      <c r="AB51" s="1">
        <v>0.0</v>
      </c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T52" s="188"/>
      <c r="U52" s="188"/>
      <c r="V52" s="188"/>
      <c r="W52" s="188"/>
      <c r="X52" s="188"/>
      <c r="Y52" s="188"/>
      <c r="Z52" s="188"/>
      <c r="AB52" s="1">
        <v>-8.0</v>
      </c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T53" s="188"/>
      <c r="U53" s="188"/>
      <c r="V53" s="188"/>
      <c r="W53" s="188"/>
      <c r="X53" s="188"/>
      <c r="Y53" s="188"/>
      <c r="Z53" s="188"/>
      <c r="AB53" s="1">
        <v>-11.0</v>
      </c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T54" s="188"/>
      <c r="U54" s="188"/>
      <c r="V54" s="188"/>
      <c r="W54" s="188"/>
      <c r="X54" s="188"/>
      <c r="Y54" s="188"/>
      <c r="Z54" s="188"/>
      <c r="AB54" s="1">
        <v>-6.0</v>
      </c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O55" s="188"/>
      <c r="P55" s="188"/>
      <c r="Q55" s="188"/>
      <c r="S55" s="188"/>
      <c r="T55" s="188"/>
      <c r="U55" s="188"/>
      <c r="V55" s="188"/>
      <c r="W55" s="188"/>
      <c r="X55" s="188"/>
      <c r="Y55" s="188"/>
      <c r="Z55" s="188"/>
      <c r="AB55" s="1">
        <v>-2.0</v>
      </c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" t="s">
        <v>2629</v>
      </c>
      <c r="AB56" s="1">
        <v>-9.0</v>
      </c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T57" s="188"/>
      <c r="U57" s="188"/>
      <c r="V57" s="188"/>
      <c r="W57" s="188"/>
      <c r="X57" s="188"/>
      <c r="Y57" s="188"/>
      <c r="Z57" s="188"/>
      <c r="AB57" s="1">
        <v>-9.0</v>
      </c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O58" s="188"/>
      <c r="P58" s="188"/>
      <c r="Q58" s="188"/>
      <c r="S58" s="188"/>
      <c r="T58" s="188"/>
      <c r="U58" s="188"/>
      <c r="V58" s="188"/>
      <c r="W58" s="188"/>
      <c r="X58" s="188"/>
      <c r="Y58" s="188"/>
      <c r="Z58" s="188"/>
      <c r="AB58" s="1">
        <v>-2.0</v>
      </c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T59" s="188"/>
      <c r="U59" s="188"/>
      <c r="V59" s="188"/>
      <c r="W59" s="188"/>
      <c r="X59" s="188"/>
      <c r="Y59" s="188"/>
      <c r="Z59" s="188"/>
      <c r="AB59" s="1">
        <v>-8.0</v>
      </c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" t="s">
        <v>2630</v>
      </c>
      <c r="AB60" s="1">
        <v>-19.0</v>
      </c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O61" s="188"/>
      <c r="P61" s="188"/>
      <c r="Q61" s="188"/>
      <c r="S61" s="188"/>
      <c r="T61" s="188"/>
      <c r="U61" s="188"/>
      <c r="V61" s="188"/>
      <c r="W61" s="188"/>
      <c r="X61" s="188"/>
      <c r="Y61" s="188"/>
      <c r="Z61" s="188"/>
      <c r="AB61" s="1">
        <v>-12.0</v>
      </c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T62" s="188"/>
      <c r="U62" s="188"/>
      <c r="V62" s="188"/>
      <c r="W62" s="188"/>
      <c r="X62" s="188"/>
      <c r="Y62" s="188"/>
      <c r="Z62" s="188"/>
      <c r="AB62" s="1">
        <v>-7.0</v>
      </c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T63" s="188"/>
      <c r="U63" s="188"/>
      <c r="V63" s="188"/>
      <c r="W63" s="188"/>
      <c r="X63" s="188"/>
      <c r="Y63" s="188"/>
      <c r="Z63" s="188"/>
      <c r="AB63" s="1">
        <v>-9.0</v>
      </c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O64" s="188"/>
      <c r="P64" s="188"/>
      <c r="Q64" s="188"/>
      <c r="S64" s="188"/>
      <c r="T64" s="188"/>
      <c r="U64" s="188"/>
      <c r="V64" s="188"/>
      <c r="W64" s="188"/>
      <c r="X64" s="188"/>
      <c r="Y64" s="188"/>
      <c r="Z64" s="188"/>
      <c r="AB64" s="1">
        <v>-9.0</v>
      </c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O65" s="188"/>
      <c r="P65" s="188"/>
      <c r="Q65" s="188"/>
      <c r="S65" s="188"/>
      <c r="T65" s="188"/>
      <c r="U65" s="188"/>
      <c r="V65" s="188"/>
      <c r="W65" s="188"/>
      <c r="X65" s="188"/>
      <c r="Y65" s="188"/>
      <c r="Z65" s="188"/>
      <c r="AB65" s="1">
        <v>-11.0</v>
      </c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O66" s="188"/>
      <c r="P66" s="188"/>
      <c r="Q66" s="188"/>
      <c r="S66" s="188"/>
      <c r="T66" s="188"/>
      <c r="U66" s="188"/>
      <c r="V66" s="188"/>
      <c r="W66" s="188"/>
      <c r="X66" s="188"/>
      <c r="Y66" s="188"/>
      <c r="Z66" s="188"/>
      <c r="AB66" s="1">
        <v>3.0</v>
      </c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" t="s">
        <v>2631</v>
      </c>
      <c r="AB67" s="1">
        <v>-14.0</v>
      </c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O68" s="188"/>
      <c r="P68" s="188"/>
      <c r="Q68" s="188"/>
      <c r="S68" s="188"/>
      <c r="T68" s="188"/>
      <c r="U68" s="188"/>
      <c r="V68" s="188"/>
      <c r="W68" s="188"/>
      <c r="X68" s="188"/>
      <c r="Y68" s="188"/>
      <c r="Z68" s="188"/>
      <c r="AB68" s="1">
        <v>1.0</v>
      </c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O69" s="188"/>
      <c r="P69" s="188"/>
      <c r="Q69" s="188"/>
      <c r="S69" s="188"/>
      <c r="T69" s="188"/>
      <c r="U69" s="188"/>
      <c r="V69" s="188"/>
      <c r="W69" s="188"/>
      <c r="X69" s="188"/>
      <c r="Y69" s="188"/>
      <c r="Z69" s="188"/>
      <c r="AB69" s="1">
        <v>-2.0</v>
      </c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O70" s="188"/>
      <c r="P70" s="188"/>
      <c r="Q70" s="188"/>
      <c r="S70" s="188"/>
      <c r="T70" s="188"/>
      <c r="U70" s="188"/>
      <c r="V70" s="188"/>
      <c r="W70" s="188"/>
      <c r="X70" s="188"/>
      <c r="Y70" s="188"/>
      <c r="Z70" s="188"/>
      <c r="AB70" s="1">
        <v>1.0</v>
      </c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O71" s="188"/>
      <c r="P71" s="188"/>
      <c r="Q71" s="188"/>
      <c r="S71" s="188"/>
      <c r="T71" s="188"/>
      <c r="U71" s="188"/>
      <c r="V71" s="188"/>
      <c r="W71" s="188"/>
      <c r="X71" s="188"/>
      <c r="Y71" s="188"/>
      <c r="Z71" s="188"/>
      <c r="AB71" s="1">
        <v>-1.0</v>
      </c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T72" s="188"/>
      <c r="U72" s="188"/>
      <c r="V72" s="188"/>
      <c r="W72" s="188"/>
      <c r="X72" s="188"/>
      <c r="Y72" s="188"/>
      <c r="Z72" s="188"/>
      <c r="AB72" s="1">
        <v>-9.0</v>
      </c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O73" s="188"/>
      <c r="P73" s="188"/>
      <c r="Q73" s="188"/>
      <c r="S73" s="188"/>
      <c r="T73" s="188"/>
      <c r="U73" s="188"/>
      <c r="V73" s="188"/>
      <c r="W73" s="188"/>
      <c r="X73" s="188"/>
      <c r="Y73" s="188"/>
      <c r="Z73" s="188"/>
      <c r="AB73" s="1">
        <v>0.0</v>
      </c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T74" s="188"/>
      <c r="U74" s="188"/>
      <c r="V74" s="188"/>
      <c r="W74" s="188"/>
      <c r="X74" s="188"/>
      <c r="Y74" s="188"/>
      <c r="Z74" s="188"/>
      <c r="AB74" s="1">
        <v>-7.0</v>
      </c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O75" s="188"/>
      <c r="P75" s="188"/>
      <c r="Q75" s="188"/>
      <c r="S75" s="188"/>
      <c r="T75" s="188"/>
      <c r="U75" s="188"/>
      <c r="V75" s="188"/>
      <c r="W75" s="188"/>
      <c r="X75" s="188"/>
      <c r="Y75" s="188"/>
      <c r="Z75" s="188"/>
      <c r="AB75" s="1">
        <v>0.0</v>
      </c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T76" s="188"/>
      <c r="U76" s="188"/>
      <c r="V76" s="188"/>
      <c r="W76" s="188"/>
      <c r="X76" s="188"/>
      <c r="Y76" s="188"/>
      <c r="Z76" s="188"/>
      <c r="AB76" s="1">
        <v>-8.0</v>
      </c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O77" s="188"/>
      <c r="P77" s="188"/>
      <c r="Q77" s="188"/>
      <c r="S77" s="188"/>
      <c r="T77" s="188"/>
      <c r="U77" s="188"/>
      <c r="V77" s="188"/>
      <c r="W77" s="188"/>
      <c r="X77" s="188"/>
      <c r="Y77" s="188"/>
      <c r="Z77" s="188"/>
      <c r="AB77" s="1">
        <v>0.0</v>
      </c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O78" s="188"/>
      <c r="P78" s="188"/>
      <c r="Q78" s="188"/>
      <c r="S78" s="188"/>
      <c r="T78" s="188"/>
      <c r="U78" s="188"/>
      <c r="V78" s="188"/>
      <c r="W78" s="188"/>
      <c r="X78" s="188"/>
      <c r="Y78" s="188"/>
      <c r="Z78" s="188"/>
      <c r="AB78" s="1">
        <v>1.0</v>
      </c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T79" s="188"/>
      <c r="U79" s="188"/>
      <c r="V79" s="188"/>
      <c r="W79" s="188"/>
      <c r="X79" s="188"/>
      <c r="Y79" s="188"/>
      <c r="Z79" s="188"/>
      <c r="AB79" s="1">
        <v>-7.0</v>
      </c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O80" s="188"/>
      <c r="P80" s="188"/>
      <c r="Q80" s="188"/>
      <c r="S80" s="188"/>
      <c r="T80" s="188"/>
      <c r="U80" s="188"/>
      <c r="V80" s="188"/>
      <c r="W80" s="188"/>
      <c r="X80" s="188"/>
      <c r="Y80" s="188"/>
      <c r="Z80" s="188"/>
      <c r="AB80" s="1">
        <v>0.0</v>
      </c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O81" s="188"/>
      <c r="P81" s="188"/>
      <c r="Q81" s="188"/>
      <c r="S81" s="188"/>
      <c r="T81" s="188"/>
      <c r="U81" s="188"/>
      <c r="V81" s="188"/>
      <c r="W81" s="188"/>
      <c r="X81" s="188"/>
      <c r="Y81" s="188"/>
      <c r="Z81" s="188"/>
      <c r="AB81" s="1">
        <v>-11.0</v>
      </c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O82" s="188"/>
      <c r="P82" s="188"/>
      <c r="Q82" s="188"/>
      <c r="S82" s="188"/>
      <c r="T82" s="188"/>
      <c r="U82" s="188"/>
      <c r="V82" s="188"/>
      <c r="W82" s="188"/>
      <c r="X82" s="188"/>
      <c r="Y82" s="188"/>
      <c r="Z82" s="188"/>
      <c r="AB82" s="1">
        <v>-13.0</v>
      </c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" t="s">
        <v>2632</v>
      </c>
      <c r="AB83" s="1">
        <v>-21.0</v>
      </c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" t="s">
        <v>2633</v>
      </c>
      <c r="AB84" s="1">
        <v>-7.0</v>
      </c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" t="s">
        <v>2634</v>
      </c>
      <c r="AB85" s="1">
        <v>-10.0</v>
      </c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" t="s">
        <v>2635</v>
      </c>
      <c r="AB86" s="1">
        <v>-6.0</v>
      </c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S87" s="188"/>
      <c r="T87" s="188"/>
      <c r="U87" s="188"/>
      <c r="V87" s="188"/>
      <c r="W87" s="188"/>
      <c r="X87" s="188"/>
      <c r="Y87" s="188"/>
      <c r="Z87" s="188"/>
      <c r="AB87" s="1">
        <v>-7.0</v>
      </c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O88" s="188"/>
      <c r="P88" s="188"/>
      <c r="Q88" s="188"/>
      <c r="S88" s="188"/>
      <c r="T88" s="188"/>
      <c r="U88" s="188"/>
      <c r="V88" s="188"/>
      <c r="W88" s="188"/>
      <c r="X88" s="188"/>
      <c r="Y88" s="188"/>
      <c r="Z88" s="188"/>
      <c r="AB88" s="1">
        <v>-2.0</v>
      </c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" t="s">
        <v>2636</v>
      </c>
      <c r="AB89" s="1">
        <v>-17.0</v>
      </c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O90" s="188"/>
      <c r="P90" s="188"/>
      <c r="Q90" s="188"/>
      <c r="S90" s="188"/>
      <c r="T90" s="188"/>
      <c r="U90" s="188"/>
      <c r="V90" s="188"/>
      <c r="W90" s="188"/>
      <c r="X90" s="188"/>
      <c r="Y90" s="188"/>
      <c r="Z90" s="188"/>
      <c r="AB90" s="1">
        <v>-12.0</v>
      </c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T91" s="188"/>
      <c r="U91" s="188"/>
      <c r="V91" s="188"/>
      <c r="W91" s="188"/>
      <c r="X91" s="188"/>
      <c r="Y91" s="188"/>
      <c r="Z91" s="188"/>
      <c r="AB91" s="1">
        <v>-4.0</v>
      </c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T92" s="188"/>
      <c r="U92" s="188"/>
      <c r="V92" s="188"/>
      <c r="W92" s="188"/>
      <c r="X92" s="188"/>
      <c r="Y92" s="188"/>
      <c r="Z92" s="188"/>
      <c r="AB92" s="1">
        <v>-11.0</v>
      </c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O93" s="188"/>
      <c r="P93" s="188"/>
      <c r="Q93" s="188"/>
      <c r="S93" s="188"/>
      <c r="T93" s="188"/>
      <c r="U93" s="188"/>
      <c r="V93" s="188"/>
      <c r="W93" s="188"/>
      <c r="X93" s="188"/>
      <c r="Y93" s="188"/>
      <c r="Z93" s="188"/>
      <c r="AB93" s="1">
        <v>1.0</v>
      </c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O94" s="188"/>
      <c r="P94" s="188"/>
      <c r="Q94" s="188"/>
      <c r="S94" s="188"/>
      <c r="T94" s="188"/>
      <c r="U94" s="188"/>
      <c r="V94" s="188"/>
      <c r="W94" s="188"/>
      <c r="X94" s="188"/>
      <c r="Y94" s="188"/>
      <c r="Z94" s="188"/>
      <c r="AB94" s="1">
        <v>0.0</v>
      </c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T95" s="188"/>
      <c r="U95" s="188"/>
      <c r="V95" s="188"/>
      <c r="W95" s="188"/>
      <c r="X95" s="188"/>
      <c r="Y95" s="188"/>
      <c r="Z95" s="188"/>
      <c r="AB95" s="1">
        <v>-9.0</v>
      </c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O96" s="188"/>
      <c r="P96" s="188"/>
      <c r="Q96" s="188"/>
      <c r="S96" s="188"/>
      <c r="T96" s="188"/>
      <c r="U96" s="188"/>
      <c r="V96" s="188"/>
      <c r="W96" s="188"/>
      <c r="X96" s="188"/>
      <c r="Y96" s="188"/>
      <c r="Z96" s="188"/>
      <c r="AB96" s="1">
        <v>1.0</v>
      </c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T97" s="188"/>
      <c r="U97" s="188"/>
      <c r="V97" s="188"/>
      <c r="W97" s="188"/>
      <c r="X97" s="188"/>
      <c r="Y97" s="188"/>
      <c r="Z97" s="188"/>
      <c r="AB97" s="1">
        <v>-8.0</v>
      </c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" t="s">
        <v>2637</v>
      </c>
      <c r="AB98" s="1">
        <v>-6.0</v>
      </c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" t="s">
        <v>2638</v>
      </c>
      <c r="AB99" s="1">
        <v>1.0</v>
      </c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O100" s="188"/>
      <c r="P100" s="188"/>
      <c r="Q100" s="188"/>
      <c r="S100" s="188"/>
      <c r="T100" s="188"/>
      <c r="U100" s="188"/>
      <c r="V100" s="188"/>
      <c r="W100" s="188"/>
      <c r="X100" s="188"/>
      <c r="Y100" s="188"/>
      <c r="Z100" s="188"/>
      <c r="AB100" s="1">
        <v>-1.0</v>
      </c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T101" s="188"/>
      <c r="U101" s="188"/>
      <c r="V101" s="188"/>
      <c r="W101" s="188"/>
      <c r="X101" s="188"/>
      <c r="Y101" s="188"/>
      <c r="Z101" s="188"/>
      <c r="AB101" s="1">
        <v>-5.0</v>
      </c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" t="s">
        <v>2639</v>
      </c>
      <c r="AB102" s="1">
        <v>-2.0</v>
      </c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O103" s="188"/>
      <c r="P103" s="188"/>
      <c r="Q103" s="188"/>
      <c r="S103" s="188"/>
      <c r="T103" s="188"/>
      <c r="U103" s="188"/>
      <c r="V103" s="188"/>
      <c r="W103" s="188"/>
      <c r="X103" s="188"/>
      <c r="Y103" s="188"/>
      <c r="Z103" s="188"/>
      <c r="AB103" s="1">
        <v>1.0</v>
      </c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" t="s">
        <v>2640</v>
      </c>
      <c r="AB104" s="1">
        <v>-12.0</v>
      </c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O105" s="188"/>
      <c r="P105" s="188"/>
      <c r="Q105" s="188"/>
      <c r="S105" s="188"/>
      <c r="T105" s="188"/>
      <c r="U105" s="188"/>
      <c r="V105" s="188"/>
      <c r="W105" s="188"/>
      <c r="X105" s="188"/>
      <c r="Y105" s="188"/>
      <c r="Z105" s="188"/>
      <c r="AB105" s="1">
        <v>0.0</v>
      </c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O106" s="188"/>
      <c r="P106" s="188"/>
      <c r="Q106" s="188"/>
      <c r="S106" s="188"/>
      <c r="T106" s="188"/>
      <c r="U106" s="188"/>
      <c r="V106" s="188"/>
      <c r="W106" s="188"/>
      <c r="X106" s="188"/>
      <c r="Y106" s="188"/>
      <c r="Z106" s="188"/>
      <c r="AB106" s="1">
        <v>-1.0</v>
      </c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" t="s">
        <v>2641</v>
      </c>
      <c r="AB107" s="1">
        <v>-14.0</v>
      </c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" t="s">
        <v>2642</v>
      </c>
      <c r="AB108" s="1">
        <v>-6.0</v>
      </c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" t="s">
        <v>2643</v>
      </c>
      <c r="AB109" s="1">
        <v>-11.0</v>
      </c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T110" s="188"/>
      <c r="U110" s="188"/>
      <c r="V110" s="188"/>
      <c r="W110" s="188"/>
      <c r="X110" s="188"/>
      <c r="Y110" s="188"/>
      <c r="Z110" s="188"/>
      <c r="AB110" s="1">
        <v>-8.0</v>
      </c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" t="s">
        <v>2644</v>
      </c>
      <c r="AB111" s="1">
        <v>-1.0</v>
      </c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O112" s="188"/>
      <c r="P112" s="188"/>
      <c r="Q112" s="188"/>
      <c r="S112" s="188"/>
      <c r="T112" s="188"/>
      <c r="U112" s="188"/>
      <c r="V112" s="188"/>
      <c r="W112" s="188"/>
      <c r="X112" s="188"/>
      <c r="Y112" s="188"/>
      <c r="Z112" s="188"/>
      <c r="AB112" s="1">
        <v>4.0</v>
      </c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O113" s="188"/>
      <c r="P113" s="188"/>
      <c r="Q113" s="188"/>
      <c r="S113" s="188"/>
      <c r="T113" s="188"/>
      <c r="U113" s="188"/>
      <c r="V113" s="188"/>
      <c r="W113" s="188"/>
      <c r="X113" s="188"/>
      <c r="Y113" s="188"/>
      <c r="Z113" s="188"/>
      <c r="AB113" s="1">
        <v>-7.0</v>
      </c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" t="s">
        <v>2645</v>
      </c>
      <c r="AB114" s="1">
        <v>12.0</v>
      </c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O115" s="188"/>
      <c r="P115" s="188"/>
      <c r="Q115" s="188"/>
      <c r="S115" s="188"/>
      <c r="T115" s="188"/>
      <c r="U115" s="188"/>
      <c r="V115" s="188"/>
      <c r="W115" s="188"/>
      <c r="X115" s="188"/>
      <c r="Y115" s="188"/>
      <c r="Z115" s="188"/>
      <c r="AB115" s="1">
        <v>-1.0</v>
      </c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" t="s">
        <v>2646</v>
      </c>
      <c r="AB116" s="1">
        <v>-17.0</v>
      </c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T117" s="188"/>
      <c r="U117" s="188"/>
      <c r="V117" s="188"/>
      <c r="W117" s="188"/>
      <c r="X117" s="188"/>
      <c r="Y117" s="188"/>
      <c r="Z117" s="188"/>
      <c r="AB117" s="1">
        <v>-5.0</v>
      </c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T118" s="188"/>
      <c r="U118" s="188"/>
      <c r="V118" s="188"/>
      <c r="W118" s="188"/>
      <c r="X118" s="188"/>
      <c r="Y118" s="188"/>
      <c r="Z118" s="188"/>
      <c r="AB118" s="1">
        <v>-6.0</v>
      </c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T119" s="188"/>
      <c r="U119" s="188"/>
      <c r="V119" s="188"/>
      <c r="W119" s="188"/>
      <c r="X119" s="188"/>
      <c r="Y119" s="188"/>
      <c r="Z119" s="188"/>
      <c r="AB119" s="1">
        <v>-6.0</v>
      </c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" t="s">
        <v>2647</v>
      </c>
      <c r="AB120" s="1">
        <v>-15.0</v>
      </c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S121" s="188"/>
      <c r="T121" s="188"/>
      <c r="U121" s="188"/>
      <c r="V121" s="188"/>
      <c r="W121" s="188"/>
      <c r="X121" s="188"/>
      <c r="Y121" s="188"/>
      <c r="Z121" s="188"/>
      <c r="AB121" s="1">
        <v>-6.0</v>
      </c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O122" s="188"/>
      <c r="P122" s="188"/>
      <c r="Q122" s="188"/>
      <c r="S122" s="188"/>
      <c r="T122" s="188"/>
      <c r="U122" s="188"/>
      <c r="V122" s="188"/>
      <c r="W122" s="188"/>
      <c r="X122" s="188"/>
      <c r="Y122" s="188"/>
      <c r="Z122" s="188"/>
      <c r="AB122" s="1">
        <v>0.0</v>
      </c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O123" s="188"/>
      <c r="P123" s="188"/>
      <c r="Q123" s="188"/>
      <c r="S123" s="188"/>
      <c r="T123" s="188"/>
      <c r="U123" s="188"/>
      <c r="V123" s="188"/>
      <c r="W123" s="188"/>
      <c r="X123" s="188"/>
      <c r="Y123" s="188"/>
      <c r="Z123" s="188"/>
      <c r="AB123" s="1">
        <v>-12.0</v>
      </c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O124" s="188"/>
      <c r="P124" s="188"/>
      <c r="Q124" s="188"/>
      <c r="S124" s="188"/>
      <c r="T124" s="188"/>
      <c r="U124" s="188"/>
      <c r="V124" s="188"/>
      <c r="W124" s="188"/>
      <c r="X124" s="188"/>
      <c r="Y124" s="188"/>
      <c r="Z124" s="188"/>
      <c r="AB124" s="1">
        <v>-11.0</v>
      </c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" t="s">
        <v>2648</v>
      </c>
      <c r="AB125" s="1">
        <v>-11.0</v>
      </c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T126" s="188"/>
      <c r="U126" s="188"/>
      <c r="V126" s="188"/>
      <c r="W126" s="188"/>
      <c r="X126" s="188"/>
      <c r="Y126" s="188"/>
      <c r="Z126" s="188"/>
      <c r="AB126" s="1">
        <v>-6.0</v>
      </c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T127" s="188"/>
      <c r="U127" s="188"/>
      <c r="V127" s="188"/>
      <c r="W127" s="188"/>
      <c r="X127" s="188"/>
      <c r="Y127" s="188"/>
      <c r="Z127" s="188"/>
      <c r="AB127" s="1">
        <v>-8.0</v>
      </c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O128" s="188"/>
      <c r="P128" s="188"/>
      <c r="Q128" s="188"/>
      <c r="S128" s="188"/>
      <c r="T128" s="188"/>
      <c r="U128" s="188"/>
      <c r="V128" s="188"/>
      <c r="W128" s="188"/>
      <c r="X128" s="188"/>
      <c r="Y128" s="188"/>
      <c r="Z128" s="188"/>
      <c r="AB128" s="1">
        <v>0.0</v>
      </c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O129" s="188"/>
      <c r="P129" s="188"/>
      <c r="Q129" s="188"/>
      <c r="S129" s="188"/>
      <c r="T129" s="188"/>
      <c r="U129" s="188"/>
      <c r="V129" s="188"/>
      <c r="W129" s="188"/>
      <c r="X129" s="188"/>
      <c r="Y129" s="188"/>
      <c r="Z129" s="188"/>
      <c r="AB129" s="1">
        <v>0.0</v>
      </c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O130" s="188"/>
      <c r="P130" s="188"/>
      <c r="Q130" s="188"/>
      <c r="S130" s="188"/>
      <c r="T130" s="188"/>
      <c r="U130" s="188"/>
      <c r="V130" s="188"/>
      <c r="W130" s="188"/>
      <c r="X130" s="188"/>
      <c r="Y130" s="188"/>
      <c r="Z130" s="188"/>
      <c r="AB130" s="1">
        <v>-8.0</v>
      </c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S131" s="188"/>
      <c r="T131" s="188"/>
      <c r="U131" s="188"/>
      <c r="V131" s="188"/>
      <c r="W131" s="188"/>
      <c r="X131" s="188"/>
      <c r="Y131" s="188"/>
      <c r="Z131" s="188"/>
      <c r="AB131" s="1">
        <v>-8.0</v>
      </c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S132" s="188"/>
      <c r="T132" s="188"/>
      <c r="U132" s="188"/>
      <c r="V132" s="188"/>
      <c r="W132" s="188"/>
      <c r="X132" s="188"/>
      <c r="Y132" s="188"/>
      <c r="Z132" s="188"/>
      <c r="AB132" s="1">
        <v>-8.0</v>
      </c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O133" s="188"/>
      <c r="P133" s="188"/>
      <c r="Q133" s="188"/>
      <c r="S133" s="188"/>
      <c r="T133" s="188"/>
      <c r="U133" s="188"/>
      <c r="V133" s="188"/>
      <c r="W133" s="188"/>
      <c r="X133" s="188"/>
      <c r="Y133" s="188"/>
      <c r="Z133" s="188"/>
      <c r="AB133" s="1">
        <v>0.0</v>
      </c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T134" s="188"/>
      <c r="U134" s="188"/>
      <c r="V134" s="188"/>
      <c r="W134" s="188"/>
      <c r="X134" s="188"/>
      <c r="Y134" s="188"/>
      <c r="Z134" s="188"/>
      <c r="AB134" s="1">
        <v>-5.0</v>
      </c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O135" s="188"/>
      <c r="P135" s="188"/>
      <c r="Q135" s="188"/>
      <c r="S135" s="188"/>
      <c r="T135" s="188"/>
      <c r="U135" s="188"/>
      <c r="V135" s="188"/>
      <c r="W135" s="188"/>
      <c r="X135" s="188"/>
      <c r="Y135" s="188"/>
      <c r="Z135" s="188"/>
      <c r="AB135" s="1">
        <v>0.0</v>
      </c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S136" s="188"/>
      <c r="T136" s="188"/>
      <c r="U136" s="188"/>
      <c r="V136" s="188"/>
      <c r="W136" s="188"/>
      <c r="X136" s="188"/>
      <c r="Y136" s="188"/>
      <c r="Z136" s="188"/>
      <c r="AB136" s="1">
        <v>-10.0</v>
      </c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O137" s="188"/>
      <c r="P137" s="188"/>
      <c r="Q137" s="188"/>
      <c r="S137" s="188"/>
      <c r="T137" s="188"/>
      <c r="U137" s="188"/>
      <c r="V137" s="188"/>
      <c r="W137" s="188"/>
      <c r="X137" s="188"/>
      <c r="Y137" s="188"/>
      <c r="Z137" s="188"/>
      <c r="AB137" s="1">
        <v>-12.0</v>
      </c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" t="s">
        <v>2649</v>
      </c>
      <c r="AB138" s="1">
        <v>-10.0</v>
      </c>
    </row>
  </sheetData>
  <mergeCells count="1">
    <mergeCell ref="A1:H1"/>
  </mergeCells>
  <drawing r:id="rId1"/>
</worksheet>
</file>