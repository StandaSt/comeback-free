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visible" name="RestiaCSV" sheetId="6" r:id="rId10"/>
    <sheet state="hidden" name="HR" sheetId="7" r:id="rId11"/>
    <sheet state="visible" name="Denik" sheetId="8" r:id="rId12"/>
    <sheet state="visible" name="Směny" sheetId="9" r:id="rId13"/>
  </sheets>
  <definedNames>
    <definedName hidden="1" localSheetId="5" name="_xlnm._FilterDatabase">RestiaCSV!$A$1:$M$482</definedName>
  </definedNames>
  <calcPr/>
</workbook>
</file>

<file path=xl/sharedStrings.xml><?xml version="1.0" encoding="utf-8"?>
<sst xmlns="http://schemas.openxmlformats.org/spreadsheetml/2006/main" count="6237" uniqueCount="1831">
  <si>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</si>
  <si>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</si>
  <si>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</si>
  <si>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</si>
  <si>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</si>
  <si>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</si>
  <si>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</si>
  <si>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</si>
  <si>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</si>
  <si>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</si>
  <si>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</si>
  <si>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</si>
  <si>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</si>
  <si>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</si>
  <si>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</si>
  <si>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</si>
  <si>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</si>
  <si>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</si>
  <si>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</si>
  <si>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</si>
  <si>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</si>
  <si>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</si>
  <si>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</si>
  <si>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</si>
  <si>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</si>
  <si>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</si>
  <si>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</si>
  <si>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</si>
  <si>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</si>
  <si>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</si>
  <si>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</si>
  <si>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</si>
  <si>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</si>
  <si>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</si>
  <si>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</si>
  <si>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</si>
  <si>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</si>
  <si>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</si>
  <si>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</si>
  <si>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</si>
  <si>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</si>
  <si>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</si>
  <si>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</si>
  <si>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</si>
  <si>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</si>
  <si>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</si>
  <si>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</si>
  <si>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</si>
  <si>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</si>
  <si>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</si>
  <si>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</si>
  <si>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</si>
  <si>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</si>
  <si>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</si>
  <si>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</si>
  <si>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</si>
  <si>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</si>
  <si>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</si>
  <si>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</si>
  <si>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</si>
  <si>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</si>
  <si>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</si>
  <si>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</si>
  <si>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</si>
  <si>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</si>
  <si>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</si>
  <si>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</si>
  <si>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</si>
  <si>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</si>
  <si>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</si>
  <si>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</si>
  <si>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</si>
  <si>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</si>
  <si>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</si>
  <si>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</si>
  <si>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</si>
  <si>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</si>
  <si>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</si>
  <si>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</si>
  <si>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</si>
  <si>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</si>
  <si>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</si>
  <si>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</si>
  <si>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</si>
  <si>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</si>
  <si>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</si>
  <si>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</si>
  <si>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</si>
  <si>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</si>
  <si>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delivered</t>
  </si>
  <si>
    <t>Wolt Kurýr</t>
  </si>
  <si>
    <t>external-delivery</t>
  </si>
  <si>
    <t>online</t>
  </si>
  <si>
    <t>2024-08-19T23:58:58.749+02:00</t>
  </si>
  <si>
    <t>2024-08-20T00:10:47.895+02:00</t>
  </si>
  <si>
    <t>generic</t>
  </si>
  <si>
    <t>David Sarkozi</t>
  </si>
  <si>
    <t>delivery</t>
  </si>
  <si>
    <t>2024-08-19T23:58:03.178+02:00</t>
  </si>
  <si>
    <t>2024-08-20T00:08:47.664+02:00</t>
  </si>
  <si>
    <t>2024-08-20T00:25:53.970+02:00</t>
  </si>
  <si>
    <t>2024-08-19T23:58:03.744+02:00</t>
  </si>
  <si>
    <t>2024-08-19T23:56:29.395+02:00</t>
  </si>
  <si>
    <t>2024-08-20T00:06:31.879+02:00</t>
  </si>
  <si>
    <t>bolt</t>
  </si>
  <si>
    <t>ready_pickup</t>
  </si>
  <si>
    <t>Rakib</t>
  </si>
  <si>
    <t>2024-08-19T23:48:48.507+02:00</t>
  </si>
  <si>
    <t>2024-08-20T00:01:52.755+02:00</t>
  </si>
  <si>
    <t>Karel</t>
  </si>
  <si>
    <t>2024-08-19T23:42:56.580+02:00</t>
  </si>
  <si>
    <t>2024-08-19T23:51:37.779+02:00</t>
  </si>
  <si>
    <t>2024-08-19T23:33:49.070+02:00</t>
  </si>
  <si>
    <t>2024-08-19T23:47:07.826+02:00</t>
  </si>
  <si>
    <t>2024-08-19T23:31:39.363+02:00</t>
  </si>
  <si>
    <t>2024-08-19T23:43:55.743+02:00</t>
  </si>
  <si>
    <t>cash</t>
  </si>
  <si>
    <t>2024-08-19T23:25:03.311+02:00</t>
  </si>
  <si>
    <t>2024-08-19T23:36:43.715+02:00</t>
  </si>
  <si>
    <t>2024-08-20T00:04:51.283+02:00</t>
  </si>
  <si>
    <t>2024-08-19T23:25:03.917+02:00</t>
  </si>
  <si>
    <t>2024-08-19T23:23:03.045+02:00</t>
  </si>
  <si>
    <t>2024-08-19T23:33:28.787+02:00</t>
  </si>
  <si>
    <t>2024-08-19T23:50:59.104+02:00</t>
  </si>
  <si>
    <t>2024-08-19T23:23:03.542+02:00</t>
  </si>
  <si>
    <t>2024-08-19T23:15:42.317+02:00</t>
  </si>
  <si>
    <t>2024-08-19T23:32:08.801+02:00</t>
  </si>
  <si>
    <t>damejidlo</t>
  </si>
  <si>
    <t>2024-08-19T23:14:58.535+02:00</t>
  </si>
  <si>
    <t>2024-08-19T23:26:49.035+02:00</t>
  </si>
  <si>
    <t>2024-08-19T23:14:57.369+02:00</t>
  </si>
  <si>
    <t>2024-08-19T23:24:50.897+02:00</t>
  </si>
  <si>
    <t>2024-08-19T23:08:04.305+02:00</t>
  </si>
  <si>
    <t>2024-08-19T23:19:10.937+02:00</t>
  </si>
  <si>
    <t>2024-08-19T23:35:16.750+02:00</t>
  </si>
  <si>
    <t>2024-08-19T23:08:04.797+02:00</t>
  </si>
  <si>
    <t>2024-08-19T22:39:03.895+02:00</t>
  </si>
  <si>
    <t>2024-08-19T22:50:36.631+02:00</t>
  </si>
  <si>
    <t>2024-08-19T23:02:14.652+02:00</t>
  </si>
  <si>
    <t>2024-08-19T22:39:04.429+02:00</t>
  </si>
  <si>
    <t>2024-08-19T22:37:31.754+02:00</t>
  </si>
  <si>
    <t>2024-08-19T22:50:32.912+02:00</t>
  </si>
  <si>
    <t>2024-08-19T22:31:31.556+02:00</t>
  </si>
  <si>
    <t>2024-08-19T22:42:33.025+02:00</t>
  </si>
  <si>
    <t>Tibor</t>
  </si>
  <si>
    <t>2024-08-19T22:23:03.166+02:00</t>
  </si>
  <si>
    <t>2024-08-19T22:34:31.850+02:00</t>
  </si>
  <si>
    <t>2024-08-19T22:19:15.867+02:00</t>
  </si>
  <si>
    <t>2024-08-19T22:29:46.834+02:00</t>
  </si>
  <si>
    <t>pickup</t>
  </si>
  <si>
    <t>2024-08-19T21:48:04.353+02:00</t>
  </si>
  <si>
    <t>2024-08-19T21:56:38.613+02:00</t>
  </si>
  <si>
    <t>canceled</t>
  </si>
  <si>
    <t>card</t>
  </si>
  <si>
    <t>2024-08-19T21:47:02.850+02:00</t>
  </si>
  <si>
    <t>2024-08-19T21:30:32.106+02:00</t>
  </si>
  <si>
    <t>2024-08-19T21:40:49.932+02:00</t>
  </si>
  <si>
    <t>2024-08-19T21:28:30.881+02:00</t>
  </si>
  <si>
    <t>2024-08-19T21:36:34.908+02:00</t>
  </si>
  <si>
    <t>2024-08-19T21:22:33.441+02:00</t>
  </si>
  <si>
    <t>2024-08-19T21:32:09.961+02:00</t>
  </si>
  <si>
    <t>2024-08-19T21:18:02.700+02:00</t>
  </si>
  <si>
    <t>2024-08-19T21:29:30.638+02:00</t>
  </si>
  <si>
    <t>2024-08-19T22:03:06.023+02:00</t>
  </si>
  <si>
    <t>2024-08-19T21:18:03.357+02:00</t>
  </si>
  <si>
    <t>2024-08-19T21:13:03.392+02:00</t>
  </si>
  <si>
    <t>2024-08-19T21:22:03.603+02:00</t>
  </si>
  <si>
    <t>2024-08-19T21:42:09.652+02:00</t>
  </si>
  <si>
    <t>2024-08-19T21:13:04.041+02:00</t>
  </si>
  <si>
    <t>manual</t>
  </si>
  <si>
    <t>2024-08-19T21:11:22.100+02:00</t>
  </si>
  <si>
    <t>2024-08-19T21:11:59.916+02:00</t>
  </si>
  <si>
    <t>2024-08-19T21:09:04.030+02:00</t>
  </si>
  <si>
    <t>2024-08-19T21:19:12.666+02:00</t>
  </si>
  <si>
    <t>2024-08-19T21:33:57.270+02:00</t>
  </si>
  <si>
    <t>2024-08-19T21:09:04.521+02:00</t>
  </si>
  <si>
    <t>2024-08-19T21:05:33.242+02:00</t>
  </si>
  <si>
    <t>2024-08-19T21:14:33.054+02:00</t>
  </si>
  <si>
    <t>2024-08-19T20:59:31.975+02:00</t>
  </si>
  <si>
    <t>2024-08-19T21:08:47.014+02:00</t>
  </si>
  <si>
    <t>Shehryar</t>
  </si>
  <si>
    <t>2024-08-19T20:54:46.747+02:00</t>
  </si>
  <si>
    <t>2024-08-19T21:06:05.751+02:00</t>
  </si>
  <si>
    <t>2024-08-19T20:54:33.919+02:00</t>
  </si>
  <si>
    <t>2024-08-19T21:05:41.884+02:00</t>
  </si>
  <si>
    <t>2024-08-19T20:51:13.748+02:00</t>
  </si>
  <si>
    <t>2024-08-19T20:52:07.867+02:00</t>
  </si>
  <si>
    <t>2024-08-19T20:43:28.341+02:00</t>
  </si>
  <si>
    <t>2024-08-19T20:57:27.636+02:00</t>
  </si>
  <si>
    <t>2024-08-19T20:42:30.337+02:00</t>
  </si>
  <si>
    <t>2024-08-19T20:54:22.604+02:00</t>
  </si>
  <si>
    <t>2024-08-19T20:38:02.760+02:00</t>
  </si>
  <si>
    <t>2024-08-19T20:53:17.576+02:00</t>
  </si>
  <si>
    <t>2024-08-19T20:37:03.327+02:00</t>
  </si>
  <si>
    <t>2024-08-19T20:52:01.586+02:00</t>
  </si>
  <si>
    <t>2024-08-19T20:26:05.863+02:00</t>
  </si>
  <si>
    <t>2024-08-19T20:38:57.692+02:00</t>
  </si>
  <si>
    <t>2024-08-19T20:25:02.914+02:00</t>
  </si>
  <si>
    <t>2024-08-19T20:37:44.580+02:00</t>
  </si>
  <si>
    <t>2024-08-19T20:24:34.143+02:00</t>
  </si>
  <si>
    <t>2024-08-19T20:44:20.765+02:00</t>
  </si>
  <si>
    <t>2024-08-19T20:08:32.365+02:00</t>
  </si>
  <si>
    <t>2024-08-19T20:22:59.968+02:00</t>
  </si>
  <si>
    <t>Ivan</t>
  </si>
  <si>
    <t>2024-08-19T20:02:58.509+02:00</t>
  </si>
  <si>
    <t>2024-08-19T20:18:15.756+02:00</t>
  </si>
  <si>
    <t>2024-08-19T19:59:03.262+02:00</t>
  </si>
  <si>
    <t>2024-08-19T20:11:39.915+02:00</t>
  </si>
  <si>
    <t>2024-08-19T19:52:03.015+02:00</t>
  </si>
  <si>
    <t>2024-08-19T20:02:34.580+02:00</t>
  </si>
  <si>
    <t>2024-08-19T19:48:03.550+02:00</t>
  </si>
  <si>
    <t>2024-08-19T19:57:14.619+02:00</t>
  </si>
  <si>
    <t>2024-08-19T19:44:33.739+02:00</t>
  </si>
  <si>
    <t>2024-08-19T20:08:44.852+02:00</t>
  </si>
  <si>
    <t>2024-08-19T19:43:03.569+02:00</t>
  </si>
  <si>
    <t>2024-08-19T19:59:07.660+02:00</t>
  </si>
  <si>
    <t>2024-08-19T20:05:51.653+02:00</t>
  </si>
  <si>
    <t>2024-08-19T19:43:04.077+02:00</t>
  </si>
  <si>
    <t>2024-08-19T19:39:22.915+02:00</t>
  </si>
  <si>
    <t>2024-08-19T19:55:05.137+02:00</t>
  </si>
  <si>
    <t>2024-08-19T19:28:38.772+02:00</t>
  </si>
  <si>
    <t>2024-08-19T19:51:10.851+02:00</t>
  </si>
  <si>
    <t>2024-08-19T19:28:03.094+02:00</t>
  </si>
  <si>
    <t>2024-08-19T19:47:43.642+02:00</t>
  </si>
  <si>
    <t>2024-08-19T19:26:32.666+02:00</t>
  </si>
  <si>
    <t>2024-08-19T19:48:56.057+02:00</t>
  </si>
  <si>
    <t>2024-08-19T19:22:31.220+02:00</t>
  </si>
  <si>
    <t>2024-08-19T19:29:55.922+02:00</t>
  </si>
  <si>
    <t>2024-08-19T19:14:02.588+02:00</t>
  </si>
  <si>
    <t>2024-08-19T19:28:37.733+02:00</t>
  </si>
  <si>
    <t>2024-08-19T19:45:04.398+02:00</t>
  </si>
  <si>
    <t>2024-08-19T19:26:26.162+02:00</t>
  </si>
  <si>
    <t>2024-08-19T19:11:03.170+02:00</t>
  </si>
  <si>
    <t>2024-08-19T19:10:32.538+02:00</t>
  </si>
  <si>
    <t>2024-08-19T19:23:43.858+02:00</t>
  </si>
  <si>
    <t>2024-08-19T19:07:48.806+02:00</t>
  </si>
  <si>
    <t>2024-08-19T19:16:21.593+02:00</t>
  </si>
  <si>
    <t>2024-08-19T19:07:33.472+02:00</t>
  </si>
  <si>
    <t>2024-08-19T19:20:20.924+02:00</t>
  </si>
  <si>
    <t>2024-08-19T19:02:02.259+02:00</t>
  </si>
  <si>
    <t>2024-08-19T19:14:05.596+02:00</t>
  </si>
  <si>
    <t>2024-08-19T18:55:03.050+02:00</t>
  </si>
  <si>
    <t>2024-08-19T19:09:36.958+02:00</t>
  </si>
  <si>
    <t>2024-08-19T19:32:35.367+02:00</t>
  </si>
  <si>
    <t>2024-08-19T18:55:03.811+02:00</t>
  </si>
  <si>
    <t>2024-08-19T18:53:57.517+02:00</t>
  </si>
  <si>
    <t>2024-08-19T19:11:34.042+02:00</t>
  </si>
  <si>
    <t>2024-08-19T18:50:04.868+02:00</t>
  </si>
  <si>
    <t>2024-08-19T19:01:06.624+02:00</t>
  </si>
  <si>
    <t>2024-08-19T19:21:44.901+02:00</t>
  </si>
  <si>
    <t>2024-08-19T18:50:05.462+02:00</t>
  </si>
  <si>
    <t>2024-08-19T18:44:35.209+02:00</t>
  </si>
  <si>
    <t>2024-08-19T18:55:21.828+02:00</t>
  </si>
  <si>
    <t>2024-08-19T18:41:22.809+02:00</t>
  </si>
  <si>
    <t>2024-08-19T18:51:03.576+02:00</t>
  </si>
  <si>
    <t>2024-08-19T18:37:02.626+02:00</t>
  </si>
  <si>
    <t>2024-08-19T20:06:41.576+02:00</t>
  </si>
  <si>
    <t>2024-08-19T18:26:36.258+02:00</t>
  </si>
  <si>
    <t>2024-08-19T18:38:59.556+02:00</t>
  </si>
  <si>
    <t>Jaroslava</t>
  </si>
  <si>
    <t>2024-08-19T18:24:39.678+02:00</t>
  </si>
  <si>
    <t>2024-08-19T18:42:42.837+02:00</t>
  </si>
  <si>
    <t>2024-08-19T18:23:03.373+02:00</t>
  </si>
  <si>
    <t>2024-08-19T18:44:23.619+02:00</t>
  </si>
  <si>
    <t>2024-08-19T19:00:07.904+02:00</t>
  </si>
  <si>
    <t>2024-08-19T18:23:03.909+02:00</t>
  </si>
  <si>
    <t>2024-08-19T18:15:03.437+02:00</t>
  </si>
  <si>
    <t>2024-08-19T18:30:12.559+02:00</t>
  </si>
  <si>
    <t>2024-08-19T18:46:22.021+02:00</t>
  </si>
  <si>
    <t>2024-08-19T18:15:03.948+02:00</t>
  </si>
  <si>
    <t>2024-08-19T18:14:02.908+02:00</t>
  </si>
  <si>
    <t>2024-08-19T18:27:12.649+02:00</t>
  </si>
  <si>
    <t>2024-08-19T19:01:46.863+02:00</t>
  </si>
  <si>
    <t>2024-08-19T18:25:00.974+02:00</t>
  </si>
  <si>
    <t>2024-08-19T18:11:03.368+02:00</t>
  </si>
  <si>
    <t>2024-08-19T18:23:38.549+02:00</t>
  </si>
  <si>
    <t>2024-08-19T18:02:29.683+02:00</t>
  </si>
  <si>
    <t>2024-08-19T18:11:05.826+02:00</t>
  </si>
  <si>
    <t>2024-08-19T17:59:30.778+02:00</t>
  </si>
  <si>
    <t>2024-08-19T18:10:14.148+02:00</t>
  </si>
  <si>
    <t>2024-08-19T17:51:44.943+02:00</t>
  </si>
  <si>
    <t>2024-08-19T18:02:04.071+02:00</t>
  </si>
  <si>
    <t>2024-08-19T17:50:02.401+02:00</t>
  </si>
  <si>
    <t>2024-08-19T17:58:19.676+02:00</t>
  </si>
  <si>
    <t>2024-08-19T17:39:27.683+02:00</t>
  </si>
  <si>
    <t>2024-08-19T17:51:22.805+02:00</t>
  </si>
  <si>
    <t>2024-08-19T17:36:03.509+02:00</t>
  </si>
  <si>
    <t>2024-08-19T17:23:02.659+02:00</t>
  </si>
  <si>
    <t>2024-08-19T17:32:17.529+02:00</t>
  </si>
  <si>
    <t>2024-08-19T17:19:03.523+02:00</t>
  </si>
  <si>
    <t>2024-08-19T17:29:29.550+02:00</t>
  </si>
  <si>
    <t>2024-08-19T17:18:02.819+02:00</t>
  </si>
  <si>
    <t>2024-08-19T17:27:57.586+02:00</t>
  </si>
  <si>
    <t>2024-08-19T17:12:26.254+02:00</t>
  </si>
  <si>
    <t>2024-08-19T17:23:40.918+02:00</t>
  </si>
  <si>
    <t>Richard</t>
  </si>
  <si>
    <t>2024-08-19T16:55:12.931+02:00</t>
  </si>
  <si>
    <t>2024-08-19T17:07:14.988+02:00</t>
  </si>
  <si>
    <t>Ondřej Navrátil</t>
  </si>
  <si>
    <t>2024-08-19T16:18:04.281+02:00</t>
  </si>
  <si>
    <t>2024-08-19T16:25:21.622+02:00</t>
  </si>
  <si>
    <t>2024-08-19T16:37:28.975+02:00</t>
  </si>
  <si>
    <t>2024-08-19T16:18:04.869+02:00</t>
  </si>
  <si>
    <t>2024-08-19T16:12:30.605+02:00</t>
  </si>
  <si>
    <t>2024-08-19T16:24:06.817+02:00</t>
  </si>
  <si>
    <t>2024-08-19T16:09:03.598+02:00</t>
  </si>
  <si>
    <t>2024-08-19T16:19:16.644+02:00</t>
  </si>
  <si>
    <t>2024-08-19T16:32:14.009+02:00</t>
  </si>
  <si>
    <t>2024-08-19T16:09:04.394+02:00</t>
  </si>
  <si>
    <t>2024-08-19T16:04:26.278+02:00</t>
  </si>
  <si>
    <t>2024-08-19T16:14:55.919+02:00</t>
  </si>
  <si>
    <t>2024-08-19T15:41:03.255+02:00</t>
  </si>
  <si>
    <t>2024-08-19T15:52:31.578+02:00</t>
  </si>
  <si>
    <t>2024-08-19T15:24:02.185+02:00</t>
  </si>
  <si>
    <t>2024-08-19T15:38:20.583+02:00</t>
  </si>
  <si>
    <t>2024-08-19T15:53:24.675+02:00</t>
  </si>
  <si>
    <t>2024-08-19T15:24:02.705+02:00</t>
  </si>
  <si>
    <t>2024-08-19T15:03:19.776+02:00</t>
  </si>
  <si>
    <t>2024-08-19T15:11:48.768+02:00</t>
  </si>
  <si>
    <t>Anna</t>
  </si>
  <si>
    <t>2024-08-19T15:02:28.706+02:00</t>
  </si>
  <si>
    <t>2024-08-19T15:16:44.654+02:00</t>
  </si>
  <si>
    <t>2024-08-19T14:56:35.134+02:00</t>
  </si>
  <si>
    <t>2024-08-19T15:09:23.451+02:00</t>
  </si>
  <si>
    <t>2024-08-19T14:54:02.976+02:00</t>
  </si>
  <si>
    <t>2024-08-19T15:09:19.470+02:00</t>
  </si>
  <si>
    <t>2024-08-19T14:52:04.211+02:00</t>
  </si>
  <si>
    <t>2024-08-19T15:08:17.527+02:00</t>
  </si>
  <si>
    <t>2024-08-19T15:14:31.598+02:00</t>
  </si>
  <si>
    <t>2024-08-19T14:52:04.716+02:00</t>
  </si>
  <si>
    <t>2024-08-19T14:51:29.634+02:00</t>
  </si>
  <si>
    <t>2024-08-19T15:00:45.597+02:00</t>
  </si>
  <si>
    <t>2024-08-19T14:34:04.226+02:00</t>
  </si>
  <si>
    <t>2024-08-19T14:42:14.510+02:00</t>
  </si>
  <si>
    <t>2024-08-19T15:00:14.407+02:00</t>
  </si>
  <si>
    <t>2024-08-19T14:34:04.781+02:00</t>
  </si>
  <si>
    <t>2024-08-19T14:24:03.308+02:00</t>
  </si>
  <si>
    <t>2024-08-19T14:36:03.525+02:00</t>
  </si>
  <si>
    <t>2024-08-19T14:43:13.926+02:00</t>
  </si>
  <si>
    <t>2024-08-19T14:24:04.010+02:00</t>
  </si>
  <si>
    <t>2024-08-19T14:24:03.297+02:00</t>
  </si>
  <si>
    <t>2024-08-19T14:33:18.494+02:00</t>
  </si>
  <si>
    <t>Gabriela</t>
  </si>
  <si>
    <t>2024-08-19T14:16:24.678+02:00</t>
  </si>
  <si>
    <t>2024-08-19T14:23:04.770+02:00</t>
  </si>
  <si>
    <t>2024-08-19T14:12:59.986+02:00</t>
  </si>
  <si>
    <t>2024-08-19T14:20:02.916+02:00</t>
  </si>
  <si>
    <t>2024-08-19T13:58:42.893+02:00</t>
  </si>
  <si>
    <t>2024-08-19T14:15:22.853+02:00</t>
  </si>
  <si>
    <t>2024-08-19T13:56:24.775+02:00</t>
  </si>
  <si>
    <t>2024-08-19T14:13:24.833+02:00</t>
  </si>
  <si>
    <t>2024-08-19T13:53:01.768+02:00</t>
  </si>
  <si>
    <t>2024-08-19T14:04:31.287+02:00</t>
  </si>
  <si>
    <t>2024-08-19T13:52:02.981+02:00</t>
  </si>
  <si>
    <t>2024-08-19T14:08:47.513+02:00</t>
  </si>
  <si>
    <t>2024-08-19T14:37:36.283+02:00</t>
  </si>
  <si>
    <t>2024-08-19T14:04:39.371+02:00</t>
  </si>
  <si>
    <t>2024-08-19T13:43:52.654+02:00</t>
  </si>
  <si>
    <t>2024-08-19T13:54:34.484+02:00</t>
  </si>
  <si>
    <t>2024-08-19T13:41:30.691+02:00</t>
  </si>
  <si>
    <t>2024-08-19T13:58:03.114+02:00</t>
  </si>
  <si>
    <t>Mesl Petr</t>
  </si>
  <si>
    <t>2024-08-19T13:40:45.792+02:00</t>
  </si>
  <si>
    <t>2024-08-19T14:00:50.647+02:00</t>
  </si>
  <si>
    <t>2024-08-19T13:12:19.509+02:00</t>
  </si>
  <si>
    <t>2024-08-19T13:21:50.752+02:00</t>
  </si>
  <si>
    <t>2024-08-19T13:02:18.327+02:00</t>
  </si>
  <si>
    <t>2024-08-19T13:10:30.752+02:00</t>
  </si>
  <si>
    <t>2024-08-19T12:45:03.318+02:00</t>
  </si>
  <si>
    <t>2024-08-19T12:57:34.771+02:00</t>
  </si>
  <si>
    <t>2024-08-19T12:44:37.632+02:00</t>
  </si>
  <si>
    <t>2024-08-19T12:59:22.712+02:00</t>
  </si>
  <si>
    <t>Roman</t>
  </si>
  <si>
    <t>2024-08-19T12:40:26.846+02:00</t>
  </si>
  <si>
    <t>2024-08-19T12:48:59.698+02:00</t>
  </si>
  <si>
    <t>2024-08-19T12:25:45.907+02:00</t>
  </si>
  <si>
    <t>2024-08-19T12:34:36.784+02:00</t>
  </si>
  <si>
    <t>2024-08-19T12:06:58.182+02:00</t>
  </si>
  <si>
    <t>2024-08-19T12:18:50.833+02:00</t>
  </si>
  <si>
    <t>Petro</t>
  </si>
  <si>
    <t>2024-08-19T11:54:12.786+02:00</t>
  </si>
  <si>
    <t>2024-08-19T12:08:00.691+02:00</t>
  </si>
  <si>
    <t>2024-08-19T11:42:03.601+02:00</t>
  </si>
  <si>
    <t>2024-08-19T11:52:12.986+02:00</t>
  </si>
  <si>
    <t>2024-08-19T11:24:04.165+02:00</t>
  </si>
  <si>
    <t>2024-08-19T11:39:43.737+02:00</t>
  </si>
  <si>
    <t>Kanatbek</t>
  </si>
  <si>
    <t>2024-08-19T11:24:00.410+02:00</t>
  </si>
  <si>
    <t>2024-08-19T11:34:55.545+02:00</t>
  </si>
  <si>
    <t>2024-08-19T11:18:02.395+02:00</t>
  </si>
  <si>
    <t>2024-08-19T11:25:11.405+02:00</t>
  </si>
  <si>
    <t>2024-08-19T11:38:30.924+02:00</t>
  </si>
  <si>
    <t>2024-08-19T11:18:03.011+02:00</t>
  </si>
  <si>
    <t>Oleksandr</t>
  </si>
  <si>
    <t>2024-08-19T11:02:39.103+02:00</t>
  </si>
  <si>
    <t>2024-08-19T11:19:26.499+02:00</t>
  </si>
  <si>
    <t>2024-08-19T10:59:02.484+02:00</t>
  </si>
  <si>
    <t>2024-08-19T11:17:41.369+02:00</t>
  </si>
  <si>
    <t>2024-08-19T11:37:12.093+02:00</t>
  </si>
  <si>
    <t>2024-08-19T11:18:36.368+02:00</t>
  </si>
  <si>
    <t>2024-08-19T10:43:03.671+02:00</t>
  </si>
  <si>
    <t>2024-08-19T11:14:21.411+02:00</t>
  </si>
  <si>
    <t>2024-08-19T11:26:46.026+02:00</t>
  </si>
  <si>
    <t>2024-08-19T11:10:40.069+02:00</t>
  </si>
  <si>
    <t>accepted</t>
  </si>
  <si>
    <t>2024-08-30T00:54:27.998+02:00</t>
  </si>
  <si>
    <t>dispatched</t>
  </si>
  <si>
    <t>2024-08-30T00:42:02.445+02:00</t>
  </si>
  <si>
    <t>2024-08-30T00:52:42.266+02:00</t>
  </si>
  <si>
    <t>2024-08-30T00:50:15.266+02:00</t>
  </si>
  <si>
    <t>2024-08-30T00:15:32.115+02:00</t>
  </si>
  <si>
    <t>2024-08-30T00:29:06.350+02:00</t>
  </si>
  <si>
    <t>2024-08-30T00:13:32.704+02:00</t>
  </si>
  <si>
    <t>2024-08-30T00:18:39.400+02:00</t>
  </si>
  <si>
    <t>Vikas</t>
  </si>
  <si>
    <t>2024-08-30T00:06:37.712+02:00</t>
  </si>
  <si>
    <t>2024-08-30T00:14:07.190+02:00</t>
  </si>
  <si>
    <t>Hammer Jan</t>
  </si>
  <si>
    <t>2024-08-29T23:58:03.224+02:00</t>
  </si>
  <si>
    <t>2024-08-30T00:11:46.166+02:00</t>
  </si>
  <si>
    <t>2024-08-30T00:26:35.798+02:00</t>
  </si>
  <si>
    <t>2024-08-29T23:58:03.763+02:00</t>
  </si>
  <si>
    <t>2024-08-29T23:53:31.854+02:00</t>
  </si>
  <si>
    <t>2024-08-30T00:11:52.347+02:00</t>
  </si>
  <si>
    <t>2024-08-29T23:51:05.074+02:00</t>
  </si>
  <si>
    <t>2024-08-29T23:59:22.116+02:00</t>
  </si>
  <si>
    <t>2024-08-30T00:20:48.554+02:00</t>
  </si>
  <si>
    <t>2024-08-29T23:51:05.659+02:00</t>
  </si>
  <si>
    <t>2024-08-29T23:44:57.610+02:00</t>
  </si>
  <si>
    <t>2024-08-29T23:58:49.228+02:00</t>
  </si>
  <si>
    <t>2024-08-29T23:40:54.684+02:00</t>
  </si>
  <si>
    <t>2024-08-29T23:52:59.096+02:00</t>
  </si>
  <si>
    <t>2024-08-29T23:39:04.837+02:00</t>
  </si>
  <si>
    <t>2024-08-29T23:45:16.371+02:00</t>
  </si>
  <si>
    <t>2024-08-29T23:36:03.004+02:00</t>
  </si>
  <si>
    <t>2024-08-29T23:48:03.080+02:00</t>
  </si>
  <si>
    <t>2024-08-29T23:32:31.590+02:00</t>
  </si>
  <si>
    <t>2024-08-29T23:55:14.347+02:00</t>
  </si>
  <si>
    <t>Martin Sova</t>
  </si>
  <si>
    <t>2024-08-29T23:05:13.500+02:00</t>
  </si>
  <si>
    <t>2024-08-29T23:31:39.206+02:00</t>
  </si>
  <si>
    <t>Robert</t>
  </si>
  <si>
    <t>2024-08-29T22:58:03.478+02:00</t>
  </si>
  <si>
    <t>2024-08-29T23:14:28.189+02:00</t>
  </si>
  <si>
    <t>2024-08-29T22:57:31.320+02:00</t>
  </si>
  <si>
    <t>2024-08-29T23:14:50.341+02:00</t>
  </si>
  <si>
    <t>Daniel</t>
  </si>
  <si>
    <t>2024-08-29T22:56:17.583+02:00</t>
  </si>
  <si>
    <t>2024-08-29T23:06:00.222+02:00</t>
  </si>
  <si>
    <t>2024-08-29T22:53:30.721+02:00</t>
  </si>
  <si>
    <t>2024-08-29T23:14:40.417+02:00</t>
  </si>
  <si>
    <t>2024-08-29T22:41:04.150+02:00</t>
  </si>
  <si>
    <t>2024-08-29T22:50:53.071+02:00</t>
  </si>
  <si>
    <t>2024-08-29T23:04:55.347+02:00</t>
  </si>
  <si>
    <t>2024-08-29T22:41:04.716+02:00</t>
  </si>
  <si>
    <t>2024-08-29T22:30:03.902+02:00</t>
  </si>
  <si>
    <t>2024-08-29T22:44:33.107+02:00</t>
  </si>
  <si>
    <t>2024-08-29T22:57:27.786+02:00</t>
  </si>
  <si>
    <t>2024-08-29T22:30:04.456+02:00</t>
  </si>
  <si>
    <t>Beksultan</t>
  </si>
  <si>
    <t>2024-08-29T22:16:47.362+02:00</t>
  </si>
  <si>
    <t>2024-08-29T22:29:35.249+02:00</t>
  </si>
  <si>
    <t>2024-08-29T22:13:53.812+02:00</t>
  </si>
  <si>
    <t>2024-08-29T22:26:27.317+02:00</t>
  </si>
  <si>
    <t>2024-08-29T22:12:03.923+02:00</t>
  </si>
  <si>
    <t>2024-08-29T22:26:08.050+02:00</t>
  </si>
  <si>
    <t>Zbyněk Hyský</t>
  </si>
  <si>
    <t>2024-08-29T22:11:04.239+02:00</t>
  </si>
  <si>
    <t>2024-08-29T22:22:59.066+02:00</t>
  </si>
  <si>
    <t>2024-08-29T22:32:07.783+02:00</t>
  </si>
  <si>
    <t>2024-08-29T22:11:04.827+02:00</t>
  </si>
  <si>
    <t>Volodymyr</t>
  </si>
  <si>
    <t>2024-08-29T21:51:53.590+02:00</t>
  </si>
  <si>
    <t>2024-08-29T22:05:29.179+02:00</t>
  </si>
  <si>
    <t>2024-08-29T21:44:41.641+02:00</t>
  </si>
  <si>
    <t>2024-08-29T22:03:08.344+02:00</t>
  </si>
  <si>
    <t>2024-08-29T21:44:03.570+02:00</t>
  </si>
  <si>
    <t>2024-08-29T22:07:07.125+02:00</t>
  </si>
  <si>
    <t>2024-08-29T22:11:01.196+02:00</t>
  </si>
  <si>
    <t>2024-08-29T21:44:04.069+02:00</t>
  </si>
  <si>
    <t>ABDULLAEV</t>
  </si>
  <si>
    <t>2024-08-29T21:40:03.247+02:00</t>
  </si>
  <si>
    <t>2024-08-29T21:55:58.270+02:00</t>
  </si>
  <si>
    <t>2024-08-29T21:26:31.542+02:00</t>
  </si>
  <si>
    <t>2024-08-29T21:35:47.787+02:00</t>
  </si>
  <si>
    <t>2024-08-29T21:06:04.693+02:00</t>
  </si>
  <si>
    <t>2024-08-29T21:22:55.089+02:00</t>
  </si>
  <si>
    <t>2024-08-29T21:42:47.340+02:00</t>
  </si>
  <si>
    <t>2024-08-29T21:06:05.368+02:00</t>
  </si>
  <si>
    <t>2024-08-29T21:02:03.050+02:00</t>
  </si>
  <si>
    <t>2024-08-29T21:10:28.095+02:00</t>
  </si>
  <si>
    <t>2024-08-29T21:30:33.141+02:00</t>
  </si>
  <si>
    <t>2024-08-29T21:02:03.517+02:00</t>
  </si>
  <si>
    <t>2024-08-29T20:56:02.771+02:00</t>
  </si>
  <si>
    <t>2024-08-29T21:06:54.082+02:00</t>
  </si>
  <si>
    <t>2024-08-29T21:12:24.976+02:00</t>
  </si>
  <si>
    <t>2024-08-29T20:56:03.553+02:00</t>
  </si>
  <si>
    <t>2024-08-29T20:48:04.201+02:00</t>
  </si>
  <si>
    <t>2024-08-29T20:59:00.072+02:00</t>
  </si>
  <si>
    <t>2024-08-29T21:21:01.917+02:00</t>
  </si>
  <si>
    <t>2024-08-29T20:48:04.776+02:00</t>
  </si>
  <si>
    <t>2024-08-29T20:40:32.561+02:00</t>
  </si>
  <si>
    <t>2024-08-29T20:58:56.318+02:00</t>
  </si>
  <si>
    <t>2024-08-29T20:39:02.608+02:00</t>
  </si>
  <si>
    <t>2024-08-29T20:55:01.092+02:00</t>
  </si>
  <si>
    <t>2024-08-29T21:04:34.484+02:00</t>
  </si>
  <si>
    <t>2024-08-29T20:39:03.282+02:00</t>
  </si>
  <si>
    <t>2024-08-29T20:37:20.996+02:00</t>
  </si>
  <si>
    <t>2024-08-29T20:50:33.038+02:00</t>
  </si>
  <si>
    <t>2024-08-29T20:36:35.762+02:00</t>
  </si>
  <si>
    <t>2024-08-29T20:55:03.314+02:00</t>
  </si>
  <si>
    <t>2024-08-29T20:18:24.430+02:00</t>
  </si>
  <si>
    <t>2024-08-29T20:28:56.134+02:00</t>
  </si>
  <si>
    <t>2024-08-29T20:12:02.333+02:00</t>
  </si>
  <si>
    <t>2024-08-29T20:26:37.352+02:00</t>
  </si>
  <si>
    <t>2024-08-29T20:36:20.449+02:00</t>
  </si>
  <si>
    <t>2024-08-29T20:12:02.827+02:00</t>
  </si>
  <si>
    <t>2024-08-29T19:58:03.799+02:00</t>
  </si>
  <si>
    <t>2024-08-29T20:17:26.100+02:00</t>
  </si>
  <si>
    <t>2024-08-29T20:34:33.273+02:00</t>
  </si>
  <si>
    <t>2024-08-29T19:58:04.927+02:00</t>
  </si>
  <si>
    <t>2024-08-29T19:58:03.782+02:00</t>
  </si>
  <si>
    <t>2024-08-29T20:15:42.089+02:00</t>
  </si>
  <si>
    <t>2024-08-29T20:23:27.290+02:00</t>
  </si>
  <si>
    <t>2024-08-29T19:58:04.650+02:00</t>
  </si>
  <si>
    <t>2024-08-29T19:54:34.651+02:00</t>
  </si>
  <si>
    <t>2024-08-29T20:13:06.315+02:00</t>
  </si>
  <si>
    <t>2024-08-29T19:47:39.455+02:00</t>
  </si>
  <si>
    <t>2024-08-29T19:58:54.718+02:00</t>
  </si>
  <si>
    <t>2024-08-29T19:44:02.394+02:00</t>
  </si>
  <si>
    <t>2024-08-29T20:05:16.056+02:00</t>
  </si>
  <si>
    <t>2024-08-29T19:38:07.350+02:00</t>
  </si>
  <si>
    <t>2024-08-29T19:56:33.291+02:00</t>
  </si>
  <si>
    <t>Jawad Ali</t>
  </si>
  <si>
    <t>2024-08-29T19:36:14.873+02:00</t>
  </si>
  <si>
    <t>2024-08-29T19:54:01.156+02:00</t>
  </si>
  <si>
    <t>2024-08-29T19:29:36.442+02:00</t>
  </si>
  <si>
    <t>2024-08-29T19:52:20.459+02:00</t>
  </si>
  <si>
    <t>2024-08-29T19:28:40.574+02:00</t>
  </si>
  <si>
    <t>2024-08-29T19:47:06.393+02:00</t>
  </si>
  <si>
    <t>2024-08-29T19:25:30.660+02:00</t>
  </si>
  <si>
    <t>2024-08-29T19:45:57.968+02:00</t>
  </si>
  <si>
    <t>2024-08-29T19:15:31.708+02:00</t>
  </si>
  <si>
    <t>2024-08-29T19:35:00.446+02:00</t>
  </si>
  <si>
    <t>2024-08-29T19:15:26.753+02:00</t>
  </si>
  <si>
    <t>2024-08-29T19:43:49.349+02:00</t>
  </si>
  <si>
    <t>2024-08-29T19:11:03.518+02:00</t>
  </si>
  <si>
    <t>2024-08-29T19:24:21.316+02:00</t>
  </si>
  <si>
    <t>2024-08-29T19:10:32.603+02:00</t>
  </si>
  <si>
    <t>2024-08-29T19:29:37.315+02:00</t>
  </si>
  <si>
    <t>Oleksii</t>
  </si>
  <si>
    <t>2024-08-29T19:05:41.066+02:00</t>
  </si>
  <si>
    <t>2024-08-29T19:20:07.114+02:00</t>
  </si>
  <si>
    <t>2024-08-29T19:01:31.943+02:00</t>
  </si>
  <si>
    <t>2024-08-29T19:11:15.823+02:00</t>
  </si>
  <si>
    <t>2024-08-29T18:53:02.760+02:00</t>
  </si>
  <si>
    <t>2024-08-29T19:04:27.542+02:00</t>
  </si>
  <si>
    <t>2024-08-29T18:44:51.589+02:00</t>
  </si>
  <si>
    <t>2024-08-29T18:56:55.804+02:00</t>
  </si>
  <si>
    <t>2024-08-29T18:40:02.258+02:00</t>
  </si>
  <si>
    <t>2024-08-29T18:52:51.637+02:00</t>
  </si>
  <si>
    <t>2024-08-29T18:57:42.553+02:00</t>
  </si>
  <si>
    <t>2024-08-29T18:40:02.731+02:00</t>
  </si>
  <si>
    <t>2024-08-29T18:37:05.955+02:00</t>
  </si>
  <si>
    <t>2024-08-29T18:53:07.546+02:00</t>
  </si>
  <si>
    <t>2024-08-29T19:04:03.697+02:00</t>
  </si>
  <si>
    <t>2024-08-29T18:37:06.485+02:00</t>
  </si>
  <si>
    <t>2024-08-29T18:30:30.646+02:00</t>
  </si>
  <si>
    <t>2024-08-29T18:50:27.886+02:00</t>
  </si>
  <si>
    <t>2024-08-29T18:28:29.607+02:00</t>
  </si>
  <si>
    <t>2024-08-29T18:46:43.884+02:00</t>
  </si>
  <si>
    <t>2024-08-29T18:27:02.702+02:00</t>
  </si>
  <si>
    <t>2024-08-29T18:35:57.679+02:00</t>
  </si>
  <si>
    <t>2024-08-29T18:44:49.717+02:00</t>
  </si>
  <si>
    <t>2024-08-29T18:27:03.239+02:00</t>
  </si>
  <si>
    <t>2024-08-29T18:24:02.729+02:00</t>
  </si>
  <si>
    <t>2024-08-29T18:33:36.571+02:00</t>
  </si>
  <si>
    <t>2024-08-29T18:40:17.316+02:00</t>
  </si>
  <si>
    <t>2024-08-29T18:24:03.606+02:00</t>
  </si>
  <si>
    <t>2024-08-29T18:23:45.923+02:00</t>
  </si>
  <si>
    <t>2024-08-29T18:52:56.139+02:00</t>
  </si>
  <si>
    <t>2024-08-29T18:23:32.164+02:00</t>
  </si>
  <si>
    <t>2024-08-29T18:45:08.846+02:00</t>
  </si>
  <si>
    <t>2024-08-29T18:06:08.770+02:00</t>
  </si>
  <si>
    <t>2024-08-29T18:32:24.701+02:00</t>
  </si>
  <si>
    <t>2024-08-29T18:02:30.884+02:00</t>
  </si>
  <si>
    <t>2024-08-29T18:13:45.814+02:00</t>
  </si>
  <si>
    <t>2024-08-29T17:56:03.081+02:00</t>
  </si>
  <si>
    <t>2024-08-29T18:09:55.548+02:00</t>
  </si>
  <si>
    <t>2024-08-29T18:17:52.047+02:00</t>
  </si>
  <si>
    <t>2024-08-29T17:56:03.694+02:00</t>
  </si>
  <si>
    <t>2024-08-29T17:32:27.149+02:00</t>
  </si>
  <si>
    <t>2024-08-29T17:51:57.832+02:00</t>
  </si>
  <si>
    <t>2024-08-29T17:29:30.900+02:00</t>
  </si>
  <si>
    <t>2024-08-29T17:48:15.757+02:00</t>
  </si>
  <si>
    <t>2024-08-29T17:24:26.246+02:00</t>
  </si>
  <si>
    <t>2024-08-29T17:45:23.879+02:00</t>
  </si>
  <si>
    <t>2024-08-29T17:22:03.432+02:00</t>
  </si>
  <si>
    <t>2024-08-29T17:39:13.513+02:00</t>
  </si>
  <si>
    <t>2024-08-29T18:02:43.440+02:00</t>
  </si>
  <si>
    <t>2024-08-29T17:22:04.601+02:00</t>
  </si>
  <si>
    <t>2024-08-29T17:17:04.314+02:00</t>
  </si>
  <si>
    <t>2024-08-29T17:33:23.579+02:00</t>
  </si>
  <si>
    <t>2024-08-29T17:54:54.928+02:00</t>
  </si>
  <si>
    <t>2024-08-29T17:17:04.866+02:00</t>
  </si>
  <si>
    <t>2024-08-29T17:12:26.389+02:00</t>
  </si>
  <si>
    <t>2024-08-29T17:30:28.802+02:00</t>
  </si>
  <si>
    <t>2024-08-29T16:47:27.733+02:00</t>
  </si>
  <si>
    <t>2024-08-29T17:01:34.738+02:00</t>
  </si>
  <si>
    <t>2024-08-29T16:44:03.096+02:00</t>
  </si>
  <si>
    <t>2024-08-29T17:22:50.503+02:00</t>
  </si>
  <si>
    <t>2024-08-29T16:25:44.834+02:00</t>
  </si>
  <si>
    <t>2024-08-29T16:27:13.459+02:00</t>
  </si>
  <si>
    <t>2024-08-29T16:21:03.438+02:00</t>
  </si>
  <si>
    <t>2024-08-29T16:37:46.516+02:00</t>
  </si>
  <si>
    <t>2024-08-29T16:44:18.394+02:00</t>
  </si>
  <si>
    <t>2024-08-29T16:21:03.923+02:00</t>
  </si>
  <si>
    <t>2024-08-29T16:20:59.975+02:00</t>
  </si>
  <si>
    <t>2024-08-29T16:33:51.660+02:00</t>
  </si>
  <si>
    <t>2024-08-29T16:18:25.528+02:00</t>
  </si>
  <si>
    <t>2024-08-29T16:27:17.823+02:00</t>
  </si>
  <si>
    <t>2024-08-29T16:18:03.983+02:00</t>
  </si>
  <si>
    <t>2024-08-29T16:35:40.435+02:00</t>
  </si>
  <si>
    <t>2024-08-29T16:08:56.764+02:00</t>
  </si>
  <si>
    <t>2024-08-29T16:22:36.725+02:00</t>
  </si>
  <si>
    <t>Lukáš</t>
  </si>
  <si>
    <t>2024-08-29T16:08:17.216+02:00</t>
  </si>
  <si>
    <t>2024-08-29T16:20:40.862+02:00</t>
  </si>
  <si>
    <t>2024-08-29T15:37:02.777+02:00</t>
  </si>
  <si>
    <t>2024-08-29T15:46:42.313+02:00</t>
  </si>
  <si>
    <t>2024-08-29T15:23:21.692+02:00</t>
  </si>
  <si>
    <t>2024-08-29T15:44:19.682+02:00</t>
  </si>
  <si>
    <t>2024-08-29T15:16:03.139+02:00</t>
  </si>
  <si>
    <t>2024-08-29T15:31:04.364+02:00</t>
  </si>
  <si>
    <t>2024-08-29T15:06:03.806+02:00</t>
  </si>
  <si>
    <t>2024-08-29T15:15:07.396+02:00</t>
  </si>
  <si>
    <t>2024-08-29T15:29:51.085+02:00</t>
  </si>
  <si>
    <t>2024-08-29T15:11:30.429+02:00</t>
  </si>
  <si>
    <t>2024-08-29T14:57:34.435+02:00</t>
  </si>
  <si>
    <t>2024-08-29T15:11:24.457+02:00</t>
  </si>
  <si>
    <t>2024-08-29T14:44:33.789+02:00</t>
  </si>
  <si>
    <t>2024-08-29T15:08:01.578+02:00</t>
  </si>
  <si>
    <t>2024-08-29T14:41:23.437+02:00</t>
  </si>
  <si>
    <t>2024-08-29T14:59:56.899+02:00</t>
  </si>
  <si>
    <t>2024-08-29T14:40:03.298+02:00</t>
  </si>
  <si>
    <t>2024-08-29T14:55:02.362+02:00</t>
  </si>
  <si>
    <t>2024-08-29T15:45:21.026+02:00</t>
  </si>
  <si>
    <t>2024-08-29T14:52:01.967+02:00</t>
  </si>
  <si>
    <t>2024-08-29T14:18:29.691+02:00</t>
  </si>
  <si>
    <t>2024-08-29T14:24:51.542+02:00</t>
  </si>
  <si>
    <t>2024-08-29T14:14:08.507+02:00</t>
  </si>
  <si>
    <t>2024-08-29T14:23:40.287+02:00</t>
  </si>
  <si>
    <t>2024-08-29T14:09:07.312+02:00</t>
  </si>
  <si>
    <t>2024-08-29T14:15:57.014+02:00</t>
  </si>
  <si>
    <t>2024-08-29T13:58:23.039+02:00</t>
  </si>
  <si>
    <t>2024-08-29T14:12:53.862+02:00</t>
  </si>
  <si>
    <t>2024-08-29T13:56:44.636+02:00</t>
  </si>
  <si>
    <t>2024-08-29T14:11:19.415+02:00</t>
  </si>
  <si>
    <t>2024-08-29T13:51:24.899+02:00</t>
  </si>
  <si>
    <t>2024-08-29T14:02:02.803+02:00</t>
  </si>
  <si>
    <t>2024-08-29T13:47:05.037+02:00</t>
  </si>
  <si>
    <t>2024-08-29T13:57:11.541+02:00</t>
  </si>
  <si>
    <t>2024-08-29T13:26:47.286+02:00</t>
  </si>
  <si>
    <t>2024-08-29T13:37:51.355+02:00</t>
  </si>
  <si>
    <t>2024-08-29T13:25:50.116+02:00</t>
  </si>
  <si>
    <t>2024-08-29T13:34:47.189+02:00</t>
  </si>
  <si>
    <t>2024-08-29T13:03:10.593+02:00</t>
  </si>
  <si>
    <t>2024-08-29T13:11:15.223+02:00</t>
  </si>
  <si>
    <t>2024-08-29T12:59:28.463+02:00</t>
  </si>
  <si>
    <t>2024-08-29T13:13:25.511+02:00</t>
  </si>
  <si>
    <t>2024-08-29T12:59:02.973+02:00</t>
  </si>
  <si>
    <t>2024-08-29T13:21:15.266+02:00</t>
  </si>
  <si>
    <t>2024-08-29T12:38:03.197+02:00</t>
  </si>
  <si>
    <t>2024-08-29T12:57:26.258+02:00</t>
  </si>
  <si>
    <t>2024-08-29T13:09:01.658+02:00</t>
  </si>
  <si>
    <t>2024-08-29T12:38:03.410+02:00</t>
  </si>
  <si>
    <t>2024-08-29T12:28:47.505+02:00</t>
  </si>
  <si>
    <t>2024-08-29T12:48:41.996+02:00</t>
  </si>
  <si>
    <t>2024-08-29T12:05:02.483+02:00</t>
  </si>
  <si>
    <t>2024-08-29T12:15:22.213+02:00</t>
  </si>
  <si>
    <t>2024-08-29T12:29:03.822+02:00</t>
  </si>
  <si>
    <t>2024-08-29T12:05:02.725+02:00</t>
  </si>
  <si>
    <t>2024-08-29T12:02:48.735+02:00</t>
  </si>
  <si>
    <t>2024-08-29T12:12:14.418+02:00</t>
  </si>
  <si>
    <t>Ladislav</t>
  </si>
  <si>
    <t>2024-08-29T11:27:41.910+02:00</t>
  </si>
  <si>
    <t>2024-08-29T11:51:36.595+02:00</t>
  </si>
  <si>
    <t>Anton</t>
  </si>
  <si>
    <t>2024-08-29T11:22:56.008+02:00</t>
  </si>
  <si>
    <t>2024-08-29T11:38:55.413+02:00</t>
  </si>
  <si>
    <t>2024-08-29T11:20:36.846+02:00</t>
  </si>
  <si>
    <t>2024-08-29T11:29:27.423+02:00</t>
  </si>
  <si>
    <t>2024-08-29T11:15:02.666+02:00</t>
  </si>
  <si>
    <t>2024-08-29T11:43:18.242+02:00</t>
  </si>
  <si>
    <t>2024-08-29T12:10:17.255+02:00</t>
  </si>
  <si>
    <t>2024-08-29T11:35:33.571+02:00</t>
  </si>
  <si>
    <t>2024-08-29T11:09:26.570+02:00</t>
  </si>
  <si>
    <t>2024-08-29T11:19:42.438+02:00</t>
  </si>
  <si>
    <t>2024-08-29T10:57:03.290+02:00</t>
  </si>
  <si>
    <t>2024-08-29T11:17:00.181+02:00</t>
  </si>
  <si>
    <t>2024-08-29T11:22:24.291+02:00</t>
  </si>
  <si>
    <t>2024-08-29T10:57:03.497+02:00</t>
  </si>
  <si>
    <t>2024-08-29T10:39:03.367+02:00</t>
  </si>
  <si>
    <t>2024-08-29T11:28:24.180+02:00</t>
  </si>
  <si>
    <t>2024-08-29T11:36:16.283+02:00</t>
  </si>
  <si>
    <t>2024-08-29T10:39:03.794+02:00</t>
  </si>
  <si>
    <t>2024-08-31T02:43:04.038+02:00</t>
  </si>
  <si>
    <t>2024-08-31T02:51:09.663+02:00</t>
  </si>
  <si>
    <t>2024-08-31T02:47:18.443+02:00</t>
  </si>
  <si>
    <t>2024-08-31T02:28:03.161+02:00</t>
  </si>
  <si>
    <t>2024-08-31T02:42:14.653+02:00</t>
  </si>
  <si>
    <t>2024-08-31T02:40:58.714+02:00</t>
  </si>
  <si>
    <t>Damián</t>
  </si>
  <si>
    <t>2024-08-31T01:33:07.648+02:00</t>
  </si>
  <si>
    <t>2024-08-31T01:43:10.520+02:00</t>
  </si>
  <si>
    <t>2024-08-31T01:32:03.261+02:00</t>
  </si>
  <si>
    <t>2024-08-31T01:40:22.546+02:00</t>
  </si>
  <si>
    <t>2024-08-31T01:58:20.096+02:00</t>
  </si>
  <si>
    <t>2024-08-31T01:39:23.109+02:00</t>
  </si>
  <si>
    <t>George</t>
  </si>
  <si>
    <t>2024-08-31T01:29:33.453+02:00</t>
  </si>
  <si>
    <t>2024-08-31T01:38:13.561+02:00</t>
  </si>
  <si>
    <t>2024-08-31T00:54:02.302+02:00</t>
  </si>
  <si>
    <t>2024-08-31T01:00:56.857+02:00</t>
  </si>
  <si>
    <t>2024-08-31T00:43:02.928+02:00</t>
  </si>
  <si>
    <t>2024-08-31T00:49:59.695+02:00</t>
  </si>
  <si>
    <t>2024-08-31T00:33:47.902+02:00</t>
  </si>
  <si>
    <t>2024-08-31T00:45:17.686+02:00</t>
  </si>
  <si>
    <t>2024-08-31T00:29:00.968+02:00</t>
  </si>
  <si>
    <t>2024-08-31T00:35:47.930+02:00</t>
  </si>
  <si>
    <t>2024-08-31T00:20:01.149+02:00</t>
  </si>
  <si>
    <t>2024-08-31T00:28:50.763+02:00</t>
  </si>
  <si>
    <t>2024-08-31T00:16:45.870+02:00</t>
  </si>
  <si>
    <t>2024-08-31T00:27:10.729+02:00</t>
  </si>
  <si>
    <t>2024-08-31T00:05:32.173+02:00</t>
  </si>
  <si>
    <t>2024-08-31T00:12:45.695+02:00</t>
  </si>
  <si>
    <t>2024-08-30T23:54:55.688+02:00</t>
  </si>
  <si>
    <t>2024-08-31T00:07:33.651+02:00</t>
  </si>
  <si>
    <t>Ali</t>
  </si>
  <si>
    <t>2024-08-30T23:53:47.295+02:00</t>
  </si>
  <si>
    <t>2024-08-31T00:05:15.508+02:00</t>
  </si>
  <si>
    <t>2024-08-30T23:47:48.432+02:00</t>
  </si>
  <si>
    <t>2024-08-31T00:03:13.621+02:00</t>
  </si>
  <si>
    <t>2024-08-30T23:34:45.008+02:00</t>
  </si>
  <si>
    <t>2024-08-30T23:47:51.944+02:00</t>
  </si>
  <si>
    <t>2024-08-30T23:33:03.370+02:00</t>
  </si>
  <si>
    <t>2024-08-30T23:45:48.449+02:00</t>
  </si>
  <si>
    <t>2024-08-31T00:18:10.764+02:00</t>
  </si>
  <si>
    <t>2024-08-30T23:57:00.959+02:00</t>
  </si>
  <si>
    <t>2024-08-30T23:30:02.762+02:00</t>
  </si>
  <si>
    <t>2024-08-30T23:44:52.577+02:00</t>
  </si>
  <si>
    <t>2024-08-31T00:02:38.538+02:00</t>
  </si>
  <si>
    <t>2024-08-30T23:41:53.020+02:00</t>
  </si>
  <si>
    <t>2024-08-30T23:27:03.099+02:00</t>
  </si>
  <si>
    <t>2024-08-30T23:39:18.426+02:00</t>
  </si>
  <si>
    <t>2024-08-30T23:25:03.549+02:00</t>
  </si>
  <si>
    <t>2024-08-30T23:39:34.491+02:00</t>
  </si>
  <si>
    <t>2024-08-30T23:24:59.154+02:00</t>
  </si>
  <si>
    <t>2024-08-30T23:36:37.518+02:00</t>
  </si>
  <si>
    <t>2024-08-30T23:12:03.486+02:00</t>
  </si>
  <si>
    <t>2024-08-30T23:23:52.412+02:00</t>
  </si>
  <si>
    <t>2024-08-30T23:12:01.096+02:00</t>
  </si>
  <si>
    <t>2024-08-30T23:20:35.638+02:00</t>
  </si>
  <si>
    <t>2024-08-30T23:07:29.171+02:00</t>
  </si>
  <si>
    <t>2024-08-30T23:19:26.611+02:00</t>
  </si>
  <si>
    <t>2024-08-30T23:06:57.403+02:00</t>
  </si>
  <si>
    <t>2024-08-30T23:16:06.462+02:00</t>
  </si>
  <si>
    <t>2024-08-30T23:05:01.197+02:00</t>
  </si>
  <si>
    <t>2024-08-30T23:20:03.960+02:00</t>
  </si>
  <si>
    <t>2024-08-30T23:03:27.089+02:00</t>
  </si>
  <si>
    <t>2024-08-30T23:18:04.608+02:00</t>
  </si>
  <si>
    <t>2024-08-30T22:43:00.386+02:00</t>
  </si>
  <si>
    <t>2024-08-30T22:56:03.744+02:00</t>
  </si>
  <si>
    <t>2024-08-30T22:38:43.298+02:00</t>
  </si>
  <si>
    <t>2024-08-30T22:52:23.583+02:00</t>
  </si>
  <si>
    <t>2024-08-30T22:37:01.082+02:00</t>
  </si>
  <si>
    <t>2024-08-30T22:52:01.796+02:00</t>
  </si>
  <si>
    <t>2024-08-30T22:34:12.123+02:00</t>
  </si>
  <si>
    <t>2024-08-30T22:46:56.639+02:00</t>
  </si>
  <si>
    <t>2024-08-30T22:33:00.047+02:00</t>
  </si>
  <si>
    <t>2024-08-30T22:47:08.952+02:00</t>
  </si>
  <si>
    <t>2024-08-30T22:32:40.650+02:00</t>
  </si>
  <si>
    <t>2024-08-30T22:46:51.691+02:00</t>
  </si>
  <si>
    <t>2024-08-30T22:31:59.729+02:00</t>
  </si>
  <si>
    <t>2024-08-30T22:43:34.873+02:00</t>
  </si>
  <si>
    <t>2024-08-30T22:30:59.906+02:00</t>
  </si>
  <si>
    <t>2024-08-30T22:42:45.959+02:00</t>
  </si>
  <si>
    <t>2024-08-30T22:27:03.384+02:00</t>
  </si>
  <si>
    <t>2024-08-30T22:36:54.471+02:00</t>
  </si>
  <si>
    <t>2024-08-30T22:43:26.240+02:00</t>
  </si>
  <si>
    <t>2024-08-30T22:27:04.069+02:00</t>
  </si>
  <si>
    <t>2024-08-30T22:26:59.965+02:00</t>
  </si>
  <si>
    <t>2024-08-30T22:34:28.405+02:00</t>
  </si>
  <si>
    <t>2024-08-30T22:05:37.965+02:00</t>
  </si>
  <si>
    <t>2024-08-30T22:16:40.424+02:00</t>
  </si>
  <si>
    <t>2024-08-30T22:05:03.553+02:00</t>
  </si>
  <si>
    <t>2024-08-30T22:15:04.410+02:00</t>
  </si>
  <si>
    <t>2024-08-30T22:02:58.853+02:00</t>
  </si>
  <si>
    <t>2024-08-30T22:13:50.650+02:00</t>
  </si>
  <si>
    <t>2024-08-30T22:01:03.148+02:00</t>
  </si>
  <si>
    <t>2024-08-30T22:11:25.483+02:00</t>
  </si>
  <si>
    <t>2024-08-30T22:18:34.788+02:00</t>
  </si>
  <si>
    <t>2024-08-30T22:01:03.727+02:00</t>
  </si>
  <si>
    <t>2024-08-30T21:58:00.334+02:00</t>
  </si>
  <si>
    <t>2024-08-30T22:14:30.708+02:00</t>
  </si>
  <si>
    <t>2024-08-30T21:57:58.772+02:00</t>
  </si>
  <si>
    <t>2024-08-30T22:11:38.585+02:00</t>
  </si>
  <si>
    <t>2024-08-30T21:56:59.749+02:00</t>
  </si>
  <si>
    <t>2024-08-30T22:09:22.684+02:00</t>
  </si>
  <si>
    <t>2024-08-30T21:54:15.811+02:00</t>
  </si>
  <si>
    <t>2024-08-30T22:06:06.675+02:00</t>
  </si>
  <si>
    <t>2024-08-30T21:50:24.917+02:00</t>
  </si>
  <si>
    <t>2024-08-30T22:00:39.479+02:00</t>
  </si>
  <si>
    <t>Vladyslav</t>
  </si>
  <si>
    <t>2024-08-30T21:38:52.755+02:00</t>
  </si>
  <si>
    <t>2024-08-30T21:52:48.519+02:00</t>
  </si>
  <si>
    <t>2024-08-30T21:38:15.570+02:00</t>
  </si>
  <si>
    <t>2024-08-30T21:43:49.396+02:00</t>
  </si>
  <si>
    <t>Nazar</t>
  </si>
  <si>
    <t>2024-08-30T21:35:44.748+02:00</t>
  </si>
  <si>
    <t>2024-08-30T21:51:05.485+02:00</t>
  </si>
  <si>
    <t>2024-08-30T21:34:48.256+02:00</t>
  </si>
  <si>
    <t>2024-08-30T21:46:57.001+02:00</t>
  </si>
  <si>
    <t>2024-08-30T21:29:45.491+02:00</t>
  </si>
  <si>
    <t>2024-08-30T21:43:53.659+02:00</t>
  </si>
  <si>
    <t>2024-08-30T21:10:02.981+02:00</t>
  </si>
  <si>
    <t>2024-08-30T21:19:49.373+02:00</t>
  </si>
  <si>
    <t>2024-08-30T21:09:59.376+02:00</t>
  </si>
  <si>
    <t>2024-08-30T21:25:44.742+02:00</t>
  </si>
  <si>
    <t>Juraj</t>
  </si>
  <si>
    <t>2024-08-30T21:08:42.610+02:00</t>
  </si>
  <si>
    <t>2024-08-30T21:20:42.492+02:00</t>
  </si>
  <si>
    <t>2024-08-30T21:04:02.423+02:00</t>
  </si>
  <si>
    <t>2024-08-30T21:19:47.378+02:00</t>
  </si>
  <si>
    <t>2024-08-30T21:04:00.601+02:00</t>
  </si>
  <si>
    <t>2024-08-30T21:14:15.750+02:00</t>
  </si>
  <si>
    <t>2024-08-30T21:04:00.582+02:00</t>
  </si>
  <si>
    <t>2024-08-30T21:11:31.749+02:00</t>
  </si>
  <si>
    <t>2024-08-30T20:49:38.764+02:00</t>
  </si>
  <si>
    <t>2024-08-30T20:58:55.382+02:00</t>
  </si>
  <si>
    <t>2024-08-30T20:48:03.517+02:00</t>
  </si>
  <si>
    <t>2024-08-30T21:04:18.390+02:00</t>
  </si>
  <si>
    <t>2024-08-30T21:13:29.103+02:00</t>
  </si>
  <si>
    <t>2024-08-30T20:48:04.055+02:00</t>
  </si>
  <si>
    <t>2024-08-30T20:40:02.560+02:00</t>
  </si>
  <si>
    <t>2024-08-30T21:01:49.349+02:00</t>
  </si>
  <si>
    <t>Šarközi Dávid</t>
  </si>
  <si>
    <t>2024-08-30T20:38:03.440+02:00</t>
  </si>
  <si>
    <t>2024-08-30T20:58:39.448+02:00</t>
  </si>
  <si>
    <t>2024-08-30T21:05:50.956+02:00</t>
  </si>
  <si>
    <t>2024-08-30T20:38:03.998+02:00</t>
  </si>
  <si>
    <t>2024-08-30T20:36:02.245+02:00</t>
  </si>
  <si>
    <t>2024-08-30T20:54:33.378+02:00</t>
  </si>
  <si>
    <t>2024-08-30T21:16:51.597+02:00</t>
  </si>
  <si>
    <t>2024-08-30T20:36:02.913+02:00</t>
  </si>
  <si>
    <t>2024-08-30T20:31:02.424+02:00</t>
  </si>
  <si>
    <t>2024-08-30T20:47:38.610+02:00</t>
  </si>
  <si>
    <t>2024-08-30T20:30:03.153+02:00</t>
  </si>
  <si>
    <t>2024-08-30T20:42:54.421+02:00</t>
  </si>
  <si>
    <t>2024-08-30T20:48:46.229+02:00</t>
  </si>
  <si>
    <t>2024-08-30T20:30:03.676+02:00</t>
  </si>
  <si>
    <t>2024-08-30T20:22:02.597+02:00</t>
  </si>
  <si>
    <t>2024-08-30T20:38:23.401+02:00</t>
  </si>
  <si>
    <t>2024-08-30T20:48:47.781+02:00</t>
  </si>
  <si>
    <t>2024-08-30T20:22:03.228+02:00</t>
  </si>
  <si>
    <t>2024-08-30T20:22:01.311+02:00</t>
  </si>
  <si>
    <t>2024-08-30T20:52:55.613+02:00</t>
  </si>
  <si>
    <t>2024-08-30T20:21:22.057+02:00</t>
  </si>
  <si>
    <t>2024-08-30T20:44:40.945+02:00</t>
  </si>
  <si>
    <t>2024-08-30T20:19:01.181+02:00</t>
  </si>
  <si>
    <t>2024-08-30T20:37:16.754+02:00</t>
  </si>
  <si>
    <t>2024-08-30T20:17:21.546+02:00</t>
  </si>
  <si>
    <t>2024-08-30T20:31:18.653+02:00</t>
  </si>
  <si>
    <t>2024-08-30T20:02:53.385+02:00</t>
  </si>
  <si>
    <t>2024-08-30T20:14:57.513+02:00</t>
  </si>
  <si>
    <t>2024-08-30T20:02:03.954+02:00</t>
  </si>
  <si>
    <t>2024-08-30T20:10:36.349+02:00</t>
  </si>
  <si>
    <t>2024-08-30T20:02:01.119+02:00</t>
  </si>
  <si>
    <t>2024-08-30T20:14:56.591+02:00</t>
  </si>
  <si>
    <t>2024-08-30T20:00:02.555+02:00</t>
  </si>
  <si>
    <t>2024-08-30T20:08:13.348+02:00</t>
  </si>
  <si>
    <t>2024-08-30T20:15:57.741+02:00</t>
  </si>
  <si>
    <t>2024-08-30T20:00:03.067+02:00</t>
  </si>
  <si>
    <t>2024-08-30T19:38:02.037+02:00</t>
  </si>
  <si>
    <t>2024-08-30T19:48:29.609+02:00</t>
  </si>
  <si>
    <t>2024-08-30T19:34:12.667+02:00</t>
  </si>
  <si>
    <t>2024-08-30T19:45:47.732+02:00</t>
  </si>
  <si>
    <t>Emmanuel</t>
  </si>
  <si>
    <t>2024-08-30T19:29:32.043+02:00</t>
  </si>
  <si>
    <t>2024-08-30T19:43:30.760+02:00</t>
  </si>
  <si>
    <t>2024-08-30T19:28:06.157+02:00</t>
  </si>
  <si>
    <t>2024-08-30T19:39:40.581+02:00</t>
  </si>
  <si>
    <t>2024-08-30T19:21:00.397+02:00</t>
  </si>
  <si>
    <t>2024-08-30T19:34:26.667+02:00</t>
  </si>
  <si>
    <t>2024-08-30T19:19:03.101+02:00</t>
  </si>
  <si>
    <t>2024-08-30T19:53:53.320+02:00</t>
  </si>
  <si>
    <t>2024-08-30T19:17:39.046+02:00</t>
  </si>
  <si>
    <t>2024-08-30T19:29:27.571+02:00</t>
  </si>
  <si>
    <t>2024-08-30T19:15:44.758+02:00</t>
  </si>
  <si>
    <t>2024-08-30T19:29:45.538+02:00</t>
  </si>
  <si>
    <t>2024-08-30T19:14:10.230+02:00</t>
  </si>
  <si>
    <t>2024-08-30T19:27:42.540+02:00</t>
  </si>
  <si>
    <t>Khurshid</t>
  </si>
  <si>
    <t>2024-08-30T19:10:56.028+02:00</t>
  </si>
  <si>
    <t>2024-08-30T19:26:06.498+02:00</t>
  </si>
  <si>
    <t>2024-08-30T19:07:39.212+02:00</t>
  </si>
  <si>
    <t>2024-08-30T19:25:19.552+02:00</t>
  </si>
  <si>
    <t>2024-08-30T19:06:02.684+02:00</t>
  </si>
  <si>
    <t>2024-08-30T19:19:09.601+02:00</t>
  </si>
  <si>
    <t>2024-08-30T18:56:08.287+02:00</t>
  </si>
  <si>
    <t>2024-08-30T19:17:52.354+02:00</t>
  </si>
  <si>
    <t>2024-08-30T18:54:37.245+02:00</t>
  </si>
  <si>
    <t>2024-08-30T19:13:55.313+02:00</t>
  </si>
  <si>
    <t>2024-08-30T18:53:03.469+02:00</t>
  </si>
  <si>
    <t>2024-08-30T19:05:57.340+02:00</t>
  </si>
  <si>
    <t>2024-08-30T19:14:28.679+02:00</t>
  </si>
  <si>
    <t>2024-08-30T18:53:04.842+02:00</t>
  </si>
  <si>
    <t>2024-08-30T18:53:03.459+02:00</t>
  </si>
  <si>
    <t>2024-08-30T19:11:23.339+02:00</t>
  </si>
  <si>
    <t>2024-08-30T19:16:16.933+02:00</t>
  </si>
  <si>
    <t>2024-08-30T18:53:04.366+02:00</t>
  </si>
  <si>
    <t>2024-08-30T18:50:00.635+02:00</t>
  </si>
  <si>
    <t>2024-08-30T19:03:13.648+02:00</t>
  </si>
  <si>
    <t>2024-08-30T18:43:03.098+02:00</t>
  </si>
  <si>
    <t>2024-08-30T18:54:33.191+02:00</t>
  </si>
  <si>
    <t>2024-08-30T18:43:03.949+02:00</t>
  </si>
  <si>
    <t>2024-08-30T18:34:03.586+02:00</t>
  </si>
  <si>
    <t>2024-08-30T18:45:48.300+02:00</t>
  </si>
  <si>
    <t>2024-08-30T18:26:02.867+02:00</t>
  </si>
  <si>
    <t>2024-08-30T18:36:50.354+02:00</t>
  </si>
  <si>
    <t>2024-08-30T18:49:42.199+02:00</t>
  </si>
  <si>
    <t>2024-08-30T18:26:03.422+02:00</t>
  </si>
  <si>
    <t>2024-08-30T18:22:03.956+02:00</t>
  </si>
  <si>
    <t>2024-08-30T18:34:23.346+02:00</t>
  </si>
  <si>
    <t>2024-08-30T18:45:35.443+02:00</t>
  </si>
  <si>
    <t>2024-08-30T18:22:04.521+02:00</t>
  </si>
  <si>
    <t>2024-08-30T18:21:03.215+02:00</t>
  </si>
  <si>
    <t>2024-08-30T18:30:15.313+02:00</t>
  </si>
  <si>
    <t>2024-08-30T18:44:50.611+02:00</t>
  </si>
  <si>
    <t>2024-08-30T18:21:04.002+02:00</t>
  </si>
  <si>
    <t>2024-08-30T18:09:02.967+02:00</t>
  </si>
  <si>
    <t>2024-08-30T18:15:13.324+02:00</t>
  </si>
  <si>
    <t>2024-08-30T17:57:02.707+02:00</t>
  </si>
  <si>
    <t>2024-08-30T18:09:13.288+02:00</t>
  </si>
  <si>
    <t>2024-08-30T17:56:02.658+02:00</t>
  </si>
  <si>
    <t>2024-08-30T18:42:12.315+02:00</t>
  </si>
  <si>
    <t>2024-08-30T17:33:57.168+02:00</t>
  </si>
  <si>
    <t>2024-08-30T17:52:29.617+02:00</t>
  </si>
  <si>
    <t>2024-08-30T17:31:10.029+02:00</t>
  </si>
  <si>
    <t>2024-08-30T17:42:30.757+02:00</t>
  </si>
  <si>
    <t>2024-08-30T17:26:57.558+02:00</t>
  </si>
  <si>
    <t>2024-08-30T17:36:20.631+02:00</t>
  </si>
  <si>
    <t>2024-08-30T17:21:55.677+02:00</t>
  </si>
  <si>
    <t>2024-08-30T17:33:56.351+02:00</t>
  </si>
  <si>
    <t>Andrii</t>
  </si>
  <si>
    <t>2024-08-30T17:13:25.591+02:00</t>
  </si>
  <si>
    <t>2024-08-30T17:30:52.442+02:00</t>
  </si>
  <si>
    <t>Vasyl</t>
  </si>
  <si>
    <t>2024-08-30T17:13:09.585+02:00</t>
  </si>
  <si>
    <t>2024-08-30T17:27:49.436+02:00</t>
  </si>
  <si>
    <t>2024-08-30T17:10:02.611+02:00</t>
  </si>
  <si>
    <t>2024-08-30T17:24:38.328+02:00</t>
  </si>
  <si>
    <t>2024-08-30T17:30:47.451+02:00</t>
  </si>
  <si>
    <t>2024-08-30T17:10:03.279+02:00</t>
  </si>
  <si>
    <t>2024-08-30T16:57:58.046+02:00</t>
  </si>
  <si>
    <t>2024-08-30T17:07:54.494+02:00</t>
  </si>
  <si>
    <t>2024-08-30T16:54:55.624+02:00</t>
  </si>
  <si>
    <t>2024-08-30T17:05:10.545+02:00</t>
  </si>
  <si>
    <t>2024-08-30T16:47:55.351+02:00</t>
  </si>
  <si>
    <t>2024-08-30T17:01:55.539+02:00</t>
  </si>
  <si>
    <t>2024-08-30T16:42:01.560+02:00</t>
  </si>
  <si>
    <t>2024-08-30T16:56:45.396+02:00</t>
  </si>
  <si>
    <t>2024-08-30T16:36:53.516+02:00</t>
  </si>
  <si>
    <t>2024-08-30T16:54:04.598+02:00</t>
  </si>
  <si>
    <t>2024-08-30T16:35:53.477+02:00</t>
  </si>
  <si>
    <t>2024-08-30T16:51:49.698+02:00</t>
  </si>
  <si>
    <t>2024-08-30T16:26:56.118+02:00</t>
  </si>
  <si>
    <t>2024-08-30T16:30:03.262+02:00</t>
  </si>
  <si>
    <t>2024-08-30T16:26:29.957+02:00</t>
  </si>
  <si>
    <t>2024-08-30T16:36:50.557+02:00</t>
  </si>
  <si>
    <t>2024-08-30T16:26:03.370+02:00</t>
  </si>
  <si>
    <t>2024-08-30T16:43:05.461+02:00</t>
  </si>
  <si>
    <t>2024-08-30T17:09:39.484+02:00</t>
  </si>
  <si>
    <t>2024-08-30T16:37:26.784+02:00</t>
  </si>
  <si>
    <t>2024-08-30T16:20:04.060+02:00</t>
  </si>
  <si>
    <t>2024-08-30T16:46:53.288+02:00</t>
  </si>
  <si>
    <t>2024-08-30T16:18:02.287+02:00</t>
  </si>
  <si>
    <t>2024-08-30T16:46:55.049+02:00</t>
  </si>
  <si>
    <t>2024-08-30T16:18:02.989+02:00</t>
  </si>
  <si>
    <t>2024-08-30T16:07:03.528+02:00</t>
  </si>
  <si>
    <t>2024-08-30T16:18:04.298+02:00</t>
  </si>
  <si>
    <t>2024-08-30T16:37:10.335+02:00</t>
  </si>
  <si>
    <t>2024-08-30T16:07:04.462+02:00</t>
  </si>
  <si>
    <t>2024-08-30T16:06:39.404+02:00</t>
  </si>
  <si>
    <t>2024-08-30T16:17:05.464+02:00</t>
  </si>
  <si>
    <t>2024-08-30T16:05:03.635+02:00</t>
  </si>
  <si>
    <t>2024-08-30T16:13:59.305+02:00</t>
  </si>
  <si>
    <t>2024-08-30T15:30:02.729+02:00</t>
  </si>
  <si>
    <t>2024-08-30T17:50:59.310+02:00</t>
  </si>
  <si>
    <t>2024-08-30T17:56:18.888+02:00</t>
  </si>
  <si>
    <t>2024-08-30T15:30:03.637+02:00</t>
  </si>
  <si>
    <t>2024-08-30T15:29:56.838+02:00</t>
  </si>
  <si>
    <t>2024-08-30T15:38:58.561+02:00</t>
  </si>
  <si>
    <t>2024-08-30T15:27:02.117+02:00</t>
  </si>
  <si>
    <t>2024-08-30T15:34:11.259+02:00</t>
  </si>
  <si>
    <t>2024-08-30T16:05:59.204+02:00</t>
  </si>
  <si>
    <t>2024-08-30T15:27:02.618+02:00</t>
  </si>
  <si>
    <t>2024-08-30T15:20:52.881+02:00</t>
  </si>
  <si>
    <t>2024-08-30T15:29:58.523+02:00</t>
  </si>
  <si>
    <t>arrived_customer</t>
  </si>
  <si>
    <t>2024-08-30T15:11:04.259+02:00</t>
  </si>
  <si>
    <t>2024-08-30T15:19:30.372+02:00</t>
  </si>
  <si>
    <t>2024-08-30T15:40:49.164+02:00</t>
  </si>
  <si>
    <t>2024-08-30T15:11:04.784+02:00</t>
  </si>
  <si>
    <t>2024-08-30T15:01:02.294+02:00</t>
  </si>
  <si>
    <t>2024-08-30T15:12:12.218+02:00</t>
  </si>
  <si>
    <t>2024-08-30T14:44:55.365+02:00</t>
  </si>
  <si>
    <t>2024-08-30T14:51:53.521+02:00</t>
  </si>
  <si>
    <t>2024-08-30T14:41:52.369+02:00</t>
  </si>
  <si>
    <t>2024-08-30T14:51:11.625+02:00</t>
  </si>
  <si>
    <t>2024-08-30T14:21:52.404+02:00</t>
  </si>
  <si>
    <t>2024-08-30T14:31:46.896+02:00</t>
  </si>
  <si>
    <t>2024-08-30T14:10:02.918+02:00</t>
  </si>
  <si>
    <t>2024-08-30T14:19:39.268+02:00</t>
  </si>
  <si>
    <t>2024-08-30T14:35:49.381+02:00</t>
  </si>
  <si>
    <t>2024-08-30T14:10:03.620+02:00</t>
  </si>
  <si>
    <t>2024-08-30T14:03:55.117+02:00</t>
  </si>
  <si>
    <t>2024-08-30T14:14:29.819+02:00</t>
  </si>
  <si>
    <t>2024-08-30T13:57:59.483+02:00</t>
  </si>
  <si>
    <t>2024-08-30T14:08:23.256+02:00</t>
  </si>
  <si>
    <t>2024-08-30T13:55:51.288+02:00</t>
  </si>
  <si>
    <t>2024-08-30T14:05:27.496+02:00</t>
  </si>
  <si>
    <t>2024-08-30T13:48:29.085+02:00</t>
  </si>
  <si>
    <t>2024-08-30T14:02:31.215+02:00</t>
  </si>
  <si>
    <t>2024-08-30T13:47:04.152+02:00</t>
  </si>
  <si>
    <t>2024-08-30T13:56:39.241+02:00</t>
  </si>
  <si>
    <t>2024-08-30T14:12:16.303+02:00</t>
  </si>
  <si>
    <t>2024-08-30T13:47:04.715+02:00</t>
  </si>
  <si>
    <t>2024-08-30T13:34:03.740+02:00</t>
  </si>
  <si>
    <t>2024-08-30T13:44:43.246+02:00</t>
  </si>
  <si>
    <t>2024-08-30T13:56:27.783+02:00</t>
  </si>
  <si>
    <t>2024-08-30T13:34:04.408+02:00</t>
  </si>
  <si>
    <t>2024-08-30T13:32:02.956+02:00</t>
  </si>
  <si>
    <t>2024-08-30T13:43:23.254+02:00</t>
  </si>
  <si>
    <t>2024-08-30T14:14:08.639+02:00</t>
  </si>
  <si>
    <t>2024-08-30T13:32:03.474+02:00</t>
  </si>
  <si>
    <t>Pavel</t>
  </si>
  <si>
    <t>2024-08-30T13:16:02.264+02:00</t>
  </si>
  <si>
    <t>2024-08-30T13:26:02.617+02:00</t>
  </si>
  <si>
    <t>2024-08-30T12:59:36.603+02:00</t>
  </si>
  <si>
    <t>2024-08-30T13:09:17.254+02:00</t>
  </si>
  <si>
    <t>2024-08-30T12:56:24.204+02:00</t>
  </si>
  <si>
    <t>2024-08-30T13:03:12.198+02:00</t>
  </si>
  <si>
    <t>2024-08-30T12:50:05.322+02:00</t>
  </si>
  <si>
    <t>2024-08-30T13:07:12.518+02:00</t>
  </si>
  <si>
    <t>2024-08-30T12:50:05.311+02:00</t>
  </si>
  <si>
    <t>2024-08-30T12:59:06.515+02:00</t>
  </si>
  <si>
    <t>2024-08-30T12:24:02.558+02:00</t>
  </si>
  <si>
    <t>2024-08-30T12:36:14.267+02:00</t>
  </si>
  <si>
    <t>2024-08-30T12:21:02.269+02:00</t>
  </si>
  <si>
    <t>2024-08-30T12:32:09.220+02:00</t>
  </si>
  <si>
    <t>2024-08-30T12:12:39.888+02:00</t>
  </si>
  <si>
    <t>2024-08-30T12:22:26.221+02:00</t>
  </si>
  <si>
    <t>2024-08-30T12:11:57.642+02:00</t>
  </si>
  <si>
    <t>2024-08-30T12:20:58.203+02:00</t>
  </si>
  <si>
    <t>2024-08-30T12:11:56.635+02:00</t>
  </si>
  <si>
    <t>2024-08-30T12:26:08.587+02:00</t>
  </si>
  <si>
    <t>2024-08-30T12:11:03.383+02:00</t>
  </si>
  <si>
    <t>2024-08-30T12:23:40.489+02:00</t>
  </si>
  <si>
    <t>2024-08-30T12:42:33.039+02:00</t>
  </si>
  <si>
    <t>2024-08-30T12:11:03.869+02:00</t>
  </si>
  <si>
    <t>2024-08-30T12:05:34.699+02:00</t>
  </si>
  <si>
    <t>2024-08-30T12:14:54.384+02:00</t>
  </si>
  <si>
    <t>2024-08-30T11:41:02.305+02:00</t>
  </si>
  <si>
    <t>2024-08-30T11:51:56.209+02:00</t>
  </si>
  <si>
    <t>2024-08-30T12:04:56.925+02:00</t>
  </si>
  <si>
    <t>2024-08-30T11:41:02.901+02:00</t>
  </si>
  <si>
    <t>2024-08-30T11:34:02.767+02:00</t>
  </si>
  <si>
    <t>2024-08-30T11:41:11.217+02:00</t>
  </si>
  <si>
    <t>2024-08-30T12:01:49.987+02:00</t>
  </si>
  <si>
    <t>2024-08-30T11:34:03.469+02:00</t>
  </si>
  <si>
    <t>2024-08-30T11:27:02.434+02:00</t>
  </si>
  <si>
    <t>2024-08-30T11:38:52.182+02:00</t>
  </si>
  <si>
    <t>2024-08-30T11:26:02.518+02:00</t>
  </si>
  <si>
    <t>2024-08-30T11:35:36.232+02:00</t>
  </si>
  <si>
    <t>2024-08-30T11:50:26.943+02:00</t>
  </si>
  <si>
    <t>2024-08-30T11:26:03.319+02:00</t>
  </si>
  <si>
    <t>2024-08-30T11:13:19.385+02:00</t>
  </si>
  <si>
    <t>2024-08-30T11:31:20.491+02:00</t>
  </si>
  <si>
    <t>2024-08-30T11:09:55.200+02:00</t>
  </si>
  <si>
    <t>2024-08-30T11:30:29.531+02:00</t>
  </si>
  <si>
    <t>2024-08-30T11:08:51.285+02:00</t>
  </si>
  <si>
    <t>2024-08-30T11:28:35.445+02:00</t>
  </si>
  <si>
    <t>2024-08-30T11:07:12.622+02:00</t>
  </si>
  <si>
    <t>2024-08-30T11:25:35.390+02:00</t>
  </si>
  <si>
    <t>Jan Pelikán</t>
  </si>
  <si>
    <t>2024-08-30T11:04:51.770+02:00</t>
  </si>
  <si>
    <t>2024-08-30T11:23:00.655+02:00</t>
  </si>
  <si>
    <t>2024-08-30T10:57:03.669+02:00</t>
  </si>
  <si>
    <t>2024-08-30T11:07:02.072+02:00</t>
  </si>
  <si>
    <t>2024-08-30T11:32:43.718+02:00</t>
  </si>
  <si>
    <t>2024-08-30T11:07:00.787+02:00</t>
  </si>
  <si>
    <t>2024-08-30T10:22:03.266+02:00</t>
  </si>
  <si>
    <t>2024-08-30T11:17:42.443+02:00</t>
  </si>
  <si>
    <t>2024-08-30T11:37:13.498+02:00</t>
  </si>
  <si>
    <t>2024-08-30T11:07:03.893+02:00</t>
  </si>
  <si>
    <t>2024-09-01T02:42:32.209+02:00</t>
  </si>
  <si>
    <t>2024-09-01T02:50:20.814+02:00</t>
  </si>
  <si>
    <t>2024-09-01T02:11:03.936+02:00</t>
  </si>
  <si>
    <t>2024-09-01T02:24:00.219+02:00</t>
  </si>
  <si>
    <t>2024-09-01T02:47:48.801+02:00</t>
  </si>
  <si>
    <t>2024-09-01T02:17:45.840+02:00</t>
  </si>
  <si>
    <t>2024-09-01T02:08:23.244+02:00</t>
  </si>
  <si>
    <t>2024-09-01T02:21:30.459+02:00</t>
  </si>
  <si>
    <t>2024-09-01T01:43:20.603+02:00</t>
  </si>
  <si>
    <t>2024-09-01T01:51:12.029+02:00</t>
  </si>
  <si>
    <t>2024-09-01T01:42:15.733+02:00</t>
  </si>
  <si>
    <t>2024-09-01T01:20:22.472+02:00</t>
  </si>
  <si>
    <t>2024-09-01T01:35:26.375+02:00</t>
  </si>
  <si>
    <t>2024-09-01T01:20:22.059+02:00</t>
  </si>
  <si>
    <t>2024-09-01T01:31:05.259+02:00</t>
  </si>
  <si>
    <t>2024-09-01T01:05:22.168+02:00</t>
  </si>
  <si>
    <t>2024-09-01T01:19:18.275+02:00</t>
  </si>
  <si>
    <t>2024-09-01T01:03:21.392+02:00</t>
  </si>
  <si>
    <t>2024-09-01T01:18:01.369+02:00</t>
  </si>
  <si>
    <t>Daniil</t>
  </si>
  <si>
    <t>2024-09-01T00:44:28.505+02:00</t>
  </si>
  <si>
    <t>2024-09-01T00:59:48.182+02:00</t>
  </si>
  <si>
    <t>2024-09-01T00:43:03.258+02:00</t>
  </si>
  <si>
    <t>2024-09-01T00:59:38.075+02:00</t>
  </si>
  <si>
    <t>2024-09-01T00:30:03.472+02:00</t>
  </si>
  <si>
    <t>2024-09-01T00:42:40.061+02:00</t>
  </si>
  <si>
    <t>2024-09-01T00:24:34.503+02:00</t>
  </si>
  <si>
    <t>2024-09-01T00:40:31.160+02:00</t>
  </si>
  <si>
    <t>2024-09-01T00:15:21.144+02:00</t>
  </si>
  <si>
    <t>2024-09-01T00:39:02.678+02:00</t>
  </si>
  <si>
    <t>Bohdan</t>
  </si>
  <si>
    <t>2024-09-01T00:12:44.480+02:00</t>
  </si>
  <si>
    <t>2024-09-01T00:33:23.204+02:00</t>
  </si>
  <si>
    <t>2024-09-01T00:11:21.140+02:00</t>
  </si>
  <si>
    <t>2024-09-01T00:31:12.399+02:00</t>
  </si>
  <si>
    <t>2024-09-01T00:11:20.446+02:00</t>
  </si>
  <si>
    <t>2024-09-01T00:27:44.181+02:00</t>
  </si>
  <si>
    <t>2024-09-01T00:09:20.907+02:00</t>
  </si>
  <si>
    <t>2024-09-01T00:24:20.308+02:00</t>
  </si>
  <si>
    <t>2024-09-01T00:08:03.249+02:00</t>
  </si>
  <si>
    <t>2024-09-01T00:22:04.049+02:00</t>
  </si>
  <si>
    <t>2024-09-01T00:07:16.772+02:00</t>
  </si>
  <si>
    <t>2024-09-01T00:18:48.030+02:00</t>
  </si>
  <si>
    <t>2024-09-01T00:06:21.057+02:00</t>
  </si>
  <si>
    <t>2024-09-01T00:16:05.284+02:00</t>
  </si>
  <si>
    <t>2024-09-01T00:00:49.246+02:00</t>
  </si>
  <si>
    <t>2024-09-01T00:09:01.239+02:00</t>
  </si>
  <si>
    <t>2024-08-31T23:48:46.331+02:00</t>
  </si>
  <si>
    <t>2024-08-31T23:59:56.375+02:00</t>
  </si>
  <si>
    <t>2024-08-31T23:44:13.166+02:00</t>
  </si>
  <si>
    <t>2024-08-31T23:51:29.219+02:00</t>
  </si>
  <si>
    <t>2024-08-31T23:39:28.671+02:00</t>
  </si>
  <si>
    <t>2024-08-31T23:49:15.285+02:00</t>
  </si>
  <si>
    <t>2024-08-31T23:36:27.722+02:00</t>
  </si>
  <si>
    <t>2024-08-31T23:46:08.429+02:00</t>
  </si>
  <si>
    <t>2024-08-31T23:27:27.215+02:00</t>
  </si>
  <si>
    <t>2024-08-31T23:44:36.279+02:00</t>
  </si>
  <si>
    <t>2024-08-31T23:25:28.675+02:00</t>
  </si>
  <si>
    <t>2024-08-31T23:40:40.364+02:00</t>
  </si>
  <si>
    <t>2024-08-31T23:23:28.314+02:00</t>
  </si>
  <si>
    <t>2024-08-31T23:36:01.765+02:00</t>
  </si>
  <si>
    <t>2024-08-31T23:21:22.126+02:00</t>
  </si>
  <si>
    <t>2024-08-31T23:30:48.017+02:00</t>
  </si>
  <si>
    <t>2024-08-31T23:07:58.617+02:00</t>
  </si>
  <si>
    <t>2024-08-31T23:22:48.175+02:00</t>
  </si>
  <si>
    <t>Juraev</t>
  </si>
  <si>
    <t>2024-08-31T23:01:40.607+02:00</t>
  </si>
  <si>
    <t>2024-08-31T23:12:24.139+02:00</t>
  </si>
  <si>
    <t>2024-08-31T22:57:25.572+02:00</t>
  </si>
  <si>
    <t>2024-08-31T23:10:47.298+02:00</t>
  </si>
  <si>
    <t>2024-08-31T22:53:56.057+02:00</t>
  </si>
  <si>
    <t>2024-08-31T23:03:13.200+02:00</t>
  </si>
  <si>
    <t>2024-08-31T22:40:49.915+02:00</t>
  </si>
  <si>
    <t>2024-08-31T22:56:19.280+02:00</t>
  </si>
  <si>
    <t>2024-08-31T22:38:28.420+02:00</t>
  </si>
  <si>
    <t>2024-08-31T22:54:41.263+02:00</t>
  </si>
  <si>
    <t>Lanský Zoltan</t>
  </si>
  <si>
    <t>2024-08-31T22:38:03.661+02:00</t>
  </si>
  <si>
    <t>2024-08-31T23:19:25.056+02:00</t>
  </si>
  <si>
    <t>2024-08-31T23:33:41.608+02:00</t>
  </si>
  <si>
    <t>2024-08-31T22:38:04.357+02:00</t>
  </si>
  <si>
    <t>2024-08-31T22:35:27.474+02:00</t>
  </si>
  <si>
    <t>2024-08-31T22:53:02.377+02:00</t>
  </si>
  <si>
    <t>2024-08-31T22:32:03.276+02:00</t>
  </si>
  <si>
    <t>2024-08-31T22:51:34.018+02:00</t>
  </si>
  <si>
    <t>Daniel Alexandru</t>
  </si>
  <si>
    <t>2024-08-31T22:30:58.178+02:00</t>
  </si>
  <si>
    <t>2024-08-31T22:31:40.509+02:00</t>
  </si>
  <si>
    <t>2024-08-31T22:17:03.129+02:00</t>
  </si>
  <si>
    <t>2024-08-31T22:29:30.049+02:00</t>
  </si>
  <si>
    <t>2024-08-31T22:37:03.987+02:00</t>
  </si>
  <si>
    <t>2024-08-31T22:17:03.591+02:00</t>
  </si>
  <si>
    <t>2024-08-31T22:04:25.972+02:00</t>
  </si>
  <si>
    <t>2024-08-31T22:22:11.313+02:00</t>
  </si>
  <si>
    <t>2024-08-31T21:47:02.570+02:00</t>
  </si>
  <si>
    <t>2024-08-31T22:03:33.099+02:00</t>
  </si>
  <si>
    <t>2024-08-31T22:23:22.742+02:00</t>
  </si>
  <si>
    <t>2024-08-31T21:47:03.127+02:00</t>
  </si>
  <si>
    <t>2024-08-31T21:46:28.802+02:00</t>
  </si>
  <si>
    <t>2024-08-31T21:57:48.262+02:00</t>
  </si>
  <si>
    <t>2024-08-31T21:39:02.475+02:00</t>
  </si>
  <si>
    <t>2024-08-31T21:47:00.001+02:00</t>
  </si>
  <si>
    <t>2024-08-31T21:30:16.040+02:00</t>
  </si>
  <si>
    <t>2024-08-31T21:46:22.526+02:00</t>
  </si>
  <si>
    <t>2024-08-31T21:30:00.205+02:00</t>
  </si>
  <si>
    <t>2024-08-31T21:39:34.061+02:00</t>
  </si>
  <si>
    <t>2024-08-31T21:24:31.438+02:00</t>
  </si>
  <si>
    <t>2024-08-31T21:44:34.368+02:00</t>
  </si>
  <si>
    <t>2024-08-31T21:24:02.987+02:00</t>
  </si>
  <si>
    <t>2024-08-31T21:39:37.966+02:00</t>
  </si>
  <si>
    <t>2024-08-31T21:23:25.351+02:00</t>
  </si>
  <si>
    <t>2024-08-31T21:33:43.005+02:00</t>
  </si>
  <si>
    <t>Matej</t>
  </si>
  <si>
    <t>2024-08-31T21:19:45.986+02:00</t>
  </si>
  <si>
    <t>2024-08-31T21:31:07.121+02:00</t>
  </si>
  <si>
    <t>2024-08-31T21:17:23.843+02:00</t>
  </si>
  <si>
    <t>2024-08-31T21:26:59.277+02:00</t>
  </si>
  <si>
    <t>2024-08-31T21:09:01.497+02:00</t>
  </si>
  <si>
    <t>2024-08-31T21:21:37.996+02:00</t>
  </si>
  <si>
    <t>2024-08-31T21:08:50.155+02:00</t>
  </si>
  <si>
    <t>2024-08-31T21:26:29.212+02:00</t>
  </si>
  <si>
    <t>2024-08-31T21:05:18.868+02:00</t>
  </si>
  <si>
    <t>2024-08-31T21:22:56.241+02:00</t>
  </si>
  <si>
    <t>2024-08-31T21:03:03.334+02:00</t>
  </si>
  <si>
    <t>2024-08-31T21:21:27.017+02:00</t>
  </si>
  <si>
    <t>2024-08-31T20:48:33.667+02:00</t>
  </si>
  <si>
    <t>2024-08-31T20:59:29.263+02:00</t>
  </si>
  <si>
    <t>2024-08-31T20:33:44.220+02:00</t>
  </si>
  <si>
    <t>2024-08-31T20:46:14.200+02:00</t>
  </si>
  <si>
    <t>2024-08-31T20:33:39.760+02:00</t>
  </si>
  <si>
    <t>2024-08-31T20:43:25.130+02:00</t>
  </si>
  <si>
    <t>2024-08-31T20:25:03.215+02:00</t>
  </si>
  <si>
    <t>2024-08-31T20:34:31.016+02:00</t>
  </si>
  <si>
    <t>2024-08-31T20:46:41.124+02:00</t>
  </si>
  <si>
    <t>2024-08-31T20:25:03.745+02:00</t>
  </si>
  <si>
    <t>2024-08-31T20:17:23.776+02:00</t>
  </si>
  <si>
    <t>2024-08-31T20:28:01.491+02:00</t>
  </si>
  <si>
    <t>2024-08-31T20:15:59.656+02:00</t>
  </si>
  <si>
    <t>2024-08-31T20:29:35.156+02:00</t>
  </si>
  <si>
    <t>2024-08-31T20:14:02.697+02:00</t>
  </si>
  <si>
    <t>2024-08-31T20:28:21.072+02:00</t>
  </si>
  <si>
    <t>2024-08-31T20:35:22.012+02:00</t>
  </si>
  <si>
    <t>2024-08-31T20:14:03.255+02:00</t>
  </si>
  <si>
    <t>2024-08-31T20:09:02.744+02:00</t>
  </si>
  <si>
    <t>2024-08-31T20:20:06.999+02:00</t>
  </si>
  <si>
    <t>2024-08-31T20:07:02.439+02:00</t>
  </si>
  <si>
    <t>2024-08-31T20:28:35.014+02:00</t>
  </si>
  <si>
    <t>2024-08-31T20:47:48.138+02:00</t>
  </si>
  <si>
    <t>2024-08-31T20:07:03.022+02:00</t>
  </si>
  <si>
    <t>2024-08-31T20:04:02.890+02:00</t>
  </si>
  <si>
    <t>2024-08-31T20:17:31.976+02:00</t>
  </si>
  <si>
    <t>2024-08-31T20:03:03.551+02:00</t>
  </si>
  <si>
    <t>2024-08-31T20:15:58.159+02:00</t>
  </si>
  <si>
    <t>2024-08-31T19:59:39.703+02:00</t>
  </si>
  <si>
    <t>2024-08-31T20:19:08.247+02:00</t>
  </si>
  <si>
    <t>2024-08-31T19:47:28.289+02:00</t>
  </si>
  <si>
    <t>2024-08-31T19:58:43.978+02:00</t>
  </si>
  <si>
    <t>2024-08-31T19:46:24.448+02:00</t>
  </si>
  <si>
    <t>2024-08-31T20:05:03.240+02:00</t>
  </si>
  <si>
    <t>2024-08-31T19:45:38.654+02:00</t>
  </si>
  <si>
    <t>2024-08-31T20:03:58.275+02:00</t>
  </si>
  <si>
    <t>2024-08-31T19:41:02.745+02:00</t>
  </si>
  <si>
    <t>2024-08-31T19:55:23.964+02:00</t>
  </si>
  <si>
    <t>2024-08-31T19:34:02.571+02:00</t>
  </si>
  <si>
    <t>2024-08-31T19:46:31.099+02:00</t>
  </si>
  <si>
    <t>2024-08-31T19:26:03.050+02:00</t>
  </si>
  <si>
    <t>2024-08-31T19:54:55.020+02:00</t>
  </si>
  <si>
    <t>2024-08-31T20:08:18.942+02:00</t>
  </si>
  <si>
    <t>2024-08-31T19:26:04.299+02:00</t>
  </si>
  <si>
    <t>2024-08-31T19:26:03.038+02:00</t>
  </si>
  <si>
    <t>2024-08-31T19:39:58.014+02:00</t>
  </si>
  <si>
    <t>2024-08-31T20:11:43.952+02:00</t>
  </si>
  <si>
    <t>2024-08-31T19:26:03.823+02:00</t>
  </si>
  <si>
    <t>2024-08-31T19:25:38.250+02:00</t>
  </si>
  <si>
    <t>2024-08-31T19:44:48.311+02:00</t>
  </si>
  <si>
    <t>2024-08-31T19:17:03.085+02:00</t>
  </si>
  <si>
    <t>2024-08-31T19:33:48.987+02:00</t>
  </si>
  <si>
    <t>2024-08-31T19:14:02.748+02:00</t>
  </si>
  <si>
    <t>2024-08-31T19:31:20.975+02:00</t>
  </si>
  <si>
    <t>2024-08-31T19:13:03.275+02:00</t>
  </si>
  <si>
    <t>2024-08-31T19:24:07.956+02:00</t>
  </si>
  <si>
    <t>2024-08-31T19:28:56.586+02:00</t>
  </si>
  <si>
    <t>2024-08-31T19:13:03.812+02:00</t>
  </si>
  <si>
    <t>2024-08-31T19:12:03.552+02:00</t>
  </si>
  <si>
    <t>2024-08-31T19:27:31.986+02:00</t>
  </si>
  <si>
    <t>2024-08-31T19:59:04.673+02:00</t>
  </si>
  <si>
    <t>2024-08-31T19:12:04.312+02:00</t>
  </si>
  <si>
    <t>2024-08-31T19:11:42.880+02:00</t>
  </si>
  <si>
    <t>2024-08-31T19:38:12.242+02:00</t>
  </si>
  <si>
    <t>2024-08-31T19:05:02.573+02:00</t>
  </si>
  <si>
    <t>2024-08-31T19:19:47.003+02:00</t>
  </si>
  <si>
    <t>2024-08-31T18:59:02.560+02:00</t>
  </si>
  <si>
    <t>2024-08-31T19:12:04.958+02:00</t>
  </si>
  <si>
    <t>2024-08-31T19:41:33.891+02:00</t>
  </si>
  <si>
    <t>2024-08-31T18:59:03.221+02:00</t>
  </si>
  <si>
    <t>2024-08-31T18:53:02.422+02:00</t>
  </si>
  <si>
    <t>2024-08-31T19:01:39.749+02:00</t>
  </si>
  <si>
    <t>2024-08-31T18:52:34.526+02:00</t>
  </si>
  <si>
    <t>2024-08-31T19:10:01.029+02:00</t>
  </si>
  <si>
    <t>2024-08-31T18:37:27.396+02:00</t>
  </si>
  <si>
    <t>2024-08-31T18:52:26.014+02:00</t>
  </si>
  <si>
    <t>2024-08-31T18:36:29.693+02:00</t>
  </si>
  <si>
    <t>2024-08-31T18:46:18.047+02:00</t>
  </si>
  <si>
    <t>2024-08-31T18:30:03.001+02:00</t>
  </si>
  <si>
    <t>2024-08-31T18:41:37.818+02:00</t>
  </si>
  <si>
    <t>2024-08-31T18:49:10.644+02:00</t>
  </si>
  <si>
    <t>2024-08-31T18:30:03.649+02:00</t>
  </si>
  <si>
    <t>2024-08-31T18:05:02.992+02:00</t>
  </si>
  <si>
    <t>2024-08-31T18:17:08.798+02:00</t>
  </si>
  <si>
    <t>2024-08-31T18:27:32.483+02:00</t>
  </si>
  <si>
    <t>2024-08-31T18:05:03.538+02:00</t>
  </si>
  <si>
    <t>2024-08-31T18:04:02.716+02:00</t>
  </si>
  <si>
    <t>2024-08-31T18:13:46.780+02:00</t>
  </si>
  <si>
    <t>2024-08-31T18:41:48.481+02:00</t>
  </si>
  <si>
    <t>2024-08-31T18:04:03.303+02:00</t>
  </si>
  <si>
    <t>2024-08-31T18:00:43.088+02:00</t>
  </si>
  <si>
    <t>2024-08-31T18:15:25.866+02:00</t>
  </si>
  <si>
    <t>2024-08-31T17:44:03.238+02:00</t>
  </si>
  <si>
    <t>2024-08-31T17:54:32.998+02:00</t>
  </si>
  <si>
    <t>2024-08-31T18:18:50.088+02:00</t>
  </si>
  <si>
    <t>2024-08-31T17:50:29.867+02:00</t>
  </si>
  <si>
    <t>2024-08-31T17:38:02.760+02:00</t>
  </si>
  <si>
    <t>2024-08-31T17:49:38.813+02:00</t>
  </si>
  <si>
    <t>2024-08-31T17:55:54.018+02:00</t>
  </si>
  <si>
    <t>2024-08-31T17:38:03.226+02:00</t>
  </si>
  <si>
    <t>2024-08-31T17:33:59.832+02:00</t>
  </si>
  <si>
    <t>2024-08-31T17:44:38.203+02:00</t>
  </si>
  <si>
    <t>2024-08-31T17:31:02.214+02:00</t>
  </si>
  <si>
    <t>2024-08-31T17:42:41.792+02:00</t>
  </si>
  <si>
    <t>2024-08-31T18:05:09.673+02:00</t>
  </si>
  <si>
    <t>2024-08-31T17:31:02.723+02:00</t>
  </si>
  <si>
    <t>2024-08-31T17:29:33.492+02:00</t>
  </si>
  <si>
    <t>2024-08-31T17:35:57.017+02:00</t>
  </si>
  <si>
    <t>2024-08-31T17:27:48.449+02:00</t>
  </si>
  <si>
    <t>2024-08-31T17:30:41.744+02:00</t>
  </si>
  <si>
    <t>2024-08-31T17:13:02.139+02:00</t>
  </si>
  <si>
    <t>2024-08-31T17:27:36.790+02:00</t>
  </si>
  <si>
    <t>2024-08-31T17:37:07.693+02:00</t>
  </si>
  <si>
    <t>2024-08-31T17:13:02.665+02:00</t>
  </si>
  <si>
    <t>2024-08-31T17:11:24.977+02:00</t>
  </si>
  <si>
    <t>2024-08-31T17:24:54.371+02:00</t>
  </si>
  <si>
    <t>2024-08-31T17:05:08.689+02:00</t>
  </si>
  <si>
    <t>2024-08-31T17:16:54.120+02:00</t>
  </si>
  <si>
    <t>2024-08-31T16:59:03.779+02:00</t>
  </si>
  <si>
    <t>2024-08-31T17:14:32.427+02:00</t>
  </si>
  <si>
    <t>2024-08-31T16:29:32.771+02:00</t>
  </si>
  <si>
    <t>2024-08-31T16:39:39.768+02:00</t>
  </si>
  <si>
    <t>2024-08-31T16:27:02.671+02:00</t>
  </si>
  <si>
    <t>2024-08-31T16:36:56.819+02:00</t>
  </si>
  <si>
    <t>2024-08-31T16:57:15.226+02:00</t>
  </si>
  <si>
    <t>2024-08-31T16:27:03.218+02:00</t>
  </si>
  <si>
    <t>2024-08-31T16:26:03.539+02:00</t>
  </si>
  <si>
    <t>2024-08-31T16:35:22.776+02:00</t>
  </si>
  <si>
    <t>2024-08-31T16:43:11.604+02:00</t>
  </si>
  <si>
    <t>2024-08-31T16:26:04.193+02:00</t>
  </si>
  <si>
    <t>2024-08-31T16:01:21.531+02:00</t>
  </si>
  <si>
    <t>2024-08-31T16:17:36.268+02:00</t>
  </si>
  <si>
    <t>2024-08-31T15:59:23.241+02:00</t>
  </si>
  <si>
    <t>2024-08-31T16:14:36.011+02:00</t>
  </si>
  <si>
    <t>2024-08-31T15:45:22.225+02:00</t>
  </si>
  <si>
    <t>2024-08-31T15:52:26.982+02:00</t>
  </si>
  <si>
    <t>2024-08-31T15:32:19.844+02:00</t>
  </si>
  <si>
    <t>2024-08-31T15:50:20.025+02:00</t>
  </si>
  <si>
    <t>2024-08-31T15:20:02.484+02:00</t>
  </si>
  <si>
    <t>2024-08-31T15:32:32.780+02:00</t>
  </si>
  <si>
    <t>2024-08-31T15:45:25.791+02:00</t>
  </si>
  <si>
    <t>2024-08-31T15:20:03.107+02:00</t>
  </si>
  <si>
    <t>2024-08-31T15:09:23.874+02:00</t>
  </si>
  <si>
    <t>2024-08-31T15:20:13.206+02:00</t>
  </si>
  <si>
    <t>2024-08-31T15:07:32.275+02:00</t>
  </si>
  <si>
    <t>2024-08-31T15:15:29.179+02:00</t>
  </si>
  <si>
    <t>2024-08-31T14:51:03.359+02:00</t>
  </si>
  <si>
    <t>2024-08-31T14:57:39.868+02:00</t>
  </si>
  <si>
    <t>2024-08-31T15:02:35.340+02:00</t>
  </si>
  <si>
    <t>2024-08-31T14:51:04.014+02:00</t>
  </si>
  <si>
    <t>2024-08-31T14:43:12.176+02:00</t>
  </si>
  <si>
    <t>2024-08-31T14:54:32.884+02:00</t>
  </si>
  <si>
    <t>2024-08-31T14:42:23.968+02:00</t>
  </si>
  <si>
    <t>2024-08-31T14:52:17.016+02:00</t>
  </si>
  <si>
    <t>2024-08-31T14:38:04.383+02:00</t>
  </si>
  <si>
    <t>2024-08-31T14:49:19.076+02:00</t>
  </si>
  <si>
    <t>2024-08-31T14:32:20.569+02:00</t>
  </si>
  <si>
    <t>2024-08-31T14:44:09.137+02:00</t>
  </si>
  <si>
    <t>2024-08-31T13:58:03.248+02:00</t>
  </si>
  <si>
    <t>2024-08-31T14:08:59.803+02:00</t>
  </si>
  <si>
    <t>2024-08-31T13:56:23.618+02:00</t>
  </si>
  <si>
    <t>2024-08-31T14:06:35.267+02:00</t>
  </si>
  <si>
    <t>2024-08-31T13:44:40.684+02:00</t>
  </si>
  <si>
    <t>2024-08-31T13:54:31.740+02:00</t>
  </si>
  <si>
    <t>2024-08-31T13:23:03.154+02:00</t>
  </si>
  <si>
    <t>2024-08-31T13:36:43.899+02:00</t>
  </si>
  <si>
    <t>2024-08-31T13:53:52.922+02:00</t>
  </si>
  <si>
    <t>2024-08-31T13:23:03.758+02:00</t>
  </si>
  <si>
    <t>2024-08-31T13:22:03.173+02:00</t>
  </si>
  <si>
    <t>2024-08-31T13:42:21.804+02:00</t>
  </si>
  <si>
    <t>2024-08-31T14:04:27.779+02:00</t>
  </si>
  <si>
    <t>2024-08-31T13:35:03.476+02:00</t>
  </si>
  <si>
    <t>2024-08-31T13:20:25.388+02:00</t>
  </si>
  <si>
    <t>2024-08-31T13:44:43.991+02:00</t>
  </si>
  <si>
    <t>2024-08-31T13:20:02.260+02:00</t>
  </si>
  <si>
    <t>2024-08-31T13:33:08.781+02:00</t>
  </si>
  <si>
    <t>2024-08-31T13:49:30.953+02:00</t>
  </si>
  <si>
    <t>2024-08-31T13:20:03.017+02:00</t>
  </si>
  <si>
    <t>2024-08-31T13:20:02.248+02:00</t>
  </si>
  <si>
    <t>2024-08-31T13:31:11.735+02:00</t>
  </si>
  <si>
    <t>2024-08-31T13:41:48.411+02:00</t>
  </si>
  <si>
    <t>2024-08-31T13:20:03.255+02:00</t>
  </si>
  <si>
    <t>2024-08-31T13:11:02.771+02:00</t>
  </si>
  <si>
    <t>2024-08-31T13:27:46.775+02:00</t>
  </si>
  <si>
    <t>2024-08-31T13:34:59.753+02:00</t>
  </si>
  <si>
    <t>2024-08-31T13:11:03.263+02:00</t>
  </si>
  <si>
    <t>2024-08-31T13:10:12.522+02:00</t>
  </si>
  <si>
    <t>2024-08-31T13:28:30.803+02:00</t>
  </si>
  <si>
    <t>2024-08-31T13:06:13.076+02:00</t>
  </si>
  <si>
    <t>2024-08-31T13:23:26.697+02:00</t>
  </si>
  <si>
    <t>2024-08-31T13:05:04.604+02:00</t>
  </si>
  <si>
    <t>2024-08-31T13:21:56.745+02:00</t>
  </si>
  <si>
    <t>2024-08-31T13:02:21.169+02:00</t>
  </si>
  <si>
    <t>2024-08-31T13:18:19.024+02:00</t>
  </si>
  <si>
    <t>2024-08-31T13:00:54.844+02:00</t>
  </si>
  <si>
    <t>2024-08-31T13:09:47.690+02:00</t>
  </si>
  <si>
    <t>2024-08-31T12:57:21.531+02:00</t>
  </si>
  <si>
    <t>2024-08-31T13:07:57.060+02:00</t>
  </si>
  <si>
    <t>2024-08-31T12:54:47.745+02:00</t>
  </si>
  <si>
    <t>2024-08-31T13:06:25.703+02:00</t>
  </si>
  <si>
    <t>2024-08-31T12:50:20.158+02:00</t>
  </si>
  <si>
    <t>2024-08-31T13:02:31.970+02:00</t>
  </si>
  <si>
    <t>2024-08-31T12:44:05.817+02:00</t>
  </si>
  <si>
    <t>2024-08-31T12:53:10.003+02:00</t>
  </si>
  <si>
    <t>2024-08-31T12:23:30.024+02:00</t>
  </si>
  <si>
    <t>2024-08-31T12:32:27.949+02:00</t>
  </si>
  <si>
    <t>2024-08-31T12:16:18.577+02:00</t>
  </si>
  <si>
    <t>2024-08-31T12:30:13.004+02:00</t>
  </si>
  <si>
    <t>2024-08-31T12:15:22.573+02:00</t>
  </si>
  <si>
    <t>2024-08-31T12:27:51.958+02:00</t>
  </si>
  <si>
    <t>2024-08-31T12:04:03.602+02:00</t>
  </si>
  <si>
    <t>2024-08-31T12:13:22.889+02:00</t>
  </si>
  <si>
    <t>2024-08-31T12:23:07.390+02:00</t>
  </si>
  <si>
    <t>2024-08-31T12:04:04.118+02:00</t>
  </si>
  <si>
    <t>2024-08-31T12:01:02.266+02:00</t>
  </si>
  <si>
    <t>2024-08-31T12:18:43.823+02:00</t>
  </si>
  <si>
    <t>2024-08-31T11:56:22.575+02:00</t>
  </si>
  <si>
    <t>2024-08-31T12:09:28.923+02:00</t>
  </si>
  <si>
    <t>2024-08-31T11:54:26.284+02:00</t>
  </si>
  <si>
    <t>2024-08-31T12:04:32.689+02:00</t>
  </si>
  <si>
    <t>2024-08-31T11:49:21.086+02:00</t>
  </si>
  <si>
    <t>2024-08-31T12:02:28.914+02:00</t>
  </si>
  <si>
    <t>2024-08-31T11:18:14.446+02:00</t>
  </si>
  <si>
    <t>2024-08-31T11:26:40.435+02:00</t>
  </si>
  <si>
    <t>2024-08-31T11:13:47.498+02:00</t>
  </si>
  <si>
    <t>2024-08-31T11:24:23.737+02:00</t>
  </si>
  <si>
    <t>2024-08-31T11:12:47.493+02:00</t>
  </si>
  <si>
    <t>2024-08-31T11:22:08.635+02:00</t>
  </si>
  <si>
    <t>2024-08-31T11:05:07.172+02:00</t>
  </si>
  <si>
    <t>2024-08-31T11:19:15.618+02:00</t>
  </si>
  <si>
    <t>2024-08-31T10:59:04.335+02:00</t>
  </si>
  <si>
    <t>2024-08-31T11:15:12.830+02:00</t>
  </si>
  <si>
    <t>2024-08-31T11:20:49.124+02:00</t>
  </si>
  <si>
    <t>2024-08-31T10:59:04.929+02:00</t>
  </si>
  <si>
    <t>2024-08-31T10:32:02.511+02:00</t>
  </si>
  <si>
    <t>2024-08-31T11:13:06.728+02:00</t>
  </si>
  <si>
    <t>2024-08-31T11:28:29.422+02:00</t>
  </si>
  <si>
    <t>2024-08-31T10:32:03.471+02:00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</si>
  <si>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</si>
  <si>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</si>
  <si>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</si>
  <si>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</si>
  <si>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</si>
  <si>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</si>
  <si>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</si>
  <si>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</si>
  <si>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</si>
  <si>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</si>
  <si>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Ahurieva Viktoriia</t>
  </si>
  <si>
    <t>21:00</t>
  </si>
  <si>
    <t>Jakub Coufal</t>
  </si>
  <si>
    <t>19:30</t>
  </si>
  <si>
    <t>02:30</t>
  </si>
  <si>
    <t>14:00</t>
  </si>
  <si>
    <t>03:00</t>
  </si>
  <si>
    <t>Pešová Hana</t>
  </si>
  <si>
    <t>01:00</t>
  </si>
  <si>
    <t>14 min 14 s</t>
  </si>
  <si>
    <t>15:00</t>
  </si>
  <si>
    <t>Hegedüs Erik</t>
  </si>
  <si>
    <t>03:30</t>
  </si>
  <si>
    <t>10:30</t>
  </si>
  <si>
    <t>Martin Jurkovič</t>
  </si>
  <si>
    <t>Hyský Aleš</t>
  </si>
  <si>
    <t>Eduard Doležal</t>
  </si>
  <si>
    <t>18:30</t>
  </si>
  <si>
    <t>3:00</t>
  </si>
  <si>
    <t>08:30</t>
  </si>
  <si>
    <t>17 min 37 s</t>
  </si>
  <si>
    <t>Sobota</t>
  </si>
  <si>
    <t>16:00</t>
  </si>
  <si>
    <t>05:00</t>
  </si>
  <si>
    <t>Vladimír Nekolný</t>
  </si>
  <si>
    <t>04:00</t>
  </si>
  <si>
    <t>14 min 00 s</t>
  </si>
  <si>
    <t>17:30</t>
  </si>
  <si>
    <t>07:30</t>
  </si>
  <si>
    <t>Hofmanová Jana</t>
  </si>
  <si>
    <t>13 min 48 s</t>
  </si>
  <si>
    <t>16 min 38 s</t>
  </si>
  <si>
    <t>13 min 36 s</t>
  </si>
  <si>
    <t>19:00</t>
  </si>
  <si>
    <t>22:30</t>
  </si>
  <si>
    <t>05:30</t>
  </si>
  <si>
    <t>15 min 30 s</t>
  </si>
  <si>
    <t>19 min 33 s</t>
  </si>
  <si>
    <t>04:30</t>
  </si>
  <si>
    <t>11 min 44 s</t>
  </si>
  <si>
    <t>06:30</t>
  </si>
  <si>
    <t>14 min 21 s</t>
  </si>
  <si>
    <t>13 min 37 s</t>
  </si>
  <si>
    <t>15:30</t>
  </si>
  <si>
    <t>17 min 36 s</t>
  </si>
  <si>
    <t>15 min 58 s</t>
  </si>
  <si>
    <t>13 min 59 s</t>
  </si>
  <si>
    <t>12 min 02 s</t>
  </si>
  <si>
    <t>02:00</t>
  </si>
  <si>
    <t>09:00</t>
  </si>
  <si>
    <t>14 min 22 s</t>
  </si>
  <si>
    <t>Pražák Aleš</t>
  </si>
  <si>
    <t>Lažek Jaroslav</t>
  </si>
  <si>
    <t>13 min 03 s</t>
  </si>
  <si>
    <t>21:30</t>
  </si>
  <si>
    <t>17 min 41 s</t>
  </si>
  <si>
    <t>12 min 57 s</t>
  </si>
  <si>
    <t>15 min 46 s</t>
  </si>
  <si>
    <t>13 min 51 s</t>
  </si>
  <si>
    <t>13 min 13 s</t>
  </si>
  <si>
    <t>12 min 31 s</t>
  </si>
  <si>
    <t>12 min 54 s</t>
  </si>
  <si>
    <t>14 min 34 s</t>
  </si>
  <si>
    <t>16:30</t>
  </si>
  <si>
    <t>14 min 45 s</t>
  </si>
  <si>
    <t>14 min 50 s</t>
  </si>
  <si>
    <t>15 min 01 s</t>
  </si>
  <si>
    <t>09:30</t>
  </si>
  <si>
    <t>15 min 32 s</t>
  </si>
  <si>
    <t>Chodov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</si>
  <si>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</si>
  <si>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</si>
  <si>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</si>
  <si>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</si>
  <si>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</si>
  <si>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</si>
  <si>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</si>
  <si>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</si>
  <si>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</si>
  <si>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</si>
  <si>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</si>
  <si>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</si>
  <si>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</si>
  <si>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</si>
  <si>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</si>
  <si>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</si>
  <si>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Chlubnová Adéla</t>
  </si>
  <si>
    <t>Počet zpožděných našich rozvozů +5 min</t>
  </si>
  <si>
    <t>Počet rozvozů</t>
  </si>
  <si>
    <t xml:space="preserve">Vlastní vůz </t>
  </si>
  <si>
    <t>počet výdajových dokadů</t>
  </si>
  <si>
    <t>Navrátil Ondřej</t>
  </si>
  <si>
    <t>Hubr Samuel</t>
  </si>
  <si>
    <t>Chlubna Tomáš</t>
  </si>
  <si>
    <t>Woltrdive zpožděný kvůli našemu pozdnímu přiřazení</t>
  </si>
  <si>
    <t>Jan Přibyl</t>
  </si>
  <si>
    <t>Vyber datum    &lt;----------&gt;</t>
  </si>
  <si>
    <t>Celkem hodin Instor</t>
  </si>
  <si>
    <t>Celkem hodin Kurýr</t>
  </si>
  <si>
    <t>Počet dní</t>
  </si>
  <si>
    <t>88:00</t>
  </si>
  <si>
    <t>29:00</t>
  </si>
  <si>
    <t>58:00</t>
  </si>
  <si>
    <t>Sova Martin</t>
  </si>
  <si>
    <t>93:30</t>
  </si>
  <si>
    <t>31:00</t>
  </si>
  <si>
    <t>42:00</t>
  </si>
  <si>
    <t>74:30</t>
  </si>
  <si>
    <t>Céspedes Miranda Sebastián</t>
  </si>
  <si>
    <t>35:00</t>
  </si>
  <si>
    <t>7:00</t>
  </si>
  <si>
    <t>Nekolný Vladimír</t>
  </si>
  <si>
    <t>74:00</t>
  </si>
  <si>
    <t>Fabera Tomáš</t>
  </si>
  <si>
    <t>12 min 20 s</t>
  </si>
  <si>
    <t>Název profilu</t>
  </si>
  <si>
    <t>2025-12-13T17:30:02.877+01:00</t>
  </si>
  <si>
    <t>2025-12-13T17:30:03.369+01:00</t>
  </si>
  <si>
    <t>Adaptee</t>
  </si>
  <si>
    <t>2025-12-13T17:26:17.598+01:00</t>
  </si>
  <si>
    <t>Pizza comeback Chodov</t>
  </si>
  <si>
    <t>2025-12-13T17:21:34.628+01:00</t>
  </si>
  <si>
    <t>2025-12-13T17:29:58.387+01:00</t>
  </si>
  <si>
    <t>2025-12-13T17:14:43.094+01:00</t>
  </si>
  <si>
    <t>2025-12-13T17:26:04.548+01:00</t>
  </si>
  <si>
    <t>2025-12-13T17:11:34.337+01:00</t>
  </si>
  <si>
    <t>2025-12-13T17:22:56.507+01:00</t>
  </si>
  <si>
    <t>2025-12-13T17:09:03.994+01:00</t>
  </si>
  <si>
    <t>2025-12-13T17:21:27.311+01:00</t>
  </si>
  <si>
    <t>2025-12-13T17:08:56.212+01:00</t>
  </si>
  <si>
    <t>2025-12-13T17:15:47.158+01:00</t>
  </si>
  <si>
    <t>Ručně zadané obj.</t>
  </si>
  <si>
    <t>2025-12-13T17:08:05.545+01:00</t>
  </si>
  <si>
    <t>2025-12-13T17:17:46.398+01:00</t>
  </si>
  <si>
    <t>2025-12-13T17:07:02.709+01:00</t>
  </si>
  <si>
    <t>2025-12-13T17:13:00.104+01:00</t>
  </si>
  <si>
    <t>2025-12-13T17:00:53.555+01:00</t>
  </si>
  <si>
    <t>2025-12-13T17:09:28.338+01:00</t>
  </si>
  <si>
    <t>2025-12-13T16:55:03.274+01:00</t>
  </si>
  <si>
    <t>2025-12-13T17:07:43.232+01:00</t>
  </si>
  <si>
    <t>2025-12-13T17:24:17.055+01:00</t>
  </si>
  <si>
    <t>2025-12-13T16:55:03.666+01:00</t>
  </si>
  <si>
    <t>Tereza</t>
  </si>
  <si>
    <t>2025-12-13T16:45:57.547+01:00</t>
  </si>
  <si>
    <t>2025-12-13T16:57:23.243+01:00</t>
  </si>
  <si>
    <t>2025-12-13T16:42:23.486+01:00</t>
  </si>
  <si>
    <t>2025-12-13T16:51:49.298+01:00</t>
  </si>
  <si>
    <t>2025-12-13T16:40:41.249+01:00</t>
  </si>
  <si>
    <t>2025-12-13T16:51:35.017+01:00</t>
  </si>
  <si>
    <t>2025-12-13T16:39:52.156+01:00</t>
  </si>
  <si>
    <t>2025-12-13T16:51:48.302+01:00</t>
  </si>
  <si>
    <t>2025-12-13T16:30:50.110+01:00</t>
  </si>
  <si>
    <t>2025-12-13T16:41:40.229+01:00</t>
  </si>
  <si>
    <t>2025-12-13T16:29:02.441+01:00</t>
  </si>
  <si>
    <t>2025-12-13T16:41:36.146+01:00</t>
  </si>
  <si>
    <t>2025-12-13T16:55:10.656+01:00</t>
  </si>
  <si>
    <t>2025-12-13T16:29:02.730+01:00</t>
  </si>
  <si>
    <t>2025-12-13T16:27:47.586+01:00</t>
  </si>
  <si>
    <t>2025-12-13T16:41:39.180+01:00</t>
  </si>
  <si>
    <t>2025-12-13T16:07:03.433+01:00</t>
  </si>
  <si>
    <t>2025-12-13T16:32:26.035+01:00</t>
  </si>
  <si>
    <t>2025-12-13T16:55:08.757+01:00</t>
  </si>
  <si>
    <t>2025-12-13T16:07:03.814+01:00</t>
  </si>
  <si>
    <t>2025-12-13T16:07:03.419+01:00</t>
  </si>
  <si>
    <t>2025-12-13T16:23:35.045+01:00</t>
  </si>
  <si>
    <t>2025-12-13T16:39:35.443+01:00</t>
  </si>
  <si>
    <t>2025-12-13T16:07:03.816+01:00</t>
  </si>
  <si>
    <t>2025-12-13T16:03:03.213+01:00</t>
  </si>
  <si>
    <t>2025-12-13T16:27:02.992+01:00</t>
  </si>
  <si>
    <t>2025-12-13T16:51:01.534+01:00</t>
  </si>
  <si>
    <t>2025-12-13T16:03:03.531+01:00</t>
  </si>
  <si>
    <t>2025-12-13T15:55:03.460+01:00</t>
  </si>
  <si>
    <t>2025-12-13T16:04:06.770+01:00</t>
  </si>
  <si>
    <t>2025-12-13T16:23:26.709+01:00</t>
  </si>
  <si>
    <t>2025-12-13T15:55:03.741+01:00</t>
  </si>
  <si>
    <t>2025-12-13T15:52:02.969+01:00</t>
  </si>
  <si>
    <t>2025-12-13T16:02:06.818+01:00</t>
  </si>
  <si>
    <t>2025-12-13T16:20:06.567+01:00</t>
  </si>
  <si>
    <t>2025-12-13T15:52:03.284+01:00</t>
  </si>
  <si>
    <t>2025-12-13T15:41:02.921+01:00</t>
  </si>
  <si>
    <t>2025-12-13T16:21:19.035+01:00</t>
  </si>
  <si>
    <t>2025-12-13T15:41:02.907+01:00</t>
  </si>
  <si>
    <t>2025-12-13T15:52:58.747+01:00</t>
  </si>
  <si>
    <t>2025-12-13T15:35:03.323+01:00</t>
  </si>
  <si>
    <t>2025-12-13T15:58:53.857+01:00</t>
  </si>
  <si>
    <t>2025-12-13T16:14:22.128+01:00</t>
  </si>
  <si>
    <t>2025-12-13T15:35:03.611+01:00</t>
  </si>
  <si>
    <t>2025-12-13T15:33:42.290+01:00</t>
  </si>
  <si>
    <t>2025-12-13T15:53:01.934+01:00</t>
  </si>
  <si>
    <t>2025-12-13T15:31:03.290+01:00</t>
  </si>
  <si>
    <t>2025-12-13T15:56:37.775+01:00</t>
  </si>
  <si>
    <t>2025-12-13T16:17:12.732+01:00</t>
  </si>
  <si>
    <t>2025-12-13T15:31:03.599+01:00</t>
  </si>
  <si>
    <t>2025-12-13T15:30:50.722+01:00</t>
  </si>
  <si>
    <t>2025-12-13T15:47:52.053+01:00</t>
  </si>
  <si>
    <t>2025-12-13T15:29:40.778+01:00</t>
  </si>
  <si>
    <t>2025-12-13T15:46:04.964+01:00</t>
  </si>
  <si>
    <t>2025-12-13T15:26:17.340+01:00</t>
  </si>
  <si>
    <t>2025-12-13T15:39:07.051+01:00</t>
  </si>
  <si>
    <t>2025-12-13T15:17:05.174+01:00</t>
  </si>
  <si>
    <t>2025-12-13T15:33:18.581+01:00</t>
  </si>
  <si>
    <t>2025-12-13T15:42:27.088+01:00</t>
  </si>
  <si>
    <t>2025-12-13T15:17:05.778+01:00</t>
  </si>
  <si>
    <t>2025-12-13T15:02:37.158+01:00</t>
  </si>
  <si>
    <t>2025-12-13T15:14:33.859+01:00</t>
  </si>
  <si>
    <t>2025-12-13T14:54:33.170+01:00</t>
  </si>
  <si>
    <t>2025-12-13T15:01:14.412+01:00</t>
  </si>
  <si>
    <t>2025-12-13T14:40:11.319+01:00</t>
  </si>
  <si>
    <t>2025-12-13T14:48:40.654+01:00</t>
  </si>
  <si>
    <t>2025-12-13T14:32:04.172+01:00</t>
  </si>
  <si>
    <t>2025-12-13T14:47:07.389+01:00</t>
  </si>
  <si>
    <t>2025-12-13T14:22:40.887+01:00</t>
  </si>
  <si>
    <t>2025-12-13T14:34:43.632+01:00</t>
  </si>
  <si>
    <t>2025-12-13T14:15:49.612+01:00</t>
  </si>
  <si>
    <t>2025-12-13T14:24:44.691+01:00</t>
  </si>
  <si>
    <t>2025-12-13T14:15:03.128+01:00</t>
  </si>
  <si>
    <t>2025-12-13T14:21:05.356+01:00</t>
  </si>
  <si>
    <t>2025-12-13T14:48:56.597+01:00</t>
  </si>
  <si>
    <t>2025-12-13T14:15:03.496+01:00</t>
  </si>
  <si>
    <t>2025-12-13T14:12:03.409+01:00</t>
  </si>
  <si>
    <t>2025-12-13T14:19:40.470+01:00</t>
  </si>
  <si>
    <t>2025-12-13T14:04:34.367+01:00</t>
  </si>
  <si>
    <t>2025-12-13T14:16:48.336+01:00</t>
  </si>
  <si>
    <t>2025-12-13T13:56:03.407+01:00</t>
  </si>
  <si>
    <t>2025-12-13T14:12:02.468+01:00</t>
  </si>
  <si>
    <t>2025-12-13T14:32:17.231+01:00</t>
  </si>
  <si>
    <t>2025-12-13T13:56:03.702+01:00</t>
  </si>
  <si>
    <t>2025-12-13T13:54:37.601+01:00</t>
  </si>
  <si>
    <t>2025-12-13T14:07:02.599+01:00</t>
  </si>
  <si>
    <t>2025-12-13T13:53:04.365+01:00</t>
  </si>
  <si>
    <t>2025-12-13T14:13:54.337+01:00</t>
  </si>
  <si>
    <t>2025-12-13T14:50:13.281+01:00</t>
  </si>
  <si>
    <t>2025-12-13T13:53:04.697+01:00</t>
  </si>
  <si>
    <t>2025-12-13T13:45:03.217+01:00</t>
  </si>
  <si>
    <t>2025-12-13T13:52:39.252+01:00</t>
  </si>
  <si>
    <t>2025-12-13T13:58:11.393+01:00</t>
  </si>
  <si>
    <t>2025-12-13T13:45:03.589+01:00</t>
  </si>
  <si>
    <t>2025-12-13T13:38:05.498+01:00</t>
  </si>
  <si>
    <t>2025-12-13T13:46:16.237+01:00</t>
  </si>
  <si>
    <t>2025-12-13T13:37:25.862+01:00</t>
  </si>
  <si>
    <t>2025-12-13T13:45:32.955+01:00</t>
  </si>
  <si>
    <t>2025-12-13T13:37:02.948+01:00</t>
  </si>
  <si>
    <t>2025-12-13T13:48:23.518+01:00</t>
  </si>
  <si>
    <t>2025-12-13T14:07:45.430+01:00</t>
  </si>
  <si>
    <t>2025-12-13T13:37:03.301+01:00</t>
  </si>
  <si>
    <t>2025-12-13T13:29:02.534+01:00</t>
  </si>
  <si>
    <t>2025-12-13T13:29:33.147+01:00</t>
  </si>
  <si>
    <t>2025-12-13T13:24:36.872+01:00</t>
  </si>
  <si>
    <t>2025-12-13T13:43:40.523+01:00</t>
  </si>
  <si>
    <t>2025-12-13T13:22:24.354+01:00</t>
  </si>
  <si>
    <t>2025-12-13T13:42:41.462+01:00</t>
  </si>
  <si>
    <t>2025-12-13T13:21:24.299+01:00</t>
  </si>
  <si>
    <t>2025-12-13T13:38:55.454+01:00</t>
  </si>
  <si>
    <t>2025-12-13T13:17:02.978+01:00</t>
  </si>
  <si>
    <t>2025-12-13T13:35:20.177+01:00</t>
  </si>
  <si>
    <t>2025-12-13T13:08:02.572+01:00</t>
  </si>
  <si>
    <t>2025-12-13T13:15:25.084+01:00</t>
  </si>
  <si>
    <t>2025-12-13T13:22:48.110+01:00</t>
  </si>
  <si>
    <t>2025-12-13T13:08:03.304+01:00</t>
  </si>
  <si>
    <t>2025-12-13T13:03:27.673+01:00</t>
  </si>
  <si>
    <t>2025-12-13T13:14:02.390+01:00</t>
  </si>
  <si>
    <t>2025-12-13T12:51:38.920+01:00</t>
  </si>
  <si>
    <t>2025-12-13T13:05:21.292+01:00</t>
  </si>
  <si>
    <t>2025-12-13T12:44:49.924+01:00</t>
  </si>
  <si>
    <t>2025-12-13T12:57:06.179+01:00</t>
  </si>
  <si>
    <t>2025-12-13T12:39:03.855+01:00</t>
  </si>
  <si>
    <t>2025-12-13T12:53:47.864+01:00</t>
  </si>
  <si>
    <t>2025-12-13T13:01:29.953+01:00</t>
  </si>
  <si>
    <t>2025-12-13T12:39:04.164+01:00</t>
  </si>
  <si>
    <t>2025-12-13T12:26:48.590+01:00</t>
  </si>
  <si>
    <t>2025-12-13T12:52:05.013+01:00</t>
  </si>
  <si>
    <t>2025-12-13T12:23:03.621+01:00</t>
  </si>
  <si>
    <t>2025-12-13T12:40:35.639+01:00</t>
  </si>
  <si>
    <t>2025-12-13T12:22:44.647+01:00</t>
  </si>
  <si>
    <t>2025-12-13T12:49:18.968+01:00</t>
  </si>
  <si>
    <t>2025-12-13T12:22:44.216+01:00</t>
  </si>
  <si>
    <t>2025-12-13T12:45:59.834+01:00</t>
  </si>
  <si>
    <t>2025-12-13T12:11:22.974+01:00</t>
  </si>
  <si>
    <t>2025-12-13T12:17:46.091+01:00</t>
  </si>
  <si>
    <t>2025-12-13T12:07:35.857+01:00</t>
  </si>
  <si>
    <t>2025-12-13T12:14:54.799+01:00</t>
  </si>
  <si>
    <t>2025-12-13T12:03:05.752+01:00</t>
  </si>
  <si>
    <t>2025-12-13T12:12:46.837+01:00</t>
  </si>
  <si>
    <t>2025-12-13T12:02:44.212+01:00</t>
  </si>
  <si>
    <t>2025-12-13T12:10:19.774+01:00</t>
  </si>
  <si>
    <t>2025-12-13T12:01:54.275+01:00</t>
  </si>
  <si>
    <t>2025-12-13T12:08:07.789+01:00</t>
  </si>
  <si>
    <t>2025-12-13T11:56:55.722+01:00</t>
  </si>
  <si>
    <t>2025-12-13T12:03:14.809+01:00</t>
  </si>
  <si>
    <t>2025-12-13T11:40:03.001+01:00</t>
  </si>
  <si>
    <t>2025-12-13T11:56:53.535+01:00</t>
  </si>
  <si>
    <t>2025-12-13T12:02:50.707+01:00</t>
  </si>
  <si>
    <t>2025-12-13T11:40:03.256+01:00</t>
  </si>
  <si>
    <t>2025-12-13T11:37:43.821+01:00</t>
  </si>
  <si>
    <t>2025-12-13T12:00:27.767+01:00</t>
  </si>
  <si>
    <t>2025-12-13T11:36:03.893+01:00</t>
  </si>
  <si>
    <t>2025-12-13T12:33:17.647+01:00</t>
  </si>
  <si>
    <t>2025-12-13T11:34:02.959+01:00</t>
  </si>
  <si>
    <t>2025-12-13T11:54:57.494+01:00</t>
  </si>
  <si>
    <t>2025-12-13T12:13:22.415+01:00</t>
  </si>
  <si>
    <t>2025-12-13T11:34:03.248+01:00</t>
  </si>
  <si>
    <t>2025-12-13T11:32:14.356+01:00</t>
  </si>
  <si>
    <t>2025-12-13T11:48:54.686+01:00</t>
  </si>
  <si>
    <t>2025-12-13T11:27:03.102+01:00</t>
  </si>
  <si>
    <t>2025-12-13T11:46:00.477+01:00</t>
  </si>
  <si>
    <t>2025-12-13T12:13:55.438+01:00</t>
  </si>
  <si>
    <t>2025-12-13T11:27:03.446+01:00</t>
  </si>
  <si>
    <t>2025-12-13T11:22:08.154+01:00</t>
  </si>
  <si>
    <t>2025-12-13T11:28:07.141+01:00</t>
  </si>
  <si>
    <t>2025-12-13T11:18:02.457+01:00</t>
  </si>
  <si>
    <t>2025-12-13T11:24:00.507+01:00</t>
  </si>
  <si>
    <t>2025-12-13T11:41:17.925+01:00</t>
  </si>
  <si>
    <t>2025-12-13T11:18:02.920+01:00</t>
  </si>
  <si>
    <t>2025-12-13T11:06:02.832+01:00</t>
  </si>
  <si>
    <t>2025-12-13T11:18:46.471+01:00</t>
  </si>
  <si>
    <t>2025-12-13T11:41:22.985+01:00</t>
  </si>
  <si>
    <t>2025-12-13T11:06:03.251+01:00</t>
  </si>
  <si>
    <t>2025-12-13T10:58:02.680+01:00</t>
  </si>
  <si>
    <t>2025-12-13T11:15:02.479+01:00</t>
  </si>
  <si>
    <t>2025-12-13T11:28:41.666+01:00</t>
  </si>
  <si>
    <t>2025-12-13T10:58:03.253+01:00</t>
  </si>
  <si>
    <t>Manažeři</t>
  </si>
  <si>
    <t>Zamestnanci pobocky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</si>
  <si>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</si>
  <si>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</si>
  <si>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Hana Pešová</t>
  </si>
  <si>
    <t>10:00 - 17:00 (Instor)</t>
  </si>
  <si>
    <t>10:00 - 22:00 (Instor)</t>
  </si>
  <si>
    <t>17:00 - 1:00 (Instor)</t>
  </si>
  <si>
    <t>Tomáš Šebesta</t>
  </si>
  <si>
    <t>10:00 - 0:00 (Instor)</t>
  </si>
  <si>
    <t>18:00 - 23:00 (zdobič)</t>
  </si>
  <si>
    <t>Tomáš Chlubna</t>
  </si>
  <si>
    <t>11:00 - 17:00 (Kurýr)</t>
  </si>
  <si>
    <t>17:00 - 3:00 (Kurýr)</t>
  </si>
  <si>
    <t>17:00 - 0:00 (Kurýr)</t>
  </si>
  <si>
    <t>17:00 - 22:00 (Kurýr)</t>
  </si>
  <si>
    <t>Zoltan Lánský</t>
  </si>
  <si>
    <t>18:00 - 0:00 (Kurýr)</t>
  </si>
  <si>
    <t>17:00 - 23:00 (Kurýr)</t>
  </si>
  <si>
    <t>11:00 - 18:00 (Kurýr)</t>
  </si>
  <si>
    <t>17:00 - 3:00 (Instor)</t>
  </si>
  <si>
    <t>17:00 - 0:00 (Instor)</t>
  </si>
  <si>
    <t>Benjamín Szabó</t>
  </si>
  <si>
    <t>Jan Hammer</t>
  </si>
  <si>
    <t>18:00 - 1:00 (Kurýr)</t>
  </si>
  <si>
    <t>17:00 - 1:00 (Kurýr)</t>
  </si>
  <si>
    <t>Martin Hřebík</t>
  </si>
  <si>
    <t>11:00 - 0:00 (Kurýr)</t>
  </si>
  <si>
    <t>Petr Mesl</t>
  </si>
  <si>
    <t>Karolína Tomečková</t>
  </si>
  <si>
    <t>18:00 - 1:00 (Instor)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</si>
</sst>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d-mm-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rgb="FF000000"/>
      <name val="&quot;Google Sans Mono&quot;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rgb="FF000000"/>
      <name val="&quot;Google Sans Mono&quot;"/>
    </font>
    <font>
      <sz val="12.0"/>
      <color rgb="FF000000"/>
      <name val="Arial"/>
      <scheme val="minor"/>
    </font>
    <font>
      <sz val="11.0"/>
      <color theme="1"/>
      <name val="Arial"/>
    </font>
    <font>
      <color rgb="FFCCCCCC"/>
      <name val="Arial"/>
    </font>
    <font>
      <b/>
      <sz val="11.0"/>
      <color rgb="FFEFEFEF"/>
      <name val="Arial"/>
    </font>
    <font>
      <b/>
      <sz val="14.0"/>
      <color theme="1"/>
      <name val="&quot;Google Sans Mono&quot;"/>
    </font>
    <font>
      <b/>
      <sz val="14.0"/>
      <color theme="1"/>
      <name val="Arial"/>
      <scheme val="minor"/>
    </font>
    <font>
      <b/>
      <sz val="13.0"/>
      <color theme="1"/>
      <name val="&quot;Google Sans Mono&quot;"/>
    </font>
    <font>
      <sz val="9.0"/>
      <color theme="1"/>
      <name val="Google Sans Mono"/>
    </font>
    <font>
      <b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</fills>
  <borders count="52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8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0" fillId="2" fontId="2" numFmtId="2" xfId="0" applyAlignment="1" applyFont="1" applyNumberFormat="1">
      <alignment horizontal="center" vertical="center"/>
    </xf>
    <xf borderId="20" fillId="0" fontId="14" numFmtId="0" xfId="0" applyAlignment="1" applyBorder="1" applyFont="1">
      <alignment horizontal="center" readingOrder="0" vertical="center"/>
    </xf>
    <xf borderId="21" fillId="0" fontId="14" numFmtId="20" xfId="0" applyAlignment="1" applyBorder="1" applyFont="1" applyNumberFormat="1">
      <alignment horizontal="center" vertical="center"/>
    </xf>
    <xf borderId="22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3" fillId="7" fontId="10" numFmtId="0" xfId="0" applyAlignment="1" applyBorder="1" applyFont="1">
      <alignment horizontal="center" vertical="center"/>
    </xf>
    <xf borderId="0" fillId="5" fontId="17" numFmtId="2" xfId="0" applyAlignment="1" applyFont="1" applyNumberFormat="1">
      <alignment horizontal="center" vertical="center"/>
    </xf>
    <xf borderId="16" fillId="9" fontId="2" numFmtId="49" xfId="0" applyAlignment="1" applyBorder="1" applyFont="1" applyNumberFormat="1">
      <alignment horizontal="center" readingOrder="0" shrinkToFit="0" wrapText="0"/>
    </xf>
    <xf borderId="12" fillId="9" fontId="2" numFmtId="49" xfId="0" applyAlignment="1" applyBorder="1" applyFont="1" applyNumberFormat="1">
      <alignment horizontal="center" readingOrder="0" shrinkToFit="0" wrapText="0"/>
    </xf>
    <xf borderId="24" fillId="9" fontId="2" numFmtId="49" xfId="0" applyAlignment="1" applyBorder="1" applyFont="1" applyNumberFormat="1">
      <alignment horizontal="center" readingOrder="0" vertical="center"/>
    </xf>
    <xf borderId="25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4" fillId="9" fontId="2" numFmtId="20" xfId="0" applyAlignment="1" applyBorder="1" applyFont="1" applyNumberFormat="1">
      <alignment horizontal="center" vertic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3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6" fillId="9" fontId="2" numFmtId="0" xfId="0" applyAlignment="1" applyBorder="1" applyFont="1">
      <alignment horizontal="center" readingOrder="0" vertical="center"/>
    </xf>
    <xf borderId="23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7" fillId="12" fontId="18" numFmtId="0" xfId="0" applyAlignment="1" applyBorder="1" applyFont="1">
      <alignment horizontal="center" readingOrder="0" vertical="center"/>
    </xf>
    <xf borderId="1" fillId="2" fontId="20" numFmtId="2" xfId="0" applyAlignment="1" applyBorder="1" applyFont="1" applyNumberFormat="1">
      <alignment horizontal="center" vertical="center"/>
    </xf>
    <xf borderId="10" fillId="10" fontId="2" numFmtId="0" xfId="0" applyAlignment="1" applyBorder="1" applyFont="1">
      <alignment horizontal="center" vertical="center"/>
    </xf>
    <xf borderId="28" fillId="10" fontId="19" numFmtId="0" xfId="0" applyAlignment="1" applyBorder="1" applyFont="1">
      <alignment horizontal="center" shrinkToFit="0" wrapText="1"/>
    </xf>
    <xf borderId="28" fillId="10" fontId="14" numFmtId="0" xfId="0" applyAlignment="1" applyBorder="1" applyFont="1">
      <alignment horizontal="center" shrinkToFit="0" wrapText="1"/>
    </xf>
    <xf borderId="1" fillId="2" fontId="20" numFmtId="2" xfId="0" applyAlignment="1" applyBorder="1" applyFont="1" applyNumberFormat="1">
      <alignment horizontal="center" readingOrder="0" vertical="center"/>
    </xf>
    <xf borderId="28" fillId="13" fontId="19" numFmtId="0" xfId="0" applyAlignment="1" applyBorder="1" applyFill="1" applyFont="1">
      <alignment horizontal="center" shrinkToFit="0" wrapText="1"/>
    </xf>
    <xf borderId="28" fillId="13" fontId="19" numFmtId="166" xfId="0" applyAlignment="1" applyBorder="1" applyFont="1" applyNumberFormat="1">
      <alignment horizontal="center" shrinkToFit="0" wrapText="1"/>
    </xf>
    <xf borderId="28" fillId="13" fontId="2" numFmtId="0" xfId="0" applyAlignment="1" applyBorder="1" applyFont="1">
      <alignment horizontal="center"/>
    </xf>
    <xf borderId="21" fillId="0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0" fillId="10" fontId="14" numFmtId="0" xfId="0" applyAlignment="1" applyBorder="1" applyFont="1">
      <alignment horizontal="center" shrinkToFit="0" wrapText="1"/>
    </xf>
    <xf borderId="30" fillId="10" fontId="19" numFmtId="0" xfId="0" applyAlignment="1" applyBorder="1" applyFont="1">
      <alignment horizontal="center" shrinkToFit="0" wrapText="1"/>
    </xf>
    <xf borderId="31" fillId="9" fontId="2" numFmtId="49" xfId="0" applyAlignment="1" applyBorder="1" applyFont="1" applyNumberFormat="1">
      <alignment horizontal="center" readingOrder="0" shrinkToFit="0" wrapText="0"/>
    </xf>
    <xf borderId="28" fillId="9" fontId="2" numFmtId="49" xfId="0" applyAlignment="1" applyBorder="1" applyFont="1" applyNumberFormat="1">
      <alignment horizontal="center" readingOrder="0" vertical="center"/>
    </xf>
    <xf borderId="28" fillId="12" fontId="18" numFmtId="0" xfId="0" applyAlignment="1" applyBorder="1" applyFont="1">
      <alignment horizontal="center" readingOrder="0" vertical="center"/>
    </xf>
    <xf borderId="12" fillId="6" fontId="2" numFmtId="0" xfId="0" applyAlignment="1" applyBorder="1" applyFont="1">
      <alignment horizontal="center" readingOrder="0" vertical="center"/>
    </xf>
    <xf borderId="12" fillId="14" fontId="21" numFmtId="0" xfId="0" applyAlignment="1" applyBorder="1" applyFill="1" applyFont="1">
      <alignment horizontal="center" readingOrder="0" vertical="center"/>
    </xf>
    <xf borderId="24" fillId="12" fontId="14" numFmtId="0" xfId="0" applyAlignment="1" applyBorder="1" applyFont="1">
      <alignment horizontal="center" vertical="center"/>
    </xf>
    <xf borderId="32" fillId="0" fontId="6" numFmtId="0" xfId="0" applyBorder="1" applyFont="1"/>
    <xf borderId="33" fillId="9" fontId="2" numFmtId="0" xfId="0" applyAlignment="1" applyBorder="1" applyFont="1">
      <alignment readingOrder="0" vertical="bottom"/>
    </xf>
    <xf borderId="28" fillId="9" fontId="2" numFmtId="20" xfId="0" applyAlignment="1" applyBorder="1" applyFont="1" applyNumberFormat="1">
      <alignment horizontal="center" vertical="center"/>
    </xf>
    <xf borderId="13" fillId="12" fontId="14" numFmtId="0" xfId="0" applyAlignment="1" applyBorder="1" applyFont="1">
      <alignment horizontal="center" vertical="center"/>
    </xf>
    <xf borderId="28" fillId="15" fontId="19" numFmtId="0" xfId="0" applyAlignment="1" applyBorder="1" applyFill="1" applyFont="1">
      <alignment horizontal="center" shrinkToFit="0" wrapText="1"/>
    </xf>
    <xf borderId="28" fillId="16" fontId="2" numFmtId="0" xfId="0" applyAlignment="1" applyBorder="1" applyFill="1" applyFont="1">
      <alignment horizontal="center"/>
    </xf>
    <xf borderId="28" fillId="9" fontId="2" numFmtId="49" xfId="0" applyAlignment="1" applyBorder="1" applyFont="1" applyNumberFormat="1">
      <alignment horizontal="center" readingOrder="0" shrinkToFit="0" wrapText="0"/>
    </xf>
    <xf borderId="34" fillId="10" fontId="14" numFmtId="0" xfId="0" applyAlignment="1" applyBorder="1" applyFont="1">
      <alignment horizontal="center" shrinkToFit="0" wrapText="1"/>
    </xf>
    <xf borderId="35" fillId="0" fontId="6" numFmtId="0" xfId="0" applyBorder="1" applyFont="1"/>
    <xf borderId="36" fillId="0" fontId="6" numFmtId="0" xfId="0" applyBorder="1" applyFont="1"/>
    <xf borderId="12" fillId="0" fontId="6" numFmtId="0" xfId="0" applyBorder="1" applyFont="1"/>
    <xf borderId="37" fillId="16" fontId="2" numFmtId="0" xfId="0" applyAlignment="1" applyBorder="1" applyFont="1">
      <alignment horizontal="center"/>
    </xf>
    <xf borderId="38" fillId="0" fontId="6" numFmtId="0" xfId="0" applyBorder="1" applyFont="1"/>
    <xf borderId="28" fillId="13" fontId="2" numFmtId="10" xfId="0" applyAlignment="1" applyBorder="1" applyFont="1" applyNumberFormat="1">
      <alignment horizontal="center"/>
    </xf>
    <xf borderId="0" fillId="17" fontId="2" numFmtId="0" xfId="0" applyFill="1" applyFont="1"/>
    <xf borderId="39" fillId="9" fontId="2" numFmtId="0" xfId="0" applyAlignment="1" applyBorder="1" applyFont="1">
      <alignment horizontal="center" readingOrder="0" vertical="center"/>
    </xf>
    <xf borderId="30" fillId="9" fontId="2" numFmtId="49" xfId="0" applyAlignment="1" applyBorder="1" applyFont="1" applyNumberFormat="1">
      <alignment horizontal="center" readingOrder="0" vertical="center"/>
    </xf>
    <xf borderId="30" fillId="9" fontId="2" numFmtId="20" xfId="0" applyAlignment="1" applyBorder="1" applyFont="1" applyNumberFormat="1">
      <alignment horizontal="center" vertical="center"/>
    </xf>
    <xf borderId="30" fillId="12" fontId="18" numFmtId="0" xfId="0" applyAlignment="1" applyBorder="1" applyFont="1">
      <alignment horizontal="center" readingOrder="0" vertical="center"/>
    </xf>
    <xf borderId="0" fillId="2" fontId="20" numFmtId="2" xfId="0" applyAlignment="1" applyFont="1" applyNumberFormat="1">
      <alignment horizontal="center" vertical="center"/>
    </xf>
    <xf borderId="40" fillId="18" fontId="14" numFmtId="0" xfId="0" applyAlignment="1" applyBorder="1" applyFill="1" applyFont="1">
      <alignment horizontal="center" readingOrder="0" vertical="center"/>
    </xf>
    <xf borderId="19" fillId="18" fontId="14" numFmtId="0" xfId="0" applyAlignment="1" applyBorder="1" applyFont="1">
      <alignment horizontal="center" vertical="center"/>
    </xf>
    <xf borderId="23" fillId="6" fontId="14" numFmtId="0" xfId="0" applyAlignment="1" applyBorder="1" applyFont="1">
      <alignment horizontal="center" readingOrder="0" vertical="center"/>
    </xf>
    <xf borderId="23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4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3" fillId="5" fontId="22" numFmtId="165" xfId="0" applyAlignment="1" applyBorder="1" applyFont="1" applyNumberFormat="1">
      <alignment horizontal="center" readingOrder="0" shrinkToFit="0" vertical="center" wrapText="0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9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22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3" fillId="5" fontId="7" numFmtId="0" xfId="0" applyAlignment="1" applyBorder="1" applyFont="1">
      <alignment horizontal="center" readingOrder="0" vertical="center"/>
    </xf>
    <xf borderId="14" fillId="5" fontId="7" numFmtId="0" xfId="0" applyAlignment="1" applyBorder="1" applyFont="1">
      <alignment horizontal="center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Alignment="1" applyFont="1">
      <alignment horizontal="center" vertical="center"/>
    </xf>
    <xf borderId="41" fillId="5" fontId="10" numFmtId="0" xfId="0" applyAlignment="1" applyBorder="1" applyFont="1">
      <alignment horizontal="center" vertical="center"/>
    </xf>
    <xf borderId="2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42" fillId="5" fontId="14" numFmtId="0" xfId="0" applyAlignment="1" applyBorder="1" applyFont="1">
      <alignment horizontal="center" readingOrder="0" vertical="center"/>
    </xf>
    <xf borderId="3" fillId="5" fontId="16" numFmtId="166" xfId="0" applyAlignment="1" applyBorder="1" applyFont="1" applyNumberForma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4" fillId="14" fontId="2" numFmtId="49" xfId="0" applyAlignment="1" applyBorder="1" applyFont="1" applyNumberFormat="1">
      <alignment horizontal="center" readingOrder="0" vertical="center"/>
    </xf>
    <xf borderId="42" fillId="5" fontId="14" numFmtId="49" xfId="0" applyAlignment="1" applyBorder="1" applyFont="1" applyNumberFormat="1">
      <alignment horizontal="center" readingOrder="0" vertical="center"/>
    </xf>
    <xf borderId="28" fillId="0" fontId="1" numFmtId="49" xfId="0" applyAlignment="1" applyBorder="1" applyFont="1" applyNumberFormat="1">
      <alignment horizontal="center" readingOrder="0"/>
    </xf>
    <xf borderId="23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28" fillId="5" fontId="2" numFmtId="49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4" fillId="14" fontId="2" numFmtId="49" xfId="0" applyAlignment="1" applyBorder="1" applyFont="1" applyNumberFormat="1">
      <alignment horizontal="center" readingOrder="0" vertical="center"/>
    </xf>
    <xf borderId="23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Alignment="1" applyBorder="1" applyFont="1">
      <alignment horizontal="center" vertical="center"/>
    </xf>
    <xf borderId="0" fillId="5" fontId="19" numFmtId="0" xfId="0" applyAlignment="1" applyFont="1">
      <alignment horizontal="center" readingOrder="0" shrinkToFit="0" vertical="center" wrapText="1"/>
    </xf>
    <xf borderId="43" fillId="10" fontId="19" numFmtId="0" xfId="0" applyAlignment="1" applyBorder="1" applyFont="1">
      <alignment horizontal="center" shrinkToFit="0" vertical="center" wrapText="1"/>
    </xf>
    <xf borderId="44" fillId="10" fontId="19" numFmtId="0" xfId="0" applyAlignment="1" applyBorder="1" applyFont="1">
      <alignment horizontal="center" shrinkToFit="0" vertical="center" wrapText="1"/>
    </xf>
    <xf borderId="44" fillId="10" fontId="14" numFmtId="0" xfId="0" applyAlignment="1" applyBorder="1" applyFont="1">
      <alignment horizontal="center" shrinkToFit="0" vertical="center" wrapText="1"/>
    </xf>
    <xf borderId="45" fillId="10" fontId="1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6" fillId="0" fontId="6" numFmtId="0" xfId="0" applyBorder="1" applyFont="1"/>
    <xf borderId="46" fillId="0" fontId="6" numFmtId="0" xfId="0" applyBorder="1" applyFont="1"/>
    <xf borderId="33" fillId="13" fontId="19" numFmtId="0" xfId="0" applyAlignment="1" applyBorder="1" applyFont="1">
      <alignment horizontal="center" readingOrder="0" shrinkToFit="0" vertical="center" wrapText="1"/>
    </xf>
    <xf borderId="28" fillId="13" fontId="19" numFmtId="166" xfId="0" applyAlignment="1" applyBorder="1" applyFont="1" applyNumberFormat="1">
      <alignment horizontal="center" readingOrder="0" shrinkToFit="0" vertical="center" wrapText="1"/>
    </xf>
    <xf borderId="28" fillId="13" fontId="2" numFmtId="0" xfId="0" applyAlignment="1" applyBorder="1" applyFont="1">
      <alignment horizontal="center" readingOrder="0" vertical="center"/>
    </xf>
    <xf borderId="25" fillId="13" fontId="19" numFmtId="0" xfId="0" applyAlignment="1" applyBorder="1" applyFont="1">
      <alignment horizontal="center" readingOrder="0" shrinkToFit="0" vertical="center" wrapText="1"/>
    </xf>
    <xf borderId="31" fillId="10" fontId="14" numFmtId="0" xfId="0" applyAlignment="1" applyBorder="1" applyFont="1">
      <alignment horizontal="center" shrinkToFit="0" vertical="center" wrapText="1"/>
    </xf>
    <xf borderId="30" fillId="10" fontId="19" numFmtId="0" xfId="0" applyAlignment="1" applyBorder="1" applyFont="1">
      <alignment horizontal="center" shrinkToFit="0" vertical="center" wrapText="1"/>
    </xf>
    <xf borderId="30" fillId="10" fontId="14" numFmtId="0" xfId="0" applyAlignment="1" applyBorder="1" applyFont="1">
      <alignment horizontal="center" shrinkToFit="0" vertical="center" wrapText="1"/>
    </xf>
    <xf borderId="47" fillId="10" fontId="19" numFmtId="0" xfId="0" applyAlignment="1" applyBorder="1" applyFont="1">
      <alignment horizontal="center" shrinkToFit="0" vertical="center" wrapText="1"/>
    </xf>
    <xf borderId="33" fillId="15" fontId="19" numFmtId="0" xfId="0" applyAlignment="1" applyBorder="1" applyFont="1">
      <alignment horizontal="center" readingOrder="0" shrinkToFit="0" vertical="center" wrapText="1"/>
    </xf>
    <xf borderId="25" fillId="20" fontId="2" numFmtId="0" xfId="0" applyAlignment="1" applyBorder="1" applyFill="1" applyFont="1">
      <alignment horizontal="center" readingOrder="0" vertical="center"/>
    </xf>
    <xf borderId="48" fillId="10" fontId="14" numFmtId="0" xfId="0" applyAlignment="1" applyBorder="1" applyFont="1">
      <alignment horizontal="center" shrinkToFit="0" vertical="center" wrapText="1"/>
    </xf>
    <xf borderId="30" fillId="10" fontId="14" numFmtId="169" xfId="0" applyAlignment="1" applyBorder="1" applyFont="1" applyNumberFormat="1">
      <alignment horizontal="center" shrinkToFit="0" vertical="center" wrapText="1"/>
    </xf>
    <xf borderId="47" fillId="10" fontId="19" numFmtId="169" xfId="0" applyAlignment="1" applyBorder="1" applyFont="1" applyNumberFormat="1">
      <alignment horizontal="center" shrinkToFit="0" vertical="center" wrapText="1"/>
    </xf>
    <xf borderId="49" fillId="0" fontId="6" numFmtId="0" xfId="0" applyBorder="1" applyFont="1"/>
    <xf borderId="50" fillId="20" fontId="2" numFmtId="0" xfId="0" applyAlignment="1" applyBorder="1" applyFont="1">
      <alignment horizontal="center" readingOrder="0" vertical="center"/>
    </xf>
    <xf borderId="28" fillId="13" fontId="2" numFmtId="10" xfId="0" applyAlignment="1" applyBorder="1" applyFont="1" applyNumberFormat="1">
      <alignment horizontal="center" readingOrder="0" vertical="center"/>
    </xf>
    <xf borderId="25" fillId="13" fontId="2" numFmtId="0" xfId="0" applyAlignment="1" applyBorder="1" applyFont="1">
      <alignment horizontal="center" readingOrder="0" vertical="center"/>
    </xf>
    <xf borderId="18" fillId="17" fontId="2" numFmtId="169" xfId="0" applyAlignment="1" applyBorder="1" applyFont="1" applyNumberFormat="1">
      <alignment horizontal="center" vertical="center"/>
    </xf>
    <xf borderId="30" fillId="10" fontId="19" numFmtId="169" xfId="0" applyAlignment="1" applyBorder="1" applyFont="1" applyNumberFormat="1">
      <alignment horizontal="center" shrinkToFit="0" vertical="center" wrapText="1"/>
    </xf>
    <xf borderId="51" fillId="13" fontId="2" numFmtId="10" xfId="0" applyAlignment="1" applyBorder="1" applyFont="1" applyNumberFormat="1">
      <alignment horizontal="center" readingOrder="0" vertical="center"/>
    </xf>
    <xf borderId="27" fillId="13" fontId="2" numFmtId="10" xfId="0" applyAlignment="1" applyBorder="1" applyFont="1" applyNumberFormat="1">
      <alignment horizontal="center" readingOrder="0" vertical="center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21" fontId="2" numFmtId="0" xfId="0" applyAlignment="1" applyFill="1" applyFont="1">
      <alignment vertical="bottom"/>
    </xf>
    <xf borderId="0" fillId="21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22" fontId="2" numFmtId="0" xfId="0" applyAlignment="1" applyFill="1" applyFont="1">
      <alignment vertical="bottom"/>
    </xf>
    <xf borderId="0" fillId="23" fontId="2" numFmtId="0" xfId="0" applyAlignment="1" applyFill="1" applyFont="1">
      <alignment vertical="bottom"/>
    </xf>
    <xf borderId="0" fillId="23" fontId="2" numFmtId="166" xfId="0" applyAlignment="1" applyFont="1" applyNumberFormat="1">
      <alignment vertical="bottom"/>
    </xf>
    <xf borderId="0" fillId="22" fontId="25" numFmtId="0" xfId="0" applyAlignment="1" applyFont="1">
      <alignment vertical="bottom"/>
    </xf>
    <xf borderId="19" fillId="24" fontId="26" numFmtId="0" xfId="0" applyAlignment="1" applyBorder="1" applyFill="1" applyFont="1">
      <alignment readingOrder="0" shrinkToFit="0" vertical="bottom" wrapText="1"/>
    </xf>
    <xf borderId="0" fillId="24" fontId="26" numFmtId="0" xfId="0" applyAlignment="1" applyFont="1">
      <alignment shrinkToFit="0" vertical="bottom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1028700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6" t="s">
        <v>74</v>
      </c>
      <c r="C1" s="6" t="s">
        <v>75</v>
      </c>
      <c r="D1" s="6" t="s">
        <v>76</v>
      </c>
      <c r="E1" s="6" t="s">
        <v>77</v>
      </c>
      <c r="F1" s="6" t="s">
        <v>78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84</v>
      </c>
      <c r="M1" s="6" t="s">
        <v>85</v>
      </c>
      <c r="N1" s="6" t="s">
        <v>86</v>
      </c>
      <c r="O1" s="6" t="s">
        <v>87</v>
      </c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45531.0</v>
      </c>
      <c r="B2" s="1" t="s">
        <v>88</v>
      </c>
      <c r="C2" s="1" t="s">
        <v>89</v>
      </c>
      <c r="D2" s="4">
        <v>289.0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-3.0</v>
      </c>
      <c r="O2" s="4">
        <v>11.8191</v>
      </c>
    </row>
    <row r="3">
      <c r="A3" s="7">
        <v>45531.0</v>
      </c>
      <c r="B3" s="1" t="s">
        <v>95</v>
      </c>
      <c r="C3" s="1" t="s">
        <v>89</v>
      </c>
      <c r="D3" s="4">
        <v>400.0</v>
      </c>
      <c r="E3" s="4">
        <v>47.0</v>
      </c>
      <c r="F3" s="1" t="s">
        <v>96</v>
      </c>
      <c r="G3" s="1" t="s">
        <v>97</v>
      </c>
      <c r="H3" s="1" t="s">
        <v>92</v>
      </c>
      <c r="I3" s="1" t="s">
        <v>98</v>
      </c>
      <c r="J3" s="1" t="s">
        <v>99</v>
      </c>
      <c r="K3" s="1" t="s">
        <v>100</v>
      </c>
      <c r="L3" s="1" t="s">
        <v>101</v>
      </c>
      <c r="M3" s="4">
        <v>0.0</v>
      </c>
      <c r="N3" s="4">
        <v>0.009433333333333334</v>
      </c>
      <c r="O3" s="4">
        <v>10.741433333333333</v>
      </c>
    </row>
    <row r="4">
      <c r="A4" s="7">
        <v>45531.0</v>
      </c>
      <c r="B4" s="1" t="s">
        <v>88</v>
      </c>
      <c r="C4" s="1" t="s">
        <v>89</v>
      </c>
      <c r="D4" s="4">
        <v>464.0</v>
      </c>
      <c r="E4" s="4">
        <v>0.0</v>
      </c>
      <c r="F4" s="1" t="s">
        <v>90</v>
      </c>
      <c r="G4" s="1" t="s">
        <v>91</v>
      </c>
      <c r="H4" s="1" t="s">
        <v>92</v>
      </c>
      <c r="I4" s="1" t="s">
        <v>102</v>
      </c>
      <c r="J4" s="1" t="s">
        <v>103</v>
      </c>
      <c r="K4" s="1" t="s">
        <v>103</v>
      </c>
      <c r="M4" s="4">
        <v>-4.0</v>
      </c>
      <c r="O4" s="4">
        <v>10.0414</v>
      </c>
    </row>
    <row r="5">
      <c r="A5" s="7">
        <v>45531.0</v>
      </c>
      <c r="B5" s="1" t="s">
        <v>104</v>
      </c>
      <c r="C5" s="1" t="s">
        <v>105</v>
      </c>
      <c r="D5" s="4">
        <v>329.0</v>
      </c>
      <c r="E5" s="4">
        <v>0.0</v>
      </c>
      <c r="F5" s="1" t="s">
        <v>106</v>
      </c>
      <c r="G5" s="1" t="s">
        <v>91</v>
      </c>
      <c r="H5" s="1" t="s">
        <v>92</v>
      </c>
      <c r="I5" s="1" t="s">
        <v>107</v>
      </c>
      <c r="J5" s="1" t="s">
        <v>108</v>
      </c>
      <c r="K5" s="1" t="s">
        <v>108</v>
      </c>
      <c r="M5" s="4">
        <v>-1.0</v>
      </c>
      <c r="O5" s="4">
        <v>13.0708</v>
      </c>
    </row>
    <row r="6">
      <c r="A6" s="7">
        <v>45531.0</v>
      </c>
      <c r="B6" s="1" t="s">
        <v>104</v>
      </c>
      <c r="C6" s="1" t="s">
        <v>105</v>
      </c>
      <c r="D6" s="4">
        <v>329.0</v>
      </c>
      <c r="E6" s="4">
        <v>0.0</v>
      </c>
      <c r="F6" s="1" t="s">
        <v>109</v>
      </c>
      <c r="G6" s="1" t="s">
        <v>91</v>
      </c>
      <c r="H6" s="1" t="s">
        <v>92</v>
      </c>
      <c r="I6" s="1" t="s">
        <v>110</v>
      </c>
      <c r="J6" s="1" t="s">
        <v>111</v>
      </c>
      <c r="K6" s="1" t="s">
        <v>111</v>
      </c>
      <c r="M6" s="4">
        <v>-6.0</v>
      </c>
      <c r="O6" s="4">
        <v>8.68665</v>
      </c>
    </row>
    <row r="7">
      <c r="A7" s="7">
        <v>45531.0</v>
      </c>
      <c r="B7" s="1" t="s">
        <v>88</v>
      </c>
      <c r="C7" s="1" t="s">
        <v>89</v>
      </c>
      <c r="D7" s="4">
        <v>321.0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112</v>
      </c>
      <c r="J7" s="1" t="s">
        <v>113</v>
      </c>
      <c r="K7" s="1" t="s">
        <v>113</v>
      </c>
      <c r="M7" s="4">
        <v>-2.0</v>
      </c>
      <c r="O7" s="4">
        <v>13.3126</v>
      </c>
    </row>
    <row r="8">
      <c r="A8" s="7">
        <v>45531.0</v>
      </c>
      <c r="B8" s="1" t="s">
        <v>104</v>
      </c>
      <c r="C8" s="1" t="s">
        <v>105</v>
      </c>
      <c r="D8" s="4">
        <v>321.0</v>
      </c>
      <c r="E8" s="4">
        <v>0.0</v>
      </c>
      <c r="F8" s="1" t="s">
        <v>106</v>
      </c>
      <c r="G8" s="1" t="s">
        <v>91</v>
      </c>
      <c r="H8" s="1" t="s">
        <v>92</v>
      </c>
      <c r="I8" s="1" t="s">
        <v>114</v>
      </c>
      <c r="J8" s="1" t="s">
        <v>115</v>
      </c>
      <c r="K8" s="1" t="s">
        <v>115</v>
      </c>
      <c r="M8" s="4">
        <v>-2.0</v>
      </c>
      <c r="O8" s="4">
        <v>12.273</v>
      </c>
    </row>
    <row r="9">
      <c r="A9" s="7">
        <v>45531.0</v>
      </c>
      <c r="B9" s="1" t="s">
        <v>95</v>
      </c>
      <c r="C9" s="1" t="s">
        <v>89</v>
      </c>
      <c r="D9" s="4">
        <v>299.0</v>
      </c>
      <c r="E9" s="4">
        <v>0.0</v>
      </c>
      <c r="F9" s="1" t="s">
        <v>96</v>
      </c>
      <c r="G9" s="1" t="s">
        <v>97</v>
      </c>
      <c r="H9" s="1" t="s">
        <v>116</v>
      </c>
      <c r="I9" s="1" t="s">
        <v>117</v>
      </c>
      <c r="J9" s="1" t="s">
        <v>118</v>
      </c>
      <c r="K9" s="1" t="s">
        <v>119</v>
      </c>
      <c r="L9" s="1" t="s">
        <v>120</v>
      </c>
      <c r="M9" s="4">
        <v>10.0</v>
      </c>
      <c r="N9" s="4">
        <v>0.0101</v>
      </c>
      <c r="O9" s="4">
        <v>11.6734</v>
      </c>
    </row>
    <row r="10">
      <c r="A10" s="7">
        <v>45531.0</v>
      </c>
      <c r="B10" s="1" t="s">
        <v>95</v>
      </c>
      <c r="C10" s="1" t="s">
        <v>89</v>
      </c>
      <c r="D10" s="4">
        <v>288.0</v>
      </c>
      <c r="E10" s="4">
        <v>0.0</v>
      </c>
      <c r="F10" s="1" t="s">
        <v>96</v>
      </c>
      <c r="G10" s="1" t="s">
        <v>97</v>
      </c>
      <c r="H10" s="1" t="s">
        <v>116</v>
      </c>
      <c r="I10" s="1" t="s">
        <v>121</v>
      </c>
      <c r="J10" s="1" t="s">
        <v>122</v>
      </c>
      <c r="K10" s="1" t="s">
        <v>123</v>
      </c>
      <c r="L10" s="1" t="s">
        <v>124</v>
      </c>
      <c r="M10" s="4">
        <v>-1.0</v>
      </c>
      <c r="N10" s="4">
        <v>0.008283333333333334</v>
      </c>
      <c r="O10" s="4">
        <v>10.429033333333333</v>
      </c>
    </row>
    <row r="11">
      <c r="A11" s="7">
        <v>45531.0</v>
      </c>
      <c r="B11" s="1" t="s">
        <v>88</v>
      </c>
      <c r="C11" s="1" t="s">
        <v>89</v>
      </c>
      <c r="D11" s="4">
        <v>394.0</v>
      </c>
      <c r="E11" s="4">
        <v>0.0</v>
      </c>
      <c r="F11" s="1" t="s">
        <v>90</v>
      </c>
      <c r="G11" s="1" t="s">
        <v>91</v>
      </c>
      <c r="H11" s="1" t="s">
        <v>92</v>
      </c>
      <c r="I11" s="1" t="s">
        <v>125</v>
      </c>
      <c r="J11" s="1" t="s">
        <v>126</v>
      </c>
      <c r="K11" s="1" t="s">
        <v>126</v>
      </c>
      <c r="M11" s="4">
        <v>1.0</v>
      </c>
      <c r="O11" s="4">
        <v>16.4414</v>
      </c>
    </row>
    <row r="12">
      <c r="A12" s="7">
        <v>45531.0</v>
      </c>
      <c r="B12" s="1" t="s">
        <v>127</v>
      </c>
      <c r="C12" s="1" t="s">
        <v>105</v>
      </c>
      <c r="D12" s="4">
        <v>264.0</v>
      </c>
      <c r="E12" s="4">
        <v>0.0</v>
      </c>
      <c r="G12" s="1" t="s">
        <v>91</v>
      </c>
      <c r="H12" s="1" t="s">
        <v>116</v>
      </c>
      <c r="I12" s="1" t="s">
        <v>128</v>
      </c>
      <c r="J12" s="1" t="s">
        <v>129</v>
      </c>
      <c r="K12" s="1" t="s">
        <v>129</v>
      </c>
      <c r="M12" s="4">
        <v>1.0</v>
      </c>
      <c r="O12" s="4">
        <v>11.841666666666667</v>
      </c>
    </row>
    <row r="13">
      <c r="A13" s="7">
        <v>45531.0</v>
      </c>
      <c r="B13" s="1" t="s">
        <v>127</v>
      </c>
      <c r="C13" s="1" t="s">
        <v>105</v>
      </c>
      <c r="D13" s="4">
        <v>264.0</v>
      </c>
      <c r="E13" s="4">
        <v>0.0</v>
      </c>
      <c r="G13" s="1" t="s">
        <v>91</v>
      </c>
      <c r="H13" s="1" t="s">
        <v>116</v>
      </c>
      <c r="I13" s="1" t="s">
        <v>130</v>
      </c>
      <c r="J13" s="1" t="s">
        <v>131</v>
      </c>
      <c r="K13" s="1" t="s">
        <v>131</v>
      </c>
      <c r="M13" s="4">
        <v>0.0</v>
      </c>
      <c r="O13" s="4">
        <v>9.892133333333334</v>
      </c>
    </row>
    <row r="14">
      <c r="A14" s="7">
        <v>45531.0</v>
      </c>
      <c r="B14" s="1" t="s">
        <v>95</v>
      </c>
      <c r="C14" s="1" t="s">
        <v>89</v>
      </c>
      <c r="D14" s="4">
        <v>309.0</v>
      </c>
      <c r="E14" s="4">
        <v>0.0</v>
      </c>
      <c r="F14" s="1" t="s">
        <v>96</v>
      </c>
      <c r="G14" s="1" t="s">
        <v>97</v>
      </c>
      <c r="H14" s="1" t="s">
        <v>92</v>
      </c>
      <c r="I14" s="1" t="s">
        <v>132</v>
      </c>
      <c r="J14" s="1" t="s">
        <v>133</v>
      </c>
      <c r="K14" s="1" t="s">
        <v>134</v>
      </c>
      <c r="L14" s="1" t="s">
        <v>135</v>
      </c>
      <c r="M14" s="4">
        <v>1.0</v>
      </c>
      <c r="N14" s="4">
        <v>0.0082</v>
      </c>
      <c r="O14" s="4">
        <v>11.110533333333333</v>
      </c>
    </row>
    <row r="15">
      <c r="A15" s="7">
        <v>45531.0</v>
      </c>
      <c r="B15" s="1" t="s">
        <v>95</v>
      </c>
      <c r="C15" s="1" t="s">
        <v>89</v>
      </c>
      <c r="D15" s="4">
        <v>250.0</v>
      </c>
      <c r="E15" s="4">
        <v>0.0</v>
      </c>
      <c r="F15" s="1" t="s">
        <v>96</v>
      </c>
      <c r="G15" s="1" t="s">
        <v>97</v>
      </c>
      <c r="H15" s="1" t="s">
        <v>92</v>
      </c>
      <c r="I15" s="1" t="s">
        <v>136</v>
      </c>
      <c r="J15" s="1" t="s">
        <v>137</v>
      </c>
      <c r="K15" s="1" t="s">
        <v>138</v>
      </c>
      <c r="L15" s="1" t="s">
        <v>139</v>
      </c>
      <c r="M15" s="4">
        <v>-5.0</v>
      </c>
      <c r="N15" s="4">
        <v>0.0089</v>
      </c>
      <c r="O15" s="4">
        <v>11.5456</v>
      </c>
    </row>
    <row r="16">
      <c r="A16" s="7">
        <v>45531.0</v>
      </c>
      <c r="B16" s="1" t="s">
        <v>127</v>
      </c>
      <c r="C16" s="1" t="s">
        <v>89</v>
      </c>
      <c r="D16" s="4">
        <v>394.0</v>
      </c>
      <c r="E16" s="4">
        <v>0.0</v>
      </c>
      <c r="G16" s="1" t="s">
        <v>91</v>
      </c>
      <c r="H16" s="1" t="s">
        <v>92</v>
      </c>
      <c r="I16" s="1" t="s">
        <v>140</v>
      </c>
      <c r="J16" s="1" t="s">
        <v>141</v>
      </c>
      <c r="K16" s="1" t="s">
        <v>141</v>
      </c>
      <c r="M16" s="4">
        <v>0.0</v>
      </c>
      <c r="O16" s="4">
        <v>13.0193</v>
      </c>
    </row>
    <row r="17">
      <c r="A17" s="7">
        <v>45531.0</v>
      </c>
      <c r="B17" s="1" t="s">
        <v>127</v>
      </c>
      <c r="C17" s="1" t="s">
        <v>89</v>
      </c>
      <c r="D17" s="4">
        <v>358.0</v>
      </c>
      <c r="E17" s="4">
        <v>0.0</v>
      </c>
      <c r="G17" s="1" t="s">
        <v>91</v>
      </c>
      <c r="H17" s="1" t="s">
        <v>92</v>
      </c>
      <c r="I17" s="1" t="s">
        <v>142</v>
      </c>
      <c r="J17" s="1" t="s">
        <v>143</v>
      </c>
      <c r="K17" s="1" t="s">
        <v>143</v>
      </c>
      <c r="M17" s="4">
        <v>0.0</v>
      </c>
      <c r="O17" s="4">
        <v>11.024483333333333</v>
      </c>
    </row>
    <row r="18">
      <c r="A18" s="7">
        <v>45531.0</v>
      </c>
      <c r="B18" s="1" t="s">
        <v>104</v>
      </c>
      <c r="C18" s="1" t="s">
        <v>105</v>
      </c>
      <c r="D18" s="4">
        <v>329.0</v>
      </c>
      <c r="E18" s="4">
        <v>0.0</v>
      </c>
      <c r="F18" s="1" t="s">
        <v>144</v>
      </c>
      <c r="G18" s="1" t="s">
        <v>91</v>
      </c>
      <c r="H18" s="1" t="s">
        <v>92</v>
      </c>
      <c r="I18" s="1" t="s">
        <v>145</v>
      </c>
      <c r="J18" s="1" t="s">
        <v>146</v>
      </c>
      <c r="K18" s="1" t="s">
        <v>146</v>
      </c>
      <c r="M18" s="4">
        <v>-3.0</v>
      </c>
      <c r="O18" s="4">
        <v>11.478066666666667</v>
      </c>
    </row>
    <row r="19">
      <c r="A19" s="7">
        <v>45531.0</v>
      </c>
      <c r="B19" s="1" t="s">
        <v>88</v>
      </c>
      <c r="C19" s="1" t="s">
        <v>89</v>
      </c>
      <c r="D19" s="4">
        <v>264.0</v>
      </c>
      <c r="E19" s="4">
        <v>0.0</v>
      </c>
      <c r="F19" s="1" t="s">
        <v>90</v>
      </c>
      <c r="G19" s="1" t="s">
        <v>91</v>
      </c>
      <c r="H19" s="1" t="s">
        <v>92</v>
      </c>
      <c r="I19" s="1" t="s">
        <v>147</v>
      </c>
      <c r="J19" s="1" t="s">
        <v>148</v>
      </c>
      <c r="K19" s="1" t="s">
        <v>148</v>
      </c>
      <c r="M19" s="4">
        <v>-4.0</v>
      </c>
      <c r="O19" s="4">
        <v>10.516116666666667</v>
      </c>
    </row>
    <row r="20">
      <c r="A20" s="7">
        <v>45531.0</v>
      </c>
      <c r="B20" s="1" t="s">
        <v>95</v>
      </c>
      <c r="C20" s="1" t="s">
        <v>89</v>
      </c>
      <c r="D20" s="4">
        <v>267.0</v>
      </c>
      <c r="E20" s="4">
        <v>67.0</v>
      </c>
      <c r="G20" s="1" t="s">
        <v>149</v>
      </c>
      <c r="H20" s="1" t="s">
        <v>92</v>
      </c>
      <c r="I20" s="1" t="s">
        <v>150</v>
      </c>
      <c r="J20" s="1" t="s">
        <v>151</v>
      </c>
      <c r="K20" s="1" t="s">
        <v>151</v>
      </c>
      <c r="M20" s="4">
        <v>-8.0</v>
      </c>
      <c r="O20" s="4">
        <v>8.571</v>
      </c>
    </row>
    <row r="21">
      <c r="A21" s="7">
        <v>45531.0</v>
      </c>
      <c r="B21" s="1" t="s">
        <v>95</v>
      </c>
      <c r="C21" s="1" t="s">
        <v>152</v>
      </c>
      <c r="D21" s="4">
        <v>267.0</v>
      </c>
      <c r="E21" s="4">
        <v>67.0</v>
      </c>
      <c r="G21" s="1" t="s">
        <v>149</v>
      </c>
      <c r="H21" s="1" t="s">
        <v>153</v>
      </c>
      <c r="I21" s="1" t="s">
        <v>154</v>
      </c>
      <c r="M21" s="4">
        <v>0.0</v>
      </c>
    </row>
    <row r="22">
      <c r="A22" s="7">
        <v>45531.0</v>
      </c>
      <c r="B22" s="1" t="s">
        <v>127</v>
      </c>
      <c r="C22" s="1" t="s">
        <v>105</v>
      </c>
      <c r="D22" s="4">
        <v>394.0</v>
      </c>
      <c r="E22" s="4">
        <v>0.0</v>
      </c>
      <c r="G22" s="1" t="s">
        <v>91</v>
      </c>
      <c r="H22" s="1" t="s">
        <v>116</v>
      </c>
      <c r="I22" s="1" t="s">
        <v>155</v>
      </c>
      <c r="J22" s="1" t="s">
        <v>156</v>
      </c>
      <c r="K22" s="1" t="s">
        <v>156</v>
      </c>
      <c r="M22" s="4">
        <v>-2.0</v>
      </c>
      <c r="O22" s="4">
        <v>10.2971</v>
      </c>
    </row>
    <row r="23">
      <c r="A23" s="7">
        <v>45531.0</v>
      </c>
      <c r="B23" s="1" t="s">
        <v>88</v>
      </c>
      <c r="C23" s="1" t="s">
        <v>89</v>
      </c>
      <c r="D23" s="4">
        <v>264.0</v>
      </c>
      <c r="E23" s="4">
        <v>0.0</v>
      </c>
      <c r="F23" s="1" t="s">
        <v>90</v>
      </c>
      <c r="G23" s="1" t="s">
        <v>91</v>
      </c>
      <c r="H23" s="1" t="s">
        <v>92</v>
      </c>
      <c r="I23" s="1" t="s">
        <v>157</v>
      </c>
      <c r="J23" s="1" t="s">
        <v>158</v>
      </c>
      <c r="K23" s="1" t="s">
        <v>158</v>
      </c>
      <c r="M23" s="4">
        <v>-6.0</v>
      </c>
      <c r="O23" s="4">
        <v>8.067116666666667</v>
      </c>
    </row>
    <row r="24">
      <c r="A24" s="7">
        <v>45531.0</v>
      </c>
      <c r="B24" s="1" t="s">
        <v>127</v>
      </c>
      <c r="C24" s="1" t="s">
        <v>105</v>
      </c>
      <c r="D24" s="4">
        <v>368.0</v>
      </c>
      <c r="E24" s="4">
        <v>0.0</v>
      </c>
      <c r="G24" s="1" t="s">
        <v>91</v>
      </c>
      <c r="H24" s="1" t="s">
        <v>92</v>
      </c>
      <c r="I24" s="1" t="s">
        <v>159</v>
      </c>
      <c r="J24" s="1" t="s">
        <v>160</v>
      </c>
      <c r="K24" s="1" t="s">
        <v>160</v>
      </c>
      <c r="M24" s="4">
        <v>-2.0</v>
      </c>
      <c r="O24" s="4">
        <v>9.608666666666666</v>
      </c>
    </row>
    <row r="25">
      <c r="A25" s="7">
        <v>45531.0</v>
      </c>
      <c r="B25" s="1" t="s">
        <v>95</v>
      </c>
      <c r="C25" s="1" t="s">
        <v>89</v>
      </c>
      <c r="D25" s="4">
        <v>426.0</v>
      </c>
      <c r="E25" s="4">
        <v>0.0</v>
      </c>
      <c r="F25" s="1" t="s">
        <v>96</v>
      </c>
      <c r="G25" s="1" t="s">
        <v>97</v>
      </c>
      <c r="H25" s="1" t="s">
        <v>116</v>
      </c>
      <c r="I25" s="1" t="s">
        <v>161</v>
      </c>
      <c r="J25" s="1" t="s">
        <v>162</v>
      </c>
      <c r="K25" s="1" t="s">
        <v>163</v>
      </c>
      <c r="L25" s="1" t="s">
        <v>164</v>
      </c>
      <c r="M25" s="4">
        <v>15.0</v>
      </c>
      <c r="N25" s="4">
        <v>0.01095</v>
      </c>
      <c r="O25" s="4">
        <v>11.465633333333333</v>
      </c>
    </row>
    <row r="26">
      <c r="A26" s="7">
        <v>45531.0</v>
      </c>
      <c r="B26" s="1" t="s">
        <v>95</v>
      </c>
      <c r="C26" s="1" t="s">
        <v>89</v>
      </c>
      <c r="D26" s="4">
        <v>329.0</v>
      </c>
      <c r="E26" s="4">
        <v>0.0</v>
      </c>
      <c r="F26" s="1" t="s">
        <v>96</v>
      </c>
      <c r="G26" s="1" t="s">
        <v>97</v>
      </c>
      <c r="H26" s="1" t="s">
        <v>116</v>
      </c>
      <c r="I26" s="1" t="s">
        <v>165</v>
      </c>
      <c r="J26" s="1" t="s">
        <v>166</v>
      </c>
      <c r="K26" s="1" t="s">
        <v>167</v>
      </c>
      <c r="L26" s="1" t="s">
        <v>168</v>
      </c>
      <c r="M26" s="4">
        <v>0.0</v>
      </c>
      <c r="N26" s="4">
        <v>0.010816666666666667</v>
      </c>
      <c r="O26" s="4">
        <v>9.003516666666666</v>
      </c>
    </row>
    <row r="27">
      <c r="A27" s="7">
        <v>45531.0</v>
      </c>
      <c r="B27" s="1" t="s">
        <v>169</v>
      </c>
      <c r="C27" s="1" t="s">
        <v>89</v>
      </c>
      <c r="D27" s="4">
        <v>90.0</v>
      </c>
      <c r="E27" s="4">
        <v>0.0</v>
      </c>
      <c r="G27" s="1" t="s">
        <v>149</v>
      </c>
      <c r="H27" s="1" t="s">
        <v>116</v>
      </c>
      <c r="I27" s="1" t="s">
        <v>170</v>
      </c>
      <c r="J27" s="1" t="s">
        <v>171</v>
      </c>
      <c r="K27" s="1" t="s">
        <v>171</v>
      </c>
      <c r="M27" s="4">
        <v>-4.0</v>
      </c>
      <c r="O27" s="4">
        <v>0.6302666666666666</v>
      </c>
    </row>
    <row r="28">
      <c r="A28" s="7">
        <v>45531.0</v>
      </c>
      <c r="B28" s="1" t="s">
        <v>95</v>
      </c>
      <c r="C28" s="1" t="s">
        <v>89</v>
      </c>
      <c r="D28" s="4">
        <v>374.0</v>
      </c>
      <c r="E28" s="4">
        <v>0.0</v>
      </c>
      <c r="F28" s="1" t="s">
        <v>96</v>
      </c>
      <c r="G28" s="1" t="s">
        <v>97</v>
      </c>
      <c r="H28" s="1" t="s">
        <v>92</v>
      </c>
      <c r="I28" s="1" t="s">
        <v>172</v>
      </c>
      <c r="J28" s="1" t="s">
        <v>173</v>
      </c>
      <c r="K28" s="1" t="s">
        <v>174</v>
      </c>
      <c r="L28" s="1" t="s">
        <v>175</v>
      </c>
      <c r="M28" s="4">
        <v>-3.0</v>
      </c>
      <c r="N28" s="4">
        <v>0.008183333333333334</v>
      </c>
      <c r="O28" s="4">
        <v>10.143933333333333</v>
      </c>
    </row>
    <row r="29">
      <c r="A29" s="7">
        <v>45531.0</v>
      </c>
      <c r="B29" s="1" t="s">
        <v>127</v>
      </c>
      <c r="C29" s="1" t="s">
        <v>105</v>
      </c>
      <c r="D29" s="4">
        <v>264.0</v>
      </c>
      <c r="E29" s="4">
        <v>0.0</v>
      </c>
      <c r="G29" s="1" t="s">
        <v>91</v>
      </c>
      <c r="H29" s="1" t="s">
        <v>92</v>
      </c>
      <c r="I29" s="1" t="s">
        <v>176</v>
      </c>
      <c r="J29" s="1" t="s">
        <v>177</v>
      </c>
      <c r="K29" s="1" t="s">
        <v>177</v>
      </c>
      <c r="M29" s="4">
        <v>-1.0</v>
      </c>
      <c r="O29" s="4">
        <v>8.996866666666667</v>
      </c>
    </row>
    <row r="30">
      <c r="A30" s="7">
        <v>45531.0</v>
      </c>
      <c r="B30" s="1" t="s">
        <v>127</v>
      </c>
      <c r="C30" s="1" t="s">
        <v>105</v>
      </c>
      <c r="D30" s="4">
        <v>294.0</v>
      </c>
      <c r="E30" s="4">
        <v>0.0</v>
      </c>
      <c r="G30" s="1" t="s">
        <v>91</v>
      </c>
      <c r="H30" s="1" t="s">
        <v>92</v>
      </c>
      <c r="I30" s="1" t="s">
        <v>178</v>
      </c>
      <c r="J30" s="1" t="s">
        <v>179</v>
      </c>
      <c r="K30" s="1" t="s">
        <v>179</v>
      </c>
      <c r="M30" s="4">
        <v>-2.0</v>
      </c>
      <c r="O30" s="4">
        <v>9.25065</v>
      </c>
    </row>
    <row r="31">
      <c r="A31" s="7">
        <v>45531.0</v>
      </c>
      <c r="B31" s="1" t="s">
        <v>104</v>
      </c>
      <c r="C31" s="1" t="s">
        <v>105</v>
      </c>
      <c r="D31" s="4">
        <v>368.0</v>
      </c>
      <c r="E31" s="4">
        <v>0.0</v>
      </c>
      <c r="F31" s="1" t="s">
        <v>180</v>
      </c>
      <c r="G31" s="1" t="s">
        <v>91</v>
      </c>
      <c r="H31" s="1" t="s">
        <v>92</v>
      </c>
      <c r="I31" s="1" t="s">
        <v>181</v>
      </c>
      <c r="J31" s="1" t="s">
        <v>182</v>
      </c>
      <c r="K31" s="1" t="s">
        <v>182</v>
      </c>
      <c r="M31" s="4">
        <v>-3.0</v>
      </c>
      <c r="O31" s="4">
        <v>11.316733333333334</v>
      </c>
    </row>
    <row r="32">
      <c r="A32" s="7">
        <v>45531.0</v>
      </c>
      <c r="B32" s="1" t="s">
        <v>127</v>
      </c>
      <c r="C32" s="1" t="s">
        <v>105</v>
      </c>
      <c r="D32" s="4">
        <v>264.0</v>
      </c>
      <c r="E32" s="4">
        <v>0.0</v>
      </c>
      <c r="G32" s="1" t="s">
        <v>91</v>
      </c>
      <c r="H32" s="1" t="s">
        <v>92</v>
      </c>
      <c r="I32" s="1" t="s">
        <v>183</v>
      </c>
      <c r="J32" s="1" t="s">
        <v>184</v>
      </c>
      <c r="K32" s="1" t="s">
        <v>184</v>
      </c>
      <c r="M32" s="4">
        <v>0.0</v>
      </c>
      <c r="O32" s="4">
        <v>11.13275</v>
      </c>
    </row>
    <row r="33">
      <c r="A33" s="7">
        <v>45531.0</v>
      </c>
      <c r="B33" s="1" t="s">
        <v>88</v>
      </c>
      <c r="C33" s="1" t="s">
        <v>89</v>
      </c>
      <c r="D33" s="4">
        <v>258.0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185</v>
      </c>
      <c r="J33" s="1" t="s">
        <v>186</v>
      </c>
      <c r="K33" s="1" t="s">
        <v>186</v>
      </c>
      <c r="M33" s="4">
        <v>-14.0</v>
      </c>
      <c r="O33" s="4">
        <v>0.9019833333333334</v>
      </c>
    </row>
    <row r="34">
      <c r="A34" s="7">
        <v>45531.0</v>
      </c>
      <c r="B34" s="1" t="s">
        <v>169</v>
      </c>
      <c r="C34" s="1" t="s">
        <v>89</v>
      </c>
      <c r="D34" s="4">
        <v>309.0</v>
      </c>
      <c r="E34" s="4">
        <v>0.0</v>
      </c>
      <c r="G34" s="1" t="s">
        <v>149</v>
      </c>
      <c r="H34" s="1" t="s">
        <v>116</v>
      </c>
      <c r="I34" s="1" t="s">
        <v>187</v>
      </c>
      <c r="J34" s="1" t="s">
        <v>188</v>
      </c>
      <c r="K34" s="1" t="s">
        <v>188</v>
      </c>
      <c r="M34" s="4">
        <v>8.0</v>
      </c>
      <c r="O34" s="4">
        <v>13.98825</v>
      </c>
    </row>
    <row r="35">
      <c r="A35" s="7">
        <v>45531.0</v>
      </c>
      <c r="B35" s="1" t="s">
        <v>169</v>
      </c>
      <c r="C35" s="1" t="s">
        <v>89</v>
      </c>
      <c r="D35" s="4">
        <v>209.0</v>
      </c>
      <c r="E35" s="4">
        <v>0.0</v>
      </c>
      <c r="G35" s="1" t="s">
        <v>149</v>
      </c>
      <c r="H35" s="1" t="s">
        <v>116</v>
      </c>
      <c r="I35" s="1" t="s">
        <v>189</v>
      </c>
      <c r="J35" s="1" t="s">
        <v>190</v>
      </c>
      <c r="K35" s="1" t="s">
        <v>190</v>
      </c>
      <c r="M35" s="4">
        <v>6.0</v>
      </c>
      <c r="O35" s="4">
        <v>11.871116666666667</v>
      </c>
    </row>
    <row r="36">
      <c r="A36" s="7">
        <v>45531.0</v>
      </c>
      <c r="B36" s="1" t="s">
        <v>95</v>
      </c>
      <c r="C36" s="1" t="s">
        <v>89</v>
      </c>
      <c r="D36" s="4">
        <v>199.0</v>
      </c>
      <c r="E36" s="4">
        <v>50.0</v>
      </c>
      <c r="G36" s="1" t="s">
        <v>149</v>
      </c>
      <c r="H36" s="1" t="s">
        <v>153</v>
      </c>
      <c r="I36" s="1" t="s">
        <v>191</v>
      </c>
      <c r="J36" s="1" t="s">
        <v>192</v>
      </c>
      <c r="K36" s="1" t="s">
        <v>192</v>
      </c>
      <c r="M36" s="4">
        <v>-4.0</v>
      </c>
      <c r="O36" s="4">
        <v>15.246933333333333</v>
      </c>
    </row>
    <row r="37">
      <c r="A37" s="7">
        <v>45531.0</v>
      </c>
      <c r="B37" s="1" t="s">
        <v>95</v>
      </c>
      <c r="C37" s="1" t="s">
        <v>89</v>
      </c>
      <c r="D37" s="4">
        <v>279.0</v>
      </c>
      <c r="E37" s="4">
        <v>70.0</v>
      </c>
      <c r="G37" s="1" t="s">
        <v>149</v>
      </c>
      <c r="H37" s="1" t="s">
        <v>116</v>
      </c>
      <c r="I37" s="1" t="s">
        <v>193</v>
      </c>
      <c r="J37" s="1" t="s">
        <v>194</v>
      </c>
      <c r="K37" s="1" t="s">
        <v>194</v>
      </c>
      <c r="M37" s="4">
        <v>-4.0</v>
      </c>
      <c r="O37" s="4">
        <v>14.970983333333333</v>
      </c>
    </row>
    <row r="38">
      <c r="A38" s="7">
        <v>45531.0</v>
      </c>
      <c r="B38" s="1" t="s">
        <v>169</v>
      </c>
      <c r="C38" s="1" t="s">
        <v>152</v>
      </c>
      <c r="D38" s="4">
        <v>249.0</v>
      </c>
      <c r="E38" s="4">
        <v>0.0</v>
      </c>
      <c r="G38" s="1" t="s">
        <v>149</v>
      </c>
      <c r="H38" s="1" t="s">
        <v>116</v>
      </c>
      <c r="I38" s="1" t="s">
        <v>195</v>
      </c>
      <c r="J38" s="1" t="s">
        <v>196</v>
      </c>
      <c r="K38" s="1" t="s">
        <v>196</v>
      </c>
      <c r="M38" s="4">
        <v>7.0</v>
      </c>
      <c r="O38" s="4">
        <v>12.863816666666667</v>
      </c>
    </row>
    <row r="39">
      <c r="A39" s="7">
        <v>45531.0</v>
      </c>
      <c r="B39" s="1" t="s">
        <v>95</v>
      </c>
      <c r="C39" s="1" t="s">
        <v>89</v>
      </c>
      <c r="D39" s="4">
        <v>247.0</v>
      </c>
      <c r="E39" s="4">
        <v>62.0</v>
      </c>
      <c r="G39" s="1" t="s">
        <v>149</v>
      </c>
      <c r="H39" s="1" t="s">
        <v>116</v>
      </c>
      <c r="I39" s="1" t="s">
        <v>197</v>
      </c>
      <c r="J39" s="1" t="s">
        <v>198</v>
      </c>
      <c r="K39" s="1" t="s">
        <v>198</v>
      </c>
      <c r="M39" s="4">
        <v>-6.0</v>
      </c>
      <c r="O39" s="4">
        <v>12.694433333333333</v>
      </c>
    </row>
    <row r="40">
      <c r="A40" s="7">
        <v>45531.0</v>
      </c>
      <c r="B40" s="1" t="s">
        <v>88</v>
      </c>
      <c r="C40" s="1" t="s">
        <v>89</v>
      </c>
      <c r="D40" s="4">
        <v>313.0</v>
      </c>
      <c r="E40" s="4">
        <v>0.0</v>
      </c>
      <c r="F40" s="1" t="s">
        <v>90</v>
      </c>
      <c r="G40" s="1" t="s">
        <v>91</v>
      </c>
      <c r="H40" s="1" t="s">
        <v>92</v>
      </c>
      <c r="I40" s="1" t="s">
        <v>199</v>
      </c>
      <c r="J40" s="1" t="s">
        <v>200</v>
      </c>
      <c r="K40" s="1" t="s">
        <v>200</v>
      </c>
      <c r="M40" s="4">
        <v>4.0</v>
      </c>
      <c r="O40" s="4">
        <v>19.777033333333332</v>
      </c>
    </row>
    <row r="41">
      <c r="A41" s="7">
        <v>45531.0</v>
      </c>
      <c r="B41" s="1" t="s">
        <v>127</v>
      </c>
      <c r="C41" s="1" t="s">
        <v>105</v>
      </c>
      <c r="D41" s="4">
        <v>693.0</v>
      </c>
      <c r="E41" s="4">
        <v>0.0</v>
      </c>
      <c r="G41" s="1" t="s">
        <v>91</v>
      </c>
      <c r="H41" s="1" t="s">
        <v>92</v>
      </c>
      <c r="I41" s="1" t="s">
        <v>201</v>
      </c>
      <c r="J41" s="1" t="s">
        <v>202</v>
      </c>
      <c r="K41" s="1" t="s">
        <v>202</v>
      </c>
      <c r="M41" s="4">
        <v>0.0</v>
      </c>
      <c r="O41" s="4">
        <v>14.46005</v>
      </c>
    </row>
    <row r="42">
      <c r="A42" s="7">
        <v>45531.0</v>
      </c>
      <c r="B42" s="1" t="s">
        <v>104</v>
      </c>
      <c r="C42" s="1" t="s">
        <v>105</v>
      </c>
      <c r="D42" s="4">
        <v>356.0</v>
      </c>
      <c r="E42" s="4">
        <v>0.0</v>
      </c>
      <c r="F42" s="1" t="s">
        <v>203</v>
      </c>
      <c r="G42" s="1" t="s">
        <v>91</v>
      </c>
      <c r="H42" s="1" t="s">
        <v>92</v>
      </c>
      <c r="I42" s="1" t="s">
        <v>204</v>
      </c>
      <c r="J42" s="1" t="s">
        <v>205</v>
      </c>
      <c r="K42" s="1" t="s">
        <v>205</v>
      </c>
      <c r="M42" s="4">
        <v>0.0</v>
      </c>
      <c r="O42" s="4">
        <v>15.28745</v>
      </c>
    </row>
    <row r="43">
      <c r="A43" s="7">
        <v>45531.0</v>
      </c>
      <c r="B43" s="1" t="s">
        <v>95</v>
      </c>
      <c r="C43" s="1" t="s">
        <v>89</v>
      </c>
      <c r="D43" s="4">
        <v>379.0</v>
      </c>
      <c r="E43" s="4">
        <v>0.0</v>
      </c>
      <c r="G43" s="1" t="s">
        <v>149</v>
      </c>
      <c r="H43" s="1" t="s">
        <v>92</v>
      </c>
      <c r="I43" s="1" t="s">
        <v>206</v>
      </c>
      <c r="J43" s="1" t="s">
        <v>207</v>
      </c>
      <c r="K43" s="1" t="s">
        <v>207</v>
      </c>
      <c r="M43" s="4">
        <v>-5.0</v>
      </c>
      <c r="O43" s="4">
        <v>12.610883333333334</v>
      </c>
    </row>
    <row r="44">
      <c r="A44" s="7">
        <v>45531.0</v>
      </c>
      <c r="B44" s="1" t="s">
        <v>95</v>
      </c>
      <c r="C44" s="1" t="s">
        <v>89</v>
      </c>
      <c r="D44" s="4">
        <v>247.0</v>
      </c>
      <c r="E44" s="4">
        <v>62.0</v>
      </c>
      <c r="G44" s="1" t="s">
        <v>149</v>
      </c>
      <c r="H44" s="1" t="s">
        <v>116</v>
      </c>
      <c r="I44" s="1" t="s">
        <v>208</v>
      </c>
      <c r="J44" s="1" t="s">
        <v>209</v>
      </c>
      <c r="K44" s="1" t="s">
        <v>209</v>
      </c>
      <c r="M44" s="4">
        <v>-8.0</v>
      </c>
      <c r="O44" s="4">
        <v>10.526083333333334</v>
      </c>
    </row>
    <row r="45">
      <c r="A45" s="7">
        <v>45531.0</v>
      </c>
      <c r="B45" s="1" t="s">
        <v>95</v>
      </c>
      <c r="C45" s="1" t="s">
        <v>89</v>
      </c>
      <c r="D45" s="4">
        <v>245.0</v>
      </c>
      <c r="E45" s="4">
        <v>61.0</v>
      </c>
      <c r="G45" s="1" t="s">
        <v>149</v>
      </c>
      <c r="H45" s="1" t="s">
        <v>153</v>
      </c>
      <c r="I45" s="1" t="s">
        <v>210</v>
      </c>
      <c r="J45" s="1" t="s">
        <v>211</v>
      </c>
      <c r="K45" s="1" t="s">
        <v>211</v>
      </c>
      <c r="M45" s="4">
        <v>-9.0</v>
      </c>
      <c r="O45" s="4">
        <v>9.184483333333333</v>
      </c>
    </row>
    <row r="46">
      <c r="A46" s="7">
        <v>45531.0</v>
      </c>
      <c r="B46" s="1" t="s">
        <v>88</v>
      </c>
      <c r="C46" s="1" t="s">
        <v>89</v>
      </c>
      <c r="D46" s="4">
        <v>321.0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212</v>
      </c>
      <c r="J46" s="1" t="s">
        <v>213</v>
      </c>
      <c r="K46" s="1" t="s">
        <v>213</v>
      </c>
      <c r="M46" s="4">
        <v>8.0</v>
      </c>
      <c r="O46" s="4">
        <v>24.185216666666665</v>
      </c>
    </row>
    <row r="47">
      <c r="A47" s="7">
        <v>45531.0</v>
      </c>
      <c r="B47" s="1" t="s">
        <v>95</v>
      </c>
      <c r="C47" s="1" t="s">
        <v>89</v>
      </c>
      <c r="D47" s="4">
        <v>274.0</v>
      </c>
      <c r="E47" s="4">
        <v>0.0</v>
      </c>
      <c r="F47" s="1" t="s">
        <v>96</v>
      </c>
      <c r="G47" s="1" t="s">
        <v>97</v>
      </c>
      <c r="H47" s="1" t="s">
        <v>92</v>
      </c>
      <c r="I47" s="1" t="s">
        <v>214</v>
      </c>
      <c r="J47" s="1" t="s">
        <v>215</v>
      </c>
      <c r="K47" s="1" t="s">
        <v>216</v>
      </c>
      <c r="L47" s="1" t="s">
        <v>217</v>
      </c>
      <c r="M47" s="4">
        <v>-6.0</v>
      </c>
      <c r="N47" s="4">
        <v>0.008466666666666667</v>
      </c>
      <c r="O47" s="4">
        <v>16.068183333333334</v>
      </c>
    </row>
    <row r="48">
      <c r="A48" s="7">
        <v>45531.0</v>
      </c>
      <c r="B48" s="1" t="s">
        <v>127</v>
      </c>
      <c r="C48" s="1" t="s">
        <v>89</v>
      </c>
      <c r="D48" s="4">
        <v>582.0</v>
      </c>
      <c r="E48" s="4">
        <v>0.0</v>
      </c>
      <c r="G48" s="1" t="s">
        <v>91</v>
      </c>
      <c r="H48" s="1" t="s">
        <v>92</v>
      </c>
      <c r="I48" s="1" t="s">
        <v>218</v>
      </c>
      <c r="J48" s="1" t="s">
        <v>219</v>
      </c>
      <c r="K48" s="1" t="s">
        <v>219</v>
      </c>
      <c r="M48" s="4">
        <v>0.0</v>
      </c>
      <c r="O48" s="4">
        <v>15.7037</v>
      </c>
    </row>
    <row r="49">
      <c r="A49" s="7">
        <v>45531.0</v>
      </c>
      <c r="B49" s="1" t="s">
        <v>127</v>
      </c>
      <c r="C49" s="1" t="s">
        <v>105</v>
      </c>
      <c r="D49" s="4">
        <v>214.0</v>
      </c>
      <c r="E49" s="4">
        <v>50.0</v>
      </c>
      <c r="G49" s="1" t="s">
        <v>91</v>
      </c>
      <c r="H49" s="1" t="s">
        <v>92</v>
      </c>
      <c r="I49" s="1" t="s">
        <v>220</v>
      </c>
      <c r="J49" s="1" t="s">
        <v>221</v>
      </c>
      <c r="K49" s="1" t="s">
        <v>221</v>
      </c>
      <c r="M49" s="4">
        <v>11.0</v>
      </c>
      <c r="O49" s="4">
        <v>22.53465</v>
      </c>
    </row>
    <row r="50">
      <c r="A50" s="7">
        <v>45531.0</v>
      </c>
      <c r="B50" s="1" t="s">
        <v>95</v>
      </c>
      <c r="C50" s="1" t="s">
        <v>89</v>
      </c>
      <c r="D50" s="4">
        <v>797.0</v>
      </c>
      <c r="E50" s="4">
        <v>199.0</v>
      </c>
      <c r="G50" s="1" t="s">
        <v>149</v>
      </c>
      <c r="H50" s="1" t="s">
        <v>153</v>
      </c>
      <c r="I50" s="1" t="s">
        <v>222</v>
      </c>
      <c r="J50" s="1" t="s">
        <v>223</v>
      </c>
      <c r="K50" s="1" t="s">
        <v>223</v>
      </c>
      <c r="M50" s="4">
        <v>0.0</v>
      </c>
      <c r="O50" s="4">
        <v>19.6758</v>
      </c>
    </row>
    <row r="51">
      <c r="A51" s="7">
        <v>45531.0</v>
      </c>
      <c r="B51" s="1" t="s">
        <v>127</v>
      </c>
      <c r="C51" s="1" t="s">
        <v>105</v>
      </c>
      <c r="D51" s="4">
        <v>368.0</v>
      </c>
      <c r="E51" s="4">
        <v>0.0</v>
      </c>
      <c r="G51" s="1" t="s">
        <v>91</v>
      </c>
      <c r="H51" s="1" t="s">
        <v>116</v>
      </c>
      <c r="I51" s="1" t="s">
        <v>224</v>
      </c>
      <c r="J51" s="1" t="s">
        <v>225</v>
      </c>
      <c r="K51" s="1" t="s">
        <v>225</v>
      </c>
      <c r="M51" s="4">
        <v>9.0</v>
      </c>
      <c r="O51" s="4">
        <v>22.38985</v>
      </c>
    </row>
    <row r="52">
      <c r="A52" s="7">
        <v>45531.0</v>
      </c>
      <c r="B52" s="1" t="s">
        <v>127</v>
      </c>
      <c r="C52" s="1" t="s">
        <v>105</v>
      </c>
      <c r="D52" s="4">
        <v>264.0</v>
      </c>
      <c r="E52" s="4">
        <v>0.0</v>
      </c>
      <c r="G52" s="1" t="s">
        <v>91</v>
      </c>
      <c r="H52" s="1" t="s">
        <v>92</v>
      </c>
      <c r="I52" s="1" t="s">
        <v>226</v>
      </c>
      <c r="J52" s="1" t="s">
        <v>227</v>
      </c>
      <c r="K52" s="1" t="s">
        <v>227</v>
      </c>
      <c r="M52" s="4">
        <v>-3.0</v>
      </c>
      <c r="O52" s="4">
        <v>7.4117</v>
      </c>
    </row>
    <row r="53">
      <c r="A53" s="7">
        <v>45531.0</v>
      </c>
      <c r="B53" s="1" t="s">
        <v>95</v>
      </c>
      <c r="C53" s="1" t="s">
        <v>89</v>
      </c>
      <c r="D53" s="4">
        <v>336.0</v>
      </c>
      <c r="E53" s="4">
        <v>0.0</v>
      </c>
      <c r="F53" s="1" t="s">
        <v>90</v>
      </c>
      <c r="G53" s="1" t="s">
        <v>97</v>
      </c>
      <c r="H53" s="1" t="s">
        <v>92</v>
      </c>
      <c r="I53" s="1" t="s">
        <v>228</v>
      </c>
      <c r="J53" s="1" t="s">
        <v>229</v>
      </c>
      <c r="K53" s="1" t="s">
        <v>230</v>
      </c>
      <c r="L53" s="1" t="s">
        <v>231</v>
      </c>
      <c r="M53" s="4">
        <v>1.0</v>
      </c>
      <c r="N53" s="4">
        <v>12.3929</v>
      </c>
      <c r="O53" s="4">
        <v>14.58575</v>
      </c>
    </row>
    <row r="54">
      <c r="A54" s="7">
        <v>45531.0</v>
      </c>
      <c r="B54" s="1" t="s">
        <v>95</v>
      </c>
      <c r="C54" s="1" t="s">
        <v>152</v>
      </c>
      <c r="D54" s="4">
        <v>299.0</v>
      </c>
      <c r="E54" s="4">
        <v>75.0</v>
      </c>
      <c r="G54" s="1" t="s">
        <v>149</v>
      </c>
      <c r="H54" s="1" t="s">
        <v>153</v>
      </c>
      <c r="I54" s="1" t="s">
        <v>232</v>
      </c>
      <c r="M54" s="4">
        <v>0.0</v>
      </c>
    </row>
    <row r="55">
      <c r="A55" s="7">
        <v>45531.0</v>
      </c>
      <c r="B55" s="1" t="s">
        <v>104</v>
      </c>
      <c r="C55" s="1" t="s">
        <v>105</v>
      </c>
      <c r="D55" s="4">
        <v>553.0</v>
      </c>
      <c r="E55" s="4">
        <v>0.0</v>
      </c>
      <c r="F55" s="1" t="s">
        <v>203</v>
      </c>
      <c r="G55" s="1" t="s">
        <v>91</v>
      </c>
      <c r="H55" s="1" t="s">
        <v>92</v>
      </c>
      <c r="I55" s="1" t="s">
        <v>233</v>
      </c>
      <c r="J55" s="1" t="s">
        <v>234</v>
      </c>
      <c r="K55" s="1" t="s">
        <v>234</v>
      </c>
      <c r="M55" s="4">
        <v>-5.0</v>
      </c>
      <c r="O55" s="4">
        <v>13.188666666666666</v>
      </c>
    </row>
    <row r="56">
      <c r="A56" s="7">
        <v>45531.0</v>
      </c>
      <c r="B56" s="1" t="s">
        <v>169</v>
      </c>
      <c r="C56" s="1" t="s">
        <v>89</v>
      </c>
      <c r="D56" s="4">
        <v>168.0</v>
      </c>
      <c r="E56" s="4">
        <v>0.0</v>
      </c>
      <c r="G56" s="1" t="s">
        <v>149</v>
      </c>
      <c r="H56" s="1" t="s">
        <v>116</v>
      </c>
      <c r="I56" s="1" t="s">
        <v>235</v>
      </c>
      <c r="J56" s="1" t="s">
        <v>236</v>
      </c>
      <c r="K56" s="1" t="s">
        <v>236</v>
      </c>
      <c r="M56" s="4">
        <v>3.0</v>
      </c>
      <c r="O56" s="4">
        <v>8.54645</v>
      </c>
    </row>
    <row r="57">
      <c r="A57" s="7">
        <v>45531.0</v>
      </c>
      <c r="B57" s="1" t="s">
        <v>127</v>
      </c>
      <c r="C57" s="1" t="s">
        <v>105</v>
      </c>
      <c r="D57" s="4">
        <v>528.0</v>
      </c>
      <c r="E57" s="4">
        <v>0.0</v>
      </c>
      <c r="G57" s="1" t="s">
        <v>91</v>
      </c>
      <c r="H57" s="1" t="s">
        <v>92</v>
      </c>
      <c r="I57" s="1" t="s">
        <v>237</v>
      </c>
      <c r="J57" s="1" t="s">
        <v>238</v>
      </c>
      <c r="K57" s="1" t="s">
        <v>238</v>
      </c>
      <c r="M57" s="4">
        <v>-1.0</v>
      </c>
      <c r="O57" s="4">
        <v>12.790866666666666</v>
      </c>
    </row>
    <row r="58">
      <c r="A58" s="7">
        <v>45531.0</v>
      </c>
      <c r="B58" s="1" t="s">
        <v>95</v>
      </c>
      <c r="C58" s="1" t="s">
        <v>89</v>
      </c>
      <c r="D58" s="4">
        <v>299.0</v>
      </c>
      <c r="E58" s="4">
        <v>75.0</v>
      </c>
      <c r="G58" s="1" t="s">
        <v>149</v>
      </c>
      <c r="H58" s="1" t="s">
        <v>153</v>
      </c>
      <c r="I58" s="1" t="s">
        <v>239</v>
      </c>
      <c r="J58" s="1" t="s">
        <v>240</v>
      </c>
      <c r="K58" s="1" t="s">
        <v>240</v>
      </c>
      <c r="M58" s="4">
        <v>-7.0</v>
      </c>
      <c r="O58" s="4">
        <v>12.055616666666667</v>
      </c>
    </row>
    <row r="59">
      <c r="A59" s="7">
        <v>45531.0</v>
      </c>
      <c r="B59" s="1" t="s">
        <v>95</v>
      </c>
      <c r="C59" s="1" t="s">
        <v>89</v>
      </c>
      <c r="D59" s="4">
        <v>683.0</v>
      </c>
      <c r="E59" s="4">
        <v>0.0</v>
      </c>
      <c r="F59" s="1" t="s">
        <v>96</v>
      </c>
      <c r="G59" s="1" t="s">
        <v>97</v>
      </c>
      <c r="H59" s="1" t="s">
        <v>92</v>
      </c>
      <c r="I59" s="1" t="s">
        <v>241</v>
      </c>
      <c r="J59" s="1" t="s">
        <v>242</v>
      </c>
      <c r="K59" s="1" t="s">
        <v>243</v>
      </c>
      <c r="L59" s="1" t="s">
        <v>244</v>
      </c>
      <c r="M59" s="4">
        <v>10.0</v>
      </c>
      <c r="N59" s="4">
        <v>0.012683333333333333</v>
      </c>
      <c r="O59" s="4">
        <v>14.565133333333334</v>
      </c>
    </row>
    <row r="60">
      <c r="A60" s="7">
        <v>45531.0</v>
      </c>
      <c r="B60" s="1" t="s">
        <v>104</v>
      </c>
      <c r="C60" s="1" t="s">
        <v>89</v>
      </c>
      <c r="D60" s="4">
        <v>329.0</v>
      </c>
      <c r="E60" s="4">
        <v>0.0</v>
      </c>
      <c r="G60" s="1" t="s">
        <v>149</v>
      </c>
      <c r="H60" s="1" t="s">
        <v>92</v>
      </c>
      <c r="I60" s="1" t="s">
        <v>245</v>
      </c>
      <c r="J60" s="1" t="s">
        <v>246</v>
      </c>
      <c r="K60" s="1" t="s">
        <v>246</v>
      </c>
      <c r="M60" s="4">
        <v>2.0</v>
      </c>
      <c r="O60" s="4">
        <v>17.60875</v>
      </c>
    </row>
    <row r="61">
      <c r="A61" s="7">
        <v>45531.0</v>
      </c>
      <c r="B61" s="1" t="s">
        <v>95</v>
      </c>
      <c r="C61" s="1" t="s">
        <v>89</v>
      </c>
      <c r="D61" s="4">
        <v>575.0</v>
      </c>
      <c r="E61" s="4">
        <v>0.0</v>
      </c>
      <c r="F61" s="1" t="s">
        <v>96</v>
      </c>
      <c r="G61" s="1" t="s">
        <v>97</v>
      </c>
      <c r="H61" s="1" t="s">
        <v>92</v>
      </c>
      <c r="I61" s="1" t="s">
        <v>247</v>
      </c>
      <c r="J61" s="1" t="s">
        <v>248</v>
      </c>
      <c r="K61" s="1" t="s">
        <v>249</v>
      </c>
      <c r="L61" s="1" t="s">
        <v>250</v>
      </c>
      <c r="M61" s="4">
        <v>3.0</v>
      </c>
      <c r="N61" s="4">
        <v>0.0099</v>
      </c>
      <c r="O61" s="4">
        <v>11.029266666666667</v>
      </c>
    </row>
    <row r="62">
      <c r="A62" s="7">
        <v>45531.0</v>
      </c>
      <c r="B62" s="1" t="s">
        <v>127</v>
      </c>
      <c r="C62" s="1" t="s">
        <v>105</v>
      </c>
      <c r="D62" s="4">
        <v>653.0</v>
      </c>
      <c r="E62" s="4">
        <v>0.0</v>
      </c>
      <c r="G62" s="1" t="s">
        <v>91</v>
      </c>
      <c r="H62" s="1" t="s">
        <v>116</v>
      </c>
      <c r="I62" s="1" t="s">
        <v>251</v>
      </c>
      <c r="J62" s="1" t="s">
        <v>252</v>
      </c>
      <c r="K62" s="1" t="s">
        <v>252</v>
      </c>
      <c r="M62" s="4">
        <v>-4.0</v>
      </c>
      <c r="O62" s="4">
        <v>10.776983333333334</v>
      </c>
    </row>
    <row r="63">
      <c r="A63" s="7">
        <v>45531.0</v>
      </c>
      <c r="B63" s="1" t="s">
        <v>169</v>
      </c>
      <c r="C63" s="1" t="s">
        <v>89</v>
      </c>
      <c r="D63" s="4">
        <v>398.0</v>
      </c>
      <c r="E63" s="4">
        <v>0.0</v>
      </c>
      <c r="G63" s="1" t="s">
        <v>149</v>
      </c>
      <c r="H63" s="1" t="s">
        <v>116</v>
      </c>
      <c r="I63" s="1" t="s">
        <v>253</v>
      </c>
      <c r="J63" s="1" t="s">
        <v>254</v>
      </c>
      <c r="K63" s="1" t="s">
        <v>254</v>
      </c>
      <c r="M63" s="4">
        <v>4.0</v>
      </c>
      <c r="O63" s="4">
        <v>9.67945</v>
      </c>
    </row>
    <row r="64">
      <c r="A64" s="7">
        <v>45531.0</v>
      </c>
      <c r="B64" s="1" t="s">
        <v>95</v>
      </c>
      <c r="C64" s="1" t="s">
        <v>89</v>
      </c>
      <c r="D64" s="4">
        <v>366.0</v>
      </c>
      <c r="E64" s="4">
        <v>62.0</v>
      </c>
      <c r="G64" s="1" t="s">
        <v>149</v>
      </c>
      <c r="H64" s="1" t="s">
        <v>116</v>
      </c>
      <c r="I64" s="1" t="s">
        <v>255</v>
      </c>
      <c r="J64" s="1" t="s">
        <v>256</v>
      </c>
      <c r="K64" s="1" t="s">
        <v>256</v>
      </c>
      <c r="M64" s="4">
        <v>-8.0</v>
      </c>
      <c r="O64" s="4">
        <v>89.64916666666667</v>
      </c>
    </row>
    <row r="65">
      <c r="A65" s="7">
        <v>45531.0</v>
      </c>
      <c r="B65" s="1" t="s">
        <v>169</v>
      </c>
      <c r="C65" s="1" t="s">
        <v>89</v>
      </c>
      <c r="D65" s="4">
        <v>348.0</v>
      </c>
      <c r="E65" s="4">
        <v>0.0</v>
      </c>
      <c r="G65" s="1" t="s">
        <v>149</v>
      </c>
      <c r="H65" s="1" t="s">
        <v>116</v>
      </c>
      <c r="I65" s="1" t="s">
        <v>257</v>
      </c>
      <c r="J65" s="1" t="s">
        <v>258</v>
      </c>
      <c r="K65" s="1" t="s">
        <v>258</v>
      </c>
      <c r="M65" s="4">
        <v>7.0</v>
      </c>
      <c r="O65" s="4">
        <v>12.3883</v>
      </c>
    </row>
    <row r="66">
      <c r="A66" s="7">
        <v>45531.0</v>
      </c>
      <c r="B66" s="1" t="s">
        <v>104</v>
      </c>
      <c r="C66" s="1" t="s">
        <v>105</v>
      </c>
      <c r="D66" s="4">
        <v>588.0</v>
      </c>
      <c r="E66" s="4">
        <v>0.0</v>
      </c>
      <c r="F66" s="1" t="s">
        <v>259</v>
      </c>
      <c r="G66" s="1" t="s">
        <v>91</v>
      </c>
      <c r="H66" s="1" t="s">
        <v>92</v>
      </c>
      <c r="I66" s="1" t="s">
        <v>260</v>
      </c>
      <c r="J66" s="1" t="s">
        <v>261</v>
      </c>
      <c r="K66" s="1" t="s">
        <v>261</v>
      </c>
      <c r="M66" s="4">
        <v>0.0</v>
      </c>
      <c r="O66" s="4">
        <v>18.05265</v>
      </c>
    </row>
    <row r="67">
      <c r="A67" s="7">
        <v>45531.0</v>
      </c>
      <c r="B67" s="1" t="s">
        <v>95</v>
      </c>
      <c r="C67" s="1" t="s">
        <v>89</v>
      </c>
      <c r="D67" s="4">
        <v>329.0</v>
      </c>
      <c r="E67" s="4">
        <v>0.0</v>
      </c>
      <c r="F67" s="1" t="s">
        <v>96</v>
      </c>
      <c r="G67" s="1" t="s">
        <v>97</v>
      </c>
      <c r="H67" s="1" t="s">
        <v>92</v>
      </c>
      <c r="I67" s="1" t="s">
        <v>262</v>
      </c>
      <c r="J67" s="1" t="s">
        <v>263</v>
      </c>
      <c r="K67" s="1" t="s">
        <v>264</v>
      </c>
      <c r="L67" s="1" t="s">
        <v>265</v>
      </c>
      <c r="M67" s="4">
        <v>9.0</v>
      </c>
      <c r="N67" s="4">
        <v>0.008933333333333333</v>
      </c>
      <c r="O67" s="4">
        <v>21.337433333333333</v>
      </c>
    </row>
    <row r="68">
      <c r="A68" s="7">
        <v>45531.0</v>
      </c>
      <c r="B68" s="1" t="s">
        <v>95</v>
      </c>
      <c r="C68" s="1" t="s">
        <v>89</v>
      </c>
      <c r="D68" s="4">
        <v>374.0</v>
      </c>
      <c r="E68" s="4">
        <v>0.0</v>
      </c>
      <c r="F68" s="1" t="s">
        <v>96</v>
      </c>
      <c r="G68" s="1" t="s">
        <v>97</v>
      </c>
      <c r="H68" s="1" t="s">
        <v>116</v>
      </c>
      <c r="I68" s="1" t="s">
        <v>266</v>
      </c>
      <c r="J68" s="1" t="s">
        <v>267</v>
      </c>
      <c r="K68" s="1" t="s">
        <v>268</v>
      </c>
      <c r="L68" s="1" t="s">
        <v>269</v>
      </c>
      <c r="M68" s="4">
        <v>2.0</v>
      </c>
      <c r="N68" s="4">
        <v>0.008516666666666667</v>
      </c>
      <c r="O68" s="4">
        <v>15.152033333333334</v>
      </c>
    </row>
    <row r="69">
      <c r="A69" s="7">
        <v>45531.0</v>
      </c>
      <c r="B69" s="1" t="s">
        <v>95</v>
      </c>
      <c r="C69" s="1" t="s">
        <v>89</v>
      </c>
      <c r="D69" s="4">
        <v>523.0</v>
      </c>
      <c r="E69" s="4">
        <v>32.0</v>
      </c>
      <c r="F69" s="1" t="s">
        <v>90</v>
      </c>
      <c r="G69" s="1" t="s">
        <v>97</v>
      </c>
      <c r="H69" s="1" t="s">
        <v>92</v>
      </c>
      <c r="I69" s="1" t="s">
        <v>270</v>
      </c>
      <c r="J69" s="1" t="s">
        <v>271</v>
      </c>
      <c r="K69" s="1" t="s">
        <v>272</v>
      </c>
      <c r="L69" s="1" t="s">
        <v>273</v>
      </c>
      <c r="M69" s="4">
        <v>18.0</v>
      </c>
      <c r="N69" s="4">
        <v>10.967766666666666</v>
      </c>
      <c r="O69" s="4">
        <v>13.16235</v>
      </c>
    </row>
    <row r="70">
      <c r="A70" s="7">
        <v>45531.0</v>
      </c>
      <c r="B70" s="1" t="s">
        <v>95</v>
      </c>
      <c r="C70" s="1" t="s">
        <v>89</v>
      </c>
      <c r="D70" s="4">
        <v>168.0</v>
      </c>
      <c r="E70" s="4">
        <v>0.0</v>
      </c>
      <c r="G70" s="1" t="s">
        <v>149</v>
      </c>
      <c r="H70" s="1" t="s">
        <v>116</v>
      </c>
      <c r="I70" s="1" t="s">
        <v>274</v>
      </c>
      <c r="J70" s="1" t="s">
        <v>275</v>
      </c>
      <c r="K70" s="1" t="s">
        <v>275</v>
      </c>
      <c r="M70" s="4">
        <v>-6.0</v>
      </c>
      <c r="O70" s="4">
        <v>12.58635</v>
      </c>
    </row>
    <row r="71">
      <c r="A71" s="7">
        <v>45531.0</v>
      </c>
      <c r="B71" s="1" t="s">
        <v>127</v>
      </c>
      <c r="C71" s="1" t="s">
        <v>105</v>
      </c>
      <c r="D71" s="4">
        <v>264.0</v>
      </c>
      <c r="E71" s="4">
        <v>0.0</v>
      </c>
      <c r="G71" s="1" t="s">
        <v>91</v>
      </c>
      <c r="H71" s="1" t="s">
        <v>92</v>
      </c>
      <c r="I71" s="1" t="s">
        <v>276</v>
      </c>
      <c r="J71" s="1" t="s">
        <v>277</v>
      </c>
      <c r="K71" s="1" t="s">
        <v>277</v>
      </c>
      <c r="M71" s="4">
        <v>-2.0</v>
      </c>
      <c r="O71" s="4">
        <v>8.602383333333334</v>
      </c>
    </row>
    <row r="72">
      <c r="A72" s="7">
        <v>45531.0</v>
      </c>
      <c r="B72" s="1" t="s">
        <v>127</v>
      </c>
      <c r="C72" s="1" t="s">
        <v>105</v>
      </c>
      <c r="D72" s="4">
        <v>429.0</v>
      </c>
      <c r="E72" s="4">
        <v>0.0</v>
      </c>
      <c r="G72" s="1" t="s">
        <v>91</v>
      </c>
      <c r="H72" s="1" t="s">
        <v>92</v>
      </c>
      <c r="I72" s="1" t="s">
        <v>278</v>
      </c>
      <c r="J72" s="1" t="s">
        <v>279</v>
      </c>
      <c r="K72" s="1" t="s">
        <v>279</v>
      </c>
      <c r="M72" s="4">
        <v>-2.0</v>
      </c>
      <c r="O72" s="4">
        <v>10.722833333333334</v>
      </c>
    </row>
    <row r="73">
      <c r="A73" s="7">
        <v>45531.0</v>
      </c>
      <c r="B73" s="1" t="s">
        <v>88</v>
      </c>
      <c r="C73" s="1" t="s">
        <v>89</v>
      </c>
      <c r="D73" s="4">
        <v>593.0</v>
      </c>
      <c r="E73" s="4">
        <v>0.0</v>
      </c>
      <c r="F73" s="1" t="s">
        <v>90</v>
      </c>
      <c r="G73" s="1" t="s">
        <v>91</v>
      </c>
      <c r="H73" s="1" t="s">
        <v>92</v>
      </c>
      <c r="I73" s="1" t="s">
        <v>280</v>
      </c>
      <c r="J73" s="1" t="s">
        <v>281</v>
      </c>
      <c r="K73" s="1" t="s">
        <v>281</v>
      </c>
      <c r="M73" s="4">
        <v>-4.0</v>
      </c>
      <c r="O73" s="4">
        <v>10.3188</v>
      </c>
    </row>
    <row r="74">
      <c r="A74" s="7">
        <v>45531.0</v>
      </c>
      <c r="B74" s="1" t="s">
        <v>95</v>
      </c>
      <c r="C74" s="1" t="s">
        <v>89</v>
      </c>
      <c r="D74" s="4">
        <v>219.0</v>
      </c>
      <c r="E74" s="4">
        <v>55.0</v>
      </c>
      <c r="G74" s="1" t="s">
        <v>149</v>
      </c>
      <c r="H74" s="1" t="s">
        <v>153</v>
      </c>
      <c r="I74" s="1" t="s">
        <v>282</v>
      </c>
      <c r="J74" s="1" t="s">
        <v>283</v>
      </c>
      <c r="K74" s="1" t="s">
        <v>283</v>
      </c>
      <c r="M74" s="4">
        <v>-11.0</v>
      </c>
      <c r="O74" s="4">
        <v>8.287916666666666</v>
      </c>
    </row>
    <row r="75">
      <c r="A75" s="7">
        <v>45531.0</v>
      </c>
      <c r="B75" s="1" t="s">
        <v>127</v>
      </c>
      <c r="C75" s="1" t="s">
        <v>105</v>
      </c>
      <c r="D75" s="4">
        <v>553.0</v>
      </c>
      <c r="E75" s="4">
        <v>0.0</v>
      </c>
      <c r="G75" s="1" t="s">
        <v>91</v>
      </c>
      <c r="H75" s="1" t="s">
        <v>92</v>
      </c>
      <c r="I75" s="1" t="s">
        <v>284</v>
      </c>
      <c r="J75" s="1" t="s">
        <v>285</v>
      </c>
      <c r="K75" s="1" t="s">
        <v>285</v>
      </c>
      <c r="M75" s="4">
        <v>-2.0</v>
      </c>
      <c r="O75" s="4">
        <v>11.9187</v>
      </c>
    </row>
    <row r="76">
      <c r="A76" s="7">
        <v>45531.0</v>
      </c>
      <c r="B76" s="1" t="s">
        <v>95</v>
      </c>
      <c r="C76" s="1" t="s">
        <v>152</v>
      </c>
      <c r="D76" s="4">
        <v>267.0</v>
      </c>
      <c r="E76" s="4">
        <v>62.0</v>
      </c>
      <c r="G76" s="1" t="s">
        <v>149</v>
      </c>
      <c r="H76" s="1" t="s">
        <v>153</v>
      </c>
      <c r="I76" s="1" t="s">
        <v>286</v>
      </c>
      <c r="M76" s="4">
        <v>0.0</v>
      </c>
    </row>
    <row r="77">
      <c r="A77" s="7">
        <v>45531.0</v>
      </c>
      <c r="B77" s="1" t="s">
        <v>95</v>
      </c>
      <c r="C77" s="1" t="s">
        <v>89</v>
      </c>
      <c r="D77" s="4">
        <v>267.0</v>
      </c>
      <c r="E77" s="4">
        <v>62.0</v>
      </c>
      <c r="G77" s="1" t="s">
        <v>149</v>
      </c>
      <c r="H77" s="1" t="s">
        <v>153</v>
      </c>
      <c r="I77" s="1" t="s">
        <v>287</v>
      </c>
      <c r="J77" s="1" t="s">
        <v>288</v>
      </c>
      <c r="K77" s="1" t="s">
        <v>288</v>
      </c>
      <c r="M77" s="4">
        <v>-10.0</v>
      </c>
      <c r="O77" s="4">
        <v>9.247833333333332</v>
      </c>
    </row>
    <row r="78">
      <c r="A78" s="7">
        <v>45531.0</v>
      </c>
      <c r="B78" s="1" t="s">
        <v>95</v>
      </c>
      <c r="C78" s="1" t="s">
        <v>89</v>
      </c>
      <c r="D78" s="4">
        <v>267.0</v>
      </c>
      <c r="E78" s="4">
        <v>62.0</v>
      </c>
      <c r="G78" s="1" t="s">
        <v>149</v>
      </c>
      <c r="H78" s="1" t="s">
        <v>92</v>
      </c>
      <c r="I78" s="1" t="s">
        <v>289</v>
      </c>
      <c r="J78" s="1" t="s">
        <v>290</v>
      </c>
      <c r="K78" s="1" t="s">
        <v>290</v>
      </c>
      <c r="M78" s="4">
        <v>-8.0</v>
      </c>
      <c r="O78" s="4">
        <v>10.433783333333333</v>
      </c>
    </row>
    <row r="79">
      <c r="A79" s="7">
        <v>45531.0</v>
      </c>
      <c r="B79" s="1" t="s">
        <v>95</v>
      </c>
      <c r="C79" s="1" t="s">
        <v>89</v>
      </c>
      <c r="D79" s="4">
        <v>324.0</v>
      </c>
      <c r="E79" s="4">
        <v>69.0</v>
      </c>
      <c r="G79" s="1" t="s">
        <v>149</v>
      </c>
      <c r="H79" s="1" t="s">
        <v>116</v>
      </c>
      <c r="I79" s="1" t="s">
        <v>291</v>
      </c>
      <c r="J79" s="1" t="s">
        <v>292</v>
      </c>
      <c r="K79" s="1" t="s">
        <v>292</v>
      </c>
      <c r="M79" s="4">
        <v>-9.0</v>
      </c>
      <c r="O79" s="4">
        <v>9.912783333333334</v>
      </c>
    </row>
    <row r="80">
      <c r="A80" s="7">
        <v>45531.0</v>
      </c>
      <c r="B80" s="1" t="s">
        <v>127</v>
      </c>
      <c r="C80" s="1" t="s">
        <v>105</v>
      </c>
      <c r="D80" s="4">
        <v>573.0</v>
      </c>
      <c r="E80" s="4">
        <v>0.0</v>
      </c>
      <c r="G80" s="1" t="s">
        <v>91</v>
      </c>
      <c r="H80" s="1" t="s">
        <v>116</v>
      </c>
      <c r="I80" s="1" t="s">
        <v>293</v>
      </c>
      <c r="J80" s="1" t="s">
        <v>294</v>
      </c>
      <c r="K80" s="1" t="s">
        <v>294</v>
      </c>
      <c r="M80" s="4">
        <v>-2.0</v>
      </c>
      <c r="O80" s="4">
        <v>11.2444</v>
      </c>
    </row>
    <row r="81">
      <c r="A81" s="7">
        <v>45531.0</v>
      </c>
      <c r="B81" s="1" t="s">
        <v>104</v>
      </c>
      <c r="C81" s="1" t="s">
        <v>105</v>
      </c>
      <c r="D81" s="4">
        <v>788.0</v>
      </c>
      <c r="E81" s="4">
        <v>0.0</v>
      </c>
      <c r="F81" s="1" t="s">
        <v>295</v>
      </c>
      <c r="G81" s="1" t="s">
        <v>91</v>
      </c>
      <c r="H81" s="1" t="s">
        <v>92</v>
      </c>
      <c r="I81" s="1" t="s">
        <v>296</v>
      </c>
      <c r="J81" s="1" t="s">
        <v>297</v>
      </c>
      <c r="K81" s="1" t="s">
        <v>297</v>
      </c>
      <c r="M81" s="4">
        <v>-6.0</v>
      </c>
      <c r="O81" s="4">
        <v>12.034283333333333</v>
      </c>
    </row>
    <row r="82">
      <c r="A82" s="7">
        <v>45531.0</v>
      </c>
      <c r="B82" s="1" t="s">
        <v>95</v>
      </c>
      <c r="C82" s="1" t="s">
        <v>89</v>
      </c>
      <c r="D82" s="4">
        <v>289.0</v>
      </c>
      <c r="E82" s="4">
        <v>0.0</v>
      </c>
      <c r="F82" s="1" t="s">
        <v>298</v>
      </c>
      <c r="G82" s="1" t="s">
        <v>97</v>
      </c>
      <c r="H82" s="1" t="s">
        <v>92</v>
      </c>
      <c r="I82" s="1" t="s">
        <v>299</v>
      </c>
      <c r="J82" s="1" t="s">
        <v>300</v>
      </c>
      <c r="K82" s="1" t="s">
        <v>301</v>
      </c>
      <c r="L82" s="1" t="s">
        <v>302</v>
      </c>
      <c r="M82" s="4">
        <v>-9.0</v>
      </c>
      <c r="N82" s="4">
        <v>0.0098</v>
      </c>
      <c r="O82" s="4">
        <v>7.289016666666667</v>
      </c>
    </row>
    <row r="83">
      <c r="A83" s="7">
        <v>45531.0</v>
      </c>
      <c r="B83" s="1" t="s">
        <v>127</v>
      </c>
      <c r="C83" s="1" t="s">
        <v>89</v>
      </c>
      <c r="D83" s="4">
        <v>294.0</v>
      </c>
      <c r="E83" s="4">
        <v>100.0</v>
      </c>
      <c r="G83" s="1" t="s">
        <v>91</v>
      </c>
      <c r="H83" s="1" t="s">
        <v>92</v>
      </c>
      <c r="I83" s="1" t="s">
        <v>303</v>
      </c>
      <c r="J83" s="1" t="s">
        <v>304</v>
      </c>
      <c r="K83" s="1" t="s">
        <v>304</v>
      </c>
      <c r="M83" s="4">
        <v>-1.0</v>
      </c>
      <c r="O83" s="4">
        <v>11.603533333333333</v>
      </c>
    </row>
    <row r="84">
      <c r="A84" s="7">
        <v>45531.0</v>
      </c>
      <c r="B84" s="1" t="s">
        <v>95</v>
      </c>
      <c r="C84" s="1" t="s">
        <v>89</v>
      </c>
      <c r="D84" s="4">
        <v>575.0</v>
      </c>
      <c r="E84" s="4">
        <v>0.0</v>
      </c>
      <c r="F84" s="1" t="s">
        <v>298</v>
      </c>
      <c r="G84" s="1" t="s">
        <v>97</v>
      </c>
      <c r="H84" s="1" t="s">
        <v>92</v>
      </c>
      <c r="I84" s="1" t="s">
        <v>305</v>
      </c>
      <c r="J84" s="1" t="s">
        <v>306</v>
      </c>
      <c r="K84" s="1" t="s">
        <v>307</v>
      </c>
      <c r="L84" s="1" t="s">
        <v>308</v>
      </c>
      <c r="M84" s="4">
        <v>-3.0</v>
      </c>
      <c r="N84" s="4">
        <v>0.013266666666666666</v>
      </c>
      <c r="O84" s="4">
        <v>10.217433333333334</v>
      </c>
    </row>
    <row r="85">
      <c r="A85" s="7">
        <v>45531.0</v>
      </c>
      <c r="B85" s="1" t="s">
        <v>127</v>
      </c>
      <c r="C85" s="1" t="s">
        <v>89</v>
      </c>
      <c r="D85" s="4">
        <v>665.0</v>
      </c>
      <c r="E85" s="4">
        <v>0.0</v>
      </c>
      <c r="G85" s="1" t="s">
        <v>91</v>
      </c>
      <c r="H85" s="1" t="s">
        <v>92</v>
      </c>
      <c r="I85" s="1" t="s">
        <v>309</v>
      </c>
      <c r="J85" s="1" t="s">
        <v>310</v>
      </c>
      <c r="K85" s="1" t="s">
        <v>310</v>
      </c>
      <c r="M85" s="4">
        <v>-3.0</v>
      </c>
      <c r="O85" s="4">
        <v>10.494016666666667</v>
      </c>
    </row>
    <row r="86">
      <c r="A86" s="7">
        <v>45531.0</v>
      </c>
      <c r="B86" s="1" t="s">
        <v>95</v>
      </c>
      <c r="C86" s="1" t="s">
        <v>89</v>
      </c>
      <c r="D86" s="4">
        <v>285.0</v>
      </c>
      <c r="E86" s="4">
        <v>61.0</v>
      </c>
      <c r="G86" s="1" t="s">
        <v>149</v>
      </c>
      <c r="H86" s="1" t="s">
        <v>92</v>
      </c>
      <c r="I86" s="1" t="s">
        <v>311</v>
      </c>
      <c r="J86" s="1" t="s">
        <v>312</v>
      </c>
      <c r="K86" s="1" t="s">
        <v>312</v>
      </c>
      <c r="M86" s="4">
        <v>-7.0</v>
      </c>
      <c r="O86" s="4">
        <v>11.47205</v>
      </c>
    </row>
    <row r="87">
      <c r="A87" s="7">
        <v>45531.0</v>
      </c>
      <c r="B87" s="1" t="s">
        <v>95</v>
      </c>
      <c r="C87" s="1" t="s">
        <v>89</v>
      </c>
      <c r="D87" s="4">
        <v>309.0</v>
      </c>
      <c r="E87" s="4">
        <v>0.0</v>
      </c>
      <c r="F87" s="1" t="s">
        <v>298</v>
      </c>
      <c r="G87" s="1" t="s">
        <v>97</v>
      </c>
      <c r="H87" s="1" t="s">
        <v>116</v>
      </c>
      <c r="I87" s="1" t="s">
        <v>313</v>
      </c>
      <c r="J87" s="1" t="s">
        <v>314</v>
      </c>
      <c r="K87" s="1" t="s">
        <v>315</v>
      </c>
      <c r="L87" s="1" t="s">
        <v>316</v>
      </c>
      <c r="M87" s="4">
        <v>0.0</v>
      </c>
      <c r="N87" s="4">
        <v>0.008666666666666666</v>
      </c>
      <c r="O87" s="4">
        <v>14.306633333333334</v>
      </c>
    </row>
    <row r="88">
      <c r="A88" s="7">
        <v>45531.0</v>
      </c>
      <c r="B88" s="1" t="s">
        <v>88</v>
      </c>
      <c r="C88" s="1" t="s">
        <v>89</v>
      </c>
      <c r="D88" s="4">
        <v>406.0</v>
      </c>
      <c r="E88" s="4">
        <v>0.0</v>
      </c>
      <c r="F88" s="1" t="s">
        <v>90</v>
      </c>
      <c r="G88" s="1" t="s">
        <v>91</v>
      </c>
      <c r="H88" s="1" t="s">
        <v>92</v>
      </c>
      <c r="I88" s="1" t="s">
        <v>317</v>
      </c>
      <c r="J88" s="1" t="s">
        <v>318</v>
      </c>
      <c r="K88" s="1" t="s">
        <v>318</v>
      </c>
      <c r="M88" s="4">
        <v>-6.0</v>
      </c>
      <c r="O88" s="4">
        <v>8.4832</v>
      </c>
    </row>
    <row r="89">
      <c r="A89" s="7">
        <v>45531.0</v>
      </c>
      <c r="B89" s="1" t="s">
        <v>104</v>
      </c>
      <c r="C89" s="1" t="s">
        <v>105</v>
      </c>
      <c r="D89" s="4">
        <v>553.0</v>
      </c>
      <c r="E89" s="4">
        <v>0.0</v>
      </c>
      <c r="F89" s="1" t="s">
        <v>319</v>
      </c>
      <c r="G89" s="1" t="s">
        <v>91</v>
      </c>
      <c r="H89" s="1" t="s">
        <v>92</v>
      </c>
      <c r="I89" s="1" t="s">
        <v>320</v>
      </c>
      <c r="J89" s="1" t="s">
        <v>321</v>
      </c>
      <c r="K89" s="1" t="s">
        <v>321</v>
      </c>
      <c r="M89" s="4">
        <v>-1.0</v>
      </c>
      <c r="O89" s="4">
        <v>14.2658</v>
      </c>
    </row>
    <row r="90">
      <c r="A90" s="7">
        <v>45531.0</v>
      </c>
      <c r="B90" s="1" t="s">
        <v>169</v>
      </c>
      <c r="C90" s="1" t="s">
        <v>89</v>
      </c>
      <c r="D90" s="4">
        <v>119.0</v>
      </c>
      <c r="E90" s="4">
        <v>0.0</v>
      </c>
      <c r="G90" s="1" t="s">
        <v>149</v>
      </c>
      <c r="H90" s="1" t="s">
        <v>116</v>
      </c>
      <c r="I90" s="1" t="s">
        <v>322</v>
      </c>
      <c r="J90" s="1" t="s">
        <v>323</v>
      </c>
      <c r="K90" s="1" t="s">
        <v>323</v>
      </c>
      <c r="M90" s="4">
        <v>7.0</v>
      </c>
      <c r="O90" s="4">
        <v>12.805283333333334</v>
      </c>
    </row>
    <row r="91">
      <c r="A91" s="7">
        <v>45531.0</v>
      </c>
      <c r="B91" s="1" t="s">
        <v>95</v>
      </c>
      <c r="C91" s="1" t="s">
        <v>89</v>
      </c>
      <c r="D91" s="4">
        <v>357.0</v>
      </c>
      <c r="E91" s="4">
        <v>0.0</v>
      </c>
      <c r="G91" s="1" t="s">
        <v>149</v>
      </c>
      <c r="H91" s="1" t="s">
        <v>116</v>
      </c>
      <c r="I91" s="1" t="s">
        <v>324</v>
      </c>
      <c r="J91" s="1" t="s">
        <v>325</v>
      </c>
      <c r="K91" s="1" t="s">
        <v>325</v>
      </c>
      <c r="M91" s="4">
        <v>-5.0</v>
      </c>
      <c r="O91" s="4">
        <v>15.2749</v>
      </c>
    </row>
    <row r="92">
      <c r="A92" s="7">
        <v>45531.0</v>
      </c>
      <c r="B92" s="1" t="s">
        <v>95</v>
      </c>
      <c r="C92" s="1" t="s">
        <v>89</v>
      </c>
      <c r="D92" s="4">
        <v>331.0</v>
      </c>
      <c r="E92" s="4">
        <v>0.0</v>
      </c>
      <c r="F92" s="1" t="s">
        <v>298</v>
      </c>
      <c r="G92" s="1" t="s">
        <v>97</v>
      </c>
      <c r="H92" s="1" t="s">
        <v>92</v>
      </c>
      <c r="I92" s="1" t="s">
        <v>326</v>
      </c>
      <c r="J92" s="1" t="s">
        <v>327</v>
      </c>
      <c r="K92" s="1" t="s">
        <v>328</v>
      </c>
      <c r="L92" s="1" t="s">
        <v>329</v>
      </c>
      <c r="M92" s="4">
        <v>-6.0</v>
      </c>
      <c r="N92" s="4">
        <v>0.008416666666666666</v>
      </c>
      <c r="O92" s="4">
        <v>16.221933333333332</v>
      </c>
    </row>
    <row r="93">
      <c r="A93" s="7">
        <v>45531.0</v>
      </c>
      <c r="B93" s="1" t="s">
        <v>169</v>
      </c>
      <c r="C93" s="1" t="s">
        <v>89</v>
      </c>
      <c r="D93" s="4">
        <v>45.0</v>
      </c>
      <c r="E93" s="4">
        <v>0.0</v>
      </c>
      <c r="G93" s="1" t="s">
        <v>149</v>
      </c>
      <c r="H93" s="1" t="s">
        <v>116</v>
      </c>
      <c r="I93" s="1" t="s">
        <v>330</v>
      </c>
      <c r="J93" s="1" t="s">
        <v>331</v>
      </c>
      <c r="K93" s="1" t="s">
        <v>331</v>
      </c>
      <c r="M93" s="4">
        <v>4.0</v>
      </c>
      <c r="O93" s="4">
        <v>9.26605</v>
      </c>
    </row>
    <row r="94">
      <c r="A94" s="7">
        <v>45531.0</v>
      </c>
      <c r="B94" s="1" t="s">
        <v>95</v>
      </c>
      <c r="C94" s="1" t="s">
        <v>89</v>
      </c>
      <c r="D94" s="4">
        <v>358.0</v>
      </c>
      <c r="E94" s="4">
        <v>0.0</v>
      </c>
      <c r="F94" s="1" t="s">
        <v>298</v>
      </c>
      <c r="G94" s="1" t="s">
        <v>97</v>
      </c>
      <c r="H94" s="1" t="s">
        <v>92</v>
      </c>
      <c r="I94" s="1" t="s">
        <v>332</v>
      </c>
      <c r="J94" s="1" t="s">
        <v>333</v>
      </c>
      <c r="K94" s="1" t="s">
        <v>334</v>
      </c>
      <c r="L94" s="1" t="s">
        <v>335</v>
      </c>
      <c r="M94" s="4">
        <v>-2.0</v>
      </c>
      <c r="N94" s="4">
        <v>0.00925</v>
      </c>
      <c r="O94" s="4">
        <v>8.1714</v>
      </c>
    </row>
    <row r="95">
      <c r="A95" s="7">
        <v>45531.0</v>
      </c>
      <c r="B95" s="1" t="s">
        <v>95</v>
      </c>
      <c r="C95" s="1" t="s">
        <v>89</v>
      </c>
      <c r="D95" s="4">
        <v>339.0</v>
      </c>
      <c r="E95" s="4">
        <v>0.0</v>
      </c>
      <c r="F95" s="1" t="s">
        <v>298</v>
      </c>
      <c r="G95" s="1" t="s">
        <v>97</v>
      </c>
      <c r="H95" s="1" t="s">
        <v>92</v>
      </c>
      <c r="I95" s="1" t="s">
        <v>336</v>
      </c>
      <c r="J95" s="1" t="s">
        <v>337</v>
      </c>
      <c r="K95" s="1" t="s">
        <v>338</v>
      </c>
      <c r="L95" s="1" t="s">
        <v>339</v>
      </c>
      <c r="M95" s="4">
        <v>-9.0</v>
      </c>
      <c r="N95" s="4">
        <v>0.0117</v>
      </c>
      <c r="O95" s="4">
        <v>12.003616666666666</v>
      </c>
    </row>
    <row r="96">
      <c r="A96" s="7">
        <v>45531.0</v>
      </c>
      <c r="B96" s="1" t="s">
        <v>95</v>
      </c>
      <c r="C96" s="1" t="s">
        <v>89</v>
      </c>
      <c r="D96" s="4">
        <v>247.0</v>
      </c>
      <c r="E96" s="4">
        <v>62.0</v>
      </c>
      <c r="G96" s="1" t="s">
        <v>149</v>
      </c>
      <c r="H96" s="1" t="s">
        <v>116</v>
      </c>
      <c r="I96" s="1" t="s">
        <v>340</v>
      </c>
      <c r="J96" s="1" t="s">
        <v>341</v>
      </c>
      <c r="K96" s="1" t="s">
        <v>341</v>
      </c>
      <c r="M96" s="4">
        <v>-10.0</v>
      </c>
      <c r="O96" s="4">
        <v>9.253283333333334</v>
      </c>
    </row>
    <row r="97">
      <c r="A97" s="7">
        <v>45531.0</v>
      </c>
      <c r="B97" s="1" t="s">
        <v>104</v>
      </c>
      <c r="C97" s="1" t="s">
        <v>105</v>
      </c>
      <c r="D97" s="4">
        <v>264.0</v>
      </c>
      <c r="E97" s="4">
        <v>0.0</v>
      </c>
      <c r="F97" s="1" t="s">
        <v>342</v>
      </c>
      <c r="G97" s="1" t="s">
        <v>91</v>
      </c>
      <c r="H97" s="1" t="s">
        <v>92</v>
      </c>
      <c r="I97" s="1" t="s">
        <v>343</v>
      </c>
      <c r="J97" s="1" t="s">
        <v>344</v>
      </c>
      <c r="K97" s="1" t="s">
        <v>344</v>
      </c>
      <c r="M97" s="4">
        <v>-8.0</v>
      </c>
      <c r="O97" s="4">
        <v>6.6682</v>
      </c>
    </row>
    <row r="98">
      <c r="A98" s="7">
        <v>45531.0</v>
      </c>
      <c r="B98" s="1" t="s">
        <v>88</v>
      </c>
      <c r="C98" s="1" t="s">
        <v>89</v>
      </c>
      <c r="D98" s="4">
        <v>321.0</v>
      </c>
      <c r="E98" s="4">
        <v>0.0</v>
      </c>
      <c r="F98" s="1" t="s">
        <v>90</v>
      </c>
      <c r="G98" s="1" t="s">
        <v>91</v>
      </c>
      <c r="H98" s="1" t="s">
        <v>92</v>
      </c>
      <c r="I98" s="1" t="s">
        <v>345</v>
      </c>
      <c r="J98" s="1" t="s">
        <v>346</v>
      </c>
      <c r="K98" s="1" t="s">
        <v>346</v>
      </c>
      <c r="M98" s="4">
        <v>-7.0</v>
      </c>
      <c r="O98" s="4">
        <v>7.0488333333333335</v>
      </c>
    </row>
    <row r="99">
      <c r="A99" s="7">
        <v>45531.0</v>
      </c>
      <c r="B99" s="1" t="s">
        <v>127</v>
      </c>
      <c r="C99" s="1" t="s">
        <v>105</v>
      </c>
      <c r="D99" s="4">
        <v>321.0</v>
      </c>
      <c r="E99" s="4">
        <v>0.0</v>
      </c>
      <c r="G99" s="1" t="s">
        <v>91</v>
      </c>
      <c r="H99" s="1" t="s">
        <v>92</v>
      </c>
      <c r="I99" s="1" t="s">
        <v>347</v>
      </c>
      <c r="J99" s="1" t="s">
        <v>348</v>
      </c>
      <c r="K99" s="1" t="s">
        <v>348</v>
      </c>
      <c r="M99" s="4">
        <v>4.0</v>
      </c>
      <c r="O99" s="4">
        <v>16.666</v>
      </c>
    </row>
    <row r="100">
      <c r="A100" s="7">
        <v>45531.0</v>
      </c>
      <c r="B100" s="1" t="s">
        <v>127</v>
      </c>
      <c r="C100" s="1" t="s">
        <v>105</v>
      </c>
      <c r="D100" s="4">
        <v>423.0</v>
      </c>
      <c r="E100" s="4">
        <v>150.0</v>
      </c>
      <c r="G100" s="1" t="s">
        <v>91</v>
      </c>
      <c r="H100" s="1" t="s">
        <v>92</v>
      </c>
      <c r="I100" s="1" t="s">
        <v>349</v>
      </c>
      <c r="J100" s="1" t="s">
        <v>350</v>
      </c>
      <c r="K100" s="1" t="s">
        <v>350</v>
      </c>
      <c r="M100" s="4">
        <v>3.0</v>
      </c>
      <c r="O100" s="4">
        <v>17.000966666666667</v>
      </c>
    </row>
    <row r="101">
      <c r="A101" s="7">
        <v>45531.0</v>
      </c>
      <c r="B101" s="1" t="s">
        <v>169</v>
      </c>
      <c r="C101" s="1" t="s">
        <v>89</v>
      </c>
      <c r="D101" s="4">
        <v>249.0</v>
      </c>
      <c r="E101" s="4">
        <v>0.0</v>
      </c>
      <c r="G101" s="1" t="s">
        <v>149</v>
      </c>
      <c r="H101" s="1" t="s">
        <v>116</v>
      </c>
      <c r="I101" s="1" t="s">
        <v>351</v>
      </c>
      <c r="J101" s="1" t="s">
        <v>352</v>
      </c>
      <c r="K101" s="1" t="s">
        <v>352</v>
      </c>
      <c r="M101" s="4">
        <v>6.0</v>
      </c>
      <c r="O101" s="4">
        <v>11.491983333333334</v>
      </c>
    </row>
    <row r="102">
      <c r="A102" s="7">
        <v>45531.0</v>
      </c>
      <c r="B102" s="1" t="s">
        <v>95</v>
      </c>
      <c r="C102" s="1" t="s">
        <v>89</v>
      </c>
      <c r="D102" s="4">
        <v>653.0</v>
      </c>
      <c r="E102" s="4">
        <v>0.0</v>
      </c>
      <c r="F102" s="1" t="s">
        <v>90</v>
      </c>
      <c r="G102" s="1" t="s">
        <v>97</v>
      </c>
      <c r="H102" s="1" t="s">
        <v>116</v>
      </c>
      <c r="I102" s="1" t="s">
        <v>353</v>
      </c>
      <c r="J102" s="1" t="s">
        <v>354</v>
      </c>
      <c r="K102" s="1" t="s">
        <v>355</v>
      </c>
      <c r="L102" s="1" t="s">
        <v>356</v>
      </c>
      <c r="M102" s="4">
        <v>15.0</v>
      </c>
      <c r="N102" s="4">
        <v>12.6065</v>
      </c>
      <c r="O102" s="4">
        <v>16.7422</v>
      </c>
    </row>
    <row r="103">
      <c r="A103" s="7">
        <v>45531.0</v>
      </c>
      <c r="B103" s="1" t="s">
        <v>169</v>
      </c>
      <c r="C103" s="1" t="s">
        <v>89</v>
      </c>
      <c r="D103" s="4">
        <v>119.0</v>
      </c>
      <c r="E103" s="4">
        <v>0.0</v>
      </c>
      <c r="G103" s="1" t="s">
        <v>149</v>
      </c>
      <c r="H103" s="1" t="s">
        <v>116</v>
      </c>
      <c r="I103" s="1" t="s">
        <v>357</v>
      </c>
      <c r="J103" s="1" t="s">
        <v>358</v>
      </c>
      <c r="K103" s="1" t="s">
        <v>358</v>
      </c>
      <c r="M103" s="4">
        <v>5.0</v>
      </c>
      <c r="O103" s="4">
        <v>10.697166666666666</v>
      </c>
    </row>
    <row r="104">
      <c r="A104" s="7">
        <v>45531.0</v>
      </c>
      <c r="B104" s="1" t="s">
        <v>127</v>
      </c>
      <c r="C104" s="1" t="s">
        <v>105</v>
      </c>
      <c r="D104" s="4">
        <v>429.0</v>
      </c>
      <c r="E104" s="4">
        <v>0.0</v>
      </c>
      <c r="G104" s="1" t="s">
        <v>91</v>
      </c>
      <c r="H104" s="1" t="s">
        <v>92</v>
      </c>
      <c r="I104" s="1" t="s">
        <v>359</v>
      </c>
      <c r="J104" s="1" t="s">
        <v>360</v>
      </c>
      <c r="K104" s="1" t="s">
        <v>360</v>
      </c>
      <c r="M104" s="4">
        <v>4.0</v>
      </c>
      <c r="O104" s="4">
        <v>16.540383333333335</v>
      </c>
    </row>
    <row r="105">
      <c r="A105" s="7">
        <v>45531.0</v>
      </c>
      <c r="B105" s="1" t="s">
        <v>104</v>
      </c>
      <c r="C105" s="1" t="s">
        <v>105</v>
      </c>
      <c r="D105" s="4">
        <v>596.0</v>
      </c>
      <c r="E105" s="4">
        <v>0.0</v>
      </c>
      <c r="F105" s="1" t="s">
        <v>361</v>
      </c>
      <c r="G105" s="1" t="s">
        <v>91</v>
      </c>
      <c r="H105" s="1" t="s">
        <v>92</v>
      </c>
      <c r="I105" s="1" t="s">
        <v>362</v>
      </c>
      <c r="J105" s="1" t="s">
        <v>363</v>
      </c>
      <c r="K105" s="1" t="s">
        <v>363</v>
      </c>
      <c r="M105" s="4">
        <v>3.0</v>
      </c>
      <c r="O105" s="4">
        <v>20.080916666666667</v>
      </c>
    </row>
    <row r="106">
      <c r="A106" s="7">
        <v>45531.0</v>
      </c>
      <c r="B106" s="1" t="s">
        <v>88</v>
      </c>
      <c r="C106" s="1" t="s">
        <v>89</v>
      </c>
      <c r="D106" s="4">
        <v>264.0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364</v>
      </c>
      <c r="J106" s="1" t="s">
        <v>365</v>
      </c>
      <c r="K106" s="1" t="s">
        <v>365</v>
      </c>
      <c r="M106" s="4">
        <v>-5.0</v>
      </c>
      <c r="O106" s="4">
        <v>9.520716666666667</v>
      </c>
    </row>
    <row r="107">
      <c r="A107" s="7">
        <v>45531.0</v>
      </c>
      <c r="B107" s="1" t="s">
        <v>88</v>
      </c>
      <c r="C107" s="1" t="s">
        <v>89</v>
      </c>
      <c r="D107" s="4">
        <v>348.0</v>
      </c>
      <c r="E107" s="4">
        <v>0.0</v>
      </c>
      <c r="F107" s="1" t="s">
        <v>90</v>
      </c>
      <c r="G107" s="1" t="s">
        <v>91</v>
      </c>
      <c r="H107" s="1" t="s">
        <v>92</v>
      </c>
      <c r="I107" s="1" t="s">
        <v>366</v>
      </c>
      <c r="J107" s="1" t="s">
        <v>367</v>
      </c>
      <c r="K107" s="1" t="s">
        <v>367</v>
      </c>
      <c r="M107" s="4">
        <v>-6.0</v>
      </c>
      <c r="O107" s="4">
        <v>8.207083333333333</v>
      </c>
    </row>
    <row r="108">
      <c r="A108" s="7">
        <v>45531.0</v>
      </c>
      <c r="B108" s="1" t="s">
        <v>95</v>
      </c>
      <c r="C108" s="1" t="s">
        <v>89</v>
      </c>
      <c r="D108" s="4">
        <v>494.0</v>
      </c>
      <c r="E108" s="4">
        <v>124.0</v>
      </c>
      <c r="G108" s="1" t="s">
        <v>149</v>
      </c>
      <c r="H108" s="1" t="s">
        <v>116</v>
      </c>
      <c r="I108" s="1" t="s">
        <v>368</v>
      </c>
      <c r="J108" s="1" t="s">
        <v>369</v>
      </c>
      <c r="K108" s="1" t="s">
        <v>369</v>
      </c>
      <c r="M108" s="4">
        <v>-6.0</v>
      </c>
      <c r="O108" s="4">
        <v>12.524216666666666</v>
      </c>
    </row>
    <row r="109">
      <c r="A109" s="7">
        <v>45531.0</v>
      </c>
      <c r="B109" s="1" t="s">
        <v>127</v>
      </c>
      <c r="C109" s="1" t="s">
        <v>105</v>
      </c>
      <c r="D109" s="4">
        <v>279.0</v>
      </c>
      <c r="E109" s="4">
        <v>50.0</v>
      </c>
      <c r="G109" s="1" t="s">
        <v>91</v>
      </c>
      <c r="H109" s="1" t="s">
        <v>92</v>
      </c>
      <c r="I109" s="1" t="s">
        <v>370</v>
      </c>
      <c r="J109" s="1" t="s">
        <v>371</v>
      </c>
      <c r="K109" s="1" t="s">
        <v>371</v>
      </c>
      <c r="M109" s="4">
        <v>1.0</v>
      </c>
      <c r="O109" s="4">
        <v>14.751333333333333</v>
      </c>
    </row>
    <row r="110">
      <c r="A110" s="7">
        <v>45531.0</v>
      </c>
      <c r="B110" s="1" t="s">
        <v>104</v>
      </c>
      <c r="C110" s="1" t="s">
        <v>105</v>
      </c>
      <c r="D110" s="4">
        <v>299.0</v>
      </c>
      <c r="E110" s="4">
        <v>0.0</v>
      </c>
      <c r="F110" s="1" t="s">
        <v>372</v>
      </c>
      <c r="G110" s="1" t="s">
        <v>91</v>
      </c>
      <c r="H110" s="1" t="s">
        <v>92</v>
      </c>
      <c r="I110" s="1" t="s">
        <v>373</v>
      </c>
      <c r="J110" s="1" t="s">
        <v>374</v>
      </c>
      <c r="K110" s="1" t="s">
        <v>374</v>
      </c>
      <c r="M110" s="4">
        <v>-6.0</v>
      </c>
      <c r="O110" s="4">
        <v>8.547533333333334</v>
      </c>
    </row>
    <row r="111">
      <c r="A111" s="7">
        <v>45531.0</v>
      </c>
      <c r="B111" s="1" t="s">
        <v>127</v>
      </c>
      <c r="C111" s="1" t="s">
        <v>105</v>
      </c>
      <c r="D111" s="4">
        <v>334.0</v>
      </c>
      <c r="E111" s="4">
        <v>100.0</v>
      </c>
      <c r="G111" s="1" t="s">
        <v>91</v>
      </c>
      <c r="H111" s="1" t="s">
        <v>116</v>
      </c>
      <c r="I111" s="1" t="s">
        <v>375</v>
      </c>
      <c r="J111" s="1" t="s">
        <v>376</v>
      </c>
      <c r="K111" s="1" t="s">
        <v>376</v>
      </c>
      <c r="M111" s="4">
        <v>-4.0</v>
      </c>
      <c r="O111" s="4">
        <v>8.84795</v>
      </c>
    </row>
    <row r="112">
      <c r="A112" s="7">
        <v>45531.0</v>
      </c>
      <c r="B112" s="1" t="s">
        <v>127</v>
      </c>
      <c r="C112" s="1" t="s">
        <v>105</v>
      </c>
      <c r="D112" s="4">
        <v>321.0</v>
      </c>
      <c r="E112" s="4">
        <v>0.0</v>
      </c>
      <c r="G112" s="1" t="s">
        <v>91</v>
      </c>
      <c r="H112" s="1" t="s">
        <v>92</v>
      </c>
      <c r="I112" s="1" t="s">
        <v>377</v>
      </c>
      <c r="J112" s="1" t="s">
        <v>378</v>
      </c>
      <c r="K112" s="1" t="s">
        <v>378</v>
      </c>
      <c r="M112" s="4">
        <v>0.0</v>
      </c>
      <c r="O112" s="4">
        <v>11.877516666666667</v>
      </c>
    </row>
    <row r="113">
      <c r="A113" s="7">
        <v>45531.0</v>
      </c>
      <c r="B113" s="1" t="s">
        <v>104</v>
      </c>
      <c r="C113" s="1" t="s">
        <v>105</v>
      </c>
      <c r="D113" s="4">
        <v>313.0</v>
      </c>
      <c r="E113" s="4">
        <v>0.0</v>
      </c>
      <c r="F113" s="1" t="s">
        <v>379</v>
      </c>
      <c r="G113" s="1" t="s">
        <v>91</v>
      </c>
      <c r="H113" s="1" t="s">
        <v>92</v>
      </c>
      <c r="I113" s="1" t="s">
        <v>380</v>
      </c>
      <c r="J113" s="1" t="s">
        <v>381</v>
      </c>
      <c r="K113" s="1" t="s">
        <v>381</v>
      </c>
      <c r="M113" s="4">
        <v>-1.0</v>
      </c>
      <c r="O113" s="4">
        <v>13.798416666666666</v>
      </c>
    </row>
    <row r="114">
      <c r="A114" s="7">
        <v>45531.0</v>
      </c>
      <c r="B114" s="1" t="s">
        <v>127</v>
      </c>
      <c r="C114" s="1" t="s">
        <v>105</v>
      </c>
      <c r="D114" s="4">
        <v>393.0</v>
      </c>
      <c r="E114" s="4">
        <v>0.0</v>
      </c>
      <c r="G114" s="1" t="s">
        <v>91</v>
      </c>
      <c r="H114" s="1" t="s">
        <v>92</v>
      </c>
      <c r="I114" s="1" t="s">
        <v>382</v>
      </c>
      <c r="J114" s="1" t="s">
        <v>383</v>
      </c>
      <c r="K114" s="1" t="s">
        <v>383</v>
      </c>
      <c r="M114" s="4">
        <v>-2.0</v>
      </c>
      <c r="O114" s="4">
        <v>10.156416666666667</v>
      </c>
    </row>
    <row r="115">
      <c r="A115" s="7">
        <v>45531.0</v>
      </c>
      <c r="B115" s="1" t="s">
        <v>127</v>
      </c>
      <c r="C115" s="1" t="s">
        <v>105</v>
      </c>
      <c r="D115" s="4">
        <v>466.0</v>
      </c>
      <c r="E115" s="4">
        <v>0.0</v>
      </c>
      <c r="G115" s="1" t="s">
        <v>91</v>
      </c>
      <c r="H115" s="1" t="s">
        <v>92</v>
      </c>
      <c r="I115" s="1" t="s">
        <v>384</v>
      </c>
      <c r="J115" s="1" t="s">
        <v>385</v>
      </c>
      <c r="K115" s="1" t="s">
        <v>385</v>
      </c>
      <c r="M115" s="4">
        <v>2.0</v>
      </c>
      <c r="O115" s="4">
        <v>15.659533333333334</v>
      </c>
    </row>
    <row r="116">
      <c r="A116" s="7">
        <v>45531.0</v>
      </c>
      <c r="B116" s="1" t="s">
        <v>104</v>
      </c>
      <c r="C116" s="1" t="s">
        <v>105</v>
      </c>
      <c r="D116" s="4">
        <v>329.0</v>
      </c>
      <c r="E116" s="4">
        <v>0.0</v>
      </c>
      <c r="F116" s="1" t="s">
        <v>386</v>
      </c>
      <c r="G116" s="1" t="s">
        <v>91</v>
      </c>
      <c r="H116" s="1" t="s">
        <v>92</v>
      </c>
      <c r="I116" s="1" t="s">
        <v>387</v>
      </c>
      <c r="J116" s="1" t="s">
        <v>388</v>
      </c>
      <c r="K116" s="1" t="s">
        <v>388</v>
      </c>
      <c r="M116" s="4">
        <v>-4.0</v>
      </c>
      <c r="O116" s="4">
        <v>10.918916666666666</v>
      </c>
    </row>
    <row r="117">
      <c r="A117" s="7">
        <v>45531.0</v>
      </c>
      <c r="B117" s="1" t="s">
        <v>95</v>
      </c>
      <c r="C117" s="1" t="s">
        <v>89</v>
      </c>
      <c r="D117" s="4">
        <v>270.0</v>
      </c>
      <c r="E117" s="4">
        <v>0.0</v>
      </c>
      <c r="F117" s="1" t="s">
        <v>298</v>
      </c>
      <c r="G117" s="1" t="s">
        <v>97</v>
      </c>
      <c r="H117" s="1" t="s">
        <v>92</v>
      </c>
      <c r="I117" s="1" t="s">
        <v>389</v>
      </c>
      <c r="J117" s="1" t="s">
        <v>390</v>
      </c>
      <c r="K117" s="1" t="s">
        <v>391</v>
      </c>
      <c r="L117" s="1" t="s">
        <v>392</v>
      </c>
      <c r="M117" s="4">
        <v>-21.0</v>
      </c>
      <c r="N117" s="4">
        <v>0.010266666666666667</v>
      </c>
      <c r="O117" s="4">
        <v>7.150166666666666</v>
      </c>
    </row>
    <row r="118">
      <c r="A118" s="7">
        <v>45531.0</v>
      </c>
      <c r="B118" s="1" t="s">
        <v>104</v>
      </c>
      <c r="C118" s="1" t="s">
        <v>105</v>
      </c>
      <c r="D118" s="4">
        <v>329.0</v>
      </c>
      <c r="E118" s="4">
        <v>0.0</v>
      </c>
      <c r="F118" s="1" t="s">
        <v>393</v>
      </c>
      <c r="G118" s="1" t="s">
        <v>91</v>
      </c>
      <c r="H118" s="1" t="s">
        <v>92</v>
      </c>
      <c r="I118" s="1" t="s">
        <v>394</v>
      </c>
      <c r="J118" s="1" t="s">
        <v>395</v>
      </c>
      <c r="K118" s="1" t="s">
        <v>395</v>
      </c>
      <c r="M118" s="4">
        <v>1.0</v>
      </c>
      <c r="O118" s="4">
        <v>16.789933333333334</v>
      </c>
    </row>
    <row r="119">
      <c r="A119" s="7">
        <v>45531.0</v>
      </c>
      <c r="B119" s="1" t="s">
        <v>95</v>
      </c>
      <c r="C119" s="1" t="s">
        <v>89</v>
      </c>
      <c r="D119" s="4">
        <v>368.0</v>
      </c>
      <c r="E119" s="4">
        <v>0.0</v>
      </c>
      <c r="F119" s="1" t="s">
        <v>90</v>
      </c>
      <c r="G119" s="1" t="s">
        <v>97</v>
      </c>
      <c r="H119" s="1" t="s">
        <v>92</v>
      </c>
      <c r="I119" s="1" t="s">
        <v>396</v>
      </c>
      <c r="J119" s="1" t="s">
        <v>397</v>
      </c>
      <c r="K119" s="1" t="s">
        <v>398</v>
      </c>
      <c r="L119" s="1" t="s">
        <v>399</v>
      </c>
      <c r="M119" s="4">
        <v>7.0</v>
      </c>
      <c r="N119" s="4">
        <v>19.564733333333333</v>
      </c>
      <c r="O119" s="4">
        <v>18.648083333333332</v>
      </c>
    </row>
    <row r="120">
      <c r="A120" s="7">
        <v>45531.0</v>
      </c>
      <c r="B120" s="1" t="s">
        <v>95</v>
      </c>
      <c r="C120" s="1" t="s">
        <v>89</v>
      </c>
      <c r="D120" s="4">
        <v>423.0</v>
      </c>
      <c r="E120" s="4">
        <v>0.0</v>
      </c>
      <c r="F120" s="1" t="s">
        <v>90</v>
      </c>
      <c r="G120" s="1" t="s">
        <v>97</v>
      </c>
      <c r="H120" s="1" t="s">
        <v>92</v>
      </c>
      <c r="I120" s="1" t="s">
        <v>400</v>
      </c>
      <c r="J120" s="1" t="s">
        <v>401</v>
      </c>
      <c r="K120" s="1" t="s">
        <v>402</v>
      </c>
      <c r="L120" s="1" t="s">
        <v>403</v>
      </c>
      <c r="M120" s="4">
        <v>-3.0</v>
      </c>
      <c r="N120" s="4">
        <v>27.606633333333335</v>
      </c>
      <c r="O120" s="4">
        <v>31.295666666666666</v>
      </c>
    </row>
    <row r="121">
      <c r="A121" s="7">
        <v>45532.0</v>
      </c>
      <c r="F121" s="1" t="s">
        <v>78</v>
      </c>
    </row>
    <row r="122">
      <c r="A122" s="7">
        <v>45533.0</v>
      </c>
      <c r="B122" s="1" t="s">
        <v>169</v>
      </c>
      <c r="C122" s="1" t="s">
        <v>404</v>
      </c>
      <c r="D122" s="4">
        <v>49.0</v>
      </c>
      <c r="E122" s="4">
        <v>0.0</v>
      </c>
      <c r="G122" s="1" t="s">
        <v>149</v>
      </c>
      <c r="H122" s="1" t="s">
        <v>116</v>
      </c>
      <c r="I122" s="1" t="s">
        <v>405</v>
      </c>
      <c r="M122" s="4">
        <v>0.0</v>
      </c>
    </row>
    <row r="123">
      <c r="A123" s="7">
        <v>45533.0</v>
      </c>
      <c r="B123" s="1" t="s">
        <v>95</v>
      </c>
      <c r="C123" s="1" t="s">
        <v>406</v>
      </c>
      <c r="D123" s="4">
        <v>299.0</v>
      </c>
      <c r="E123" s="4">
        <v>0.0</v>
      </c>
      <c r="F123" s="1" t="s">
        <v>90</v>
      </c>
      <c r="G123" s="1" t="s">
        <v>97</v>
      </c>
      <c r="H123" s="1" t="s">
        <v>116</v>
      </c>
      <c r="I123" s="1" t="s">
        <v>407</v>
      </c>
      <c r="J123" s="1" t="s">
        <v>408</v>
      </c>
      <c r="L123" s="1" t="s">
        <v>409</v>
      </c>
      <c r="M123" s="4">
        <v>0.0</v>
      </c>
      <c r="N123" s="4">
        <v>8.213683333333334</v>
      </c>
      <c r="O123" s="4">
        <v>10.663683333333333</v>
      </c>
    </row>
    <row r="124">
      <c r="A124" s="7">
        <v>45533.0</v>
      </c>
      <c r="B124" s="1" t="s">
        <v>127</v>
      </c>
      <c r="C124" s="1" t="s">
        <v>105</v>
      </c>
      <c r="D124" s="4">
        <v>364.0</v>
      </c>
      <c r="E124" s="4">
        <v>0.0</v>
      </c>
      <c r="G124" s="1" t="s">
        <v>91</v>
      </c>
      <c r="H124" s="1" t="s">
        <v>116</v>
      </c>
      <c r="I124" s="1" t="s">
        <v>410</v>
      </c>
      <c r="J124" s="1" t="s">
        <v>411</v>
      </c>
      <c r="K124" s="1" t="s">
        <v>411</v>
      </c>
      <c r="M124" s="4">
        <v>1.0</v>
      </c>
      <c r="O124" s="4">
        <v>13.570583333333333</v>
      </c>
    </row>
    <row r="125">
      <c r="A125" s="7">
        <v>45533.0</v>
      </c>
      <c r="B125" s="1" t="s">
        <v>127</v>
      </c>
      <c r="C125" s="1" t="s">
        <v>105</v>
      </c>
      <c r="D125" s="4">
        <v>144.0</v>
      </c>
      <c r="E125" s="4">
        <v>0.0</v>
      </c>
      <c r="G125" s="1" t="s">
        <v>91</v>
      </c>
      <c r="H125" s="1" t="s">
        <v>92</v>
      </c>
      <c r="I125" s="1" t="s">
        <v>412</v>
      </c>
      <c r="J125" s="1" t="s">
        <v>413</v>
      </c>
      <c r="K125" s="1" t="s">
        <v>413</v>
      </c>
      <c r="M125" s="4">
        <v>-3.0</v>
      </c>
      <c r="O125" s="4">
        <v>5.1116</v>
      </c>
    </row>
    <row r="126">
      <c r="A126" s="7">
        <v>45533.0</v>
      </c>
      <c r="B126" s="1" t="s">
        <v>104</v>
      </c>
      <c r="C126" s="1" t="s">
        <v>105</v>
      </c>
      <c r="D126" s="4">
        <v>264.0</v>
      </c>
      <c r="E126" s="4">
        <v>0.0</v>
      </c>
      <c r="F126" s="1" t="s">
        <v>414</v>
      </c>
      <c r="G126" s="1" t="s">
        <v>91</v>
      </c>
      <c r="H126" s="1" t="s">
        <v>92</v>
      </c>
      <c r="I126" s="1" t="s">
        <v>415</v>
      </c>
      <c r="J126" s="1" t="s">
        <v>416</v>
      </c>
      <c r="K126" s="1" t="s">
        <v>416</v>
      </c>
      <c r="M126" s="4">
        <v>-7.0</v>
      </c>
      <c r="O126" s="4">
        <v>7.4913</v>
      </c>
    </row>
    <row r="127">
      <c r="A127" s="7">
        <v>45533.0</v>
      </c>
      <c r="B127" s="1" t="s">
        <v>95</v>
      </c>
      <c r="C127" s="1" t="s">
        <v>89</v>
      </c>
      <c r="D127" s="4">
        <v>368.0</v>
      </c>
      <c r="E127" s="4">
        <v>0.0</v>
      </c>
      <c r="F127" s="1" t="s">
        <v>417</v>
      </c>
      <c r="G127" s="1" t="s">
        <v>97</v>
      </c>
      <c r="H127" s="1" t="s">
        <v>92</v>
      </c>
      <c r="I127" s="1" t="s">
        <v>418</v>
      </c>
      <c r="J127" s="1" t="s">
        <v>419</v>
      </c>
      <c r="K127" s="1" t="s">
        <v>420</v>
      </c>
      <c r="L127" s="1" t="s">
        <v>421</v>
      </c>
      <c r="M127" s="4">
        <v>0.0</v>
      </c>
      <c r="N127" s="4">
        <v>0.008983333333333333</v>
      </c>
      <c r="O127" s="4">
        <v>13.7157</v>
      </c>
    </row>
    <row r="128">
      <c r="A128" s="7">
        <v>45533.0</v>
      </c>
      <c r="B128" s="1" t="s">
        <v>127</v>
      </c>
      <c r="C128" s="1" t="s">
        <v>105</v>
      </c>
      <c r="D128" s="4">
        <v>833.0</v>
      </c>
      <c r="E128" s="4">
        <v>0.0</v>
      </c>
      <c r="G128" s="1" t="s">
        <v>91</v>
      </c>
      <c r="H128" s="1" t="s">
        <v>116</v>
      </c>
      <c r="I128" s="1" t="s">
        <v>422</v>
      </c>
      <c r="J128" s="1" t="s">
        <v>423</v>
      </c>
      <c r="K128" s="1" t="s">
        <v>423</v>
      </c>
      <c r="M128" s="4">
        <v>3.0</v>
      </c>
      <c r="O128" s="4">
        <v>18.34155</v>
      </c>
    </row>
    <row r="129">
      <c r="A129" s="7">
        <v>45533.0</v>
      </c>
      <c r="B129" s="1" t="s">
        <v>95</v>
      </c>
      <c r="C129" s="1" t="s">
        <v>89</v>
      </c>
      <c r="D129" s="4">
        <v>323.0</v>
      </c>
      <c r="E129" s="4">
        <v>0.0</v>
      </c>
      <c r="F129" s="1" t="s">
        <v>417</v>
      </c>
      <c r="G129" s="1" t="s">
        <v>97</v>
      </c>
      <c r="H129" s="1" t="s">
        <v>116</v>
      </c>
      <c r="I129" s="1" t="s">
        <v>424</v>
      </c>
      <c r="J129" s="1" t="s">
        <v>425</v>
      </c>
      <c r="K129" s="1" t="s">
        <v>426</v>
      </c>
      <c r="L129" s="1" t="s">
        <v>427</v>
      </c>
      <c r="M129" s="4">
        <v>0.0</v>
      </c>
      <c r="N129" s="4">
        <v>0.00975</v>
      </c>
      <c r="O129" s="4">
        <v>8.284033333333333</v>
      </c>
    </row>
    <row r="130">
      <c r="A130" s="7">
        <v>45533.0</v>
      </c>
      <c r="B130" s="1" t="s">
        <v>104</v>
      </c>
      <c r="C130" s="1" t="s">
        <v>105</v>
      </c>
      <c r="D130" s="4">
        <v>324.0</v>
      </c>
      <c r="E130" s="4">
        <v>0.0</v>
      </c>
      <c r="F130" s="1" t="s">
        <v>109</v>
      </c>
      <c r="G130" s="1" t="s">
        <v>91</v>
      </c>
      <c r="H130" s="1" t="s">
        <v>92</v>
      </c>
      <c r="I130" s="1" t="s">
        <v>428</v>
      </c>
      <c r="J130" s="1" t="s">
        <v>429</v>
      </c>
      <c r="K130" s="1" t="s">
        <v>429</v>
      </c>
      <c r="M130" s="4">
        <v>-1.0</v>
      </c>
      <c r="O130" s="4">
        <v>13.8603</v>
      </c>
    </row>
    <row r="131">
      <c r="A131" s="7">
        <v>45533.0</v>
      </c>
      <c r="B131" s="1" t="s">
        <v>169</v>
      </c>
      <c r="C131" s="1" t="s">
        <v>105</v>
      </c>
      <c r="D131" s="4">
        <v>329.0</v>
      </c>
      <c r="E131" s="4">
        <v>0.0</v>
      </c>
      <c r="G131" s="1" t="s">
        <v>149</v>
      </c>
      <c r="H131" s="1" t="s">
        <v>116</v>
      </c>
      <c r="I131" s="1" t="s">
        <v>430</v>
      </c>
      <c r="J131" s="1" t="s">
        <v>431</v>
      </c>
      <c r="K131" s="1" t="s">
        <v>431</v>
      </c>
      <c r="M131" s="4">
        <v>7.0</v>
      </c>
      <c r="O131" s="4">
        <v>12.073533333333334</v>
      </c>
    </row>
    <row r="132">
      <c r="A132" s="7">
        <v>45533.0</v>
      </c>
      <c r="B132" s="1" t="s">
        <v>88</v>
      </c>
      <c r="C132" s="1" t="s">
        <v>89</v>
      </c>
      <c r="D132" s="4">
        <v>289.0</v>
      </c>
      <c r="E132" s="4">
        <v>0.0</v>
      </c>
      <c r="F132" s="1" t="s">
        <v>90</v>
      </c>
      <c r="G132" s="1" t="s">
        <v>91</v>
      </c>
      <c r="H132" s="1" t="s">
        <v>92</v>
      </c>
      <c r="I132" s="1" t="s">
        <v>432</v>
      </c>
      <c r="J132" s="1" t="s">
        <v>433</v>
      </c>
      <c r="K132" s="1" t="s">
        <v>433</v>
      </c>
      <c r="M132" s="4">
        <v>-8.0</v>
      </c>
      <c r="O132" s="4">
        <v>6.192233333333333</v>
      </c>
    </row>
    <row r="133">
      <c r="A133" s="7">
        <v>45533.0</v>
      </c>
      <c r="B133" s="1" t="s">
        <v>95</v>
      </c>
      <c r="C133" s="1" t="s">
        <v>105</v>
      </c>
      <c r="D133" s="4">
        <v>199.0</v>
      </c>
      <c r="E133" s="4">
        <v>50.0</v>
      </c>
      <c r="G133" s="1" t="s">
        <v>149</v>
      </c>
      <c r="H133" s="1" t="s">
        <v>153</v>
      </c>
      <c r="I133" s="1" t="s">
        <v>434</v>
      </c>
      <c r="J133" s="1" t="s">
        <v>435</v>
      </c>
      <c r="K133" s="1" t="s">
        <v>435</v>
      </c>
      <c r="M133" s="4">
        <v>-7.0</v>
      </c>
      <c r="O133" s="4">
        <v>12.001266666666666</v>
      </c>
    </row>
    <row r="134">
      <c r="A134" s="7">
        <v>45533.0</v>
      </c>
      <c r="B134" s="1" t="s">
        <v>88</v>
      </c>
      <c r="C134" s="1" t="s">
        <v>89</v>
      </c>
      <c r="D134" s="4">
        <v>470.0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436</v>
      </c>
      <c r="J134" s="1" t="s">
        <v>437</v>
      </c>
      <c r="K134" s="1" t="s">
        <v>437</v>
      </c>
      <c r="M134" s="4">
        <v>7.0</v>
      </c>
      <c r="O134" s="4">
        <v>22.712616666666666</v>
      </c>
    </row>
    <row r="135">
      <c r="A135" s="7">
        <v>45533.0</v>
      </c>
      <c r="B135" s="1" t="s">
        <v>104</v>
      </c>
      <c r="C135" s="1" t="s">
        <v>105</v>
      </c>
      <c r="D135" s="4">
        <v>642.0</v>
      </c>
      <c r="E135" s="4">
        <v>0.0</v>
      </c>
      <c r="F135" s="1" t="s">
        <v>438</v>
      </c>
      <c r="G135" s="1" t="s">
        <v>91</v>
      </c>
      <c r="H135" s="1" t="s">
        <v>92</v>
      </c>
      <c r="I135" s="1" t="s">
        <v>439</v>
      </c>
      <c r="J135" s="1" t="s">
        <v>440</v>
      </c>
      <c r="K135" s="1" t="s">
        <v>440</v>
      </c>
      <c r="M135" s="4">
        <v>6.0</v>
      </c>
      <c r="O135" s="4">
        <v>26.428433333333334</v>
      </c>
    </row>
    <row r="136">
      <c r="A136" s="7">
        <v>45533.0</v>
      </c>
      <c r="B136" s="1" t="s">
        <v>104</v>
      </c>
      <c r="C136" s="1" t="s">
        <v>105</v>
      </c>
      <c r="D136" s="4">
        <v>329.0</v>
      </c>
      <c r="E136" s="4">
        <v>0.0</v>
      </c>
      <c r="F136" s="1" t="s">
        <v>441</v>
      </c>
      <c r="G136" s="1" t="s">
        <v>91</v>
      </c>
      <c r="H136" s="1" t="s">
        <v>92</v>
      </c>
      <c r="I136" s="1" t="s">
        <v>442</v>
      </c>
      <c r="J136" s="1" t="s">
        <v>443</v>
      </c>
      <c r="K136" s="1" t="s">
        <v>443</v>
      </c>
      <c r="M136" s="4">
        <v>1.0</v>
      </c>
      <c r="O136" s="4">
        <v>16.41185</v>
      </c>
    </row>
    <row r="137">
      <c r="A137" s="7">
        <v>45533.0</v>
      </c>
      <c r="B137" s="1" t="s">
        <v>127</v>
      </c>
      <c r="C137" s="1" t="s">
        <v>105</v>
      </c>
      <c r="D137" s="4">
        <v>264.0</v>
      </c>
      <c r="E137" s="4">
        <v>0.0</v>
      </c>
      <c r="G137" s="1" t="s">
        <v>91</v>
      </c>
      <c r="H137" s="1" t="s">
        <v>92</v>
      </c>
      <c r="I137" s="1" t="s">
        <v>444</v>
      </c>
      <c r="J137" s="1" t="s">
        <v>445</v>
      </c>
      <c r="K137" s="1" t="s">
        <v>445</v>
      </c>
      <c r="M137" s="4">
        <v>6.0</v>
      </c>
      <c r="O137" s="4">
        <v>17.317016666666667</v>
      </c>
    </row>
    <row r="138">
      <c r="A138" s="7">
        <v>45533.0</v>
      </c>
      <c r="B138" s="1" t="s">
        <v>104</v>
      </c>
      <c r="C138" s="1" t="s">
        <v>105</v>
      </c>
      <c r="D138" s="4">
        <v>303.0</v>
      </c>
      <c r="E138" s="4">
        <v>0.0</v>
      </c>
      <c r="F138" s="1" t="s">
        <v>446</v>
      </c>
      <c r="G138" s="1" t="s">
        <v>91</v>
      </c>
      <c r="H138" s="1" t="s">
        <v>92</v>
      </c>
      <c r="I138" s="1" t="s">
        <v>447</v>
      </c>
      <c r="J138" s="1" t="s">
        <v>448</v>
      </c>
      <c r="K138" s="1" t="s">
        <v>448</v>
      </c>
      <c r="M138" s="4">
        <v>-5.0</v>
      </c>
      <c r="O138" s="4">
        <v>9.71065</v>
      </c>
    </row>
    <row r="139">
      <c r="A139" s="7">
        <v>45533.0</v>
      </c>
      <c r="B139" s="1" t="s">
        <v>127</v>
      </c>
      <c r="C139" s="1" t="s">
        <v>105</v>
      </c>
      <c r="D139" s="4">
        <v>433.0</v>
      </c>
      <c r="E139" s="4">
        <v>0.0</v>
      </c>
      <c r="G139" s="1" t="s">
        <v>91</v>
      </c>
      <c r="H139" s="1" t="s">
        <v>92</v>
      </c>
      <c r="I139" s="1" t="s">
        <v>449</v>
      </c>
      <c r="J139" s="1" t="s">
        <v>450</v>
      </c>
      <c r="K139" s="1" t="s">
        <v>450</v>
      </c>
      <c r="M139" s="4">
        <v>9.0</v>
      </c>
      <c r="O139" s="4">
        <v>21.1616</v>
      </c>
    </row>
    <row r="140">
      <c r="A140" s="7">
        <v>45533.0</v>
      </c>
      <c r="B140" s="1" t="s">
        <v>95</v>
      </c>
      <c r="C140" s="1" t="s">
        <v>89</v>
      </c>
      <c r="D140" s="4">
        <v>299.0</v>
      </c>
      <c r="E140" s="4">
        <v>0.0</v>
      </c>
      <c r="F140" s="1" t="s">
        <v>417</v>
      </c>
      <c r="G140" s="1" t="s">
        <v>97</v>
      </c>
      <c r="H140" s="1" t="s">
        <v>116</v>
      </c>
      <c r="I140" s="1" t="s">
        <v>451</v>
      </c>
      <c r="J140" s="1" t="s">
        <v>452</v>
      </c>
      <c r="K140" s="1" t="s">
        <v>453</v>
      </c>
      <c r="L140" s="1" t="s">
        <v>454</v>
      </c>
      <c r="M140" s="4">
        <v>-5.0</v>
      </c>
      <c r="N140" s="4">
        <v>0.009433333333333334</v>
      </c>
      <c r="O140" s="4">
        <v>9.81535</v>
      </c>
    </row>
    <row r="141">
      <c r="A141" s="7">
        <v>45533.0</v>
      </c>
      <c r="B141" s="1" t="s">
        <v>95</v>
      </c>
      <c r="C141" s="1" t="s">
        <v>89</v>
      </c>
      <c r="D141" s="4">
        <v>398.0</v>
      </c>
      <c r="E141" s="4">
        <v>0.0</v>
      </c>
      <c r="F141" s="1" t="s">
        <v>417</v>
      </c>
      <c r="G141" s="1" t="s">
        <v>97</v>
      </c>
      <c r="H141" s="1" t="s">
        <v>116</v>
      </c>
      <c r="I141" s="1" t="s">
        <v>455</v>
      </c>
      <c r="J141" s="1" t="s">
        <v>456</v>
      </c>
      <c r="K141" s="1" t="s">
        <v>457</v>
      </c>
      <c r="L141" s="1" t="s">
        <v>458</v>
      </c>
      <c r="M141" s="4">
        <v>-2.0</v>
      </c>
      <c r="N141" s="4">
        <v>0.009233333333333333</v>
      </c>
      <c r="O141" s="4">
        <v>14.48675</v>
      </c>
    </row>
    <row r="142">
      <c r="A142" s="7">
        <v>45533.0</v>
      </c>
      <c r="B142" s="1" t="s">
        <v>104</v>
      </c>
      <c r="C142" s="1" t="s">
        <v>105</v>
      </c>
      <c r="D142" s="4">
        <v>329.0</v>
      </c>
      <c r="E142" s="4">
        <v>0.0</v>
      </c>
      <c r="F142" s="1" t="s">
        <v>459</v>
      </c>
      <c r="G142" s="1" t="s">
        <v>91</v>
      </c>
      <c r="H142" s="1" t="s">
        <v>92</v>
      </c>
      <c r="I142" s="1" t="s">
        <v>460</v>
      </c>
      <c r="J142" s="1" t="s">
        <v>461</v>
      </c>
      <c r="K142" s="1" t="s">
        <v>461</v>
      </c>
      <c r="M142" s="4">
        <v>-2.0</v>
      </c>
      <c r="O142" s="4">
        <v>12.798116666666667</v>
      </c>
    </row>
    <row r="143">
      <c r="A143" s="7">
        <v>45533.0</v>
      </c>
      <c r="B143" s="1" t="s">
        <v>88</v>
      </c>
      <c r="C143" s="1" t="s">
        <v>89</v>
      </c>
      <c r="D143" s="4">
        <v>179.0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462</v>
      </c>
      <c r="J143" s="1" t="s">
        <v>463</v>
      </c>
      <c r="K143" s="1" t="s">
        <v>463</v>
      </c>
      <c r="M143" s="4">
        <v>-2.0</v>
      </c>
      <c r="O143" s="4">
        <v>12.558416666666666</v>
      </c>
    </row>
    <row r="144">
      <c r="A144" s="7">
        <v>45533.0</v>
      </c>
      <c r="B144" s="1" t="s">
        <v>95</v>
      </c>
      <c r="C144" s="1" t="s">
        <v>105</v>
      </c>
      <c r="D144" s="4">
        <v>247.0</v>
      </c>
      <c r="E144" s="4">
        <v>62.0</v>
      </c>
      <c r="G144" s="1" t="s">
        <v>149</v>
      </c>
      <c r="H144" s="1" t="s">
        <v>116</v>
      </c>
      <c r="I144" s="1" t="s">
        <v>464</v>
      </c>
      <c r="J144" s="1" t="s">
        <v>465</v>
      </c>
      <c r="K144" s="1" t="s">
        <v>465</v>
      </c>
      <c r="M144" s="4">
        <v>-4.0</v>
      </c>
      <c r="O144" s="4">
        <v>14.068783333333334</v>
      </c>
    </row>
    <row r="145">
      <c r="A145" s="7">
        <v>45533.0</v>
      </c>
      <c r="B145" s="1" t="s">
        <v>95</v>
      </c>
      <c r="C145" s="1" t="s">
        <v>89</v>
      </c>
      <c r="D145" s="4">
        <v>378.0</v>
      </c>
      <c r="E145" s="4">
        <v>0.0</v>
      </c>
      <c r="F145" s="1" t="s">
        <v>466</v>
      </c>
      <c r="G145" s="1" t="s">
        <v>97</v>
      </c>
      <c r="H145" s="1" t="s">
        <v>92</v>
      </c>
      <c r="I145" s="1" t="s">
        <v>467</v>
      </c>
      <c r="J145" s="1" t="s">
        <v>468</v>
      </c>
      <c r="K145" s="1" t="s">
        <v>469</v>
      </c>
      <c r="L145" s="1" t="s">
        <v>470</v>
      </c>
      <c r="M145" s="4">
        <v>-7.0</v>
      </c>
      <c r="N145" s="4">
        <v>0.0098</v>
      </c>
      <c r="O145" s="4">
        <v>11.913783333333333</v>
      </c>
    </row>
    <row r="146">
      <c r="A146" s="7">
        <v>45533.0</v>
      </c>
      <c r="B146" s="1" t="s">
        <v>104</v>
      </c>
      <c r="C146" s="1" t="s">
        <v>89</v>
      </c>
      <c r="D146" s="4">
        <v>264.0</v>
      </c>
      <c r="E146" s="4">
        <v>0.0</v>
      </c>
      <c r="F146" s="1" t="s">
        <v>471</v>
      </c>
      <c r="G146" s="1" t="s">
        <v>91</v>
      </c>
      <c r="H146" s="1" t="s">
        <v>92</v>
      </c>
      <c r="I146" s="1" t="s">
        <v>472</v>
      </c>
      <c r="J146" s="1" t="s">
        <v>473</v>
      </c>
      <c r="K146" s="1" t="s">
        <v>473</v>
      </c>
      <c r="M146" s="4">
        <v>-1.0</v>
      </c>
      <c r="O146" s="4">
        <v>13.59315</v>
      </c>
    </row>
    <row r="147">
      <c r="A147" s="7">
        <v>45533.0</v>
      </c>
      <c r="B147" s="1" t="s">
        <v>88</v>
      </c>
      <c r="C147" s="1" t="s">
        <v>89</v>
      </c>
      <c r="D147" s="4">
        <v>234.0</v>
      </c>
      <c r="E147" s="4">
        <v>0.0</v>
      </c>
      <c r="F147" s="1" t="s">
        <v>90</v>
      </c>
      <c r="G147" s="1" t="s">
        <v>91</v>
      </c>
      <c r="H147" s="1" t="s">
        <v>92</v>
      </c>
      <c r="I147" s="1" t="s">
        <v>474</v>
      </c>
      <c r="J147" s="1" t="s">
        <v>475</v>
      </c>
      <c r="K147" s="1" t="s">
        <v>475</v>
      </c>
      <c r="M147" s="4">
        <v>3.0</v>
      </c>
      <c r="O147" s="4">
        <v>18.44505</v>
      </c>
    </row>
    <row r="148">
      <c r="A148" s="7">
        <v>45533.0</v>
      </c>
      <c r="B148" s="1" t="s">
        <v>95</v>
      </c>
      <c r="C148" s="1" t="s">
        <v>89</v>
      </c>
      <c r="D148" s="4">
        <v>306.0</v>
      </c>
      <c r="E148" s="4">
        <v>0.0</v>
      </c>
      <c r="F148" s="1" t="s">
        <v>466</v>
      </c>
      <c r="G148" s="1" t="s">
        <v>97</v>
      </c>
      <c r="H148" s="1" t="s">
        <v>92</v>
      </c>
      <c r="I148" s="1" t="s">
        <v>476</v>
      </c>
      <c r="J148" s="1" t="s">
        <v>477</v>
      </c>
      <c r="K148" s="1" t="s">
        <v>478</v>
      </c>
      <c r="L148" s="1" t="s">
        <v>479</v>
      </c>
      <c r="M148" s="4">
        <v>-18.0</v>
      </c>
      <c r="N148" s="4">
        <v>0.008316666666666667</v>
      </c>
      <c r="O148" s="4">
        <v>23.05925</v>
      </c>
    </row>
    <row r="149">
      <c r="A149" s="7">
        <v>45533.0</v>
      </c>
      <c r="B149" s="1" t="s">
        <v>104</v>
      </c>
      <c r="C149" s="1" t="s">
        <v>89</v>
      </c>
      <c r="D149" s="4">
        <v>418.0</v>
      </c>
      <c r="E149" s="4">
        <v>0.0</v>
      </c>
      <c r="F149" s="1" t="s">
        <v>480</v>
      </c>
      <c r="G149" s="1" t="s">
        <v>91</v>
      </c>
      <c r="H149" s="1" t="s">
        <v>92</v>
      </c>
      <c r="I149" s="1" t="s">
        <v>481</v>
      </c>
      <c r="J149" s="1" t="s">
        <v>482</v>
      </c>
      <c r="K149" s="1" t="s">
        <v>482</v>
      </c>
      <c r="M149" s="4">
        <v>0.0</v>
      </c>
      <c r="O149" s="4">
        <v>15.91705</v>
      </c>
    </row>
    <row r="150">
      <c r="A150" s="7">
        <v>45533.0</v>
      </c>
      <c r="B150" s="1" t="s">
        <v>127</v>
      </c>
      <c r="C150" s="1" t="s">
        <v>105</v>
      </c>
      <c r="D150" s="4">
        <v>328.0</v>
      </c>
      <c r="E150" s="4">
        <v>0.0</v>
      </c>
      <c r="G150" s="1" t="s">
        <v>91</v>
      </c>
      <c r="H150" s="1" t="s">
        <v>92</v>
      </c>
      <c r="I150" s="1" t="s">
        <v>483</v>
      </c>
      <c r="J150" s="1" t="s">
        <v>484</v>
      </c>
      <c r="K150" s="1" t="s">
        <v>484</v>
      </c>
      <c r="M150" s="4">
        <v>-1.0</v>
      </c>
      <c r="O150" s="4">
        <v>9.27075</v>
      </c>
    </row>
    <row r="151">
      <c r="A151" s="7">
        <v>45533.0</v>
      </c>
      <c r="B151" s="1" t="s">
        <v>95</v>
      </c>
      <c r="C151" s="1" t="s">
        <v>89</v>
      </c>
      <c r="D151" s="4">
        <v>299.0</v>
      </c>
      <c r="E151" s="4">
        <v>0.0</v>
      </c>
      <c r="F151" s="1" t="s">
        <v>417</v>
      </c>
      <c r="G151" s="1" t="s">
        <v>97</v>
      </c>
      <c r="H151" s="1" t="s">
        <v>92</v>
      </c>
      <c r="I151" s="1" t="s">
        <v>485</v>
      </c>
      <c r="J151" s="1" t="s">
        <v>486</v>
      </c>
      <c r="K151" s="1" t="s">
        <v>487</v>
      </c>
      <c r="L151" s="1" t="s">
        <v>488</v>
      </c>
      <c r="M151" s="4">
        <v>8.0</v>
      </c>
      <c r="N151" s="4">
        <v>0.01125</v>
      </c>
      <c r="O151" s="4">
        <v>16.839933333333335</v>
      </c>
    </row>
    <row r="152">
      <c r="A152" s="7">
        <v>45533.0</v>
      </c>
      <c r="B152" s="1" t="s">
        <v>95</v>
      </c>
      <c r="C152" s="1" t="s">
        <v>89</v>
      </c>
      <c r="D152" s="4">
        <v>319.0</v>
      </c>
      <c r="E152" s="4">
        <v>0.0</v>
      </c>
      <c r="F152" s="1" t="s">
        <v>417</v>
      </c>
      <c r="G152" s="1" t="s">
        <v>97</v>
      </c>
      <c r="H152" s="1" t="s">
        <v>92</v>
      </c>
      <c r="I152" s="1" t="s">
        <v>489</v>
      </c>
      <c r="J152" s="1" t="s">
        <v>490</v>
      </c>
      <c r="K152" s="1" t="s">
        <v>491</v>
      </c>
      <c r="L152" s="1" t="s">
        <v>492</v>
      </c>
      <c r="M152" s="4">
        <v>0.0</v>
      </c>
      <c r="N152" s="4">
        <v>0.007783333333333333</v>
      </c>
      <c r="O152" s="4">
        <v>8.417416666666666</v>
      </c>
    </row>
    <row r="153">
      <c r="A153" s="7">
        <v>45533.0</v>
      </c>
      <c r="B153" s="1" t="s">
        <v>95</v>
      </c>
      <c r="C153" s="1" t="s">
        <v>89</v>
      </c>
      <c r="D153" s="4">
        <v>569.0</v>
      </c>
      <c r="E153" s="4">
        <v>0.0</v>
      </c>
      <c r="F153" s="1" t="s">
        <v>466</v>
      </c>
      <c r="G153" s="1" t="s">
        <v>97</v>
      </c>
      <c r="H153" s="1" t="s">
        <v>92</v>
      </c>
      <c r="I153" s="1" t="s">
        <v>493</v>
      </c>
      <c r="J153" s="1" t="s">
        <v>494</v>
      </c>
      <c r="K153" s="1" t="s">
        <v>495</v>
      </c>
      <c r="L153" s="1" t="s">
        <v>496</v>
      </c>
      <c r="M153" s="4">
        <v>-10.0</v>
      </c>
      <c r="N153" s="4">
        <v>0.013033333333333333</v>
      </c>
      <c r="O153" s="4">
        <v>10.855183333333333</v>
      </c>
    </row>
    <row r="154">
      <c r="A154" s="7">
        <v>45533.0</v>
      </c>
      <c r="B154" s="1" t="s">
        <v>95</v>
      </c>
      <c r="C154" s="1" t="s">
        <v>89</v>
      </c>
      <c r="D154" s="4">
        <v>358.0</v>
      </c>
      <c r="E154" s="4">
        <v>0.0</v>
      </c>
      <c r="F154" s="1" t="s">
        <v>466</v>
      </c>
      <c r="G154" s="1" t="s">
        <v>97</v>
      </c>
      <c r="H154" s="1" t="s">
        <v>92</v>
      </c>
      <c r="I154" s="1" t="s">
        <v>497</v>
      </c>
      <c r="J154" s="1" t="s">
        <v>498</v>
      </c>
      <c r="K154" s="1" t="s">
        <v>499</v>
      </c>
      <c r="L154" s="1" t="s">
        <v>500</v>
      </c>
      <c r="M154" s="4">
        <v>3.0</v>
      </c>
      <c r="N154" s="4">
        <v>0.009583333333333333</v>
      </c>
      <c r="O154" s="4">
        <v>10.931183333333333</v>
      </c>
    </row>
    <row r="155">
      <c r="A155" s="7">
        <v>45533.0</v>
      </c>
      <c r="B155" s="1" t="s">
        <v>127</v>
      </c>
      <c r="C155" s="1" t="s">
        <v>105</v>
      </c>
      <c r="D155" s="4">
        <v>313.0</v>
      </c>
      <c r="E155" s="4">
        <v>0.0</v>
      </c>
      <c r="G155" s="1" t="s">
        <v>91</v>
      </c>
      <c r="H155" s="1" t="s">
        <v>92</v>
      </c>
      <c r="I155" s="1" t="s">
        <v>501</v>
      </c>
      <c r="J155" s="1" t="s">
        <v>502</v>
      </c>
      <c r="K155" s="1" t="s">
        <v>502</v>
      </c>
      <c r="M155" s="4">
        <v>6.0</v>
      </c>
      <c r="O155" s="4">
        <v>18.39595</v>
      </c>
    </row>
    <row r="156">
      <c r="A156" s="7">
        <v>45533.0</v>
      </c>
      <c r="B156" s="1" t="s">
        <v>95</v>
      </c>
      <c r="C156" s="1" t="s">
        <v>89</v>
      </c>
      <c r="D156" s="4">
        <v>278.0</v>
      </c>
      <c r="E156" s="4">
        <v>0.0</v>
      </c>
      <c r="F156" s="1" t="s">
        <v>417</v>
      </c>
      <c r="G156" s="1" t="s">
        <v>97</v>
      </c>
      <c r="H156" s="1" t="s">
        <v>116</v>
      </c>
      <c r="I156" s="1" t="s">
        <v>503</v>
      </c>
      <c r="J156" s="1" t="s">
        <v>504</v>
      </c>
      <c r="K156" s="1" t="s">
        <v>505</v>
      </c>
      <c r="L156" s="1" t="s">
        <v>506</v>
      </c>
      <c r="M156" s="4">
        <v>-3.0</v>
      </c>
      <c r="N156" s="4">
        <v>0.011233333333333333</v>
      </c>
      <c r="O156" s="4">
        <v>15.974733333333333</v>
      </c>
    </row>
    <row r="157">
      <c r="A157" s="7">
        <v>45533.0</v>
      </c>
      <c r="B157" s="1" t="s">
        <v>169</v>
      </c>
      <c r="C157" s="1" t="s">
        <v>89</v>
      </c>
      <c r="D157" s="4">
        <v>258.0</v>
      </c>
      <c r="E157" s="4">
        <v>0.0</v>
      </c>
      <c r="G157" s="1" t="s">
        <v>149</v>
      </c>
      <c r="H157" s="1" t="s">
        <v>116</v>
      </c>
      <c r="I157" s="1" t="s">
        <v>507</v>
      </c>
      <c r="J157" s="1" t="s">
        <v>508</v>
      </c>
      <c r="K157" s="1" t="s">
        <v>508</v>
      </c>
      <c r="M157" s="4">
        <v>8.0</v>
      </c>
      <c r="O157" s="4">
        <v>13.2007</v>
      </c>
    </row>
    <row r="158">
      <c r="A158" s="7">
        <v>45533.0</v>
      </c>
      <c r="B158" s="1" t="s">
        <v>127</v>
      </c>
      <c r="C158" s="1" t="s">
        <v>105</v>
      </c>
      <c r="D158" s="4">
        <v>254.0</v>
      </c>
      <c r="E158" s="4">
        <v>0.0</v>
      </c>
      <c r="G158" s="1" t="s">
        <v>91</v>
      </c>
      <c r="H158" s="1" t="s">
        <v>116</v>
      </c>
      <c r="I158" s="1" t="s">
        <v>509</v>
      </c>
      <c r="J158" s="1" t="s">
        <v>510</v>
      </c>
      <c r="K158" s="1" t="s">
        <v>510</v>
      </c>
      <c r="M158" s="4">
        <v>8.0</v>
      </c>
      <c r="O158" s="4">
        <v>18.4592</v>
      </c>
    </row>
    <row r="159">
      <c r="A159" s="7">
        <v>45533.0</v>
      </c>
      <c r="B159" s="1" t="s">
        <v>169</v>
      </c>
      <c r="C159" s="1" t="s">
        <v>89</v>
      </c>
      <c r="D159" s="4">
        <v>119.0</v>
      </c>
      <c r="E159" s="4">
        <v>0.0</v>
      </c>
      <c r="G159" s="1" t="s">
        <v>149</v>
      </c>
      <c r="H159" s="1" t="s">
        <v>116</v>
      </c>
      <c r="I159" s="1" t="s">
        <v>511</v>
      </c>
      <c r="J159" s="1" t="s">
        <v>512</v>
      </c>
      <c r="K159" s="1" t="s">
        <v>512</v>
      </c>
      <c r="M159" s="4">
        <v>5.0</v>
      </c>
      <c r="O159" s="4">
        <v>10.5284</v>
      </c>
    </row>
    <row r="160">
      <c r="A160" s="7">
        <v>45533.0</v>
      </c>
      <c r="B160" s="1" t="s">
        <v>95</v>
      </c>
      <c r="C160" s="1" t="s">
        <v>89</v>
      </c>
      <c r="D160" s="4">
        <v>328.0</v>
      </c>
      <c r="E160" s="4">
        <v>0.0</v>
      </c>
      <c r="F160" s="1" t="s">
        <v>466</v>
      </c>
      <c r="G160" s="1" t="s">
        <v>97</v>
      </c>
      <c r="H160" s="1" t="s">
        <v>116</v>
      </c>
      <c r="I160" s="1" t="s">
        <v>513</v>
      </c>
      <c r="J160" s="1" t="s">
        <v>514</v>
      </c>
      <c r="K160" s="1" t="s">
        <v>515</v>
      </c>
      <c r="L160" s="1" t="s">
        <v>516</v>
      </c>
      <c r="M160" s="4">
        <v>-5.0</v>
      </c>
      <c r="N160" s="4">
        <v>0.008233333333333334</v>
      </c>
      <c r="O160" s="4">
        <v>14.58365</v>
      </c>
    </row>
    <row r="161">
      <c r="A161" s="7">
        <v>45533.0</v>
      </c>
      <c r="B161" s="1" t="s">
        <v>95</v>
      </c>
      <c r="C161" s="1" t="s">
        <v>89</v>
      </c>
      <c r="D161" s="4">
        <v>657.0</v>
      </c>
      <c r="E161" s="4">
        <v>0.0</v>
      </c>
      <c r="F161" s="1" t="s">
        <v>417</v>
      </c>
      <c r="G161" s="1" t="s">
        <v>97</v>
      </c>
      <c r="H161" s="1" t="s">
        <v>92</v>
      </c>
      <c r="I161" s="1" t="s">
        <v>517</v>
      </c>
      <c r="J161" s="1" t="s">
        <v>518</v>
      </c>
      <c r="K161" s="1" t="s">
        <v>519</v>
      </c>
      <c r="L161" s="1" t="s">
        <v>520</v>
      </c>
      <c r="M161" s="4">
        <v>8.0</v>
      </c>
      <c r="N161" s="4">
        <v>0.0188</v>
      </c>
      <c r="O161" s="4">
        <v>19.371683333333333</v>
      </c>
    </row>
    <row r="162">
      <c r="A162" s="7">
        <v>45533.0</v>
      </c>
      <c r="B162" s="1" t="s">
        <v>95</v>
      </c>
      <c r="C162" s="1" t="s">
        <v>89</v>
      </c>
      <c r="D162" s="4">
        <v>394.0</v>
      </c>
      <c r="E162" s="4">
        <v>0.0</v>
      </c>
      <c r="F162" s="1" t="s">
        <v>417</v>
      </c>
      <c r="G162" s="1" t="s">
        <v>97</v>
      </c>
      <c r="H162" s="1" t="s">
        <v>92</v>
      </c>
      <c r="I162" s="1" t="s">
        <v>521</v>
      </c>
      <c r="J162" s="1" t="s">
        <v>522</v>
      </c>
      <c r="K162" s="1" t="s">
        <v>523</v>
      </c>
      <c r="L162" s="1" t="s">
        <v>524</v>
      </c>
      <c r="M162" s="4">
        <v>-3.0</v>
      </c>
      <c r="N162" s="4">
        <v>0.014466666666666666</v>
      </c>
      <c r="O162" s="4">
        <v>17.63845</v>
      </c>
    </row>
    <row r="163">
      <c r="A163" s="7">
        <v>45533.0</v>
      </c>
      <c r="B163" s="1" t="s">
        <v>127</v>
      </c>
      <c r="C163" s="1" t="s">
        <v>105</v>
      </c>
      <c r="D163" s="4">
        <v>658.0</v>
      </c>
      <c r="E163" s="4">
        <v>0.0</v>
      </c>
      <c r="G163" s="1" t="s">
        <v>91</v>
      </c>
      <c r="H163" s="1" t="s">
        <v>116</v>
      </c>
      <c r="I163" s="1" t="s">
        <v>525</v>
      </c>
      <c r="J163" s="1" t="s">
        <v>526</v>
      </c>
      <c r="K163" s="1" t="s">
        <v>526</v>
      </c>
      <c r="M163" s="4">
        <v>3.0</v>
      </c>
      <c r="O163" s="4">
        <v>18.527733333333334</v>
      </c>
    </row>
    <row r="164">
      <c r="A164" s="7">
        <v>45533.0</v>
      </c>
      <c r="B164" s="1" t="s">
        <v>88</v>
      </c>
      <c r="C164" s="1" t="s">
        <v>89</v>
      </c>
      <c r="D164" s="4">
        <v>264.0</v>
      </c>
      <c r="E164" s="4">
        <v>0.0</v>
      </c>
      <c r="F164" s="1" t="s">
        <v>90</v>
      </c>
      <c r="G164" s="1" t="s">
        <v>91</v>
      </c>
      <c r="H164" s="1" t="s">
        <v>92</v>
      </c>
      <c r="I164" s="1" t="s">
        <v>527</v>
      </c>
      <c r="J164" s="1" t="s">
        <v>528</v>
      </c>
      <c r="K164" s="1" t="s">
        <v>528</v>
      </c>
      <c r="M164" s="4">
        <v>-3.0</v>
      </c>
      <c r="O164" s="4">
        <v>11.254383333333333</v>
      </c>
    </row>
    <row r="165">
      <c r="A165" s="7">
        <v>45533.0</v>
      </c>
      <c r="B165" s="1" t="s">
        <v>95</v>
      </c>
      <c r="C165" s="1" t="s">
        <v>89</v>
      </c>
      <c r="D165" s="4">
        <v>418.0</v>
      </c>
      <c r="E165" s="4">
        <v>105.0</v>
      </c>
      <c r="G165" s="1" t="s">
        <v>149</v>
      </c>
      <c r="H165" s="1" t="s">
        <v>116</v>
      </c>
      <c r="I165" s="1" t="s">
        <v>529</v>
      </c>
      <c r="J165" s="1" t="s">
        <v>530</v>
      </c>
      <c r="K165" s="1" t="s">
        <v>530</v>
      </c>
      <c r="M165" s="4">
        <v>1.0</v>
      </c>
      <c r="O165" s="4">
        <v>21.2277</v>
      </c>
    </row>
    <row r="166">
      <c r="A166" s="7">
        <v>45533.0</v>
      </c>
      <c r="B166" s="1" t="s">
        <v>88</v>
      </c>
      <c r="C166" s="1" t="s">
        <v>89</v>
      </c>
      <c r="D166" s="4">
        <v>264.0</v>
      </c>
      <c r="E166" s="4">
        <v>0.0</v>
      </c>
      <c r="F166" s="1" t="s">
        <v>90</v>
      </c>
      <c r="G166" s="1" t="s">
        <v>91</v>
      </c>
      <c r="H166" s="1" t="s">
        <v>92</v>
      </c>
      <c r="I166" s="1" t="s">
        <v>531</v>
      </c>
      <c r="J166" s="1" t="s">
        <v>532</v>
      </c>
      <c r="K166" s="1" t="s">
        <v>532</v>
      </c>
      <c r="M166" s="4">
        <v>3.0</v>
      </c>
      <c r="O166" s="4">
        <v>18.43235</v>
      </c>
    </row>
    <row r="167">
      <c r="A167" s="7">
        <v>45533.0</v>
      </c>
      <c r="B167" s="1" t="s">
        <v>104</v>
      </c>
      <c r="C167" s="1" t="s">
        <v>105</v>
      </c>
      <c r="D167" s="4">
        <v>358.0</v>
      </c>
      <c r="E167" s="4">
        <v>0.0</v>
      </c>
      <c r="F167" s="1" t="s">
        <v>533</v>
      </c>
      <c r="G167" s="1" t="s">
        <v>91</v>
      </c>
      <c r="H167" s="1" t="s">
        <v>92</v>
      </c>
      <c r="I167" s="1" t="s">
        <v>534</v>
      </c>
      <c r="J167" s="1" t="s">
        <v>535</v>
      </c>
      <c r="K167" s="1" t="s">
        <v>535</v>
      </c>
      <c r="M167" s="4">
        <v>1.0</v>
      </c>
      <c r="O167" s="4">
        <v>17.771383333333333</v>
      </c>
    </row>
    <row r="168">
      <c r="A168" s="7">
        <v>45533.0</v>
      </c>
      <c r="B168" s="1" t="s">
        <v>127</v>
      </c>
      <c r="C168" s="1" t="s">
        <v>105</v>
      </c>
      <c r="D168" s="4">
        <v>597.0</v>
      </c>
      <c r="E168" s="4">
        <v>0.0</v>
      </c>
      <c r="G168" s="1" t="s">
        <v>91</v>
      </c>
      <c r="H168" s="1" t="s">
        <v>92</v>
      </c>
      <c r="I168" s="1" t="s">
        <v>536</v>
      </c>
      <c r="J168" s="1" t="s">
        <v>537</v>
      </c>
      <c r="K168" s="1" t="s">
        <v>537</v>
      </c>
      <c r="M168" s="4">
        <v>6.0</v>
      </c>
      <c r="O168" s="4">
        <v>22.733616666666666</v>
      </c>
    </row>
    <row r="169">
      <c r="A169" s="7">
        <v>45533.0</v>
      </c>
      <c r="B169" s="1" t="s">
        <v>127</v>
      </c>
      <c r="C169" s="1" t="s">
        <v>105</v>
      </c>
      <c r="D169" s="4">
        <v>439.0</v>
      </c>
      <c r="E169" s="4">
        <v>0.0</v>
      </c>
      <c r="G169" s="1" t="s">
        <v>91</v>
      </c>
      <c r="H169" s="1" t="s">
        <v>92</v>
      </c>
      <c r="I169" s="1" t="s">
        <v>538</v>
      </c>
      <c r="J169" s="1" t="s">
        <v>539</v>
      </c>
      <c r="K169" s="1" t="s">
        <v>539</v>
      </c>
      <c r="M169" s="4">
        <v>3.0</v>
      </c>
      <c r="O169" s="4">
        <v>18.430316666666666</v>
      </c>
    </row>
    <row r="170">
      <c r="A170" s="7">
        <v>45533.0</v>
      </c>
      <c r="B170" s="1" t="s">
        <v>127</v>
      </c>
      <c r="C170" s="1" t="s">
        <v>105</v>
      </c>
      <c r="D170" s="4">
        <v>321.0</v>
      </c>
      <c r="E170" s="4">
        <v>0.0</v>
      </c>
      <c r="G170" s="1" t="s">
        <v>91</v>
      </c>
      <c r="H170" s="1" t="s">
        <v>92</v>
      </c>
      <c r="I170" s="1" t="s">
        <v>540</v>
      </c>
      <c r="J170" s="1" t="s">
        <v>541</v>
      </c>
      <c r="K170" s="1" t="s">
        <v>541</v>
      </c>
      <c r="M170" s="4">
        <v>7.0</v>
      </c>
      <c r="O170" s="4">
        <v>20.455133333333333</v>
      </c>
    </row>
    <row r="171">
      <c r="A171" s="7">
        <v>45533.0</v>
      </c>
      <c r="B171" s="1" t="s">
        <v>127</v>
      </c>
      <c r="C171" s="1" t="s">
        <v>105</v>
      </c>
      <c r="D171" s="4">
        <v>483.0</v>
      </c>
      <c r="E171" s="4">
        <v>0.0</v>
      </c>
      <c r="G171" s="1" t="s">
        <v>91</v>
      </c>
      <c r="H171" s="1" t="s">
        <v>92</v>
      </c>
      <c r="I171" s="1" t="s">
        <v>542</v>
      </c>
      <c r="J171" s="1" t="s">
        <v>543</v>
      </c>
      <c r="K171" s="1" t="s">
        <v>543</v>
      </c>
      <c r="M171" s="4">
        <v>5.0</v>
      </c>
      <c r="O171" s="4">
        <v>19.47896666666667</v>
      </c>
    </row>
    <row r="172">
      <c r="A172" s="7">
        <v>45533.0</v>
      </c>
      <c r="B172" s="1" t="s">
        <v>88</v>
      </c>
      <c r="C172" s="1" t="s">
        <v>89</v>
      </c>
      <c r="D172" s="4">
        <v>528.0</v>
      </c>
      <c r="E172" s="4">
        <v>0.0</v>
      </c>
      <c r="F172" s="1" t="s">
        <v>90</v>
      </c>
      <c r="G172" s="1" t="s">
        <v>91</v>
      </c>
      <c r="H172" s="1" t="s">
        <v>92</v>
      </c>
      <c r="I172" s="1" t="s">
        <v>544</v>
      </c>
      <c r="J172" s="1" t="s">
        <v>545</v>
      </c>
      <c r="K172" s="1" t="s">
        <v>545</v>
      </c>
      <c r="M172" s="4">
        <v>13.0</v>
      </c>
      <c r="O172" s="4">
        <v>28.3766</v>
      </c>
    </row>
    <row r="173">
      <c r="A173" s="7">
        <v>45533.0</v>
      </c>
      <c r="B173" s="1" t="s">
        <v>95</v>
      </c>
      <c r="C173" s="1" t="s">
        <v>89</v>
      </c>
      <c r="D173" s="4">
        <v>363.0</v>
      </c>
      <c r="E173" s="4">
        <v>96.0</v>
      </c>
      <c r="G173" s="1" t="s">
        <v>149</v>
      </c>
      <c r="H173" s="1" t="s">
        <v>92</v>
      </c>
      <c r="I173" s="1" t="s">
        <v>546</v>
      </c>
      <c r="J173" s="1" t="s">
        <v>547</v>
      </c>
      <c r="K173" s="1" t="s">
        <v>547</v>
      </c>
      <c r="M173" s="4">
        <v>-5.0</v>
      </c>
      <c r="O173" s="4">
        <v>13.296633333333334</v>
      </c>
    </row>
    <row r="174">
      <c r="A174" s="7">
        <v>45533.0</v>
      </c>
      <c r="B174" s="1" t="s">
        <v>127</v>
      </c>
      <c r="C174" s="1" t="s">
        <v>105</v>
      </c>
      <c r="D174" s="4">
        <v>658.0</v>
      </c>
      <c r="E174" s="4">
        <v>0.0</v>
      </c>
      <c r="G174" s="1" t="s">
        <v>91</v>
      </c>
      <c r="H174" s="1" t="s">
        <v>92</v>
      </c>
      <c r="I174" s="1" t="s">
        <v>548</v>
      </c>
      <c r="J174" s="1" t="s">
        <v>549</v>
      </c>
      <c r="K174" s="1" t="s">
        <v>549</v>
      </c>
      <c r="M174" s="4">
        <v>4.0</v>
      </c>
      <c r="O174" s="4">
        <v>19.078533333333333</v>
      </c>
    </row>
    <row r="175">
      <c r="A175" s="7">
        <v>45533.0</v>
      </c>
      <c r="B175" s="1" t="s">
        <v>104</v>
      </c>
      <c r="C175" s="1" t="s">
        <v>105</v>
      </c>
      <c r="D175" s="4">
        <v>872.0</v>
      </c>
      <c r="E175" s="4">
        <v>0.0</v>
      </c>
      <c r="F175" s="1" t="s">
        <v>550</v>
      </c>
      <c r="G175" s="1" t="s">
        <v>91</v>
      </c>
      <c r="H175" s="1" t="s">
        <v>92</v>
      </c>
      <c r="I175" s="1" t="s">
        <v>551</v>
      </c>
      <c r="J175" s="1" t="s">
        <v>552</v>
      </c>
      <c r="K175" s="1" t="s">
        <v>552</v>
      </c>
      <c r="M175" s="4">
        <v>-6.0</v>
      </c>
      <c r="O175" s="4">
        <v>14.434133333333333</v>
      </c>
    </row>
    <row r="176">
      <c r="A176" s="7">
        <v>45533.0</v>
      </c>
      <c r="B176" s="1" t="s">
        <v>127</v>
      </c>
      <c r="C176" s="1" t="s">
        <v>105</v>
      </c>
      <c r="D176" s="4">
        <v>434.0</v>
      </c>
      <c r="E176" s="4">
        <v>0.0</v>
      </c>
      <c r="G176" s="1" t="s">
        <v>91</v>
      </c>
      <c r="H176" s="1" t="s">
        <v>92</v>
      </c>
      <c r="I176" s="1" t="s">
        <v>553</v>
      </c>
      <c r="J176" s="1" t="s">
        <v>554</v>
      </c>
      <c r="K176" s="1" t="s">
        <v>554</v>
      </c>
      <c r="M176" s="4">
        <v>-3.0</v>
      </c>
      <c r="O176" s="4">
        <v>9.731333333333334</v>
      </c>
    </row>
    <row r="177">
      <c r="A177" s="7">
        <v>45533.0</v>
      </c>
      <c r="B177" s="1" t="s">
        <v>95</v>
      </c>
      <c r="C177" s="1" t="s">
        <v>89</v>
      </c>
      <c r="D177" s="4">
        <v>247.0</v>
      </c>
      <c r="E177" s="4">
        <v>62.0</v>
      </c>
      <c r="G177" s="1" t="s">
        <v>149</v>
      </c>
      <c r="H177" s="1" t="s">
        <v>153</v>
      </c>
      <c r="I177" s="1" t="s">
        <v>555</v>
      </c>
      <c r="J177" s="1" t="s">
        <v>556</v>
      </c>
      <c r="K177" s="1" t="s">
        <v>556</v>
      </c>
      <c r="M177" s="4">
        <v>-8.0</v>
      </c>
      <c r="O177" s="4">
        <v>11.413033333333333</v>
      </c>
    </row>
    <row r="178">
      <c r="A178" s="7">
        <v>45533.0</v>
      </c>
      <c r="B178" s="1" t="s">
        <v>88</v>
      </c>
      <c r="C178" s="1" t="s">
        <v>89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557</v>
      </c>
      <c r="J178" s="1" t="s">
        <v>558</v>
      </c>
      <c r="K178" s="1" t="s">
        <v>558</v>
      </c>
      <c r="M178" s="4">
        <v>-2.0</v>
      </c>
      <c r="O178" s="4">
        <v>12.07025</v>
      </c>
    </row>
    <row r="179">
      <c r="A179" s="7">
        <v>45533.0</v>
      </c>
      <c r="B179" s="1" t="s">
        <v>95</v>
      </c>
      <c r="C179" s="1" t="s">
        <v>89</v>
      </c>
      <c r="D179" s="4">
        <v>250.0</v>
      </c>
      <c r="E179" s="4">
        <v>0.0</v>
      </c>
      <c r="F179" s="1" t="s">
        <v>466</v>
      </c>
      <c r="G179" s="1" t="s">
        <v>97</v>
      </c>
      <c r="H179" s="1" t="s">
        <v>92</v>
      </c>
      <c r="I179" s="1" t="s">
        <v>559</v>
      </c>
      <c r="J179" s="1" t="s">
        <v>560</v>
      </c>
      <c r="K179" s="1" t="s">
        <v>561</v>
      </c>
      <c r="L179" s="1" t="s">
        <v>562</v>
      </c>
      <c r="M179" s="4">
        <v>-11.0</v>
      </c>
      <c r="N179" s="4">
        <v>0.007883333333333332</v>
      </c>
      <c r="O179" s="4">
        <v>12.822983333333333</v>
      </c>
    </row>
    <row r="180">
      <c r="A180" s="7">
        <v>45533.0</v>
      </c>
      <c r="B180" s="1" t="s">
        <v>95</v>
      </c>
      <c r="C180" s="1" t="s">
        <v>89</v>
      </c>
      <c r="D180" s="4">
        <v>329.0</v>
      </c>
      <c r="E180" s="4">
        <v>0.0</v>
      </c>
      <c r="F180" s="1" t="s">
        <v>466</v>
      </c>
      <c r="G180" s="1" t="s">
        <v>97</v>
      </c>
      <c r="H180" s="1" t="s">
        <v>92</v>
      </c>
      <c r="I180" s="1" t="s">
        <v>563</v>
      </c>
      <c r="J180" s="1" t="s">
        <v>564</v>
      </c>
      <c r="K180" s="1" t="s">
        <v>565</v>
      </c>
      <c r="L180" s="1" t="s">
        <v>566</v>
      </c>
      <c r="M180" s="4">
        <v>-2.0</v>
      </c>
      <c r="N180" s="4">
        <v>0.008833333333333334</v>
      </c>
      <c r="O180" s="4">
        <v>16.026516666666666</v>
      </c>
    </row>
    <row r="181">
      <c r="A181" s="7">
        <v>45533.0</v>
      </c>
      <c r="B181" s="1" t="s">
        <v>127</v>
      </c>
      <c r="C181" s="1" t="s">
        <v>105</v>
      </c>
      <c r="D181" s="4">
        <v>583.0</v>
      </c>
      <c r="E181" s="4">
        <v>0.0</v>
      </c>
      <c r="G181" s="1" t="s">
        <v>91</v>
      </c>
      <c r="H181" s="1" t="s">
        <v>116</v>
      </c>
      <c r="I181" s="1" t="s">
        <v>567</v>
      </c>
      <c r="J181" s="1" t="s">
        <v>568</v>
      </c>
      <c r="K181" s="1" t="s">
        <v>568</v>
      </c>
      <c r="M181" s="4">
        <v>4.0</v>
      </c>
      <c r="O181" s="4">
        <v>19.954</v>
      </c>
    </row>
    <row r="182">
      <c r="A182" s="7">
        <v>45533.0</v>
      </c>
      <c r="B182" s="1" t="s">
        <v>127</v>
      </c>
      <c r="C182" s="1" t="s">
        <v>105</v>
      </c>
      <c r="D182" s="4">
        <v>264.0</v>
      </c>
      <c r="E182" s="4">
        <v>0.0</v>
      </c>
      <c r="G182" s="1" t="s">
        <v>91</v>
      </c>
      <c r="H182" s="1" t="s">
        <v>92</v>
      </c>
      <c r="I182" s="1" t="s">
        <v>569</v>
      </c>
      <c r="J182" s="1" t="s">
        <v>570</v>
      </c>
      <c r="K182" s="1" t="s">
        <v>570</v>
      </c>
      <c r="M182" s="4">
        <v>7.0</v>
      </c>
      <c r="O182" s="4">
        <v>18.23795</v>
      </c>
    </row>
    <row r="183">
      <c r="A183" s="7">
        <v>45533.0</v>
      </c>
      <c r="B183" s="1" t="s">
        <v>95</v>
      </c>
      <c r="C183" s="1" t="s">
        <v>89</v>
      </c>
      <c r="D183" s="4">
        <v>323.0</v>
      </c>
      <c r="E183" s="4">
        <v>0.0</v>
      </c>
      <c r="F183" s="1" t="s">
        <v>417</v>
      </c>
      <c r="G183" s="1" t="s">
        <v>97</v>
      </c>
      <c r="H183" s="1" t="s">
        <v>116</v>
      </c>
      <c r="I183" s="1" t="s">
        <v>571</v>
      </c>
      <c r="J183" s="1" t="s">
        <v>572</v>
      </c>
      <c r="K183" s="1" t="s">
        <v>573</v>
      </c>
      <c r="L183" s="1" t="s">
        <v>574</v>
      </c>
      <c r="M183" s="4">
        <v>-11.0</v>
      </c>
      <c r="N183" s="4">
        <v>0.00895</v>
      </c>
      <c r="O183" s="4">
        <v>8.916283333333332</v>
      </c>
    </row>
    <row r="184">
      <c r="A184" s="7">
        <v>45533.0</v>
      </c>
      <c r="B184" s="1" t="s">
        <v>95</v>
      </c>
      <c r="C184" s="1" t="s">
        <v>89</v>
      </c>
      <c r="D184" s="4">
        <v>291.0</v>
      </c>
      <c r="E184" s="4">
        <v>15.0</v>
      </c>
      <c r="F184" s="1" t="s">
        <v>466</v>
      </c>
      <c r="G184" s="1" t="s">
        <v>97</v>
      </c>
      <c r="H184" s="1" t="s">
        <v>92</v>
      </c>
      <c r="I184" s="1" t="s">
        <v>575</v>
      </c>
      <c r="J184" s="1" t="s">
        <v>576</v>
      </c>
      <c r="K184" s="1" t="s">
        <v>577</v>
      </c>
      <c r="L184" s="1" t="s">
        <v>578</v>
      </c>
      <c r="M184" s="4">
        <v>-12.0</v>
      </c>
      <c r="N184" s="4">
        <v>0.014616666666666667</v>
      </c>
      <c r="O184" s="4">
        <v>9.564033333333333</v>
      </c>
    </row>
    <row r="185">
      <c r="A185" s="7">
        <v>45533.0</v>
      </c>
      <c r="B185" s="1" t="s">
        <v>88</v>
      </c>
      <c r="C185" s="1" t="s">
        <v>89</v>
      </c>
      <c r="D185" s="4">
        <v>726.0</v>
      </c>
      <c r="E185" s="4">
        <v>0.0</v>
      </c>
      <c r="F185" s="1" t="s">
        <v>90</v>
      </c>
      <c r="G185" s="1" t="s">
        <v>91</v>
      </c>
      <c r="H185" s="1" t="s">
        <v>92</v>
      </c>
      <c r="I185" s="1" t="s">
        <v>579</v>
      </c>
      <c r="J185" s="1" t="s">
        <v>580</v>
      </c>
      <c r="K185" s="1" t="s">
        <v>580</v>
      </c>
      <c r="M185" s="4">
        <v>1.0</v>
      </c>
      <c r="O185" s="4">
        <v>29.170266666666667</v>
      </c>
    </row>
    <row r="186">
      <c r="A186" s="7">
        <v>45533.0</v>
      </c>
      <c r="B186" s="1" t="s">
        <v>127</v>
      </c>
      <c r="C186" s="1" t="s">
        <v>105</v>
      </c>
      <c r="D186" s="4">
        <v>1187.0</v>
      </c>
      <c r="E186" s="4">
        <v>0.0</v>
      </c>
      <c r="G186" s="1" t="s">
        <v>91</v>
      </c>
      <c r="H186" s="1" t="s">
        <v>92</v>
      </c>
      <c r="I186" s="1" t="s">
        <v>581</v>
      </c>
      <c r="J186" s="1" t="s">
        <v>582</v>
      </c>
      <c r="K186" s="1" t="s">
        <v>582</v>
      </c>
      <c r="M186" s="4">
        <v>3.0</v>
      </c>
      <c r="O186" s="4">
        <v>21.611366666666665</v>
      </c>
    </row>
    <row r="187">
      <c r="A187" s="7">
        <v>45533.0</v>
      </c>
      <c r="B187" s="1" t="s">
        <v>104</v>
      </c>
      <c r="C187" s="1" t="s">
        <v>105</v>
      </c>
      <c r="D187" s="4">
        <v>364.0</v>
      </c>
      <c r="E187" s="4">
        <v>0.0</v>
      </c>
      <c r="F187" s="1" t="s">
        <v>361</v>
      </c>
      <c r="G187" s="1" t="s">
        <v>91</v>
      </c>
      <c r="H187" s="1" t="s">
        <v>92</v>
      </c>
      <c r="I187" s="1" t="s">
        <v>583</v>
      </c>
      <c r="J187" s="1" t="s">
        <v>584</v>
      </c>
      <c r="K187" s="1" t="s">
        <v>584</v>
      </c>
      <c r="M187" s="4">
        <v>10.0</v>
      </c>
      <c r="O187" s="4">
        <v>26.265516666666667</v>
      </c>
    </row>
    <row r="188">
      <c r="A188" s="7">
        <v>45533.0</v>
      </c>
      <c r="B188" s="1" t="s">
        <v>127</v>
      </c>
      <c r="C188" s="1" t="s">
        <v>105</v>
      </c>
      <c r="D188" s="4">
        <v>602.0</v>
      </c>
      <c r="E188" s="4">
        <v>0.0</v>
      </c>
      <c r="G188" s="1" t="s">
        <v>91</v>
      </c>
      <c r="H188" s="1" t="s">
        <v>92</v>
      </c>
      <c r="I188" s="1" t="s">
        <v>585</v>
      </c>
      <c r="J188" s="1" t="s">
        <v>586</v>
      </c>
      <c r="K188" s="1" t="s">
        <v>586</v>
      </c>
      <c r="M188" s="4">
        <v>-2.0</v>
      </c>
      <c r="O188" s="4">
        <v>11.248833333333334</v>
      </c>
    </row>
    <row r="189">
      <c r="A189" s="7">
        <v>45533.0</v>
      </c>
      <c r="B189" s="1" t="s">
        <v>95</v>
      </c>
      <c r="C189" s="1" t="s">
        <v>89</v>
      </c>
      <c r="D189" s="4">
        <v>257.0</v>
      </c>
      <c r="E189" s="4">
        <v>52.0</v>
      </c>
      <c r="F189" s="1" t="s">
        <v>417</v>
      </c>
      <c r="G189" s="1" t="s">
        <v>97</v>
      </c>
      <c r="H189" s="1" t="s">
        <v>116</v>
      </c>
      <c r="I189" s="1" t="s">
        <v>587</v>
      </c>
      <c r="J189" s="1" t="s">
        <v>588</v>
      </c>
      <c r="K189" s="1" t="s">
        <v>589</v>
      </c>
      <c r="L189" s="1" t="s">
        <v>590</v>
      </c>
      <c r="M189" s="4">
        <v>-7.0</v>
      </c>
      <c r="N189" s="4">
        <v>0.010216666666666667</v>
      </c>
      <c r="O189" s="4">
        <v>13.87445</v>
      </c>
    </row>
    <row r="190">
      <c r="A190" s="7">
        <v>45533.0</v>
      </c>
      <c r="B190" s="1" t="s">
        <v>127</v>
      </c>
      <c r="C190" s="1" t="s">
        <v>105</v>
      </c>
      <c r="D190" s="4">
        <v>593.0</v>
      </c>
      <c r="E190" s="4">
        <v>0.0</v>
      </c>
      <c r="G190" s="1" t="s">
        <v>91</v>
      </c>
      <c r="H190" s="1" t="s">
        <v>92</v>
      </c>
      <c r="I190" s="1" t="s">
        <v>591</v>
      </c>
      <c r="J190" s="1" t="s">
        <v>592</v>
      </c>
      <c r="K190" s="1" t="s">
        <v>592</v>
      </c>
      <c r="M190" s="4">
        <v>4.0</v>
      </c>
      <c r="O190" s="4">
        <v>19.511383333333335</v>
      </c>
    </row>
    <row r="191">
      <c r="A191" s="7">
        <v>45533.0</v>
      </c>
      <c r="B191" s="1" t="s">
        <v>127</v>
      </c>
      <c r="C191" s="1" t="s">
        <v>105</v>
      </c>
      <c r="D191" s="4">
        <v>610.0</v>
      </c>
      <c r="E191" s="4">
        <v>0.0</v>
      </c>
      <c r="G191" s="1" t="s">
        <v>91</v>
      </c>
      <c r="H191" s="1" t="s">
        <v>116</v>
      </c>
      <c r="I191" s="1" t="s">
        <v>593</v>
      </c>
      <c r="J191" s="1" t="s">
        <v>594</v>
      </c>
      <c r="K191" s="1" t="s">
        <v>594</v>
      </c>
      <c r="M191" s="4">
        <v>3.0</v>
      </c>
      <c r="O191" s="4">
        <v>18.747616666666666</v>
      </c>
    </row>
    <row r="192">
      <c r="A192" s="7">
        <v>45533.0</v>
      </c>
      <c r="B192" s="1" t="s">
        <v>127</v>
      </c>
      <c r="C192" s="1" t="s">
        <v>105</v>
      </c>
      <c r="D192" s="4">
        <v>346.0</v>
      </c>
      <c r="E192" s="4">
        <v>0.0</v>
      </c>
      <c r="G192" s="1" t="s">
        <v>91</v>
      </c>
      <c r="H192" s="1" t="s">
        <v>116</v>
      </c>
      <c r="I192" s="1" t="s">
        <v>595</v>
      </c>
      <c r="J192" s="1" t="s">
        <v>596</v>
      </c>
      <c r="K192" s="1" t="s">
        <v>596</v>
      </c>
      <c r="M192" s="4">
        <v>8.0</v>
      </c>
      <c r="O192" s="4">
        <v>20.96055</v>
      </c>
    </row>
    <row r="193">
      <c r="A193" s="7">
        <v>45533.0</v>
      </c>
      <c r="B193" s="1" t="s">
        <v>95</v>
      </c>
      <c r="C193" s="1" t="s">
        <v>89</v>
      </c>
      <c r="D193" s="4">
        <v>885.0</v>
      </c>
      <c r="E193" s="4">
        <v>18.0</v>
      </c>
      <c r="F193" s="1" t="s">
        <v>466</v>
      </c>
      <c r="G193" s="1" t="s">
        <v>97</v>
      </c>
      <c r="H193" s="1" t="s">
        <v>92</v>
      </c>
      <c r="I193" s="1" t="s">
        <v>597</v>
      </c>
      <c r="J193" s="1" t="s">
        <v>598</v>
      </c>
      <c r="K193" s="1" t="s">
        <v>599</v>
      </c>
      <c r="L193" s="1" t="s">
        <v>600</v>
      </c>
      <c r="M193" s="4">
        <v>11.0</v>
      </c>
      <c r="N193" s="4">
        <v>0.01948333333333333</v>
      </c>
      <c r="O193" s="4">
        <v>17.168016666666666</v>
      </c>
    </row>
    <row r="194">
      <c r="A194" s="7">
        <v>45533.0</v>
      </c>
      <c r="B194" s="1" t="s">
        <v>95</v>
      </c>
      <c r="C194" s="1" t="s">
        <v>89</v>
      </c>
      <c r="D194" s="4">
        <v>548.0</v>
      </c>
      <c r="E194" s="4">
        <v>0.0</v>
      </c>
      <c r="F194" s="1" t="s">
        <v>466</v>
      </c>
      <c r="G194" s="1" t="s">
        <v>97</v>
      </c>
      <c r="H194" s="1" t="s">
        <v>92</v>
      </c>
      <c r="I194" s="1" t="s">
        <v>601</v>
      </c>
      <c r="J194" s="1" t="s">
        <v>602</v>
      </c>
      <c r="K194" s="1" t="s">
        <v>603</v>
      </c>
      <c r="L194" s="1" t="s">
        <v>604</v>
      </c>
      <c r="M194" s="4">
        <v>9.0</v>
      </c>
      <c r="N194" s="4">
        <v>0.0092</v>
      </c>
      <c r="O194" s="4">
        <v>16.321083333333334</v>
      </c>
    </row>
    <row r="195">
      <c r="A195" s="7">
        <v>45533.0</v>
      </c>
      <c r="B195" s="1" t="s">
        <v>127</v>
      </c>
      <c r="C195" s="1" t="s">
        <v>105</v>
      </c>
      <c r="D195" s="4">
        <v>294.0</v>
      </c>
      <c r="E195" s="4">
        <v>100.0</v>
      </c>
      <c r="G195" s="1" t="s">
        <v>91</v>
      </c>
      <c r="H195" s="1" t="s">
        <v>92</v>
      </c>
      <c r="I195" s="1" t="s">
        <v>605</v>
      </c>
      <c r="J195" s="1" t="s">
        <v>606</v>
      </c>
      <c r="K195" s="1" t="s">
        <v>606</v>
      </c>
      <c r="M195" s="4">
        <v>6.0</v>
      </c>
      <c r="O195" s="4">
        <v>18.040216666666666</v>
      </c>
    </row>
    <row r="196">
      <c r="A196" s="7">
        <v>45533.0</v>
      </c>
      <c r="B196" s="1" t="s">
        <v>127</v>
      </c>
      <c r="C196" s="1" t="s">
        <v>89</v>
      </c>
      <c r="D196" s="4">
        <v>528.0</v>
      </c>
      <c r="E196" s="4">
        <v>0.0</v>
      </c>
      <c r="G196" s="1" t="s">
        <v>91</v>
      </c>
      <c r="H196" s="1" t="s">
        <v>92</v>
      </c>
      <c r="I196" s="1" t="s">
        <v>607</v>
      </c>
      <c r="J196" s="1" t="s">
        <v>608</v>
      </c>
      <c r="K196" s="1" t="s">
        <v>608</v>
      </c>
      <c r="M196" s="4">
        <v>1.0</v>
      </c>
      <c r="O196" s="4">
        <v>14.11675</v>
      </c>
    </row>
    <row r="197">
      <c r="A197" s="7">
        <v>45533.0</v>
      </c>
      <c r="B197" s="1" t="s">
        <v>95</v>
      </c>
      <c r="C197" s="1" t="s">
        <v>89</v>
      </c>
      <c r="D197" s="4">
        <v>666.0</v>
      </c>
      <c r="E197" s="4">
        <v>105.0</v>
      </c>
      <c r="G197" s="1" t="s">
        <v>149</v>
      </c>
      <c r="H197" s="1" t="s">
        <v>92</v>
      </c>
      <c r="I197" s="1" t="s">
        <v>609</v>
      </c>
      <c r="J197" s="1" t="s">
        <v>610</v>
      </c>
      <c r="K197" s="1" t="s">
        <v>610</v>
      </c>
      <c r="M197" s="4">
        <v>-7.0</v>
      </c>
      <c r="O197" s="4">
        <v>38.79011666666667</v>
      </c>
    </row>
    <row r="198">
      <c r="A198" s="7">
        <v>45533.0</v>
      </c>
      <c r="B198" s="1" t="s">
        <v>169</v>
      </c>
      <c r="C198" s="1" t="s">
        <v>89</v>
      </c>
      <c r="D198" s="4">
        <v>39.0</v>
      </c>
      <c r="E198" s="4">
        <v>0.0</v>
      </c>
      <c r="G198" s="1" t="s">
        <v>149</v>
      </c>
      <c r="H198" s="1" t="s">
        <v>116</v>
      </c>
      <c r="I198" s="1" t="s">
        <v>611</v>
      </c>
      <c r="J198" s="1" t="s">
        <v>612</v>
      </c>
      <c r="K198" s="1" t="s">
        <v>612</v>
      </c>
      <c r="M198" s="4">
        <v>-3.0</v>
      </c>
      <c r="O198" s="4">
        <v>1.4770833333333333</v>
      </c>
    </row>
    <row r="199">
      <c r="A199" s="7">
        <v>45533.0</v>
      </c>
      <c r="B199" s="1" t="s">
        <v>95</v>
      </c>
      <c r="C199" s="1" t="s">
        <v>89</v>
      </c>
      <c r="D199" s="4">
        <v>269.0</v>
      </c>
      <c r="E199" s="4">
        <v>0.0</v>
      </c>
      <c r="F199" s="1" t="s">
        <v>298</v>
      </c>
      <c r="G199" s="1" t="s">
        <v>97</v>
      </c>
      <c r="H199" s="1" t="s">
        <v>92</v>
      </c>
      <c r="I199" s="1" t="s">
        <v>613</v>
      </c>
      <c r="J199" s="1" t="s">
        <v>614</v>
      </c>
      <c r="K199" s="1" t="s">
        <v>615</v>
      </c>
      <c r="L199" s="1" t="s">
        <v>616</v>
      </c>
      <c r="M199" s="4">
        <v>-5.0</v>
      </c>
      <c r="N199" s="4">
        <v>0.008083333333333333</v>
      </c>
      <c r="O199" s="4">
        <v>16.717966666666666</v>
      </c>
    </row>
    <row r="200">
      <c r="A200" s="7">
        <v>45533.0</v>
      </c>
      <c r="B200" s="1" t="s">
        <v>88</v>
      </c>
      <c r="C200" s="1" t="s">
        <v>89</v>
      </c>
      <c r="D200" s="4">
        <v>675.0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617</v>
      </c>
      <c r="J200" s="1" t="s">
        <v>618</v>
      </c>
      <c r="K200" s="1" t="s">
        <v>618</v>
      </c>
      <c r="M200" s="4">
        <v>-2.0</v>
      </c>
      <c r="O200" s="4">
        <v>12.861416666666667</v>
      </c>
    </row>
    <row r="201">
      <c r="A201" s="7">
        <v>45533.0</v>
      </c>
      <c r="B201" s="1" t="s">
        <v>127</v>
      </c>
      <c r="C201" s="1" t="s">
        <v>105</v>
      </c>
      <c r="D201" s="4">
        <v>321.0</v>
      </c>
      <c r="E201" s="4">
        <v>0.0</v>
      </c>
      <c r="G201" s="1" t="s">
        <v>91</v>
      </c>
      <c r="H201" s="1" t="s">
        <v>92</v>
      </c>
      <c r="I201" s="1" t="s">
        <v>619</v>
      </c>
      <c r="J201" s="1" t="s">
        <v>620</v>
      </c>
      <c r="K201" s="1" t="s">
        <v>620</v>
      </c>
      <c r="M201" s="4">
        <v>-2.0</v>
      </c>
      <c r="O201" s="4">
        <v>8.871583333333334</v>
      </c>
    </row>
    <row r="202">
      <c r="A202" s="7">
        <v>45533.0</v>
      </c>
      <c r="B202" s="1" t="s">
        <v>95</v>
      </c>
      <c r="C202" s="1" t="s">
        <v>89</v>
      </c>
      <c r="D202" s="4">
        <v>219.0</v>
      </c>
      <c r="E202" s="4">
        <v>50.0</v>
      </c>
      <c r="G202" s="1" t="s">
        <v>149</v>
      </c>
      <c r="H202" s="1" t="s">
        <v>153</v>
      </c>
      <c r="I202" s="1" t="s">
        <v>621</v>
      </c>
      <c r="J202" s="1" t="s">
        <v>622</v>
      </c>
      <c r="K202" s="1" t="s">
        <v>622</v>
      </c>
      <c r="M202" s="4">
        <v>-9.0</v>
      </c>
      <c r="O202" s="4">
        <v>17.607533333333333</v>
      </c>
    </row>
    <row r="203">
      <c r="A203" s="7">
        <v>45533.0</v>
      </c>
      <c r="B203" s="1" t="s">
        <v>88</v>
      </c>
      <c r="C203" s="1" t="s">
        <v>89</v>
      </c>
      <c r="D203" s="4">
        <v>264.0</v>
      </c>
      <c r="E203" s="4">
        <v>0.0</v>
      </c>
      <c r="F203" s="1" t="s">
        <v>90</v>
      </c>
      <c r="G203" s="1" t="s">
        <v>91</v>
      </c>
      <c r="H203" s="1" t="s">
        <v>92</v>
      </c>
      <c r="I203" s="1" t="s">
        <v>623</v>
      </c>
      <c r="J203" s="1" t="s">
        <v>624</v>
      </c>
      <c r="K203" s="1" t="s">
        <v>624</v>
      </c>
      <c r="M203" s="4">
        <v>-1.0</v>
      </c>
      <c r="O203" s="4">
        <v>13.666016666666666</v>
      </c>
    </row>
    <row r="204">
      <c r="A204" s="7">
        <v>45533.0</v>
      </c>
      <c r="B204" s="1" t="s">
        <v>104</v>
      </c>
      <c r="C204" s="1" t="s">
        <v>105</v>
      </c>
      <c r="D204" s="4">
        <v>329.0</v>
      </c>
      <c r="E204" s="4">
        <v>0.0</v>
      </c>
      <c r="F204" s="1" t="s">
        <v>625</v>
      </c>
      <c r="G204" s="1" t="s">
        <v>91</v>
      </c>
      <c r="H204" s="1" t="s">
        <v>92</v>
      </c>
      <c r="I204" s="1" t="s">
        <v>626</v>
      </c>
      <c r="J204" s="1" t="s">
        <v>627</v>
      </c>
      <c r="K204" s="1" t="s">
        <v>627</v>
      </c>
      <c r="M204" s="4">
        <v>-2.0</v>
      </c>
      <c r="O204" s="4">
        <v>12.3941</v>
      </c>
    </row>
    <row r="205">
      <c r="A205" s="7">
        <v>45533.0</v>
      </c>
      <c r="B205" s="1" t="s">
        <v>95</v>
      </c>
      <c r="C205" s="1" t="s">
        <v>89</v>
      </c>
      <c r="D205" s="4">
        <v>211.0</v>
      </c>
      <c r="E205" s="4">
        <v>53.0</v>
      </c>
      <c r="G205" s="1" t="s">
        <v>149</v>
      </c>
      <c r="H205" s="1" t="s">
        <v>153</v>
      </c>
      <c r="I205" s="1" t="s">
        <v>628</v>
      </c>
      <c r="J205" s="1" t="s">
        <v>629</v>
      </c>
      <c r="K205" s="1" t="s">
        <v>629</v>
      </c>
      <c r="M205" s="4">
        <v>-9.0</v>
      </c>
      <c r="O205" s="4">
        <v>9.658933333333334</v>
      </c>
    </row>
    <row r="206">
      <c r="A206" s="7">
        <v>45533.0</v>
      </c>
      <c r="B206" s="1" t="s">
        <v>127</v>
      </c>
      <c r="C206" s="1" t="s">
        <v>89</v>
      </c>
      <c r="D206" s="4">
        <v>658.0</v>
      </c>
      <c r="E206" s="4">
        <v>0.0</v>
      </c>
      <c r="G206" s="1" t="s">
        <v>91</v>
      </c>
      <c r="H206" s="1" t="s">
        <v>116</v>
      </c>
      <c r="I206" s="1" t="s">
        <v>630</v>
      </c>
      <c r="J206" s="1" t="s">
        <v>631</v>
      </c>
      <c r="K206" s="1" t="s">
        <v>631</v>
      </c>
      <c r="M206" s="4">
        <v>6.0</v>
      </c>
      <c r="O206" s="4">
        <v>20.9665</v>
      </c>
    </row>
    <row r="207">
      <c r="A207" s="7">
        <v>45533.0</v>
      </c>
      <c r="B207" s="1" t="s">
        <v>95</v>
      </c>
      <c r="C207" s="1" t="s">
        <v>89</v>
      </c>
      <c r="D207" s="4">
        <v>199.0</v>
      </c>
      <c r="E207" s="4">
        <v>50.0</v>
      </c>
      <c r="G207" s="1" t="s">
        <v>149</v>
      </c>
      <c r="H207" s="1" t="s">
        <v>153</v>
      </c>
      <c r="I207" s="1" t="s">
        <v>632</v>
      </c>
      <c r="J207" s="1" t="s">
        <v>633</v>
      </c>
      <c r="K207" s="1" t="s">
        <v>633</v>
      </c>
      <c r="M207" s="4">
        <v>-4.0</v>
      </c>
      <c r="O207" s="4">
        <v>15.020416666666666</v>
      </c>
    </row>
    <row r="208">
      <c r="A208" s="7">
        <v>45533.0</v>
      </c>
      <c r="B208" s="1" t="s">
        <v>95</v>
      </c>
      <c r="C208" s="1" t="s">
        <v>89</v>
      </c>
      <c r="D208" s="4">
        <v>341.0</v>
      </c>
      <c r="E208" s="4">
        <v>17.0</v>
      </c>
      <c r="F208" s="1" t="s">
        <v>90</v>
      </c>
      <c r="G208" s="1" t="s">
        <v>97</v>
      </c>
      <c r="H208" s="1" t="s">
        <v>92</v>
      </c>
      <c r="I208" s="1" t="s">
        <v>634</v>
      </c>
      <c r="J208" s="1" t="s">
        <v>635</v>
      </c>
      <c r="K208" s="1" t="s">
        <v>636</v>
      </c>
      <c r="L208" s="1" t="s">
        <v>637</v>
      </c>
      <c r="M208" s="4">
        <v>-4.0</v>
      </c>
      <c r="N208" s="4">
        <v>5.443716666666667</v>
      </c>
      <c r="O208" s="4">
        <v>9.059833333333334</v>
      </c>
    </row>
    <row r="209">
      <c r="A209" s="7">
        <v>45533.0</v>
      </c>
      <c r="B209" s="1" t="s">
        <v>88</v>
      </c>
      <c r="C209" s="1" t="s">
        <v>89</v>
      </c>
      <c r="D209" s="4">
        <v>488.0</v>
      </c>
      <c r="E209" s="4">
        <v>0.0</v>
      </c>
      <c r="F209" s="1" t="s">
        <v>90</v>
      </c>
      <c r="G209" s="1" t="s">
        <v>91</v>
      </c>
      <c r="H209" s="1" t="s">
        <v>92</v>
      </c>
      <c r="I209" s="1" t="s">
        <v>638</v>
      </c>
      <c r="J209" s="1" t="s">
        <v>639</v>
      </c>
      <c r="K209" s="1" t="s">
        <v>639</v>
      </c>
      <c r="M209" s="4">
        <v>-1.0</v>
      </c>
      <c r="O209" s="4">
        <v>13.8337</v>
      </c>
    </row>
    <row r="210">
      <c r="A210" s="7">
        <v>45533.0</v>
      </c>
      <c r="B210" s="1" t="s">
        <v>88</v>
      </c>
      <c r="C210" s="1" t="s">
        <v>89</v>
      </c>
      <c r="D210" s="4">
        <v>499.0</v>
      </c>
      <c r="E210" s="4">
        <v>0.0</v>
      </c>
      <c r="F210" s="1" t="s">
        <v>90</v>
      </c>
      <c r="G210" s="1" t="s">
        <v>91</v>
      </c>
      <c r="H210" s="1" t="s">
        <v>92</v>
      </c>
      <c r="I210" s="1" t="s">
        <v>640</v>
      </c>
      <c r="J210" s="1" t="s">
        <v>641</v>
      </c>
      <c r="K210" s="1" t="s">
        <v>641</v>
      </c>
      <c r="M210" s="4">
        <v>8.0</v>
      </c>
      <c r="O210" s="4">
        <v>23.46315</v>
      </c>
    </row>
    <row r="211">
      <c r="A211" s="7">
        <v>45533.0</v>
      </c>
      <c r="B211" s="1" t="s">
        <v>127</v>
      </c>
      <c r="C211" s="1" t="s">
        <v>89</v>
      </c>
      <c r="D211" s="4">
        <v>278.0</v>
      </c>
      <c r="E211" s="4">
        <v>100.0</v>
      </c>
      <c r="G211" s="1" t="s">
        <v>91</v>
      </c>
      <c r="H211" s="1" t="s">
        <v>116</v>
      </c>
      <c r="I211" s="1" t="s">
        <v>642</v>
      </c>
      <c r="J211" s="1" t="s">
        <v>643</v>
      </c>
      <c r="K211" s="1" t="s">
        <v>643</v>
      </c>
      <c r="M211" s="4">
        <v>6.0</v>
      </c>
      <c r="O211" s="4">
        <v>18.5577</v>
      </c>
    </row>
    <row r="212">
      <c r="A212" s="7">
        <v>45533.0</v>
      </c>
      <c r="B212" s="1" t="s">
        <v>95</v>
      </c>
      <c r="C212" s="1" t="s">
        <v>89</v>
      </c>
      <c r="D212" s="4">
        <v>309.0</v>
      </c>
      <c r="E212" s="4">
        <v>0.0</v>
      </c>
      <c r="F212" s="1" t="s">
        <v>90</v>
      </c>
      <c r="G212" s="1" t="s">
        <v>97</v>
      </c>
      <c r="H212" s="1" t="s">
        <v>92</v>
      </c>
      <c r="I212" s="1" t="s">
        <v>644</v>
      </c>
      <c r="J212" s="1" t="s">
        <v>645</v>
      </c>
      <c r="K212" s="1" t="s">
        <v>646</v>
      </c>
      <c r="L212" s="1" t="s">
        <v>647</v>
      </c>
      <c r="M212" s="4">
        <v>37.0</v>
      </c>
      <c r="N212" s="4">
        <v>11.977816666666667</v>
      </c>
      <c r="O212" s="4">
        <v>14.9844</v>
      </c>
    </row>
    <row r="213">
      <c r="A213" s="7">
        <v>45533.0</v>
      </c>
      <c r="B213" s="1" t="s">
        <v>88</v>
      </c>
      <c r="C213" s="1" t="s">
        <v>89</v>
      </c>
      <c r="D213" s="4">
        <v>313.0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648</v>
      </c>
      <c r="J213" s="1" t="s">
        <v>649</v>
      </c>
      <c r="K213" s="1" t="s">
        <v>649</v>
      </c>
      <c r="M213" s="4">
        <v>-8.0</v>
      </c>
      <c r="O213" s="4">
        <v>6.364183333333333</v>
      </c>
    </row>
    <row r="214">
      <c r="A214" s="7">
        <v>45533.0</v>
      </c>
      <c r="B214" s="1" t="s">
        <v>169</v>
      </c>
      <c r="C214" s="1" t="s">
        <v>89</v>
      </c>
      <c r="D214" s="4">
        <v>249.0</v>
      </c>
      <c r="E214" s="4">
        <v>0.0</v>
      </c>
      <c r="G214" s="1" t="s">
        <v>149</v>
      </c>
      <c r="H214" s="1" t="s">
        <v>116</v>
      </c>
      <c r="I214" s="1" t="s">
        <v>650</v>
      </c>
      <c r="J214" s="1" t="s">
        <v>651</v>
      </c>
      <c r="K214" s="1" t="s">
        <v>651</v>
      </c>
      <c r="M214" s="4">
        <v>4.0</v>
      </c>
      <c r="O214" s="4">
        <v>9.529666666666667</v>
      </c>
    </row>
    <row r="215">
      <c r="A215" s="7">
        <v>45533.0</v>
      </c>
      <c r="B215" s="1" t="s">
        <v>127</v>
      </c>
      <c r="C215" s="1" t="s">
        <v>89</v>
      </c>
      <c r="D215" s="4">
        <v>214.0</v>
      </c>
      <c r="E215" s="4">
        <v>50.0</v>
      </c>
      <c r="G215" s="1" t="s">
        <v>91</v>
      </c>
      <c r="H215" s="1" t="s">
        <v>92</v>
      </c>
      <c r="I215" s="1" t="s">
        <v>652</v>
      </c>
      <c r="J215" s="1" t="s">
        <v>653</v>
      </c>
      <c r="K215" s="1" t="s">
        <v>653</v>
      </c>
      <c r="M215" s="4">
        <v>-4.0</v>
      </c>
      <c r="O215" s="4">
        <v>6.828366666666667</v>
      </c>
    </row>
    <row r="216">
      <c r="A216" s="7">
        <v>45533.0</v>
      </c>
      <c r="B216" s="1" t="s">
        <v>127</v>
      </c>
      <c r="C216" s="1" t="s">
        <v>89</v>
      </c>
      <c r="D216" s="4">
        <v>456.0</v>
      </c>
      <c r="E216" s="4">
        <v>0.0</v>
      </c>
      <c r="G216" s="1" t="s">
        <v>91</v>
      </c>
      <c r="H216" s="1" t="s">
        <v>92</v>
      </c>
      <c r="I216" s="1" t="s">
        <v>654</v>
      </c>
      <c r="J216" s="1" t="s">
        <v>655</v>
      </c>
      <c r="K216" s="1" t="s">
        <v>655</v>
      </c>
      <c r="M216" s="4">
        <v>1.0</v>
      </c>
      <c r="O216" s="4">
        <v>14.513716666666667</v>
      </c>
    </row>
    <row r="217">
      <c r="A217" s="7">
        <v>45533.0</v>
      </c>
      <c r="B217" s="1" t="s">
        <v>104</v>
      </c>
      <c r="C217" s="1" t="s">
        <v>89</v>
      </c>
      <c r="D217" s="4">
        <v>803.0</v>
      </c>
      <c r="E217" s="4">
        <v>0.0</v>
      </c>
      <c r="F217" s="1" t="s">
        <v>361</v>
      </c>
      <c r="G217" s="1" t="s">
        <v>91</v>
      </c>
      <c r="H217" s="1" t="s">
        <v>92</v>
      </c>
      <c r="I217" s="1" t="s">
        <v>656</v>
      </c>
      <c r="J217" s="1" t="s">
        <v>657</v>
      </c>
      <c r="K217" s="1" t="s">
        <v>657</v>
      </c>
      <c r="M217" s="4">
        <v>-2.0</v>
      </c>
      <c r="O217" s="4">
        <v>14.57965</v>
      </c>
    </row>
    <row r="218">
      <c r="A218" s="7">
        <v>45533.0</v>
      </c>
      <c r="B218" s="1" t="s">
        <v>127</v>
      </c>
      <c r="C218" s="1" t="s">
        <v>105</v>
      </c>
      <c r="D218" s="4">
        <v>268.0</v>
      </c>
      <c r="E218" s="4">
        <v>100.0</v>
      </c>
      <c r="G218" s="1" t="s">
        <v>91</v>
      </c>
      <c r="H218" s="1" t="s">
        <v>92</v>
      </c>
      <c r="I218" s="1" t="s">
        <v>658</v>
      </c>
      <c r="J218" s="1" t="s">
        <v>659</v>
      </c>
      <c r="K218" s="1" t="s">
        <v>659</v>
      </c>
      <c r="M218" s="4">
        <v>0.0</v>
      </c>
      <c r="O218" s="4">
        <v>10.631733333333333</v>
      </c>
    </row>
    <row r="219">
      <c r="A219" s="7">
        <v>45533.0</v>
      </c>
      <c r="B219" s="1" t="s">
        <v>95</v>
      </c>
      <c r="C219" s="1" t="s">
        <v>89</v>
      </c>
      <c r="D219" s="4">
        <v>199.0</v>
      </c>
      <c r="E219" s="4">
        <v>50.0</v>
      </c>
      <c r="G219" s="1" t="s">
        <v>149</v>
      </c>
      <c r="H219" s="1" t="s">
        <v>153</v>
      </c>
      <c r="I219" s="1" t="s">
        <v>660</v>
      </c>
      <c r="J219" s="1" t="s">
        <v>661</v>
      </c>
      <c r="K219" s="1" t="s">
        <v>661</v>
      </c>
      <c r="M219" s="4">
        <v>-9.0</v>
      </c>
      <c r="O219" s="4">
        <v>10.1084</v>
      </c>
    </row>
    <row r="220">
      <c r="A220" s="7">
        <v>45533.0</v>
      </c>
      <c r="B220" s="1" t="s">
        <v>104</v>
      </c>
      <c r="C220" s="1" t="s">
        <v>105</v>
      </c>
      <c r="D220" s="4">
        <v>321.0</v>
      </c>
      <c r="E220" s="4">
        <v>0.0</v>
      </c>
      <c r="F220" s="1" t="s">
        <v>180</v>
      </c>
      <c r="G220" s="1" t="s">
        <v>91</v>
      </c>
      <c r="H220" s="1" t="s">
        <v>92</v>
      </c>
      <c r="I220" s="1" t="s">
        <v>662</v>
      </c>
      <c r="J220" s="1" t="s">
        <v>663</v>
      </c>
      <c r="K220" s="1" t="s">
        <v>663</v>
      </c>
      <c r="M220" s="4">
        <v>-3.0</v>
      </c>
      <c r="O220" s="4">
        <v>11.067816666666667</v>
      </c>
    </row>
    <row r="221">
      <c r="A221" s="7">
        <v>45533.0</v>
      </c>
      <c r="B221" s="1" t="s">
        <v>169</v>
      </c>
      <c r="C221" s="1" t="s">
        <v>89</v>
      </c>
      <c r="D221" s="4">
        <v>547.0</v>
      </c>
      <c r="E221" s="4">
        <v>0.0</v>
      </c>
      <c r="G221" s="1" t="s">
        <v>149</v>
      </c>
      <c r="H221" s="1" t="s">
        <v>116</v>
      </c>
      <c r="I221" s="1" t="s">
        <v>664</v>
      </c>
      <c r="J221" s="1" t="s">
        <v>665</v>
      </c>
      <c r="K221" s="1" t="s">
        <v>665</v>
      </c>
      <c r="M221" s="4">
        <v>3.0</v>
      </c>
      <c r="O221" s="4">
        <v>8.951216666666667</v>
      </c>
    </row>
    <row r="222">
      <c r="A222" s="7">
        <v>45533.0</v>
      </c>
      <c r="B222" s="1" t="s">
        <v>169</v>
      </c>
      <c r="C222" s="1" t="s">
        <v>89</v>
      </c>
      <c r="D222" s="4">
        <v>119.0</v>
      </c>
      <c r="E222" s="4">
        <v>0.0</v>
      </c>
      <c r="G222" s="1" t="s">
        <v>149</v>
      </c>
      <c r="H222" s="1" t="s">
        <v>116</v>
      </c>
      <c r="I222" s="1" t="s">
        <v>666</v>
      </c>
      <c r="J222" s="1" t="s">
        <v>667</v>
      </c>
      <c r="K222" s="1" t="s">
        <v>667</v>
      </c>
      <c r="M222" s="4">
        <v>3.0</v>
      </c>
      <c r="O222" s="4">
        <v>8.077166666666667</v>
      </c>
    </row>
    <row r="223">
      <c r="A223" s="7">
        <v>45533.0</v>
      </c>
      <c r="B223" s="1" t="s">
        <v>127</v>
      </c>
      <c r="C223" s="1" t="s">
        <v>89</v>
      </c>
      <c r="D223" s="4">
        <v>462.0</v>
      </c>
      <c r="E223" s="4">
        <v>150.0</v>
      </c>
      <c r="G223" s="1" t="s">
        <v>91</v>
      </c>
      <c r="H223" s="1" t="s">
        <v>116</v>
      </c>
      <c r="I223" s="1" t="s">
        <v>668</v>
      </c>
      <c r="J223" s="1" t="s">
        <v>669</v>
      </c>
      <c r="K223" s="1" t="s">
        <v>669</v>
      </c>
      <c r="M223" s="4">
        <v>0.0</v>
      </c>
      <c r="O223" s="4">
        <v>13.9508</v>
      </c>
    </row>
    <row r="224">
      <c r="A224" s="7">
        <v>45533.0</v>
      </c>
      <c r="B224" s="1" t="s">
        <v>95</v>
      </c>
      <c r="C224" s="1" t="s">
        <v>89</v>
      </c>
      <c r="D224" s="4">
        <v>566.0</v>
      </c>
      <c r="E224" s="4">
        <v>141.0</v>
      </c>
      <c r="G224" s="1" t="s">
        <v>149</v>
      </c>
      <c r="H224" s="1" t="s">
        <v>116</v>
      </c>
      <c r="I224" s="1" t="s">
        <v>670</v>
      </c>
      <c r="J224" s="1" t="s">
        <v>671</v>
      </c>
      <c r="K224" s="1" t="s">
        <v>671</v>
      </c>
      <c r="M224" s="4">
        <v>2.0</v>
      </c>
      <c r="O224" s="4">
        <v>22.204883333333335</v>
      </c>
    </row>
    <row r="225">
      <c r="A225" s="7">
        <v>45533.0</v>
      </c>
      <c r="B225" s="1" t="s">
        <v>95</v>
      </c>
      <c r="C225" s="1" t="s">
        <v>89</v>
      </c>
      <c r="D225" s="4">
        <v>512.0</v>
      </c>
      <c r="E225" s="4">
        <v>0.0</v>
      </c>
      <c r="F225" s="1" t="s">
        <v>298</v>
      </c>
      <c r="G225" s="1" t="s">
        <v>97</v>
      </c>
      <c r="H225" s="1" t="s">
        <v>116</v>
      </c>
      <c r="I225" s="1" t="s">
        <v>672</v>
      </c>
      <c r="J225" s="1" t="s">
        <v>673</v>
      </c>
      <c r="K225" s="1" t="s">
        <v>674</v>
      </c>
      <c r="L225" s="1" t="s">
        <v>675</v>
      </c>
      <c r="M225" s="4">
        <v>1.0</v>
      </c>
      <c r="N225" s="4">
        <v>0.00355</v>
      </c>
      <c r="O225" s="4">
        <v>19.38435</v>
      </c>
    </row>
    <row r="226">
      <c r="A226" s="7">
        <v>45533.0</v>
      </c>
      <c r="B226" s="1" t="s">
        <v>127</v>
      </c>
      <c r="C226" s="1" t="s">
        <v>89</v>
      </c>
      <c r="D226" s="4">
        <v>313.0</v>
      </c>
      <c r="E226" s="4">
        <v>0.0</v>
      </c>
      <c r="G226" s="1" t="s">
        <v>91</v>
      </c>
      <c r="H226" s="1" t="s">
        <v>92</v>
      </c>
      <c r="I226" s="1" t="s">
        <v>676</v>
      </c>
      <c r="J226" s="1" t="s">
        <v>677</v>
      </c>
      <c r="K226" s="1" t="s">
        <v>677</v>
      </c>
      <c r="M226" s="4">
        <v>8.0</v>
      </c>
      <c r="O226" s="4">
        <v>19.908183333333334</v>
      </c>
    </row>
    <row r="227">
      <c r="A227" s="7">
        <v>45533.0</v>
      </c>
      <c r="B227" s="1" t="s">
        <v>95</v>
      </c>
      <c r="C227" s="1" t="s">
        <v>89</v>
      </c>
      <c r="D227" s="4">
        <v>355.0</v>
      </c>
      <c r="E227" s="4">
        <v>0.0</v>
      </c>
      <c r="F227" s="1" t="s">
        <v>298</v>
      </c>
      <c r="G227" s="1" t="s">
        <v>97</v>
      </c>
      <c r="H227" s="1" t="s">
        <v>92</v>
      </c>
      <c r="I227" s="1" t="s">
        <v>678</v>
      </c>
      <c r="J227" s="1" t="s">
        <v>679</v>
      </c>
      <c r="K227" s="1" t="s">
        <v>680</v>
      </c>
      <c r="L227" s="1" t="s">
        <v>681</v>
      </c>
      <c r="M227" s="4">
        <v>-4.0</v>
      </c>
      <c r="N227" s="4">
        <v>0.004033333333333333</v>
      </c>
      <c r="O227" s="4">
        <v>10.328833333333334</v>
      </c>
    </row>
    <row r="228">
      <c r="A228" s="7">
        <v>45533.0</v>
      </c>
      <c r="B228" s="1" t="s">
        <v>127</v>
      </c>
      <c r="C228" s="1" t="s">
        <v>89</v>
      </c>
      <c r="D228" s="4">
        <v>268.0</v>
      </c>
      <c r="E228" s="4">
        <v>0.0</v>
      </c>
      <c r="G228" s="1" t="s">
        <v>91</v>
      </c>
      <c r="H228" s="1" t="s">
        <v>92</v>
      </c>
      <c r="I228" s="1" t="s">
        <v>682</v>
      </c>
      <c r="J228" s="1" t="s">
        <v>683</v>
      </c>
      <c r="K228" s="1" t="s">
        <v>683</v>
      </c>
      <c r="M228" s="4">
        <v>-1.0</v>
      </c>
      <c r="O228" s="4">
        <v>9.42805</v>
      </c>
    </row>
    <row r="229">
      <c r="A229" s="7">
        <v>45533.0</v>
      </c>
      <c r="B229" s="1" t="s">
        <v>104</v>
      </c>
      <c r="C229" s="1" t="s">
        <v>89</v>
      </c>
      <c r="D229" s="4">
        <v>388.0</v>
      </c>
      <c r="E229" s="4">
        <v>0.0</v>
      </c>
      <c r="F229" s="1" t="s">
        <v>684</v>
      </c>
      <c r="G229" s="1" t="s">
        <v>91</v>
      </c>
      <c r="H229" s="1" t="s">
        <v>92</v>
      </c>
      <c r="I229" s="1" t="s">
        <v>685</v>
      </c>
      <c r="J229" s="1" t="s">
        <v>686</v>
      </c>
      <c r="K229" s="1" t="s">
        <v>686</v>
      </c>
      <c r="M229" s="4">
        <v>8.0</v>
      </c>
      <c r="O229" s="4">
        <v>23.911416666666668</v>
      </c>
    </row>
    <row r="230">
      <c r="A230" s="7">
        <v>45533.0</v>
      </c>
      <c r="B230" s="1" t="s">
        <v>104</v>
      </c>
      <c r="C230" s="1" t="s">
        <v>89</v>
      </c>
      <c r="D230" s="4">
        <v>653.0</v>
      </c>
      <c r="E230" s="4">
        <v>0.0</v>
      </c>
      <c r="F230" s="1" t="s">
        <v>687</v>
      </c>
      <c r="G230" s="1" t="s">
        <v>91</v>
      </c>
      <c r="H230" s="1" t="s">
        <v>92</v>
      </c>
      <c r="I230" s="1" t="s">
        <v>688</v>
      </c>
      <c r="J230" s="1" t="s">
        <v>689</v>
      </c>
      <c r="K230" s="1" t="s">
        <v>689</v>
      </c>
      <c r="M230" s="4">
        <v>0.0</v>
      </c>
      <c r="O230" s="4">
        <v>15.990083333333333</v>
      </c>
    </row>
    <row r="231">
      <c r="A231" s="7">
        <v>45533.0</v>
      </c>
      <c r="B231" s="1" t="s">
        <v>88</v>
      </c>
      <c r="C231" s="1" t="s">
        <v>89</v>
      </c>
      <c r="D231" s="4">
        <v>289.0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690</v>
      </c>
      <c r="J231" s="1" t="s">
        <v>691</v>
      </c>
      <c r="K231" s="1" t="s">
        <v>691</v>
      </c>
      <c r="M231" s="4">
        <v>-6.0</v>
      </c>
      <c r="O231" s="4">
        <v>8.84295</v>
      </c>
    </row>
    <row r="232">
      <c r="A232" s="7">
        <v>45533.0</v>
      </c>
      <c r="B232" s="1" t="s">
        <v>95</v>
      </c>
      <c r="C232" s="1" t="s">
        <v>89</v>
      </c>
      <c r="D232" s="4">
        <v>385.0</v>
      </c>
      <c r="E232" s="4">
        <v>0.0</v>
      </c>
      <c r="F232" s="1" t="s">
        <v>90</v>
      </c>
      <c r="G232" s="1" t="s">
        <v>97</v>
      </c>
      <c r="H232" s="1" t="s">
        <v>92</v>
      </c>
      <c r="I232" s="1" t="s">
        <v>692</v>
      </c>
      <c r="J232" s="1" t="s">
        <v>693</v>
      </c>
      <c r="K232" s="1" t="s">
        <v>694</v>
      </c>
      <c r="L232" s="1" t="s">
        <v>695</v>
      </c>
      <c r="M232" s="4">
        <v>10.0</v>
      </c>
      <c r="N232" s="4">
        <v>20.515083333333333</v>
      </c>
      <c r="O232" s="4">
        <v>28.2596</v>
      </c>
    </row>
    <row r="233">
      <c r="A233" s="7">
        <v>45533.0</v>
      </c>
      <c r="B233" s="1" t="s">
        <v>127</v>
      </c>
      <c r="C233" s="1" t="s">
        <v>89</v>
      </c>
      <c r="D233" s="4">
        <v>329.0</v>
      </c>
      <c r="E233" s="4">
        <v>0.0</v>
      </c>
      <c r="G233" s="1" t="s">
        <v>91</v>
      </c>
      <c r="H233" s="1" t="s">
        <v>92</v>
      </c>
      <c r="I233" s="1" t="s">
        <v>696</v>
      </c>
      <c r="J233" s="1" t="s">
        <v>697</v>
      </c>
      <c r="K233" s="1" t="s">
        <v>697</v>
      </c>
      <c r="M233" s="4">
        <v>0.0</v>
      </c>
      <c r="O233" s="4">
        <v>10.264466666666667</v>
      </c>
    </row>
    <row r="234">
      <c r="A234" s="7">
        <v>45533.0</v>
      </c>
      <c r="B234" s="1" t="s">
        <v>95</v>
      </c>
      <c r="C234" s="1" t="s">
        <v>89</v>
      </c>
      <c r="D234" s="4">
        <v>309.0</v>
      </c>
      <c r="E234" s="4">
        <v>0.0</v>
      </c>
      <c r="F234" s="1" t="s">
        <v>298</v>
      </c>
      <c r="G234" s="1" t="s">
        <v>97</v>
      </c>
      <c r="H234" s="1" t="s">
        <v>92</v>
      </c>
      <c r="I234" s="1" t="s">
        <v>698</v>
      </c>
      <c r="J234" s="1" t="s">
        <v>699</v>
      </c>
      <c r="K234" s="1" t="s">
        <v>700</v>
      </c>
      <c r="L234" s="1" t="s">
        <v>701</v>
      </c>
      <c r="M234" s="4">
        <v>-7.0</v>
      </c>
      <c r="N234" s="4">
        <v>0.00345</v>
      </c>
      <c r="O234" s="4">
        <v>19.948183333333333</v>
      </c>
    </row>
    <row r="235">
      <c r="A235" s="7">
        <v>45533.0</v>
      </c>
      <c r="B235" s="1" t="s">
        <v>95</v>
      </c>
      <c r="C235" s="1" t="s">
        <v>89</v>
      </c>
      <c r="D235" s="4">
        <v>672.0</v>
      </c>
      <c r="E235" s="4">
        <v>0.0</v>
      </c>
      <c r="F235" s="1" t="s">
        <v>298</v>
      </c>
      <c r="G235" s="1" t="s">
        <v>97</v>
      </c>
      <c r="H235" s="1" t="s">
        <v>92</v>
      </c>
      <c r="I235" s="1" t="s">
        <v>702</v>
      </c>
      <c r="J235" s="1" t="s">
        <v>703</v>
      </c>
      <c r="K235" s="1" t="s">
        <v>704</v>
      </c>
      <c r="L235" s="1" t="s">
        <v>705</v>
      </c>
      <c r="M235" s="4">
        <v>6.0</v>
      </c>
      <c r="N235" s="4">
        <v>0.007116666666666667</v>
      </c>
      <c r="O235" s="4">
        <v>49.34688333333333</v>
      </c>
    </row>
    <row r="236">
      <c r="A236" s="7">
        <v>45534.0</v>
      </c>
      <c r="B236" s="1" t="s">
        <v>95</v>
      </c>
      <c r="C236" s="1" t="s">
        <v>406</v>
      </c>
      <c r="D236" s="4">
        <v>279.0</v>
      </c>
      <c r="E236" s="4">
        <v>0.0</v>
      </c>
      <c r="F236" s="1" t="s">
        <v>90</v>
      </c>
      <c r="G236" s="1" t="s">
        <v>97</v>
      </c>
      <c r="H236" s="1" t="s">
        <v>116</v>
      </c>
      <c r="I236" s="1" t="s">
        <v>706</v>
      </c>
      <c r="J236" s="1" t="s">
        <v>707</v>
      </c>
      <c r="L236" s="1" t="s">
        <v>708</v>
      </c>
      <c r="M236" s="4">
        <v>0.0</v>
      </c>
      <c r="N236" s="4">
        <v>4.240083333333334</v>
      </c>
      <c r="O236" s="4">
        <v>8.09375</v>
      </c>
    </row>
    <row r="237">
      <c r="A237" s="7">
        <v>45534.0</v>
      </c>
      <c r="B237" s="1" t="s">
        <v>95</v>
      </c>
      <c r="C237" s="1" t="s">
        <v>406</v>
      </c>
      <c r="D237" s="4">
        <v>483.0</v>
      </c>
      <c r="E237" s="4">
        <v>0.0</v>
      </c>
      <c r="F237" s="1" t="s">
        <v>90</v>
      </c>
      <c r="G237" s="1" t="s">
        <v>97</v>
      </c>
      <c r="H237" s="1" t="s">
        <v>116</v>
      </c>
      <c r="I237" s="1" t="s">
        <v>709</v>
      </c>
      <c r="J237" s="1" t="s">
        <v>710</v>
      </c>
      <c r="L237" s="1" t="s">
        <v>711</v>
      </c>
      <c r="M237" s="4">
        <v>0.0</v>
      </c>
      <c r="N237" s="4">
        <v>12.925883333333333</v>
      </c>
      <c r="O237" s="4">
        <v>14.191533333333334</v>
      </c>
    </row>
    <row r="238">
      <c r="A238" s="7">
        <v>45534.0</v>
      </c>
      <c r="B238" s="1" t="s">
        <v>104</v>
      </c>
      <c r="C238" s="1" t="s">
        <v>105</v>
      </c>
      <c r="D238" s="4">
        <v>828.0</v>
      </c>
      <c r="E238" s="4">
        <v>0.0</v>
      </c>
      <c r="F238" s="1" t="s">
        <v>712</v>
      </c>
      <c r="G238" s="1" t="s">
        <v>91</v>
      </c>
      <c r="H238" s="1" t="s">
        <v>92</v>
      </c>
      <c r="I238" s="1" t="s">
        <v>713</v>
      </c>
      <c r="J238" s="1" t="s">
        <v>714</v>
      </c>
      <c r="K238" s="1" t="s">
        <v>714</v>
      </c>
      <c r="M238" s="4">
        <v>-8.0</v>
      </c>
      <c r="O238" s="4">
        <v>10.047866666666666</v>
      </c>
    </row>
    <row r="239">
      <c r="A239" s="7">
        <v>45534.0</v>
      </c>
      <c r="B239" s="1" t="s">
        <v>95</v>
      </c>
      <c r="C239" s="1" t="s">
        <v>89</v>
      </c>
      <c r="D239" s="4">
        <v>269.0</v>
      </c>
      <c r="E239" s="4">
        <v>0.0</v>
      </c>
      <c r="F239" s="1" t="s">
        <v>90</v>
      </c>
      <c r="G239" s="1" t="s">
        <v>97</v>
      </c>
      <c r="H239" s="1" t="s">
        <v>92</v>
      </c>
      <c r="I239" s="1" t="s">
        <v>715</v>
      </c>
      <c r="J239" s="1" t="s">
        <v>716</v>
      </c>
      <c r="K239" s="1" t="s">
        <v>717</v>
      </c>
      <c r="L239" s="1" t="s">
        <v>718</v>
      </c>
      <c r="M239" s="4">
        <v>-2.0</v>
      </c>
      <c r="N239" s="4">
        <v>7.3308</v>
      </c>
      <c r="O239" s="4">
        <v>8.321416666666666</v>
      </c>
    </row>
    <row r="240">
      <c r="A240" s="7">
        <v>45534.0</v>
      </c>
      <c r="B240" s="1" t="s">
        <v>104</v>
      </c>
      <c r="C240" s="1" t="s">
        <v>105</v>
      </c>
      <c r="D240" s="4">
        <v>329.0</v>
      </c>
      <c r="E240" s="4">
        <v>0.0</v>
      </c>
      <c r="F240" s="1" t="s">
        <v>719</v>
      </c>
      <c r="G240" s="1" t="s">
        <v>91</v>
      </c>
      <c r="H240" s="1" t="s">
        <v>92</v>
      </c>
      <c r="I240" s="1" t="s">
        <v>720</v>
      </c>
      <c r="J240" s="1" t="s">
        <v>721</v>
      </c>
      <c r="K240" s="1" t="s">
        <v>721</v>
      </c>
      <c r="M240" s="4">
        <v>-6.0</v>
      </c>
      <c r="O240" s="4">
        <v>8.668466666666667</v>
      </c>
    </row>
    <row r="241">
      <c r="A241" s="7">
        <v>45534.0</v>
      </c>
      <c r="B241" s="1" t="s">
        <v>127</v>
      </c>
      <c r="C241" s="1" t="s">
        <v>105</v>
      </c>
      <c r="D241" s="4">
        <v>214.0</v>
      </c>
      <c r="E241" s="4">
        <v>50.0</v>
      </c>
      <c r="G241" s="1" t="s">
        <v>91</v>
      </c>
      <c r="H241" s="1" t="s">
        <v>92</v>
      </c>
      <c r="I241" s="1" t="s">
        <v>722</v>
      </c>
      <c r="J241" s="1" t="s">
        <v>723</v>
      </c>
      <c r="K241" s="1" t="s">
        <v>723</v>
      </c>
      <c r="M241" s="4">
        <v>-3.0</v>
      </c>
      <c r="O241" s="4">
        <v>6.90925</v>
      </c>
    </row>
    <row r="242">
      <c r="A242" s="7">
        <v>45534.0</v>
      </c>
      <c r="B242" s="1" t="s">
        <v>95</v>
      </c>
      <c r="C242" s="1" t="s">
        <v>89</v>
      </c>
      <c r="D242" s="4">
        <v>268.0</v>
      </c>
      <c r="E242" s="4">
        <v>50.0</v>
      </c>
      <c r="G242" s="1" t="s">
        <v>149</v>
      </c>
      <c r="H242" s="1" t="s">
        <v>92</v>
      </c>
      <c r="I242" s="1" t="s">
        <v>724</v>
      </c>
      <c r="J242" s="1" t="s">
        <v>725</v>
      </c>
      <c r="K242" s="1" t="s">
        <v>725</v>
      </c>
      <c r="M242" s="4">
        <v>-11.0</v>
      </c>
      <c r="O242" s="4">
        <v>6.946116666666667</v>
      </c>
    </row>
    <row r="243">
      <c r="A243" s="7">
        <v>45534.0</v>
      </c>
      <c r="B243" s="1" t="s">
        <v>88</v>
      </c>
      <c r="C243" s="1" t="s">
        <v>89</v>
      </c>
      <c r="D243" s="4">
        <v>364.0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726</v>
      </c>
      <c r="J243" s="1" t="s">
        <v>727</v>
      </c>
      <c r="K243" s="1" t="s">
        <v>727</v>
      </c>
      <c r="M243" s="4">
        <v>-3.0</v>
      </c>
      <c r="O243" s="4">
        <v>11.4964</v>
      </c>
    </row>
    <row r="244">
      <c r="A244" s="7">
        <v>45534.0</v>
      </c>
      <c r="B244" s="1" t="s">
        <v>127</v>
      </c>
      <c r="C244" s="1" t="s">
        <v>105</v>
      </c>
      <c r="D244" s="4">
        <v>264.0</v>
      </c>
      <c r="E244" s="4">
        <v>0.0</v>
      </c>
      <c r="G244" s="1" t="s">
        <v>91</v>
      </c>
      <c r="H244" s="1" t="s">
        <v>116</v>
      </c>
      <c r="I244" s="1" t="s">
        <v>728</v>
      </c>
      <c r="J244" s="1" t="s">
        <v>729</v>
      </c>
      <c r="K244" s="1" t="s">
        <v>729</v>
      </c>
      <c r="M244" s="4">
        <v>-4.0</v>
      </c>
      <c r="O244" s="4">
        <v>6.7827</v>
      </c>
    </row>
    <row r="245">
      <c r="A245" s="7">
        <v>45534.0</v>
      </c>
      <c r="B245" s="1" t="s">
        <v>127</v>
      </c>
      <c r="C245" s="1" t="s">
        <v>105</v>
      </c>
      <c r="D245" s="4">
        <v>269.0</v>
      </c>
      <c r="E245" s="4">
        <v>100.0</v>
      </c>
      <c r="G245" s="1" t="s">
        <v>91</v>
      </c>
      <c r="H245" s="1" t="s">
        <v>92</v>
      </c>
      <c r="I245" s="1" t="s">
        <v>730</v>
      </c>
      <c r="J245" s="1" t="s">
        <v>731</v>
      </c>
      <c r="K245" s="1" t="s">
        <v>731</v>
      </c>
      <c r="M245" s="4">
        <v>-3.0</v>
      </c>
      <c r="O245" s="4">
        <v>8.8269</v>
      </c>
    </row>
    <row r="246">
      <c r="A246" s="7">
        <v>45534.0</v>
      </c>
      <c r="B246" s="1" t="s">
        <v>127</v>
      </c>
      <c r="C246" s="1" t="s">
        <v>105</v>
      </c>
      <c r="D246" s="4">
        <v>264.0</v>
      </c>
      <c r="E246" s="4">
        <v>0.0</v>
      </c>
      <c r="G246" s="1" t="s">
        <v>91</v>
      </c>
      <c r="H246" s="1" t="s">
        <v>92</v>
      </c>
      <c r="I246" s="1" t="s">
        <v>732</v>
      </c>
      <c r="J246" s="1" t="s">
        <v>733</v>
      </c>
      <c r="K246" s="1" t="s">
        <v>733</v>
      </c>
      <c r="M246" s="4">
        <v>0.0</v>
      </c>
      <c r="O246" s="4">
        <v>10.414316666666666</v>
      </c>
    </row>
    <row r="247">
      <c r="A247" s="7">
        <v>45534.0</v>
      </c>
      <c r="B247" s="1" t="s">
        <v>88</v>
      </c>
      <c r="C247" s="1" t="s">
        <v>89</v>
      </c>
      <c r="D247" s="4">
        <v>258.0</v>
      </c>
      <c r="E247" s="4">
        <v>0.0</v>
      </c>
      <c r="F247" s="1" t="s">
        <v>90</v>
      </c>
      <c r="G247" s="1" t="s">
        <v>91</v>
      </c>
      <c r="H247" s="1" t="s">
        <v>92</v>
      </c>
      <c r="I247" s="1" t="s">
        <v>734</v>
      </c>
      <c r="J247" s="1" t="s">
        <v>735</v>
      </c>
      <c r="K247" s="1" t="s">
        <v>735</v>
      </c>
      <c r="M247" s="4">
        <v>-7.0</v>
      </c>
      <c r="O247" s="4">
        <v>7.225366666666667</v>
      </c>
    </row>
    <row r="248">
      <c r="A248" s="7">
        <v>45534.0</v>
      </c>
      <c r="B248" s="1" t="s">
        <v>88</v>
      </c>
      <c r="C248" s="1" t="s">
        <v>89</v>
      </c>
      <c r="D248" s="4">
        <v>264.0</v>
      </c>
      <c r="E248" s="4">
        <v>0.0</v>
      </c>
      <c r="F248" s="1" t="s">
        <v>90</v>
      </c>
      <c r="G248" s="1" t="s">
        <v>91</v>
      </c>
      <c r="H248" s="1" t="s">
        <v>92</v>
      </c>
      <c r="I248" s="1" t="s">
        <v>736</v>
      </c>
      <c r="J248" s="1" t="s">
        <v>737</v>
      </c>
      <c r="K248" s="1" t="s">
        <v>737</v>
      </c>
      <c r="M248" s="4">
        <v>-2.0</v>
      </c>
      <c r="O248" s="4">
        <v>12.632716666666667</v>
      </c>
    </row>
    <row r="249">
      <c r="A249" s="7">
        <v>45534.0</v>
      </c>
      <c r="B249" s="1" t="s">
        <v>104</v>
      </c>
      <c r="C249" s="1" t="s">
        <v>105</v>
      </c>
      <c r="D249" s="4">
        <v>329.0</v>
      </c>
      <c r="E249" s="4">
        <v>0.0</v>
      </c>
      <c r="F249" s="1" t="s">
        <v>738</v>
      </c>
      <c r="G249" s="1" t="s">
        <v>91</v>
      </c>
      <c r="H249" s="1" t="s">
        <v>92</v>
      </c>
      <c r="I249" s="1" t="s">
        <v>739</v>
      </c>
      <c r="J249" s="1" t="s">
        <v>740</v>
      </c>
      <c r="K249" s="1" t="s">
        <v>740</v>
      </c>
      <c r="M249" s="4">
        <v>-3.0</v>
      </c>
      <c r="O249" s="4">
        <v>11.470216666666667</v>
      </c>
    </row>
    <row r="250">
      <c r="A250" s="7">
        <v>45534.0</v>
      </c>
      <c r="B250" s="1" t="s">
        <v>88</v>
      </c>
      <c r="C250" s="1" t="s">
        <v>89</v>
      </c>
      <c r="D250" s="4">
        <v>329.0</v>
      </c>
      <c r="E250" s="4">
        <v>0.0</v>
      </c>
      <c r="F250" s="1" t="s">
        <v>90</v>
      </c>
      <c r="G250" s="1" t="s">
        <v>91</v>
      </c>
      <c r="H250" s="1" t="s">
        <v>92</v>
      </c>
      <c r="I250" s="1" t="s">
        <v>741</v>
      </c>
      <c r="J250" s="1" t="s">
        <v>742</v>
      </c>
      <c r="K250" s="1" t="s">
        <v>742</v>
      </c>
      <c r="M250" s="4">
        <v>0.0</v>
      </c>
      <c r="O250" s="4">
        <v>15.419816666666666</v>
      </c>
    </row>
    <row r="251">
      <c r="A251" s="7">
        <v>45534.0</v>
      </c>
      <c r="B251" s="1" t="s">
        <v>127</v>
      </c>
      <c r="C251" s="1" t="s">
        <v>105</v>
      </c>
      <c r="D251" s="4">
        <v>264.0</v>
      </c>
      <c r="E251" s="4">
        <v>0.0</v>
      </c>
      <c r="G251" s="1" t="s">
        <v>91</v>
      </c>
      <c r="H251" s="1" t="s">
        <v>92</v>
      </c>
      <c r="I251" s="1" t="s">
        <v>743</v>
      </c>
      <c r="J251" s="1" t="s">
        <v>744</v>
      </c>
      <c r="K251" s="1" t="s">
        <v>744</v>
      </c>
      <c r="M251" s="4">
        <v>3.0</v>
      </c>
      <c r="O251" s="4">
        <v>13.1156</v>
      </c>
    </row>
    <row r="252">
      <c r="A252" s="7">
        <v>45534.0</v>
      </c>
      <c r="B252" s="1" t="s">
        <v>95</v>
      </c>
      <c r="C252" s="1" t="s">
        <v>89</v>
      </c>
      <c r="D252" s="4">
        <v>299.0</v>
      </c>
      <c r="E252" s="4">
        <v>0.0</v>
      </c>
      <c r="F252" s="1" t="s">
        <v>90</v>
      </c>
      <c r="G252" s="1" t="s">
        <v>97</v>
      </c>
      <c r="H252" s="1" t="s">
        <v>116</v>
      </c>
      <c r="I252" s="1" t="s">
        <v>745</v>
      </c>
      <c r="J252" s="1" t="s">
        <v>746</v>
      </c>
      <c r="K252" s="1" t="s">
        <v>747</v>
      </c>
      <c r="L252" s="1" t="s">
        <v>748</v>
      </c>
      <c r="M252" s="4">
        <v>15.0</v>
      </c>
      <c r="N252" s="4">
        <v>23.959816666666665</v>
      </c>
      <c r="O252" s="4">
        <v>12.751316666666666</v>
      </c>
    </row>
    <row r="253">
      <c r="A253" s="7">
        <v>45534.0</v>
      </c>
      <c r="B253" s="1" t="s">
        <v>95</v>
      </c>
      <c r="C253" s="1" t="s">
        <v>89</v>
      </c>
      <c r="D253" s="4">
        <v>944.0</v>
      </c>
      <c r="E253" s="4">
        <v>0.0</v>
      </c>
      <c r="F253" s="1" t="s">
        <v>90</v>
      </c>
      <c r="G253" s="1" t="s">
        <v>97</v>
      </c>
      <c r="H253" s="1" t="s">
        <v>92</v>
      </c>
      <c r="I253" s="1" t="s">
        <v>749</v>
      </c>
      <c r="J253" s="1" t="s">
        <v>750</v>
      </c>
      <c r="K253" s="1" t="s">
        <v>751</v>
      </c>
      <c r="L253" s="1" t="s">
        <v>752</v>
      </c>
      <c r="M253" s="4">
        <v>5.0</v>
      </c>
      <c r="N253" s="4">
        <v>11.837633333333333</v>
      </c>
      <c r="O253" s="4">
        <v>14.83025</v>
      </c>
    </row>
    <row r="254">
      <c r="A254" s="7">
        <v>45534.0</v>
      </c>
      <c r="B254" s="1" t="s">
        <v>95</v>
      </c>
      <c r="C254" s="1" t="s">
        <v>89</v>
      </c>
      <c r="D254" s="4">
        <v>498.0</v>
      </c>
      <c r="E254" s="4">
        <v>125.0</v>
      </c>
      <c r="G254" s="1" t="s">
        <v>149</v>
      </c>
      <c r="H254" s="1" t="s">
        <v>116</v>
      </c>
      <c r="I254" s="1" t="s">
        <v>753</v>
      </c>
      <c r="J254" s="1" t="s">
        <v>754</v>
      </c>
      <c r="K254" s="1" t="s">
        <v>754</v>
      </c>
      <c r="M254" s="4">
        <v>-7.0</v>
      </c>
      <c r="O254" s="4">
        <v>12.25545</v>
      </c>
    </row>
    <row r="255">
      <c r="A255" s="7">
        <v>45534.0</v>
      </c>
      <c r="B255" s="1" t="s">
        <v>95</v>
      </c>
      <c r="C255" s="1" t="s">
        <v>89</v>
      </c>
      <c r="D255" s="4">
        <v>299.0</v>
      </c>
      <c r="E255" s="4">
        <v>75.0</v>
      </c>
      <c r="G255" s="1" t="s">
        <v>149</v>
      </c>
      <c r="H255" s="1" t="s">
        <v>116</v>
      </c>
      <c r="I255" s="1" t="s">
        <v>755</v>
      </c>
      <c r="J255" s="1" t="s">
        <v>756</v>
      </c>
      <c r="K255" s="1" t="s">
        <v>756</v>
      </c>
      <c r="M255" s="4">
        <v>-5.0</v>
      </c>
      <c r="O255" s="4">
        <v>14.5157</v>
      </c>
    </row>
    <row r="256">
      <c r="A256" s="7">
        <v>45534.0</v>
      </c>
      <c r="B256" s="1" t="s">
        <v>104</v>
      </c>
      <c r="C256" s="1" t="s">
        <v>105</v>
      </c>
      <c r="D256" s="4">
        <v>329.0</v>
      </c>
      <c r="E256" s="4">
        <v>0.0</v>
      </c>
      <c r="F256" s="1" t="s">
        <v>738</v>
      </c>
      <c r="G256" s="1" t="s">
        <v>91</v>
      </c>
      <c r="H256" s="1" t="s">
        <v>92</v>
      </c>
      <c r="I256" s="1" t="s">
        <v>757</v>
      </c>
      <c r="J256" s="1" t="s">
        <v>758</v>
      </c>
      <c r="K256" s="1" t="s">
        <v>758</v>
      </c>
      <c r="M256" s="4">
        <v>-3.0</v>
      </c>
      <c r="O256" s="4">
        <v>11.6394</v>
      </c>
    </row>
    <row r="257">
      <c r="A257" s="7">
        <v>45534.0</v>
      </c>
      <c r="B257" s="1" t="s">
        <v>95</v>
      </c>
      <c r="C257" s="1" t="s">
        <v>89</v>
      </c>
      <c r="D257" s="4">
        <v>319.0</v>
      </c>
      <c r="E257" s="4">
        <v>75.0</v>
      </c>
      <c r="G257" s="1" t="s">
        <v>149</v>
      </c>
      <c r="H257" s="1" t="s">
        <v>92</v>
      </c>
      <c r="I257" s="1" t="s">
        <v>759</v>
      </c>
      <c r="J257" s="1" t="s">
        <v>760</v>
      </c>
      <c r="K257" s="1" t="s">
        <v>760</v>
      </c>
      <c r="M257" s="4">
        <v>-6.0</v>
      </c>
      <c r="O257" s="4">
        <v>11.815433333333333</v>
      </c>
    </row>
    <row r="258">
      <c r="A258" s="7">
        <v>45534.0</v>
      </c>
      <c r="B258" s="1" t="s">
        <v>127</v>
      </c>
      <c r="C258" s="1" t="s">
        <v>105</v>
      </c>
      <c r="D258" s="4">
        <v>313.0</v>
      </c>
      <c r="E258" s="4">
        <v>0.0</v>
      </c>
      <c r="G258" s="1" t="s">
        <v>91</v>
      </c>
      <c r="H258" s="1" t="s">
        <v>92</v>
      </c>
      <c r="I258" s="1" t="s">
        <v>761</v>
      </c>
      <c r="J258" s="1" t="s">
        <v>762</v>
      </c>
      <c r="K258" s="1" t="s">
        <v>762</v>
      </c>
      <c r="M258" s="4">
        <v>-3.0</v>
      </c>
      <c r="O258" s="4">
        <v>8.5757</v>
      </c>
    </row>
    <row r="259">
      <c r="A259" s="7">
        <v>45534.0</v>
      </c>
      <c r="B259" s="1" t="s">
        <v>88</v>
      </c>
      <c r="C259" s="1" t="s">
        <v>89</v>
      </c>
      <c r="D259" s="4">
        <v>264.0</v>
      </c>
      <c r="E259" s="4">
        <v>0.0</v>
      </c>
      <c r="F259" s="1" t="s">
        <v>90</v>
      </c>
      <c r="G259" s="1" t="s">
        <v>91</v>
      </c>
      <c r="H259" s="1" t="s">
        <v>92</v>
      </c>
      <c r="I259" s="1" t="s">
        <v>763</v>
      </c>
      <c r="J259" s="1" t="s">
        <v>764</v>
      </c>
      <c r="K259" s="1" t="s">
        <v>764</v>
      </c>
      <c r="M259" s="4">
        <v>-3.0</v>
      </c>
      <c r="O259" s="4">
        <v>11.957333333333333</v>
      </c>
    </row>
    <row r="260">
      <c r="A260" s="7">
        <v>45534.0</v>
      </c>
      <c r="B260" s="1" t="s">
        <v>169</v>
      </c>
      <c r="C260" s="1" t="s">
        <v>89</v>
      </c>
      <c r="D260" s="4">
        <v>249.0</v>
      </c>
      <c r="E260" s="4">
        <v>0.0</v>
      </c>
      <c r="G260" s="1" t="s">
        <v>149</v>
      </c>
      <c r="H260" s="1" t="s">
        <v>116</v>
      </c>
      <c r="I260" s="1" t="s">
        <v>765</v>
      </c>
      <c r="J260" s="1" t="s">
        <v>766</v>
      </c>
      <c r="K260" s="1" t="s">
        <v>766</v>
      </c>
      <c r="M260" s="4">
        <v>4.0</v>
      </c>
      <c r="O260" s="4">
        <v>9.150983333333333</v>
      </c>
    </row>
    <row r="261">
      <c r="A261" s="7">
        <v>45534.0</v>
      </c>
      <c r="B261" s="1" t="s">
        <v>127</v>
      </c>
      <c r="C261" s="1" t="s">
        <v>105</v>
      </c>
      <c r="D261" s="4">
        <v>498.0</v>
      </c>
      <c r="E261" s="4">
        <v>0.0</v>
      </c>
      <c r="G261" s="1" t="s">
        <v>91</v>
      </c>
      <c r="H261" s="1" t="s">
        <v>92</v>
      </c>
      <c r="I261" s="1" t="s">
        <v>767</v>
      </c>
      <c r="J261" s="1" t="s">
        <v>768</v>
      </c>
      <c r="K261" s="1" t="s">
        <v>768</v>
      </c>
      <c r="M261" s="4">
        <v>2.0</v>
      </c>
      <c r="O261" s="4">
        <v>15.04605</v>
      </c>
    </row>
    <row r="262">
      <c r="A262" s="7">
        <v>45534.0</v>
      </c>
      <c r="B262" s="1" t="s">
        <v>104</v>
      </c>
      <c r="C262" s="1" t="s">
        <v>105</v>
      </c>
      <c r="D262" s="4">
        <v>434.0</v>
      </c>
      <c r="E262" s="4">
        <v>0.0</v>
      </c>
      <c r="F262" s="1" t="s">
        <v>446</v>
      </c>
      <c r="G262" s="1" t="s">
        <v>91</v>
      </c>
      <c r="H262" s="1" t="s">
        <v>92</v>
      </c>
      <c r="I262" s="1" t="s">
        <v>769</v>
      </c>
      <c r="J262" s="1" t="s">
        <v>770</v>
      </c>
      <c r="K262" s="1" t="s">
        <v>770</v>
      </c>
      <c r="M262" s="4">
        <v>-1.0</v>
      </c>
      <c r="O262" s="4">
        <v>14.625316666666667</v>
      </c>
    </row>
    <row r="263">
      <c r="A263" s="7">
        <v>45534.0</v>
      </c>
      <c r="B263" s="1" t="s">
        <v>127</v>
      </c>
      <c r="C263" s="1" t="s">
        <v>89</v>
      </c>
      <c r="D263" s="4">
        <v>528.0</v>
      </c>
      <c r="E263" s="4">
        <v>0.0</v>
      </c>
      <c r="G263" s="1" t="s">
        <v>91</v>
      </c>
      <c r="H263" s="1" t="s">
        <v>92</v>
      </c>
      <c r="I263" s="1" t="s">
        <v>771</v>
      </c>
      <c r="J263" s="1" t="s">
        <v>772</v>
      </c>
      <c r="K263" s="1" t="s">
        <v>772</v>
      </c>
      <c r="M263" s="4">
        <v>-1.0</v>
      </c>
      <c r="O263" s="4">
        <v>13.055966666666666</v>
      </c>
    </row>
    <row r="264">
      <c r="A264" s="7">
        <v>45534.0</v>
      </c>
      <c r="B264" s="1" t="s">
        <v>88</v>
      </c>
      <c r="C264" s="1" t="s">
        <v>89</v>
      </c>
      <c r="D264" s="4">
        <v>354.0</v>
      </c>
      <c r="E264" s="4">
        <v>0.0</v>
      </c>
      <c r="F264" s="1" t="s">
        <v>90</v>
      </c>
      <c r="G264" s="1" t="s">
        <v>91</v>
      </c>
      <c r="H264" s="1" t="s">
        <v>92</v>
      </c>
      <c r="I264" s="1" t="s">
        <v>773</v>
      </c>
      <c r="J264" s="1" t="s">
        <v>774</v>
      </c>
      <c r="K264" s="1" t="s">
        <v>774</v>
      </c>
      <c r="M264" s="4">
        <v>-1.0</v>
      </c>
      <c r="O264" s="4">
        <v>13.671416666666667</v>
      </c>
    </row>
    <row r="265">
      <c r="A265" s="7">
        <v>45534.0</v>
      </c>
      <c r="B265" s="1" t="s">
        <v>127</v>
      </c>
      <c r="C265" s="1" t="s">
        <v>89</v>
      </c>
      <c r="D265" s="4">
        <v>509.0</v>
      </c>
      <c r="E265" s="4">
        <v>0.0</v>
      </c>
      <c r="G265" s="1" t="s">
        <v>91</v>
      </c>
      <c r="H265" s="1" t="s">
        <v>116</v>
      </c>
      <c r="I265" s="1" t="s">
        <v>775</v>
      </c>
      <c r="J265" s="1" t="s">
        <v>776</v>
      </c>
      <c r="K265" s="1" t="s">
        <v>776</v>
      </c>
      <c r="M265" s="4">
        <v>0.0</v>
      </c>
      <c r="O265" s="4">
        <v>15.0119</v>
      </c>
    </row>
    <row r="266">
      <c r="A266" s="7">
        <v>45534.0</v>
      </c>
      <c r="B266" s="1" t="s">
        <v>88</v>
      </c>
      <c r="C266" s="1" t="s">
        <v>89</v>
      </c>
      <c r="D266" s="4">
        <v>321.0</v>
      </c>
      <c r="E266" s="4">
        <v>0.0</v>
      </c>
      <c r="F266" s="1" t="s">
        <v>90</v>
      </c>
      <c r="G266" s="1" t="s">
        <v>91</v>
      </c>
      <c r="H266" s="1" t="s">
        <v>92</v>
      </c>
      <c r="I266" s="1" t="s">
        <v>777</v>
      </c>
      <c r="J266" s="1" t="s">
        <v>778</v>
      </c>
      <c r="K266" s="1" t="s">
        <v>778</v>
      </c>
      <c r="M266" s="4">
        <v>-2.0</v>
      </c>
      <c r="O266" s="4">
        <v>12.741933333333334</v>
      </c>
    </row>
    <row r="267">
      <c r="A267" s="7">
        <v>45534.0</v>
      </c>
      <c r="B267" s="1" t="s">
        <v>127</v>
      </c>
      <c r="C267" s="1" t="s">
        <v>89</v>
      </c>
      <c r="D267" s="4">
        <v>299.0</v>
      </c>
      <c r="E267" s="4">
        <v>0.0</v>
      </c>
      <c r="G267" s="1" t="s">
        <v>91</v>
      </c>
      <c r="H267" s="1" t="s">
        <v>116</v>
      </c>
      <c r="I267" s="1" t="s">
        <v>779</v>
      </c>
      <c r="J267" s="1" t="s">
        <v>780</v>
      </c>
      <c r="K267" s="1" t="s">
        <v>780</v>
      </c>
      <c r="M267" s="4">
        <v>2.0</v>
      </c>
      <c r="O267" s="4">
        <v>14.148416666666666</v>
      </c>
    </row>
    <row r="268">
      <c r="A268" s="7">
        <v>45534.0</v>
      </c>
      <c r="B268" s="1" t="s">
        <v>88</v>
      </c>
      <c r="C268" s="1" t="s">
        <v>89</v>
      </c>
      <c r="D268" s="4">
        <v>376.0</v>
      </c>
      <c r="E268" s="4">
        <v>0.0</v>
      </c>
      <c r="F268" s="1" t="s">
        <v>90</v>
      </c>
      <c r="G268" s="1" t="s">
        <v>91</v>
      </c>
      <c r="H268" s="1" t="s">
        <v>92</v>
      </c>
      <c r="I268" s="1" t="s">
        <v>781</v>
      </c>
      <c r="J268" s="1" t="s">
        <v>782</v>
      </c>
      <c r="K268" s="1" t="s">
        <v>782</v>
      </c>
      <c r="M268" s="4">
        <v>0.0</v>
      </c>
      <c r="O268" s="4">
        <v>14.184016666666666</v>
      </c>
    </row>
    <row r="269">
      <c r="A269" s="7">
        <v>45534.0</v>
      </c>
      <c r="B269" s="1" t="s">
        <v>127</v>
      </c>
      <c r="C269" s="1" t="s">
        <v>89</v>
      </c>
      <c r="D269" s="4">
        <v>442.0</v>
      </c>
      <c r="E269" s="4">
        <v>0.0</v>
      </c>
      <c r="G269" s="1" t="s">
        <v>91</v>
      </c>
      <c r="H269" s="1" t="s">
        <v>116</v>
      </c>
      <c r="I269" s="1" t="s">
        <v>783</v>
      </c>
      <c r="J269" s="1" t="s">
        <v>784</v>
      </c>
      <c r="K269" s="1" t="s">
        <v>784</v>
      </c>
      <c r="M269" s="4">
        <v>-1.0</v>
      </c>
      <c r="O269" s="4">
        <v>11.585733333333334</v>
      </c>
    </row>
    <row r="270">
      <c r="A270" s="7">
        <v>45534.0</v>
      </c>
      <c r="B270" s="1" t="s">
        <v>127</v>
      </c>
      <c r="C270" s="1" t="s">
        <v>89</v>
      </c>
      <c r="D270" s="4">
        <v>694.0</v>
      </c>
      <c r="E270" s="4">
        <v>0.0</v>
      </c>
      <c r="G270" s="1" t="s">
        <v>91</v>
      </c>
      <c r="H270" s="1" t="s">
        <v>92</v>
      </c>
      <c r="I270" s="1" t="s">
        <v>785</v>
      </c>
      <c r="J270" s="1" t="s">
        <v>786</v>
      </c>
      <c r="K270" s="1" t="s">
        <v>786</v>
      </c>
      <c r="M270" s="4">
        <v>-3.0</v>
      </c>
      <c r="O270" s="4">
        <v>11.76755</v>
      </c>
    </row>
    <row r="271">
      <c r="A271" s="7">
        <v>45534.0</v>
      </c>
      <c r="B271" s="1" t="s">
        <v>95</v>
      </c>
      <c r="C271" s="1" t="s">
        <v>89</v>
      </c>
      <c r="D271" s="4">
        <v>402.0</v>
      </c>
      <c r="E271" s="4">
        <v>0.0</v>
      </c>
      <c r="F271" s="1" t="s">
        <v>466</v>
      </c>
      <c r="G271" s="1" t="s">
        <v>97</v>
      </c>
      <c r="H271" s="1" t="s">
        <v>92</v>
      </c>
      <c r="I271" s="1" t="s">
        <v>787</v>
      </c>
      <c r="J271" s="1" t="s">
        <v>788</v>
      </c>
      <c r="K271" s="1" t="s">
        <v>789</v>
      </c>
      <c r="L271" s="1" t="s">
        <v>790</v>
      </c>
      <c r="M271" s="4">
        <v>-11.0</v>
      </c>
      <c r="N271" s="4">
        <v>0.011416666666666667</v>
      </c>
      <c r="O271" s="4">
        <v>9.85145</v>
      </c>
    </row>
    <row r="272">
      <c r="A272" s="7">
        <v>45534.0</v>
      </c>
      <c r="B272" s="1" t="s">
        <v>169</v>
      </c>
      <c r="C272" s="1" t="s">
        <v>89</v>
      </c>
      <c r="D272" s="4">
        <v>124.5</v>
      </c>
      <c r="E272" s="4">
        <v>124.5</v>
      </c>
      <c r="G272" s="1" t="s">
        <v>149</v>
      </c>
      <c r="H272" s="1" t="s">
        <v>116</v>
      </c>
      <c r="I272" s="1" t="s">
        <v>791</v>
      </c>
      <c r="J272" s="1" t="s">
        <v>792</v>
      </c>
      <c r="K272" s="1" t="s">
        <v>792</v>
      </c>
      <c r="M272" s="4">
        <v>2.0</v>
      </c>
      <c r="O272" s="4">
        <v>7.474</v>
      </c>
    </row>
    <row r="273">
      <c r="A273" s="7">
        <v>45534.0</v>
      </c>
      <c r="B273" s="1" t="s">
        <v>169</v>
      </c>
      <c r="C273" s="1" t="s">
        <v>89</v>
      </c>
      <c r="D273" s="4">
        <v>269.0</v>
      </c>
      <c r="E273" s="4">
        <v>0.0</v>
      </c>
      <c r="G273" s="1" t="s">
        <v>149</v>
      </c>
      <c r="H273" s="1" t="s">
        <v>116</v>
      </c>
      <c r="I273" s="1" t="s">
        <v>793</v>
      </c>
      <c r="J273" s="1" t="s">
        <v>794</v>
      </c>
      <c r="K273" s="1" t="s">
        <v>794</v>
      </c>
      <c r="M273" s="4">
        <v>6.0</v>
      </c>
      <c r="O273" s="4">
        <v>11.040983333333333</v>
      </c>
    </row>
    <row r="274">
      <c r="A274" s="7">
        <v>45534.0</v>
      </c>
      <c r="B274" s="1" t="s">
        <v>95</v>
      </c>
      <c r="C274" s="1" t="s">
        <v>89</v>
      </c>
      <c r="D274" s="4">
        <v>219.0</v>
      </c>
      <c r="E274" s="4">
        <v>50.0</v>
      </c>
      <c r="G274" s="1" t="s">
        <v>149</v>
      </c>
      <c r="H274" s="1" t="s">
        <v>92</v>
      </c>
      <c r="I274" s="1" t="s">
        <v>795</v>
      </c>
      <c r="J274" s="1" t="s">
        <v>796</v>
      </c>
      <c r="K274" s="1" t="s">
        <v>796</v>
      </c>
      <c r="M274" s="4">
        <v>-9.0</v>
      </c>
      <c r="O274" s="4">
        <v>10.014283333333333</v>
      </c>
    </row>
    <row r="275">
      <c r="A275" s="7">
        <v>45534.0</v>
      </c>
      <c r="B275" s="1" t="s">
        <v>127</v>
      </c>
      <c r="C275" s="1" t="s">
        <v>105</v>
      </c>
      <c r="D275" s="4">
        <v>264.0</v>
      </c>
      <c r="E275" s="4">
        <v>0.0</v>
      </c>
      <c r="G275" s="1" t="s">
        <v>91</v>
      </c>
      <c r="H275" s="1" t="s">
        <v>92</v>
      </c>
      <c r="I275" s="1" t="s">
        <v>797</v>
      </c>
      <c r="J275" s="1" t="s">
        <v>798</v>
      </c>
      <c r="K275" s="1" t="s">
        <v>798</v>
      </c>
      <c r="M275" s="4">
        <v>0.0</v>
      </c>
      <c r="O275" s="4">
        <v>10.863283333333333</v>
      </c>
    </row>
    <row r="276">
      <c r="A276" s="7">
        <v>45534.0</v>
      </c>
      <c r="B276" s="1" t="s">
        <v>95</v>
      </c>
      <c r="C276" s="1" t="s">
        <v>89</v>
      </c>
      <c r="D276" s="4">
        <v>280.0</v>
      </c>
      <c r="E276" s="4">
        <v>19.0</v>
      </c>
      <c r="F276" s="1" t="s">
        <v>466</v>
      </c>
      <c r="G276" s="1" t="s">
        <v>97</v>
      </c>
      <c r="H276" s="1" t="s">
        <v>92</v>
      </c>
      <c r="I276" s="1" t="s">
        <v>799</v>
      </c>
      <c r="J276" s="1" t="s">
        <v>800</v>
      </c>
      <c r="K276" s="1" t="s">
        <v>801</v>
      </c>
      <c r="L276" s="1" t="s">
        <v>802</v>
      </c>
      <c r="M276" s="4">
        <v>-11.0</v>
      </c>
      <c r="N276" s="4">
        <v>0.00965</v>
      </c>
      <c r="O276" s="4">
        <v>10.37225</v>
      </c>
    </row>
    <row r="277">
      <c r="A277" s="7">
        <v>45534.0</v>
      </c>
      <c r="B277" s="1" t="s">
        <v>127</v>
      </c>
      <c r="C277" s="1" t="s">
        <v>105</v>
      </c>
      <c r="D277" s="4">
        <v>329.0</v>
      </c>
      <c r="E277" s="4">
        <v>0.0</v>
      </c>
      <c r="G277" s="1" t="s">
        <v>91</v>
      </c>
      <c r="H277" s="1" t="s">
        <v>92</v>
      </c>
      <c r="I277" s="1" t="s">
        <v>803</v>
      </c>
      <c r="J277" s="1" t="s">
        <v>804</v>
      </c>
      <c r="K277" s="1" t="s">
        <v>804</v>
      </c>
      <c r="M277" s="4">
        <v>4.0</v>
      </c>
      <c r="O277" s="4">
        <v>16.506233333333334</v>
      </c>
    </row>
    <row r="278">
      <c r="A278" s="7">
        <v>45534.0</v>
      </c>
      <c r="B278" s="1" t="s">
        <v>88</v>
      </c>
      <c r="C278" s="1" t="s">
        <v>89</v>
      </c>
      <c r="D278" s="4">
        <v>357.0</v>
      </c>
      <c r="E278" s="4">
        <v>0.0</v>
      </c>
      <c r="F278" s="1" t="s">
        <v>90</v>
      </c>
      <c r="G278" s="1" t="s">
        <v>91</v>
      </c>
      <c r="H278" s="1" t="s">
        <v>92</v>
      </c>
      <c r="I278" s="1" t="s">
        <v>805</v>
      </c>
      <c r="J278" s="1" t="s">
        <v>806</v>
      </c>
      <c r="K278" s="1" t="s">
        <v>806</v>
      </c>
      <c r="M278" s="4">
        <v>-1.0</v>
      </c>
      <c r="O278" s="4">
        <v>13.66355</v>
      </c>
    </row>
    <row r="279">
      <c r="A279" s="7">
        <v>45534.0</v>
      </c>
      <c r="B279" s="1" t="s">
        <v>127</v>
      </c>
      <c r="C279" s="1" t="s">
        <v>105</v>
      </c>
      <c r="D279" s="4">
        <v>395.0</v>
      </c>
      <c r="E279" s="4">
        <v>0.0</v>
      </c>
      <c r="G279" s="1" t="s">
        <v>91</v>
      </c>
      <c r="H279" s="1" t="s">
        <v>92</v>
      </c>
      <c r="I279" s="1" t="s">
        <v>807</v>
      </c>
      <c r="J279" s="1" t="s">
        <v>808</v>
      </c>
      <c r="K279" s="1" t="s">
        <v>808</v>
      </c>
      <c r="M279" s="4">
        <v>0.0</v>
      </c>
      <c r="O279" s="4">
        <v>12.38225</v>
      </c>
    </row>
    <row r="280">
      <c r="A280" s="7">
        <v>45534.0</v>
      </c>
      <c r="B280" s="1" t="s">
        <v>88</v>
      </c>
      <c r="C280" s="1" t="s">
        <v>89</v>
      </c>
      <c r="D280" s="4">
        <v>433.0</v>
      </c>
      <c r="E280" s="4">
        <v>0.0</v>
      </c>
      <c r="F280" s="1" t="s">
        <v>90</v>
      </c>
      <c r="G280" s="1" t="s">
        <v>91</v>
      </c>
      <c r="H280" s="1" t="s">
        <v>92</v>
      </c>
      <c r="I280" s="1" t="s">
        <v>809</v>
      </c>
      <c r="J280" s="1" t="s">
        <v>810</v>
      </c>
      <c r="K280" s="1" t="s">
        <v>810</v>
      </c>
      <c r="M280" s="4">
        <v>-3.0</v>
      </c>
      <c r="O280" s="4">
        <v>11.847733333333334</v>
      </c>
    </row>
    <row r="281">
      <c r="A281" s="7">
        <v>45534.0</v>
      </c>
      <c r="B281" s="1" t="s">
        <v>169</v>
      </c>
      <c r="C281" s="1" t="s">
        <v>89</v>
      </c>
      <c r="D281" s="4">
        <v>329.0</v>
      </c>
      <c r="E281" s="4">
        <v>0.0</v>
      </c>
      <c r="G281" s="1" t="s">
        <v>149</v>
      </c>
      <c r="H281" s="1" t="s">
        <v>116</v>
      </c>
      <c r="I281" s="1" t="s">
        <v>811</v>
      </c>
      <c r="J281" s="1" t="s">
        <v>812</v>
      </c>
      <c r="K281" s="1" t="s">
        <v>812</v>
      </c>
      <c r="M281" s="4">
        <v>5.0</v>
      </c>
      <c r="O281" s="4">
        <v>10.2427</v>
      </c>
    </row>
    <row r="282">
      <c r="A282" s="7">
        <v>45534.0</v>
      </c>
      <c r="B282" s="1" t="s">
        <v>104</v>
      </c>
      <c r="C282" s="1" t="s">
        <v>105</v>
      </c>
      <c r="D282" s="4">
        <v>551.0</v>
      </c>
      <c r="E282" s="4">
        <v>0.0</v>
      </c>
      <c r="F282" s="1" t="s">
        <v>813</v>
      </c>
      <c r="G282" s="1" t="s">
        <v>91</v>
      </c>
      <c r="H282" s="1" t="s">
        <v>92</v>
      </c>
      <c r="I282" s="1" t="s">
        <v>814</v>
      </c>
      <c r="J282" s="1" t="s">
        <v>815</v>
      </c>
      <c r="K282" s="1" t="s">
        <v>815</v>
      </c>
      <c r="M282" s="4">
        <v>-4.0</v>
      </c>
      <c r="O282" s="4">
        <v>13.9294</v>
      </c>
    </row>
    <row r="283">
      <c r="A283" s="7">
        <v>45534.0</v>
      </c>
      <c r="B283" s="1" t="s">
        <v>169</v>
      </c>
      <c r="C283" s="1" t="s">
        <v>89</v>
      </c>
      <c r="D283" s="4">
        <v>49.0</v>
      </c>
      <c r="E283" s="4">
        <v>0.0</v>
      </c>
      <c r="G283" s="1" t="s">
        <v>149</v>
      </c>
      <c r="H283" s="1" t="s">
        <v>116</v>
      </c>
      <c r="I283" s="1" t="s">
        <v>816</v>
      </c>
      <c r="J283" s="1" t="s">
        <v>817</v>
      </c>
      <c r="K283" s="1" t="s">
        <v>817</v>
      </c>
      <c r="M283" s="4">
        <v>0.0</v>
      </c>
      <c r="O283" s="4">
        <v>5.563766666666667</v>
      </c>
    </row>
    <row r="284">
      <c r="A284" s="7">
        <v>45534.0</v>
      </c>
      <c r="B284" s="1" t="s">
        <v>104</v>
      </c>
      <c r="C284" s="1" t="s">
        <v>105</v>
      </c>
      <c r="D284" s="4">
        <v>987.0</v>
      </c>
      <c r="E284" s="4">
        <v>0.0</v>
      </c>
      <c r="F284" s="1" t="s">
        <v>818</v>
      </c>
      <c r="G284" s="1" t="s">
        <v>91</v>
      </c>
      <c r="H284" s="1" t="s">
        <v>92</v>
      </c>
      <c r="I284" s="1" t="s">
        <v>819</v>
      </c>
      <c r="J284" s="1" t="s">
        <v>820</v>
      </c>
      <c r="K284" s="1" t="s">
        <v>820</v>
      </c>
      <c r="M284" s="4">
        <v>-4.0</v>
      </c>
      <c r="O284" s="4">
        <v>15.345616666666666</v>
      </c>
    </row>
    <row r="285">
      <c r="A285" s="7">
        <v>45534.0</v>
      </c>
      <c r="B285" s="1" t="s">
        <v>88</v>
      </c>
      <c r="C285" s="1" t="s">
        <v>89</v>
      </c>
      <c r="D285" s="4">
        <v>627.0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821</v>
      </c>
      <c r="J285" s="1" t="s">
        <v>822</v>
      </c>
      <c r="K285" s="1" t="s">
        <v>822</v>
      </c>
      <c r="M285" s="4">
        <v>-2.0</v>
      </c>
      <c r="O285" s="4">
        <v>12.14575</v>
      </c>
    </row>
    <row r="286">
      <c r="A286" s="7">
        <v>45534.0</v>
      </c>
      <c r="B286" s="1" t="s">
        <v>127</v>
      </c>
      <c r="C286" s="1" t="s">
        <v>105</v>
      </c>
      <c r="D286" s="4">
        <v>299.0</v>
      </c>
      <c r="E286" s="4">
        <v>0.0</v>
      </c>
      <c r="G286" s="1" t="s">
        <v>91</v>
      </c>
      <c r="H286" s="1" t="s">
        <v>92</v>
      </c>
      <c r="I286" s="1" t="s">
        <v>823</v>
      </c>
      <c r="J286" s="1" t="s">
        <v>824</v>
      </c>
      <c r="K286" s="1" t="s">
        <v>824</v>
      </c>
      <c r="M286" s="4">
        <v>3.0</v>
      </c>
      <c r="O286" s="4">
        <v>14.136133333333333</v>
      </c>
    </row>
    <row r="287">
      <c r="A287" s="7">
        <v>45534.0</v>
      </c>
      <c r="B287" s="1" t="s">
        <v>95</v>
      </c>
      <c r="C287" s="1" t="s">
        <v>89</v>
      </c>
      <c r="D287" s="4">
        <v>219.0</v>
      </c>
      <c r="E287" s="4">
        <v>55.0</v>
      </c>
      <c r="G287" s="1" t="s">
        <v>149</v>
      </c>
      <c r="H287" s="1" t="s">
        <v>116</v>
      </c>
      <c r="I287" s="1" t="s">
        <v>825</v>
      </c>
      <c r="J287" s="1" t="s">
        <v>826</v>
      </c>
      <c r="K287" s="1" t="s">
        <v>826</v>
      </c>
      <c r="M287" s="4">
        <v>-9.0</v>
      </c>
      <c r="O287" s="4">
        <v>9.7732</v>
      </c>
    </row>
    <row r="288">
      <c r="A288" s="7">
        <v>45534.0</v>
      </c>
      <c r="B288" s="1" t="s">
        <v>127</v>
      </c>
      <c r="C288" s="1" t="s">
        <v>105</v>
      </c>
      <c r="D288" s="4">
        <v>672.0</v>
      </c>
      <c r="E288" s="4">
        <v>0.0</v>
      </c>
      <c r="G288" s="1" t="s">
        <v>91</v>
      </c>
      <c r="H288" s="1" t="s">
        <v>92</v>
      </c>
      <c r="I288" s="1" t="s">
        <v>827</v>
      </c>
      <c r="J288" s="1" t="s">
        <v>828</v>
      </c>
      <c r="K288" s="1" t="s">
        <v>828</v>
      </c>
      <c r="M288" s="4">
        <v>0.0</v>
      </c>
      <c r="O288" s="4">
        <v>15.7561</v>
      </c>
    </row>
    <row r="289">
      <c r="A289" s="7">
        <v>45534.0</v>
      </c>
      <c r="B289" s="1" t="s">
        <v>104</v>
      </c>
      <c r="C289" s="1" t="s">
        <v>105</v>
      </c>
      <c r="D289" s="4">
        <v>329.0</v>
      </c>
      <c r="E289" s="4">
        <v>0.0</v>
      </c>
      <c r="F289" s="1" t="s">
        <v>829</v>
      </c>
      <c r="G289" s="1" t="s">
        <v>91</v>
      </c>
      <c r="H289" s="1" t="s">
        <v>92</v>
      </c>
      <c r="I289" s="1" t="s">
        <v>830</v>
      </c>
      <c r="J289" s="1" t="s">
        <v>831</v>
      </c>
      <c r="K289" s="1" t="s">
        <v>831</v>
      </c>
      <c r="M289" s="4">
        <v>-3.0</v>
      </c>
      <c r="O289" s="4">
        <v>11.998033333333334</v>
      </c>
    </row>
    <row r="290">
      <c r="A290" s="7">
        <v>45534.0</v>
      </c>
      <c r="B290" s="1" t="s">
        <v>95</v>
      </c>
      <c r="C290" s="1" t="s">
        <v>89</v>
      </c>
      <c r="D290" s="4">
        <v>444.0</v>
      </c>
      <c r="E290" s="4">
        <v>111.0</v>
      </c>
      <c r="G290" s="1" t="s">
        <v>149</v>
      </c>
      <c r="H290" s="1" t="s">
        <v>92</v>
      </c>
      <c r="I290" s="1" t="s">
        <v>832</v>
      </c>
      <c r="J290" s="1" t="s">
        <v>833</v>
      </c>
      <c r="K290" s="1" t="s">
        <v>833</v>
      </c>
      <c r="M290" s="4">
        <v>-3.0</v>
      </c>
      <c r="O290" s="4">
        <v>15.74925</v>
      </c>
    </row>
    <row r="291">
      <c r="A291" s="7">
        <v>45534.0</v>
      </c>
      <c r="B291" s="1" t="s">
        <v>127</v>
      </c>
      <c r="C291" s="1" t="s">
        <v>105</v>
      </c>
      <c r="D291" s="4">
        <v>513.0</v>
      </c>
      <c r="E291" s="4">
        <v>0.0</v>
      </c>
      <c r="G291" s="1" t="s">
        <v>91</v>
      </c>
      <c r="H291" s="1" t="s">
        <v>92</v>
      </c>
      <c r="I291" s="1" t="s">
        <v>834</v>
      </c>
      <c r="J291" s="1" t="s">
        <v>835</v>
      </c>
      <c r="K291" s="1" t="s">
        <v>835</v>
      </c>
      <c r="M291" s="4">
        <v>-2.0</v>
      </c>
      <c r="O291" s="4">
        <v>10.252483333333334</v>
      </c>
    </row>
    <row r="292">
      <c r="A292" s="7">
        <v>45534.0</v>
      </c>
      <c r="B292" s="1" t="s">
        <v>127</v>
      </c>
      <c r="C292" s="1" t="s">
        <v>105</v>
      </c>
      <c r="D292" s="4">
        <v>364.0</v>
      </c>
      <c r="E292" s="4">
        <v>0.0</v>
      </c>
      <c r="G292" s="1" t="s">
        <v>91</v>
      </c>
      <c r="H292" s="1" t="s">
        <v>92</v>
      </c>
      <c r="I292" s="1" t="s">
        <v>836</v>
      </c>
      <c r="J292" s="1" t="s">
        <v>837</v>
      </c>
      <c r="K292" s="1" t="s">
        <v>837</v>
      </c>
      <c r="M292" s="4">
        <v>-3.0</v>
      </c>
      <c r="O292" s="4">
        <v>7.51945</v>
      </c>
    </row>
    <row r="293">
      <c r="A293" s="7">
        <v>45534.0</v>
      </c>
      <c r="B293" s="1" t="s">
        <v>169</v>
      </c>
      <c r="C293" s="1" t="s">
        <v>89</v>
      </c>
      <c r="D293" s="4">
        <v>39.0</v>
      </c>
      <c r="E293" s="4">
        <v>0.0</v>
      </c>
      <c r="G293" s="1" t="s">
        <v>149</v>
      </c>
      <c r="H293" s="1" t="s">
        <v>116</v>
      </c>
      <c r="I293" s="1" t="s">
        <v>838</v>
      </c>
      <c r="J293" s="1" t="s">
        <v>839</v>
      </c>
      <c r="K293" s="1" t="s">
        <v>839</v>
      </c>
      <c r="M293" s="4">
        <v>4.0</v>
      </c>
      <c r="O293" s="4">
        <v>9.276966666666667</v>
      </c>
    </row>
    <row r="294">
      <c r="A294" s="7">
        <v>45534.0</v>
      </c>
      <c r="B294" s="1" t="s">
        <v>95</v>
      </c>
      <c r="C294" s="1" t="s">
        <v>89</v>
      </c>
      <c r="D294" s="4">
        <v>368.0</v>
      </c>
      <c r="E294" s="4">
        <v>0.0</v>
      </c>
      <c r="F294" s="1" t="s">
        <v>466</v>
      </c>
      <c r="G294" s="1" t="s">
        <v>97</v>
      </c>
      <c r="H294" s="1" t="s">
        <v>92</v>
      </c>
      <c r="I294" s="1" t="s">
        <v>840</v>
      </c>
      <c r="J294" s="1" t="s">
        <v>841</v>
      </c>
      <c r="K294" s="1" t="s">
        <v>842</v>
      </c>
      <c r="L294" s="1" t="s">
        <v>843</v>
      </c>
      <c r="M294" s="4">
        <v>-3.0</v>
      </c>
      <c r="N294" s="4">
        <v>0.008966666666666666</v>
      </c>
      <c r="O294" s="4">
        <v>16.247883333333334</v>
      </c>
    </row>
    <row r="295">
      <c r="A295" s="7">
        <v>45534.0</v>
      </c>
      <c r="B295" s="1" t="s">
        <v>95</v>
      </c>
      <c r="C295" s="1" t="s">
        <v>89</v>
      </c>
      <c r="D295" s="4">
        <v>267.0</v>
      </c>
      <c r="E295" s="4">
        <v>62.0</v>
      </c>
      <c r="G295" s="1" t="s">
        <v>149</v>
      </c>
      <c r="H295" s="1" t="s">
        <v>92</v>
      </c>
      <c r="I295" s="1" t="s">
        <v>844</v>
      </c>
      <c r="J295" s="1" t="s">
        <v>845</v>
      </c>
      <c r="K295" s="1" t="s">
        <v>845</v>
      </c>
      <c r="M295" s="4">
        <v>2.0</v>
      </c>
      <c r="O295" s="4">
        <v>21.779816666666665</v>
      </c>
    </row>
    <row r="296">
      <c r="A296" s="7">
        <v>45534.0</v>
      </c>
      <c r="B296" s="1" t="s">
        <v>95</v>
      </c>
      <c r="C296" s="1" t="s">
        <v>89</v>
      </c>
      <c r="D296" s="4">
        <v>398.0</v>
      </c>
      <c r="E296" s="4">
        <v>0.0</v>
      </c>
      <c r="F296" s="1" t="s">
        <v>846</v>
      </c>
      <c r="G296" s="1" t="s">
        <v>97</v>
      </c>
      <c r="H296" s="1" t="s">
        <v>92</v>
      </c>
      <c r="I296" s="1" t="s">
        <v>847</v>
      </c>
      <c r="J296" s="1" t="s">
        <v>848</v>
      </c>
      <c r="K296" s="1" t="s">
        <v>849</v>
      </c>
      <c r="L296" s="1" t="s">
        <v>850</v>
      </c>
      <c r="M296" s="4">
        <v>0.0</v>
      </c>
      <c r="N296" s="4">
        <v>0.0093</v>
      </c>
      <c r="O296" s="4">
        <v>20.600133333333332</v>
      </c>
    </row>
    <row r="297">
      <c r="A297" s="7">
        <v>45534.0</v>
      </c>
      <c r="B297" s="1" t="s">
        <v>95</v>
      </c>
      <c r="C297" s="1" t="s">
        <v>89</v>
      </c>
      <c r="D297" s="4">
        <v>1132.0</v>
      </c>
      <c r="E297" s="4">
        <v>0.0</v>
      </c>
      <c r="F297" s="1" t="s">
        <v>846</v>
      </c>
      <c r="G297" s="1" t="s">
        <v>97</v>
      </c>
      <c r="H297" s="1" t="s">
        <v>116</v>
      </c>
      <c r="I297" s="1" t="s">
        <v>851</v>
      </c>
      <c r="J297" s="1" t="s">
        <v>852</v>
      </c>
      <c r="K297" s="1" t="s">
        <v>853</v>
      </c>
      <c r="L297" s="1" t="s">
        <v>854</v>
      </c>
      <c r="M297" s="4">
        <v>11.0</v>
      </c>
      <c r="N297" s="4">
        <v>0.011133333333333334</v>
      </c>
      <c r="O297" s="4">
        <v>18.518883333333335</v>
      </c>
    </row>
    <row r="298">
      <c r="A298" s="7">
        <v>45534.0</v>
      </c>
      <c r="B298" s="1" t="s">
        <v>127</v>
      </c>
      <c r="C298" s="1" t="s">
        <v>105</v>
      </c>
      <c r="D298" s="4">
        <v>474.0</v>
      </c>
      <c r="E298" s="4">
        <v>0.0</v>
      </c>
      <c r="G298" s="1" t="s">
        <v>91</v>
      </c>
      <c r="H298" s="1" t="s">
        <v>92</v>
      </c>
      <c r="I298" s="1" t="s">
        <v>855</v>
      </c>
      <c r="J298" s="1" t="s">
        <v>856</v>
      </c>
      <c r="K298" s="1" t="s">
        <v>856</v>
      </c>
      <c r="M298" s="4">
        <v>2.0</v>
      </c>
      <c r="O298" s="4">
        <v>16.6031</v>
      </c>
    </row>
    <row r="299">
      <c r="A299" s="7">
        <v>45534.0</v>
      </c>
      <c r="B299" s="1" t="s">
        <v>95</v>
      </c>
      <c r="C299" s="1" t="s">
        <v>89</v>
      </c>
      <c r="D299" s="4">
        <v>329.0</v>
      </c>
      <c r="E299" s="4">
        <v>0.0</v>
      </c>
      <c r="F299" s="1" t="s">
        <v>466</v>
      </c>
      <c r="G299" s="1" t="s">
        <v>97</v>
      </c>
      <c r="H299" s="1" t="s">
        <v>92</v>
      </c>
      <c r="I299" s="1" t="s">
        <v>857</v>
      </c>
      <c r="J299" s="1" t="s">
        <v>858</v>
      </c>
      <c r="K299" s="1" t="s">
        <v>859</v>
      </c>
      <c r="L299" s="1" t="s">
        <v>860</v>
      </c>
      <c r="M299" s="4">
        <v>-9.0</v>
      </c>
      <c r="N299" s="4">
        <v>0.008716666666666666</v>
      </c>
      <c r="O299" s="4">
        <v>12.854466666666667</v>
      </c>
    </row>
    <row r="300">
      <c r="A300" s="7">
        <v>45534.0</v>
      </c>
      <c r="B300" s="1" t="s">
        <v>95</v>
      </c>
      <c r="C300" s="1" t="s">
        <v>89</v>
      </c>
      <c r="D300" s="4">
        <v>473.0</v>
      </c>
      <c r="E300" s="4">
        <v>0.0</v>
      </c>
      <c r="F300" s="1" t="s">
        <v>466</v>
      </c>
      <c r="G300" s="1" t="s">
        <v>97</v>
      </c>
      <c r="H300" s="1" t="s">
        <v>92</v>
      </c>
      <c r="I300" s="1" t="s">
        <v>861</v>
      </c>
      <c r="J300" s="1" t="s">
        <v>862</v>
      </c>
      <c r="K300" s="1" t="s">
        <v>863</v>
      </c>
      <c r="L300" s="1" t="s">
        <v>864</v>
      </c>
      <c r="M300" s="4">
        <v>-2.0</v>
      </c>
      <c r="N300" s="4">
        <v>0.010516666666666667</v>
      </c>
      <c r="O300" s="4">
        <v>16.346733333333333</v>
      </c>
    </row>
    <row r="301">
      <c r="A301" s="7">
        <v>45534.0</v>
      </c>
      <c r="B301" s="1" t="s">
        <v>127</v>
      </c>
      <c r="C301" s="1" t="s">
        <v>105</v>
      </c>
      <c r="D301" s="4">
        <v>394.0</v>
      </c>
      <c r="E301" s="4">
        <v>0.0</v>
      </c>
      <c r="G301" s="1" t="s">
        <v>91</v>
      </c>
      <c r="H301" s="1" t="s">
        <v>92</v>
      </c>
      <c r="I301" s="1" t="s">
        <v>865</v>
      </c>
      <c r="J301" s="1" t="s">
        <v>866</v>
      </c>
      <c r="K301" s="1" t="s">
        <v>866</v>
      </c>
      <c r="M301" s="4">
        <v>17.0</v>
      </c>
      <c r="O301" s="4">
        <v>30.905033333333332</v>
      </c>
    </row>
    <row r="302">
      <c r="A302" s="7">
        <v>45534.0</v>
      </c>
      <c r="B302" s="1" t="s">
        <v>127</v>
      </c>
      <c r="C302" s="1" t="s">
        <v>105</v>
      </c>
      <c r="D302" s="4">
        <v>398.0</v>
      </c>
      <c r="E302" s="4">
        <v>0.0</v>
      </c>
      <c r="G302" s="1" t="s">
        <v>91</v>
      </c>
      <c r="H302" s="1" t="s">
        <v>92</v>
      </c>
      <c r="I302" s="1" t="s">
        <v>867</v>
      </c>
      <c r="J302" s="1" t="s">
        <v>868</v>
      </c>
      <c r="K302" s="1" t="s">
        <v>868</v>
      </c>
      <c r="M302" s="4">
        <v>10.0</v>
      </c>
      <c r="O302" s="4">
        <v>23.3148</v>
      </c>
    </row>
    <row r="303">
      <c r="A303" s="7">
        <v>45534.0</v>
      </c>
      <c r="B303" s="1" t="s">
        <v>127</v>
      </c>
      <c r="C303" s="1" t="s">
        <v>105</v>
      </c>
      <c r="D303" s="4">
        <v>765.0</v>
      </c>
      <c r="E303" s="4">
        <v>0.0</v>
      </c>
      <c r="G303" s="1" t="s">
        <v>91</v>
      </c>
      <c r="H303" s="1" t="s">
        <v>116</v>
      </c>
      <c r="I303" s="1" t="s">
        <v>869</v>
      </c>
      <c r="J303" s="1" t="s">
        <v>870</v>
      </c>
      <c r="K303" s="1" t="s">
        <v>870</v>
      </c>
      <c r="M303" s="4">
        <v>3.0</v>
      </c>
      <c r="O303" s="4">
        <v>18.25955</v>
      </c>
    </row>
    <row r="304">
      <c r="A304" s="7">
        <v>45534.0</v>
      </c>
      <c r="B304" s="1" t="s">
        <v>88</v>
      </c>
      <c r="C304" s="1" t="s">
        <v>89</v>
      </c>
      <c r="D304" s="4">
        <v>996.0</v>
      </c>
      <c r="E304" s="4">
        <v>0.0</v>
      </c>
      <c r="G304" s="1" t="s">
        <v>149</v>
      </c>
      <c r="H304" s="1" t="s">
        <v>92</v>
      </c>
      <c r="I304" s="1" t="s">
        <v>871</v>
      </c>
      <c r="J304" s="1" t="s">
        <v>872</v>
      </c>
      <c r="K304" s="1" t="s">
        <v>872</v>
      </c>
      <c r="M304" s="4">
        <v>-1.0</v>
      </c>
      <c r="O304" s="4">
        <v>13.951783333333333</v>
      </c>
    </row>
    <row r="305">
      <c r="A305" s="7">
        <v>45534.0</v>
      </c>
      <c r="B305" s="1" t="s">
        <v>88</v>
      </c>
      <c r="C305" s="1" t="s">
        <v>89</v>
      </c>
      <c r="D305" s="4">
        <v>264.0</v>
      </c>
      <c r="E305" s="4">
        <v>0.0</v>
      </c>
      <c r="F305" s="1" t="s">
        <v>90</v>
      </c>
      <c r="G305" s="1" t="s">
        <v>91</v>
      </c>
      <c r="H305" s="1" t="s">
        <v>92</v>
      </c>
      <c r="I305" s="1" t="s">
        <v>873</v>
      </c>
      <c r="J305" s="1" t="s">
        <v>874</v>
      </c>
      <c r="K305" s="1" t="s">
        <v>874</v>
      </c>
      <c r="M305" s="4">
        <v>-2.0</v>
      </c>
      <c r="O305" s="4">
        <v>12.0688</v>
      </c>
    </row>
    <row r="306">
      <c r="A306" s="7">
        <v>45534.0</v>
      </c>
      <c r="B306" s="1" t="s">
        <v>95</v>
      </c>
      <c r="C306" s="1" t="s">
        <v>89</v>
      </c>
      <c r="D306" s="4">
        <v>199.0</v>
      </c>
      <c r="E306" s="4">
        <v>50.0</v>
      </c>
      <c r="G306" s="1" t="s">
        <v>149</v>
      </c>
      <c r="H306" s="1" t="s">
        <v>153</v>
      </c>
      <c r="I306" s="1" t="s">
        <v>875</v>
      </c>
      <c r="J306" s="1" t="s">
        <v>876</v>
      </c>
      <c r="K306" s="1" t="s">
        <v>876</v>
      </c>
      <c r="M306" s="4">
        <v>-10.0</v>
      </c>
      <c r="O306" s="4">
        <v>8.539916666666667</v>
      </c>
    </row>
    <row r="307">
      <c r="A307" s="7">
        <v>45534.0</v>
      </c>
      <c r="B307" s="1" t="s">
        <v>127</v>
      </c>
      <c r="C307" s="1" t="s">
        <v>105</v>
      </c>
      <c r="D307" s="4">
        <v>593.0</v>
      </c>
      <c r="E307" s="4">
        <v>0.0</v>
      </c>
      <c r="G307" s="1" t="s">
        <v>91</v>
      </c>
      <c r="H307" s="1" t="s">
        <v>116</v>
      </c>
      <c r="I307" s="1" t="s">
        <v>877</v>
      </c>
      <c r="J307" s="1" t="s">
        <v>878</v>
      </c>
      <c r="K307" s="1" t="s">
        <v>878</v>
      </c>
      <c r="M307" s="4">
        <v>-1.0</v>
      </c>
      <c r="O307" s="4">
        <v>12.924533333333333</v>
      </c>
    </row>
    <row r="308">
      <c r="A308" s="7">
        <v>45534.0</v>
      </c>
      <c r="B308" s="1" t="s">
        <v>95</v>
      </c>
      <c r="C308" s="1" t="s">
        <v>89</v>
      </c>
      <c r="D308" s="4">
        <v>304.0</v>
      </c>
      <c r="E308" s="4">
        <v>0.0</v>
      </c>
      <c r="F308" s="1" t="s">
        <v>846</v>
      </c>
      <c r="G308" s="1" t="s">
        <v>97</v>
      </c>
      <c r="H308" s="1" t="s">
        <v>92</v>
      </c>
      <c r="I308" s="1" t="s">
        <v>879</v>
      </c>
      <c r="J308" s="1" t="s">
        <v>880</v>
      </c>
      <c r="K308" s="1" t="s">
        <v>881</v>
      </c>
      <c r="L308" s="1" t="s">
        <v>882</v>
      </c>
      <c r="M308" s="4">
        <v>-12.0</v>
      </c>
      <c r="N308" s="4">
        <v>0.008533333333333334</v>
      </c>
      <c r="O308" s="4">
        <v>8.179883333333333</v>
      </c>
    </row>
    <row r="309">
      <c r="A309" s="7">
        <v>45534.0</v>
      </c>
      <c r="B309" s="1" t="s">
        <v>127</v>
      </c>
      <c r="C309" s="1" t="s">
        <v>105</v>
      </c>
      <c r="D309" s="4">
        <v>469.0</v>
      </c>
      <c r="E309" s="4">
        <v>0.0</v>
      </c>
      <c r="G309" s="1" t="s">
        <v>91</v>
      </c>
      <c r="H309" s="1" t="s">
        <v>92</v>
      </c>
      <c r="I309" s="1" t="s">
        <v>883</v>
      </c>
      <c r="J309" s="1" t="s">
        <v>884</v>
      </c>
      <c r="K309" s="1" t="s">
        <v>884</v>
      </c>
      <c r="M309" s="4">
        <v>-3.0</v>
      </c>
      <c r="O309" s="4">
        <v>10.459533333333333</v>
      </c>
    </row>
    <row r="310">
      <c r="A310" s="7">
        <v>45534.0</v>
      </c>
      <c r="B310" s="1" t="s">
        <v>127</v>
      </c>
      <c r="C310" s="1" t="s">
        <v>105</v>
      </c>
      <c r="D310" s="4">
        <v>443.0</v>
      </c>
      <c r="E310" s="4">
        <v>0.0</v>
      </c>
      <c r="G310" s="1" t="s">
        <v>91</v>
      </c>
      <c r="H310" s="1" t="s">
        <v>92</v>
      </c>
      <c r="I310" s="1" t="s">
        <v>885</v>
      </c>
      <c r="J310" s="1" t="s">
        <v>886</v>
      </c>
      <c r="K310" s="1" t="s">
        <v>886</v>
      </c>
      <c r="M310" s="4">
        <v>-1.0</v>
      </c>
      <c r="O310" s="4">
        <v>11.584416666666666</v>
      </c>
    </row>
    <row r="311">
      <c r="A311" s="7">
        <v>45534.0</v>
      </c>
      <c r="B311" s="1" t="s">
        <v>104</v>
      </c>
      <c r="C311" s="1" t="s">
        <v>105</v>
      </c>
      <c r="D311" s="4">
        <v>329.0</v>
      </c>
      <c r="E311" s="4">
        <v>0.0</v>
      </c>
      <c r="F311" s="1" t="s">
        <v>887</v>
      </c>
      <c r="G311" s="1" t="s">
        <v>91</v>
      </c>
      <c r="H311" s="1" t="s">
        <v>92</v>
      </c>
      <c r="I311" s="1" t="s">
        <v>888</v>
      </c>
      <c r="J311" s="1" t="s">
        <v>889</v>
      </c>
      <c r="K311" s="1" t="s">
        <v>889</v>
      </c>
      <c r="M311" s="4">
        <v>-1.0</v>
      </c>
      <c r="O311" s="4">
        <v>13.978616666666667</v>
      </c>
    </row>
    <row r="312">
      <c r="A312" s="7">
        <v>45534.0</v>
      </c>
      <c r="B312" s="1" t="s">
        <v>88</v>
      </c>
      <c r="C312" s="1" t="s">
        <v>89</v>
      </c>
      <c r="D312" s="4">
        <v>346.0</v>
      </c>
      <c r="E312" s="4">
        <v>0.0</v>
      </c>
      <c r="F312" s="1" t="s">
        <v>90</v>
      </c>
      <c r="G312" s="1" t="s">
        <v>91</v>
      </c>
      <c r="H312" s="1" t="s">
        <v>92</v>
      </c>
      <c r="I312" s="1" t="s">
        <v>890</v>
      </c>
      <c r="J312" s="1" t="s">
        <v>891</v>
      </c>
      <c r="K312" s="1" t="s">
        <v>891</v>
      </c>
      <c r="M312" s="4">
        <v>-3.0</v>
      </c>
      <c r="O312" s="4">
        <v>11.573733333333333</v>
      </c>
    </row>
    <row r="313">
      <c r="A313" s="7">
        <v>45534.0</v>
      </c>
      <c r="B313" s="1" t="s">
        <v>127</v>
      </c>
      <c r="C313" s="1" t="s">
        <v>105</v>
      </c>
      <c r="D313" s="4">
        <v>593.0</v>
      </c>
      <c r="E313" s="4">
        <v>0.0</v>
      </c>
      <c r="G313" s="1" t="s">
        <v>91</v>
      </c>
      <c r="H313" s="1" t="s">
        <v>92</v>
      </c>
      <c r="I313" s="1" t="s">
        <v>892</v>
      </c>
      <c r="J313" s="1" t="s">
        <v>893</v>
      </c>
      <c r="K313" s="1" t="s">
        <v>893</v>
      </c>
      <c r="M313" s="4">
        <v>0.0</v>
      </c>
      <c r="O313" s="4">
        <v>13.437833333333334</v>
      </c>
    </row>
    <row r="314">
      <c r="A314" s="7">
        <v>45534.0</v>
      </c>
      <c r="B314" s="1" t="s">
        <v>95</v>
      </c>
      <c r="C314" s="1" t="s">
        <v>89</v>
      </c>
      <c r="D314" s="4">
        <v>286.0</v>
      </c>
      <c r="E314" s="4">
        <v>62.0</v>
      </c>
      <c r="G314" s="1" t="s">
        <v>149</v>
      </c>
      <c r="H314" s="1" t="s">
        <v>92</v>
      </c>
      <c r="I314" s="1" t="s">
        <v>894</v>
      </c>
      <c r="J314" s="1" t="s">
        <v>895</v>
      </c>
      <c r="K314" s="1" t="s">
        <v>895</v>
      </c>
      <c r="M314" s="4">
        <v>-21.0</v>
      </c>
      <c r="O314" s="4">
        <v>34.836983333333336</v>
      </c>
    </row>
    <row r="315">
      <c r="A315" s="7">
        <v>45534.0</v>
      </c>
      <c r="B315" s="1" t="s">
        <v>88</v>
      </c>
      <c r="C315" s="1" t="s">
        <v>89</v>
      </c>
      <c r="D315" s="4">
        <v>329.0</v>
      </c>
      <c r="E315" s="4">
        <v>0.0</v>
      </c>
      <c r="F315" s="1" t="s">
        <v>90</v>
      </c>
      <c r="G315" s="1" t="s">
        <v>91</v>
      </c>
      <c r="H315" s="1" t="s">
        <v>92</v>
      </c>
      <c r="I315" s="1" t="s">
        <v>896</v>
      </c>
      <c r="J315" s="1" t="s">
        <v>897</v>
      </c>
      <c r="K315" s="1" t="s">
        <v>897</v>
      </c>
      <c r="M315" s="4">
        <v>-3.0</v>
      </c>
      <c r="O315" s="4">
        <v>11.80875</v>
      </c>
    </row>
    <row r="316">
      <c r="A316" s="7">
        <v>45534.0</v>
      </c>
      <c r="B316" s="1" t="s">
        <v>88</v>
      </c>
      <c r="C316" s="1" t="s">
        <v>89</v>
      </c>
      <c r="D316" s="4">
        <v>264.0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898</v>
      </c>
      <c r="J316" s="1" t="s">
        <v>899</v>
      </c>
      <c r="K316" s="1" t="s">
        <v>899</v>
      </c>
      <c r="M316" s="4">
        <v>0.0</v>
      </c>
      <c r="O316" s="4">
        <v>14.013</v>
      </c>
    </row>
    <row r="317">
      <c r="A317" s="7">
        <v>45534.0</v>
      </c>
      <c r="B317" s="1" t="s">
        <v>88</v>
      </c>
      <c r="C317" s="1" t="s">
        <v>89</v>
      </c>
      <c r="D317" s="4">
        <v>289.0</v>
      </c>
      <c r="E317" s="4">
        <v>0.0</v>
      </c>
      <c r="F317" s="1" t="s">
        <v>90</v>
      </c>
      <c r="G317" s="1" t="s">
        <v>91</v>
      </c>
      <c r="H317" s="1" t="s">
        <v>92</v>
      </c>
      <c r="I317" s="1" t="s">
        <v>900</v>
      </c>
      <c r="J317" s="1" t="s">
        <v>901</v>
      </c>
      <c r="K317" s="1" t="s">
        <v>901</v>
      </c>
      <c r="M317" s="4">
        <v>-1.0</v>
      </c>
      <c r="O317" s="4">
        <v>13.5385</v>
      </c>
    </row>
    <row r="318">
      <c r="A318" s="7">
        <v>45534.0</v>
      </c>
      <c r="B318" s="1" t="s">
        <v>104</v>
      </c>
      <c r="C318" s="1" t="s">
        <v>105</v>
      </c>
      <c r="D318" s="4">
        <v>289.0</v>
      </c>
      <c r="E318" s="4">
        <v>0.0</v>
      </c>
      <c r="F318" s="1" t="s">
        <v>902</v>
      </c>
      <c r="G318" s="1" t="s">
        <v>91</v>
      </c>
      <c r="H318" s="1" t="s">
        <v>92</v>
      </c>
      <c r="I318" s="1" t="s">
        <v>903</v>
      </c>
      <c r="J318" s="1" t="s">
        <v>904</v>
      </c>
      <c r="K318" s="1" t="s">
        <v>904</v>
      </c>
      <c r="M318" s="4">
        <v>0.0</v>
      </c>
      <c r="O318" s="4">
        <v>15.1745</v>
      </c>
    </row>
    <row r="319">
      <c r="A319" s="7">
        <v>45534.0</v>
      </c>
      <c r="B319" s="1" t="s">
        <v>88</v>
      </c>
      <c r="C319" s="1" t="s">
        <v>89</v>
      </c>
      <c r="D319" s="4">
        <v>723.0</v>
      </c>
      <c r="E319" s="4">
        <v>0.0</v>
      </c>
      <c r="F319" s="1" t="s">
        <v>90</v>
      </c>
      <c r="G319" s="1" t="s">
        <v>91</v>
      </c>
      <c r="H319" s="1" t="s">
        <v>92</v>
      </c>
      <c r="I319" s="1" t="s">
        <v>905</v>
      </c>
      <c r="J319" s="1" t="s">
        <v>906</v>
      </c>
      <c r="K319" s="1" t="s">
        <v>906</v>
      </c>
      <c r="M319" s="4">
        <v>2.0</v>
      </c>
      <c r="O319" s="4">
        <v>17.672333333333334</v>
      </c>
    </row>
    <row r="320">
      <c r="A320" s="7">
        <v>45534.0</v>
      </c>
      <c r="B320" s="1" t="s">
        <v>127</v>
      </c>
      <c r="C320" s="1" t="s">
        <v>105</v>
      </c>
      <c r="D320" s="4">
        <v>585.0</v>
      </c>
      <c r="E320" s="4">
        <v>0.0</v>
      </c>
      <c r="G320" s="1" t="s">
        <v>91</v>
      </c>
      <c r="H320" s="1" t="s">
        <v>92</v>
      </c>
      <c r="I320" s="1" t="s">
        <v>907</v>
      </c>
      <c r="J320" s="1" t="s">
        <v>908</v>
      </c>
      <c r="K320" s="1" t="s">
        <v>908</v>
      </c>
      <c r="M320" s="4">
        <v>0.0</v>
      </c>
      <c r="O320" s="4">
        <v>13.115283333333334</v>
      </c>
    </row>
    <row r="321">
      <c r="A321" s="7">
        <v>45534.0</v>
      </c>
      <c r="B321" s="1" t="s">
        <v>169</v>
      </c>
      <c r="C321" s="1" t="s">
        <v>89</v>
      </c>
      <c r="D321" s="4">
        <v>555.0</v>
      </c>
      <c r="E321" s="4">
        <v>0.0</v>
      </c>
      <c r="G321" s="1" t="s">
        <v>149</v>
      </c>
      <c r="H321" s="1" t="s">
        <v>116</v>
      </c>
      <c r="I321" s="1" t="s">
        <v>909</v>
      </c>
      <c r="J321" s="1" t="s">
        <v>910</v>
      </c>
      <c r="K321" s="1" t="s">
        <v>910</v>
      </c>
      <c r="M321" s="4">
        <v>16.0</v>
      </c>
      <c r="O321" s="4">
        <v>21.73445</v>
      </c>
    </row>
    <row r="322">
      <c r="A322" s="7">
        <v>45534.0</v>
      </c>
      <c r="B322" s="1" t="s">
        <v>169</v>
      </c>
      <c r="C322" s="1" t="s">
        <v>89</v>
      </c>
      <c r="D322" s="4">
        <v>344.0</v>
      </c>
      <c r="E322" s="4">
        <v>0.0</v>
      </c>
      <c r="G322" s="1" t="s">
        <v>149</v>
      </c>
      <c r="H322" s="1" t="s">
        <v>116</v>
      </c>
      <c r="I322" s="1" t="s">
        <v>911</v>
      </c>
      <c r="J322" s="1" t="s">
        <v>912</v>
      </c>
      <c r="K322" s="1" t="s">
        <v>912</v>
      </c>
      <c r="M322" s="4">
        <v>14.0</v>
      </c>
      <c r="O322" s="4">
        <v>19.301133333333333</v>
      </c>
    </row>
    <row r="323">
      <c r="A323" s="7">
        <v>45534.0</v>
      </c>
      <c r="B323" s="1" t="s">
        <v>95</v>
      </c>
      <c r="C323" s="1" t="s">
        <v>89</v>
      </c>
      <c r="D323" s="4">
        <v>603.0</v>
      </c>
      <c r="E323" s="4">
        <v>0.0</v>
      </c>
      <c r="F323" s="1" t="s">
        <v>846</v>
      </c>
      <c r="G323" s="1" t="s">
        <v>97</v>
      </c>
      <c r="H323" s="1" t="s">
        <v>92</v>
      </c>
      <c r="I323" s="1" t="s">
        <v>913</v>
      </c>
      <c r="J323" s="1" t="s">
        <v>914</v>
      </c>
      <c r="K323" s="1" t="s">
        <v>915</v>
      </c>
      <c r="L323" s="1" t="s">
        <v>916</v>
      </c>
      <c r="M323" s="4">
        <v>-7.0</v>
      </c>
      <c r="N323" s="4">
        <v>0.022883333333333332</v>
      </c>
      <c r="O323" s="4">
        <v>12.89785</v>
      </c>
    </row>
    <row r="324">
      <c r="A324" s="7">
        <v>45534.0</v>
      </c>
      <c r="B324" s="1" t="s">
        <v>95</v>
      </c>
      <c r="C324" s="1" t="s">
        <v>89</v>
      </c>
      <c r="D324" s="4">
        <v>705.0</v>
      </c>
      <c r="E324" s="4">
        <v>0.0</v>
      </c>
      <c r="F324" s="1" t="s">
        <v>466</v>
      </c>
      <c r="G324" s="1" t="s">
        <v>97</v>
      </c>
      <c r="H324" s="1" t="s">
        <v>92</v>
      </c>
      <c r="I324" s="1" t="s">
        <v>917</v>
      </c>
      <c r="J324" s="1" t="s">
        <v>918</v>
      </c>
      <c r="K324" s="1" t="s">
        <v>919</v>
      </c>
      <c r="L324" s="1" t="s">
        <v>920</v>
      </c>
      <c r="M324" s="4">
        <v>-5.0</v>
      </c>
      <c r="N324" s="4">
        <v>0.015116666666666667</v>
      </c>
      <c r="O324" s="4">
        <v>18.331333333333333</v>
      </c>
    </row>
    <row r="325">
      <c r="A325" s="7">
        <v>45534.0</v>
      </c>
      <c r="B325" s="1" t="s">
        <v>127</v>
      </c>
      <c r="C325" s="1" t="s">
        <v>105</v>
      </c>
      <c r="D325" s="4">
        <v>460.0</v>
      </c>
      <c r="E325" s="4">
        <v>0.0</v>
      </c>
      <c r="G325" s="1" t="s">
        <v>91</v>
      </c>
      <c r="H325" s="1" t="s">
        <v>92</v>
      </c>
      <c r="I325" s="1" t="s">
        <v>921</v>
      </c>
      <c r="J325" s="1" t="s">
        <v>922</v>
      </c>
      <c r="K325" s="1" t="s">
        <v>922</v>
      </c>
      <c r="M325" s="4">
        <v>0.0</v>
      </c>
      <c r="O325" s="4">
        <v>13.216883333333334</v>
      </c>
    </row>
    <row r="326">
      <c r="A326" s="7">
        <v>45534.0</v>
      </c>
      <c r="B326" s="1" t="s">
        <v>95</v>
      </c>
      <c r="C326" s="1" t="s">
        <v>89</v>
      </c>
      <c r="D326" s="4">
        <v>375.0</v>
      </c>
      <c r="E326" s="4">
        <v>0.0</v>
      </c>
      <c r="F326" s="1" t="s">
        <v>846</v>
      </c>
      <c r="G326" s="1" t="s">
        <v>97</v>
      </c>
      <c r="H326" s="1" t="s">
        <v>92</v>
      </c>
      <c r="I326" s="1" t="s">
        <v>923</v>
      </c>
      <c r="K326" s="1" t="s">
        <v>924</v>
      </c>
      <c r="L326" s="1" t="s">
        <v>925</v>
      </c>
      <c r="M326" s="4">
        <v>-17.0</v>
      </c>
      <c r="N326" s="4">
        <v>0.014183333333333333</v>
      </c>
    </row>
    <row r="327">
      <c r="A327" s="7">
        <v>45534.0</v>
      </c>
      <c r="B327" s="1" t="s">
        <v>95</v>
      </c>
      <c r="C327" s="1" t="s">
        <v>89</v>
      </c>
      <c r="D327" s="4">
        <v>495.0</v>
      </c>
      <c r="E327" s="4">
        <v>102.0</v>
      </c>
      <c r="G327" s="1" t="s">
        <v>149</v>
      </c>
      <c r="H327" s="1" t="s">
        <v>92</v>
      </c>
      <c r="I327" s="1" t="s">
        <v>926</v>
      </c>
      <c r="J327" s="1" t="s">
        <v>927</v>
      </c>
      <c r="K327" s="1" t="s">
        <v>927</v>
      </c>
      <c r="M327" s="4">
        <v>-6.0</v>
      </c>
      <c r="O327" s="4">
        <v>11.745233333333333</v>
      </c>
    </row>
    <row r="328">
      <c r="A328" s="7">
        <v>45534.0</v>
      </c>
      <c r="B328" s="1" t="s">
        <v>95</v>
      </c>
      <c r="C328" s="1" t="s">
        <v>89</v>
      </c>
      <c r="D328" s="4">
        <v>458.0</v>
      </c>
      <c r="E328" s="4">
        <v>0.0</v>
      </c>
      <c r="F328" s="1" t="s">
        <v>466</v>
      </c>
      <c r="G328" s="1" t="s">
        <v>97</v>
      </c>
      <c r="H328" s="1" t="s">
        <v>92</v>
      </c>
      <c r="I328" s="1" t="s">
        <v>928</v>
      </c>
      <c r="J328" s="1" t="s">
        <v>929</v>
      </c>
      <c r="K328" s="1" t="s">
        <v>930</v>
      </c>
      <c r="L328" s="1" t="s">
        <v>931</v>
      </c>
      <c r="M328" s="4">
        <v>-5.0</v>
      </c>
      <c r="N328" s="4">
        <v>0.00925</v>
      </c>
      <c r="O328" s="4">
        <v>10.79145</v>
      </c>
    </row>
    <row r="329">
      <c r="A329" s="7">
        <v>45534.0</v>
      </c>
      <c r="B329" s="1" t="s">
        <v>95</v>
      </c>
      <c r="C329" s="1" t="s">
        <v>89</v>
      </c>
      <c r="D329" s="4">
        <v>585.0</v>
      </c>
      <c r="E329" s="4">
        <v>0.0</v>
      </c>
      <c r="F329" s="1" t="s">
        <v>846</v>
      </c>
      <c r="G329" s="1" t="s">
        <v>97</v>
      </c>
      <c r="H329" s="1" t="s">
        <v>92</v>
      </c>
      <c r="I329" s="1" t="s">
        <v>932</v>
      </c>
      <c r="J329" s="1" t="s">
        <v>933</v>
      </c>
      <c r="K329" s="1" t="s">
        <v>934</v>
      </c>
      <c r="L329" s="1" t="s">
        <v>935</v>
      </c>
      <c r="M329" s="4">
        <v>-5.0</v>
      </c>
      <c r="N329" s="4">
        <v>0.009416666666666667</v>
      </c>
      <c r="O329" s="4">
        <v>12.323166666666667</v>
      </c>
    </row>
    <row r="330">
      <c r="A330" s="7">
        <v>45534.0</v>
      </c>
      <c r="B330" s="1" t="s">
        <v>95</v>
      </c>
      <c r="C330" s="1" t="s">
        <v>89</v>
      </c>
      <c r="D330" s="4">
        <v>418.0</v>
      </c>
      <c r="E330" s="4">
        <v>20.0</v>
      </c>
      <c r="F330" s="1" t="s">
        <v>466</v>
      </c>
      <c r="G330" s="1" t="s">
        <v>97</v>
      </c>
      <c r="H330" s="1" t="s">
        <v>92</v>
      </c>
      <c r="I330" s="1" t="s">
        <v>936</v>
      </c>
      <c r="J330" s="1" t="s">
        <v>937</v>
      </c>
      <c r="K330" s="1" t="s">
        <v>938</v>
      </c>
      <c r="L330" s="1" t="s">
        <v>939</v>
      </c>
      <c r="M330" s="4">
        <v>0.0</v>
      </c>
      <c r="N330" s="4">
        <v>0.013116666666666667</v>
      </c>
      <c r="O330" s="4">
        <v>9.201633333333334</v>
      </c>
    </row>
    <row r="331">
      <c r="A331" s="7">
        <v>45534.0</v>
      </c>
      <c r="B331" s="1" t="s">
        <v>95</v>
      </c>
      <c r="C331" s="1" t="s">
        <v>89</v>
      </c>
      <c r="D331" s="4">
        <v>199.0</v>
      </c>
      <c r="E331" s="4">
        <v>50.0</v>
      </c>
      <c r="G331" s="1" t="s">
        <v>149</v>
      </c>
      <c r="H331" s="1" t="s">
        <v>153</v>
      </c>
      <c r="I331" s="1" t="s">
        <v>940</v>
      </c>
      <c r="J331" s="1" t="s">
        <v>941</v>
      </c>
      <c r="K331" s="1" t="s">
        <v>941</v>
      </c>
      <c r="M331" s="4">
        <v>-13.0</v>
      </c>
      <c r="O331" s="4">
        <v>6.172616666666666</v>
      </c>
    </row>
    <row r="332">
      <c r="A332" s="7">
        <v>45534.0</v>
      </c>
      <c r="B332" s="1" t="s">
        <v>95</v>
      </c>
      <c r="C332" s="1" t="s">
        <v>89</v>
      </c>
      <c r="D332" s="4">
        <v>247.0</v>
      </c>
      <c r="E332" s="4">
        <v>62.0</v>
      </c>
      <c r="G332" s="1" t="s">
        <v>149</v>
      </c>
      <c r="H332" s="1" t="s">
        <v>153</v>
      </c>
      <c r="I332" s="1" t="s">
        <v>942</v>
      </c>
      <c r="J332" s="1" t="s">
        <v>943</v>
      </c>
      <c r="K332" s="1" t="s">
        <v>943</v>
      </c>
      <c r="M332" s="4">
        <v>-7.0</v>
      </c>
      <c r="O332" s="4">
        <v>12.17635</v>
      </c>
    </row>
    <row r="333">
      <c r="A333" s="7">
        <v>45534.0</v>
      </c>
      <c r="B333" s="1" t="s">
        <v>95</v>
      </c>
      <c r="C333" s="1" t="s">
        <v>89</v>
      </c>
      <c r="D333" s="4">
        <v>275.0</v>
      </c>
      <c r="E333" s="4">
        <v>69.0</v>
      </c>
      <c r="G333" s="1" t="s">
        <v>149</v>
      </c>
      <c r="H333" s="1" t="s">
        <v>116</v>
      </c>
      <c r="I333" s="1" t="s">
        <v>944</v>
      </c>
      <c r="J333" s="1" t="s">
        <v>945</v>
      </c>
      <c r="K333" s="1" t="s">
        <v>945</v>
      </c>
      <c r="M333" s="4">
        <v>-47.0</v>
      </c>
      <c r="O333" s="4">
        <v>46.16095</v>
      </c>
    </row>
    <row r="334">
      <c r="A334" s="7">
        <v>45534.0</v>
      </c>
      <c r="B334" s="1" t="s">
        <v>127</v>
      </c>
      <c r="C334" s="1" t="s">
        <v>105</v>
      </c>
      <c r="D334" s="4">
        <v>264.0</v>
      </c>
      <c r="E334" s="4">
        <v>0.0</v>
      </c>
      <c r="G334" s="1" t="s">
        <v>91</v>
      </c>
      <c r="H334" s="1" t="s">
        <v>92</v>
      </c>
      <c r="I334" s="1" t="s">
        <v>946</v>
      </c>
      <c r="J334" s="1" t="s">
        <v>947</v>
      </c>
      <c r="K334" s="1" t="s">
        <v>947</v>
      </c>
      <c r="M334" s="4">
        <v>7.0</v>
      </c>
      <c r="O334" s="4">
        <v>18.540816666666668</v>
      </c>
    </row>
    <row r="335">
      <c r="A335" s="7">
        <v>45534.0</v>
      </c>
      <c r="B335" s="1" t="s">
        <v>88</v>
      </c>
      <c r="C335" s="1" t="s">
        <v>89</v>
      </c>
      <c r="D335" s="4">
        <v>746.0</v>
      </c>
      <c r="E335" s="4">
        <v>0.0</v>
      </c>
      <c r="F335" s="1" t="s">
        <v>90</v>
      </c>
      <c r="G335" s="1" t="s">
        <v>91</v>
      </c>
      <c r="H335" s="1" t="s">
        <v>92</v>
      </c>
      <c r="I335" s="1" t="s">
        <v>948</v>
      </c>
      <c r="J335" s="1" t="s">
        <v>949</v>
      </c>
      <c r="K335" s="1" t="s">
        <v>949</v>
      </c>
      <c r="M335" s="4">
        <v>-6.0</v>
      </c>
      <c r="O335" s="4">
        <v>11.345466666666667</v>
      </c>
    </row>
    <row r="336">
      <c r="A336" s="7">
        <v>45534.0</v>
      </c>
      <c r="B336" s="1" t="s">
        <v>127</v>
      </c>
      <c r="C336" s="1" t="s">
        <v>105</v>
      </c>
      <c r="D336" s="4">
        <v>273.0</v>
      </c>
      <c r="E336" s="4">
        <v>0.0</v>
      </c>
      <c r="G336" s="1" t="s">
        <v>91</v>
      </c>
      <c r="H336" s="1" t="s">
        <v>92</v>
      </c>
      <c r="I336" s="1" t="s">
        <v>950</v>
      </c>
      <c r="J336" s="1" t="s">
        <v>951</v>
      </c>
      <c r="K336" s="1" t="s">
        <v>951</v>
      </c>
      <c r="M336" s="4">
        <v>-1.0</v>
      </c>
      <c r="O336" s="4">
        <v>9.38455</v>
      </c>
    </row>
    <row r="337">
      <c r="A337" s="7">
        <v>45534.0</v>
      </c>
      <c r="B337" s="1" t="s">
        <v>127</v>
      </c>
      <c r="C337" s="1" t="s">
        <v>105</v>
      </c>
      <c r="D337" s="4">
        <v>199.0</v>
      </c>
      <c r="E337" s="4">
        <v>0.0</v>
      </c>
      <c r="G337" s="1" t="s">
        <v>91</v>
      </c>
      <c r="H337" s="1" t="s">
        <v>92</v>
      </c>
      <c r="I337" s="1" t="s">
        <v>952</v>
      </c>
      <c r="J337" s="1" t="s">
        <v>953</v>
      </c>
      <c r="K337" s="1" t="s">
        <v>953</v>
      </c>
      <c r="M337" s="4">
        <v>3.0</v>
      </c>
      <c r="O337" s="4">
        <v>12.011233333333333</v>
      </c>
    </row>
    <row r="338">
      <c r="A338" s="7">
        <v>45534.0</v>
      </c>
      <c r="B338" s="1" t="s">
        <v>104</v>
      </c>
      <c r="C338" s="1" t="s">
        <v>105</v>
      </c>
      <c r="D338" s="4">
        <v>658.0</v>
      </c>
      <c r="E338" s="4">
        <v>0.0</v>
      </c>
      <c r="F338" s="1" t="s">
        <v>954</v>
      </c>
      <c r="G338" s="1" t="s">
        <v>91</v>
      </c>
      <c r="H338" s="1" t="s">
        <v>92</v>
      </c>
      <c r="I338" s="1" t="s">
        <v>955</v>
      </c>
      <c r="J338" s="1" t="s">
        <v>956</v>
      </c>
      <c r="K338" s="1" t="s">
        <v>956</v>
      </c>
      <c r="M338" s="4">
        <v>0.0</v>
      </c>
      <c r="O338" s="4">
        <v>17.447516666666665</v>
      </c>
    </row>
    <row r="339">
      <c r="A339" s="7">
        <v>45534.0</v>
      </c>
      <c r="B339" s="1" t="s">
        <v>104</v>
      </c>
      <c r="C339" s="1" t="s">
        <v>105</v>
      </c>
      <c r="D339" s="4">
        <v>329.0</v>
      </c>
      <c r="E339" s="4">
        <v>0.0</v>
      </c>
      <c r="F339" s="1" t="s">
        <v>957</v>
      </c>
      <c r="G339" s="1" t="s">
        <v>91</v>
      </c>
      <c r="H339" s="1" t="s">
        <v>92</v>
      </c>
      <c r="I339" s="1" t="s">
        <v>958</v>
      </c>
      <c r="J339" s="1" t="s">
        <v>959</v>
      </c>
      <c r="K339" s="1" t="s">
        <v>959</v>
      </c>
      <c r="M339" s="4">
        <v>0.0</v>
      </c>
      <c r="O339" s="4">
        <v>14.664183333333334</v>
      </c>
    </row>
    <row r="340">
      <c r="A340" s="7">
        <v>45534.0</v>
      </c>
      <c r="B340" s="1" t="s">
        <v>95</v>
      </c>
      <c r="C340" s="1" t="s">
        <v>89</v>
      </c>
      <c r="D340" s="4">
        <v>588.0</v>
      </c>
      <c r="E340" s="4">
        <v>35.0</v>
      </c>
      <c r="F340" s="1" t="s">
        <v>466</v>
      </c>
      <c r="G340" s="1" t="s">
        <v>97</v>
      </c>
      <c r="H340" s="1" t="s">
        <v>92</v>
      </c>
      <c r="I340" s="1" t="s">
        <v>960</v>
      </c>
      <c r="J340" s="1" t="s">
        <v>961</v>
      </c>
      <c r="K340" s="1" t="s">
        <v>962</v>
      </c>
      <c r="L340" s="1" t="s">
        <v>963</v>
      </c>
      <c r="M340" s="4">
        <v>-5.0</v>
      </c>
      <c r="N340" s="4">
        <v>0.011133333333333334</v>
      </c>
      <c r="O340" s="4">
        <v>14.595283333333333</v>
      </c>
    </row>
    <row r="341">
      <c r="A341" s="7">
        <v>45534.0</v>
      </c>
      <c r="B341" s="1" t="s">
        <v>88</v>
      </c>
      <c r="C341" s="1" t="s">
        <v>89</v>
      </c>
      <c r="D341" s="4">
        <v>528.0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964</v>
      </c>
      <c r="J341" s="1" t="s">
        <v>965</v>
      </c>
      <c r="K341" s="1" t="s">
        <v>965</v>
      </c>
      <c r="M341" s="4">
        <v>-5.0</v>
      </c>
      <c r="O341" s="4">
        <v>9.9408</v>
      </c>
    </row>
    <row r="342">
      <c r="A342" s="7">
        <v>45534.0</v>
      </c>
      <c r="B342" s="1" t="s">
        <v>127</v>
      </c>
      <c r="C342" s="1" t="s">
        <v>105</v>
      </c>
      <c r="D342" s="4">
        <v>264.0</v>
      </c>
      <c r="E342" s="4">
        <v>0.0</v>
      </c>
      <c r="G342" s="1" t="s">
        <v>91</v>
      </c>
      <c r="H342" s="1" t="s">
        <v>92</v>
      </c>
      <c r="I342" s="1" t="s">
        <v>966</v>
      </c>
      <c r="J342" s="1" t="s">
        <v>967</v>
      </c>
      <c r="K342" s="1" t="s">
        <v>967</v>
      </c>
      <c r="M342" s="4">
        <v>-1.0</v>
      </c>
      <c r="O342" s="4">
        <v>10.248683333333334</v>
      </c>
    </row>
    <row r="343">
      <c r="A343" s="7">
        <v>45534.0</v>
      </c>
      <c r="B343" s="1" t="s">
        <v>127</v>
      </c>
      <c r="C343" s="1" t="s">
        <v>105</v>
      </c>
      <c r="D343" s="4">
        <v>522.0</v>
      </c>
      <c r="E343" s="4">
        <v>0.0</v>
      </c>
      <c r="G343" s="1" t="s">
        <v>91</v>
      </c>
      <c r="H343" s="1" t="s">
        <v>92</v>
      </c>
      <c r="I343" s="1" t="s">
        <v>968</v>
      </c>
      <c r="J343" s="1" t="s">
        <v>969</v>
      </c>
      <c r="K343" s="1" t="s">
        <v>969</v>
      </c>
      <c r="M343" s="4">
        <v>1.0</v>
      </c>
      <c r="O343" s="4">
        <v>14.003133333333333</v>
      </c>
    </row>
    <row r="344">
      <c r="A344" s="7">
        <v>45534.0</v>
      </c>
      <c r="B344" s="1" t="s">
        <v>104</v>
      </c>
      <c r="C344" s="1" t="s">
        <v>105</v>
      </c>
      <c r="D344" s="4">
        <v>329.0</v>
      </c>
      <c r="E344" s="4">
        <v>0.0</v>
      </c>
      <c r="F344" s="1" t="s">
        <v>446</v>
      </c>
      <c r="G344" s="1" t="s">
        <v>91</v>
      </c>
      <c r="H344" s="1" t="s">
        <v>92</v>
      </c>
      <c r="I344" s="1" t="s">
        <v>970</v>
      </c>
      <c r="J344" s="1" t="s">
        <v>971</v>
      </c>
      <c r="K344" s="1" t="s">
        <v>971</v>
      </c>
      <c r="M344" s="4">
        <v>0.0</v>
      </c>
      <c r="O344" s="4">
        <v>14.7306</v>
      </c>
    </row>
    <row r="345">
      <c r="A345" s="7">
        <v>45534.0</v>
      </c>
      <c r="B345" s="1" t="s">
        <v>127</v>
      </c>
      <c r="C345" s="1" t="s">
        <v>105</v>
      </c>
      <c r="D345" s="4">
        <v>279.0</v>
      </c>
      <c r="E345" s="4">
        <v>50.0</v>
      </c>
      <c r="G345" s="1" t="s">
        <v>91</v>
      </c>
      <c r="H345" s="1" t="s">
        <v>92</v>
      </c>
      <c r="I345" s="1" t="s">
        <v>972</v>
      </c>
      <c r="J345" s="1" t="s">
        <v>973</v>
      </c>
      <c r="K345" s="1" t="s">
        <v>973</v>
      </c>
      <c r="M345" s="4">
        <v>6.0</v>
      </c>
      <c r="O345" s="4">
        <v>17.1847</v>
      </c>
    </row>
    <row r="346">
      <c r="A346" s="7">
        <v>45534.0</v>
      </c>
      <c r="B346" s="1" t="s">
        <v>127</v>
      </c>
      <c r="C346" s="1" t="s">
        <v>105</v>
      </c>
      <c r="D346" s="4">
        <v>492.0</v>
      </c>
      <c r="E346" s="4">
        <v>150.0</v>
      </c>
      <c r="G346" s="1" t="s">
        <v>91</v>
      </c>
      <c r="H346" s="1" t="s">
        <v>92</v>
      </c>
      <c r="I346" s="1" t="s">
        <v>974</v>
      </c>
      <c r="J346" s="1" t="s">
        <v>975</v>
      </c>
      <c r="K346" s="1" t="s">
        <v>975</v>
      </c>
      <c r="M346" s="4">
        <v>1.0</v>
      </c>
      <c r="O346" s="4">
        <v>15.937016666666667</v>
      </c>
    </row>
    <row r="347">
      <c r="A347" s="7">
        <v>45534.0</v>
      </c>
      <c r="B347" s="1" t="s">
        <v>169</v>
      </c>
      <c r="C347" s="1" t="s">
        <v>89</v>
      </c>
      <c r="D347" s="4">
        <v>45.0</v>
      </c>
      <c r="E347" s="4">
        <v>0.0</v>
      </c>
      <c r="G347" s="1" t="s">
        <v>149</v>
      </c>
      <c r="H347" s="1" t="s">
        <v>116</v>
      </c>
      <c r="I347" s="1" t="s">
        <v>976</v>
      </c>
      <c r="J347" s="1" t="s">
        <v>977</v>
      </c>
      <c r="K347" s="1" t="s">
        <v>977</v>
      </c>
      <c r="M347" s="4">
        <v>-1.0</v>
      </c>
      <c r="O347" s="4">
        <v>3.119066666666667</v>
      </c>
    </row>
    <row r="348">
      <c r="A348" s="7">
        <v>45534.0</v>
      </c>
      <c r="B348" s="1" t="s">
        <v>169</v>
      </c>
      <c r="C348" s="1" t="s">
        <v>89</v>
      </c>
      <c r="D348" s="4">
        <v>747.0</v>
      </c>
      <c r="E348" s="4">
        <v>0.0</v>
      </c>
      <c r="G348" s="1" t="s">
        <v>149</v>
      </c>
      <c r="H348" s="1" t="s">
        <v>116</v>
      </c>
      <c r="I348" s="1" t="s">
        <v>978</v>
      </c>
      <c r="J348" s="1" t="s">
        <v>979</v>
      </c>
      <c r="K348" s="1" t="s">
        <v>979</v>
      </c>
      <c r="M348" s="4">
        <v>5.0</v>
      </c>
      <c r="O348" s="4">
        <v>10.343333333333334</v>
      </c>
    </row>
    <row r="349">
      <c r="A349" s="7">
        <v>45534.0</v>
      </c>
      <c r="B349" s="1" t="s">
        <v>95</v>
      </c>
      <c r="C349" s="1" t="s">
        <v>89</v>
      </c>
      <c r="D349" s="4">
        <v>703.0</v>
      </c>
      <c r="E349" s="4">
        <v>0.0</v>
      </c>
      <c r="F349" s="1" t="s">
        <v>90</v>
      </c>
      <c r="G349" s="1" t="s">
        <v>97</v>
      </c>
      <c r="H349" s="1" t="s">
        <v>92</v>
      </c>
      <c r="I349" s="1" t="s">
        <v>980</v>
      </c>
      <c r="J349" s="1" t="s">
        <v>981</v>
      </c>
      <c r="K349" s="1" t="s">
        <v>982</v>
      </c>
      <c r="L349" s="1" t="s">
        <v>983</v>
      </c>
      <c r="M349" s="4">
        <v>17.0</v>
      </c>
      <c r="N349" s="4">
        <v>11.390233333333333</v>
      </c>
      <c r="O349" s="4">
        <v>17.03485</v>
      </c>
    </row>
    <row r="350">
      <c r="A350" s="7">
        <v>45534.0</v>
      </c>
      <c r="B350" s="1" t="s">
        <v>95</v>
      </c>
      <c r="C350" s="1" t="s">
        <v>89</v>
      </c>
      <c r="D350" s="4">
        <v>318.0</v>
      </c>
      <c r="E350" s="4">
        <v>50.0</v>
      </c>
      <c r="G350" s="1" t="s">
        <v>149</v>
      </c>
      <c r="H350" s="1" t="s">
        <v>116</v>
      </c>
      <c r="I350" s="1" t="s">
        <v>984</v>
      </c>
      <c r="J350" s="1" t="s">
        <v>985</v>
      </c>
      <c r="K350" s="1" t="s">
        <v>985</v>
      </c>
      <c r="M350" s="4">
        <v>-13.0</v>
      </c>
      <c r="O350" s="4">
        <v>26.82046666666667</v>
      </c>
    </row>
    <row r="351">
      <c r="A351" s="7">
        <v>45534.0</v>
      </c>
      <c r="B351" s="1" t="s">
        <v>95</v>
      </c>
      <c r="C351" s="1" t="s">
        <v>89</v>
      </c>
      <c r="D351" s="4">
        <v>463.0</v>
      </c>
      <c r="E351" s="4">
        <v>0.0</v>
      </c>
      <c r="F351" s="1" t="s">
        <v>846</v>
      </c>
      <c r="G351" s="1" t="s">
        <v>97</v>
      </c>
      <c r="H351" s="1" t="s">
        <v>92</v>
      </c>
      <c r="I351" s="1" t="s">
        <v>986</v>
      </c>
      <c r="K351" s="1" t="s">
        <v>987</v>
      </c>
      <c r="L351" s="1" t="s">
        <v>988</v>
      </c>
      <c r="M351" s="4">
        <v>0.0</v>
      </c>
      <c r="N351" s="4">
        <v>0.0117</v>
      </c>
    </row>
    <row r="352">
      <c r="A352" s="7">
        <v>45534.0</v>
      </c>
      <c r="B352" s="1" t="s">
        <v>95</v>
      </c>
      <c r="C352" s="1" t="s">
        <v>89</v>
      </c>
      <c r="D352" s="4">
        <v>239.0</v>
      </c>
      <c r="E352" s="4">
        <v>11.0</v>
      </c>
      <c r="F352" s="1" t="s">
        <v>846</v>
      </c>
      <c r="G352" s="1" t="s">
        <v>97</v>
      </c>
      <c r="H352" s="1" t="s">
        <v>116</v>
      </c>
      <c r="I352" s="1" t="s">
        <v>989</v>
      </c>
      <c r="J352" s="1" t="s">
        <v>990</v>
      </c>
      <c r="K352" s="1" t="s">
        <v>991</v>
      </c>
      <c r="L352" s="1" t="s">
        <v>992</v>
      </c>
      <c r="M352" s="4">
        <v>0.0</v>
      </c>
      <c r="N352" s="4">
        <v>0.015566666666666666</v>
      </c>
      <c r="O352" s="4">
        <v>11.012833333333333</v>
      </c>
    </row>
    <row r="353">
      <c r="A353" s="7">
        <v>45534.0</v>
      </c>
      <c r="B353" s="1" t="s">
        <v>88</v>
      </c>
      <c r="C353" s="1" t="s">
        <v>89</v>
      </c>
      <c r="D353" s="4">
        <v>264.0</v>
      </c>
      <c r="E353" s="4">
        <v>0.0</v>
      </c>
      <c r="F353" s="1" t="s">
        <v>90</v>
      </c>
      <c r="G353" s="1" t="s">
        <v>91</v>
      </c>
      <c r="H353" s="1" t="s">
        <v>92</v>
      </c>
      <c r="I353" s="1" t="s">
        <v>993</v>
      </c>
      <c r="J353" s="1" t="s">
        <v>994</v>
      </c>
      <c r="K353" s="1" t="s">
        <v>994</v>
      </c>
      <c r="M353" s="4">
        <v>-4.0</v>
      </c>
      <c r="O353" s="4">
        <v>10.434333333333333</v>
      </c>
    </row>
    <row r="354">
      <c r="A354" s="7">
        <v>45534.0</v>
      </c>
      <c r="B354" s="1" t="s">
        <v>95</v>
      </c>
      <c r="C354" s="1" t="s">
        <v>89</v>
      </c>
      <c r="D354" s="4">
        <v>223.0</v>
      </c>
      <c r="E354" s="4">
        <v>56.0</v>
      </c>
      <c r="G354" s="1" t="s">
        <v>149</v>
      </c>
      <c r="H354" s="1" t="s">
        <v>116</v>
      </c>
      <c r="I354" s="1" t="s">
        <v>995</v>
      </c>
      <c r="J354" s="1" t="s">
        <v>996</v>
      </c>
      <c r="K354" s="1" t="s">
        <v>996</v>
      </c>
      <c r="M354" s="4">
        <v>-10.0</v>
      </c>
      <c r="O354" s="4">
        <v>8.927833333333334</v>
      </c>
    </row>
    <row r="355">
      <c r="A355" s="7">
        <v>45534.0</v>
      </c>
      <c r="B355" s="1" t="s">
        <v>95</v>
      </c>
      <c r="C355" s="1" t="s">
        <v>89</v>
      </c>
      <c r="D355" s="4">
        <v>1157.0</v>
      </c>
      <c r="E355" s="4">
        <v>0.0</v>
      </c>
      <c r="F355" s="1" t="s">
        <v>466</v>
      </c>
      <c r="G355" s="1" t="s">
        <v>97</v>
      </c>
      <c r="H355" s="1" t="s">
        <v>92</v>
      </c>
      <c r="I355" s="1" t="s">
        <v>997</v>
      </c>
      <c r="J355" s="1" t="s">
        <v>998</v>
      </c>
      <c r="K355" s="1" t="s">
        <v>999</v>
      </c>
      <c r="L355" s="1" t="s">
        <v>1000</v>
      </c>
      <c r="M355" s="4">
        <v>-3.0</v>
      </c>
      <c r="N355" s="4">
        <v>0.015133333333333334</v>
      </c>
      <c r="O355" s="4">
        <v>140.94301666666667</v>
      </c>
    </row>
    <row r="356">
      <c r="A356" s="7">
        <v>45534.0</v>
      </c>
      <c r="B356" s="1" t="s">
        <v>127</v>
      </c>
      <c r="C356" s="1" t="s">
        <v>105</v>
      </c>
      <c r="D356" s="4">
        <v>575.0</v>
      </c>
      <c r="E356" s="4">
        <v>0.0</v>
      </c>
      <c r="G356" s="1" t="s">
        <v>91</v>
      </c>
      <c r="H356" s="1" t="s">
        <v>92</v>
      </c>
      <c r="I356" s="1" t="s">
        <v>1001</v>
      </c>
      <c r="J356" s="1" t="s">
        <v>1002</v>
      </c>
      <c r="K356" s="1" t="s">
        <v>1002</v>
      </c>
      <c r="M356" s="4">
        <v>-4.0</v>
      </c>
      <c r="O356" s="4">
        <v>9.028716666666666</v>
      </c>
    </row>
    <row r="357">
      <c r="A357" s="7">
        <v>45534.0</v>
      </c>
      <c r="B357" s="1" t="s">
        <v>95</v>
      </c>
      <c r="C357" s="1" t="s">
        <v>89</v>
      </c>
      <c r="D357" s="4">
        <v>309.0</v>
      </c>
      <c r="E357" s="4">
        <v>0.0</v>
      </c>
      <c r="F357" s="1" t="s">
        <v>298</v>
      </c>
      <c r="G357" s="1" t="s">
        <v>97</v>
      </c>
      <c r="H357" s="1" t="s">
        <v>92</v>
      </c>
      <c r="I357" s="1" t="s">
        <v>1003</v>
      </c>
      <c r="J357" s="1" t="s">
        <v>1004</v>
      </c>
      <c r="K357" s="1" t="s">
        <v>1005</v>
      </c>
      <c r="L357" s="1" t="s">
        <v>1006</v>
      </c>
      <c r="M357" s="4">
        <v>10.0</v>
      </c>
      <c r="N357" s="4">
        <v>0.00835</v>
      </c>
      <c r="O357" s="4">
        <v>7.1523666666666665</v>
      </c>
    </row>
    <row r="358">
      <c r="A358" s="7">
        <v>45534.0</v>
      </c>
      <c r="B358" s="1" t="s">
        <v>127</v>
      </c>
      <c r="C358" s="1" t="s">
        <v>105</v>
      </c>
      <c r="D358" s="4">
        <v>321.0</v>
      </c>
      <c r="E358" s="4">
        <v>0.0</v>
      </c>
      <c r="G358" s="1" t="s">
        <v>91</v>
      </c>
      <c r="H358" s="1" t="s">
        <v>92</v>
      </c>
      <c r="I358" s="1" t="s">
        <v>1007</v>
      </c>
      <c r="J358" s="1" t="s">
        <v>1008</v>
      </c>
      <c r="K358" s="1" t="s">
        <v>1008</v>
      </c>
      <c r="M358" s="4">
        <v>-1.0</v>
      </c>
      <c r="O358" s="4">
        <v>9.094033333333334</v>
      </c>
    </row>
    <row r="359">
      <c r="A359" s="7">
        <v>45534.0</v>
      </c>
      <c r="B359" s="1" t="s">
        <v>95</v>
      </c>
      <c r="C359" s="1" t="s">
        <v>1009</v>
      </c>
      <c r="D359" s="4">
        <v>309.0</v>
      </c>
      <c r="E359" s="4">
        <v>0.0</v>
      </c>
      <c r="F359" s="1" t="s">
        <v>846</v>
      </c>
      <c r="G359" s="1" t="s">
        <v>97</v>
      </c>
      <c r="H359" s="1" t="s">
        <v>92</v>
      </c>
      <c r="I359" s="1" t="s">
        <v>1010</v>
      </c>
      <c r="J359" s="1" t="s">
        <v>1011</v>
      </c>
      <c r="K359" s="1" t="s">
        <v>1012</v>
      </c>
      <c r="L359" s="1" t="s">
        <v>1013</v>
      </c>
      <c r="M359" s="4">
        <v>1.0</v>
      </c>
      <c r="N359" s="4">
        <v>0.00875</v>
      </c>
      <c r="O359" s="4">
        <v>8.435216666666667</v>
      </c>
    </row>
    <row r="360">
      <c r="A360" s="7">
        <v>45534.0</v>
      </c>
      <c r="B360" s="1" t="s">
        <v>95</v>
      </c>
      <c r="C360" s="1" t="s">
        <v>89</v>
      </c>
      <c r="D360" s="4">
        <v>209.0</v>
      </c>
      <c r="E360" s="4">
        <v>50.0</v>
      </c>
      <c r="G360" s="1" t="s">
        <v>149</v>
      </c>
      <c r="H360" s="1" t="s">
        <v>92</v>
      </c>
      <c r="I360" s="1" t="s">
        <v>1014</v>
      </c>
      <c r="J360" s="1" t="s">
        <v>1015</v>
      </c>
      <c r="K360" s="1" t="s">
        <v>1015</v>
      </c>
      <c r="M360" s="4">
        <v>-7.0</v>
      </c>
      <c r="O360" s="4">
        <v>11.1654</v>
      </c>
    </row>
    <row r="361">
      <c r="A361" s="7">
        <v>45534.0</v>
      </c>
      <c r="B361" s="1" t="s">
        <v>127</v>
      </c>
      <c r="C361" s="1" t="s">
        <v>105</v>
      </c>
      <c r="D361" s="4">
        <v>183.0</v>
      </c>
      <c r="E361" s="4">
        <v>0.0</v>
      </c>
      <c r="G361" s="1" t="s">
        <v>91</v>
      </c>
      <c r="H361" s="1" t="s">
        <v>92</v>
      </c>
      <c r="I361" s="1" t="s">
        <v>1016</v>
      </c>
      <c r="J361" s="1" t="s">
        <v>1017</v>
      </c>
      <c r="K361" s="1" t="s">
        <v>1017</v>
      </c>
      <c r="M361" s="4">
        <v>-2.0</v>
      </c>
      <c r="O361" s="4">
        <v>6.969266666666667</v>
      </c>
    </row>
    <row r="362">
      <c r="A362" s="7">
        <v>45534.0</v>
      </c>
      <c r="B362" s="1" t="s">
        <v>127</v>
      </c>
      <c r="C362" s="1" t="s">
        <v>105</v>
      </c>
      <c r="D362" s="4">
        <v>333.0</v>
      </c>
      <c r="E362" s="4">
        <v>100.0</v>
      </c>
      <c r="G362" s="1" t="s">
        <v>91</v>
      </c>
      <c r="H362" s="1" t="s">
        <v>92</v>
      </c>
      <c r="I362" s="1" t="s">
        <v>1018</v>
      </c>
      <c r="J362" s="1" t="s">
        <v>1019</v>
      </c>
      <c r="K362" s="1" t="s">
        <v>1019</v>
      </c>
      <c r="M362" s="4">
        <v>-2.0</v>
      </c>
      <c r="O362" s="4">
        <v>9.320933333333333</v>
      </c>
    </row>
    <row r="363">
      <c r="A363" s="7">
        <v>45534.0</v>
      </c>
      <c r="B363" s="1" t="s">
        <v>127</v>
      </c>
      <c r="C363" s="1" t="s">
        <v>105</v>
      </c>
      <c r="D363" s="4">
        <v>583.0</v>
      </c>
      <c r="E363" s="4">
        <v>0.0</v>
      </c>
      <c r="G363" s="1" t="s">
        <v>91</v>
      </c>
      <c r="H363" s="1" t="s">
        <v>116</v>
      </c>
      <c r="I363" s="1" t="s">
        <v>1020</v>
      </c>
      <c r="J363" s="1" t="s">
        <v>1021</v>
      </c>
      <c r="K363" s="1" t="s">
        <v>1021</v>
      </c>
      <c r="M363" s="4">
        <v>-4.0</v>
      </c>
      <c r="O363" s="4">
        <v>9.9082</v>
      </c>
    </row>
    <row r="364">
      <c r="A364" s="7">
        <v>45534.0</v>
      </c>
      <c r="B364" s="1" t="s">
        <v>95</v>
      </c>
      <c r="C364" s="1" t="s">
        <v>89</v>
      </c>
      <c r="D364" s="4">
        <v>489.0</v>
      </c>
      <c r="E364" s="4">
        <v>0.0</v>
      </c>
      <c r="F364" s="1" t="s">
        <v>846</v>
      </c>
      <c r="G364" s="1" t="s">
        <v>97</v>
      </c>
      <c r="H364" s="1" t="s">
        <v>92</v>
      </c>
      <c r="I364" s="1" t="s">
        <v>1022</v>
      </c>
      <c r="J364" s="1" t="s">
        <v>1023</v>
      </c>
      <c r="K364" s="1" t="s">
        <v>1024</v>
      </c>
      <c r="L364" s="1" t="s">
        <v>1025</v>
      </c>
      <c r="M364" s="4">
        <v>-3.0</v>
      </c>
      <c r="N364" s="4">
        <v>0.0117</v>
      </c>
      <c r="O364" s="4">
        <v>9.605833333333333</v>
      </c>
    </row>
    <row r="365">
      <c r="A365" s="7">
        <v>45534.0</v>
      </c>
      <c r="B365" s="1" t="s">
        <v>127</v>
      </c>
      <c r="C365" s="1" t="s">
        <v>105</v>
      </c>
      <c r="D365" s="4">
        <v>346.0</v>
      </c>
      <c r="E365" s="4">
        <v>0.0</v>
      </c>
      <c r="G365" s="1" t="s">
        <v>91</v>
      </c>
      <c r="H365" s="1" t="s">
        <v>92</v>
      </c>
      <c r="I365" s="1" t="s">
        <v>1026</v>
      </c>
      <c r="J365" s="1" t="s">
        <v>1027</v>
      </c>
      <c r="K365" s="1" t="s">
        <v>1027</v>
      </c>
      <c r="M365" s="4">
        <v>-1.0</v>
      </c>
      <c r="O365" s="4">
        <v>10.578366666666666</v>
      </c>
    </row>
    <row r="366">
      <c r="A366" s="7">
        <v>45534.0</v>
      </c>
      <c r="B366" s="1" t="s">
        <v>169</v>
      </c>
      <c r="C366" s="1" t="s">
        <v>89</v>
      </c>
      <c r="D366" s="4">
        <v>309.0</v>
      </c>
      <c r="E366" s="4">
        <v>0.0</v>
      </c>
      <c r="G366" s="1" t="s">
        <v>149</v>
      </c>
      <c r="H366" s="1" t="s">
        <v>116</v>
      </c>
      <c r="I366" s="1" t="s">
        <v>1028</v>
      </c>
      <c r="J366" s="1" t="s">
        <v>1029</v>
      </c>
      <c r="K366" s="1" t="s">
        <v>1029</v>
      </c>
      <c r="M366" s="4">
        <v>5.0</v>
      </c>
      <c r="O366" s="4">
        <v>10.396216666666668</v>
      </c>
    </row>
    <row r="367">
      <c r="A367" s="7">
        <v>45534.0</v>
      </c>
      <c r="B367" s="1" t="s">
        <v>127</v>
      </c>
      <c r="C367" s="1" t="s">
        <v>105</v>
      </c>
      <c r="D367" s="4">
        <v>329.0</v>
      </c>
      <c r="E367" s="4">
        <v>0.0</v>
      </c>
      <c r="G367" s="1" t="s">
        <v>91</v>
      </c>
      <c r="H367" s="1" t="s">
        <v>116</v>
      </c>
      <c r="I367" s="1" t="s">
        <v>1030</v>
      </c>
      <c r="J367" s="1" t="s">
        <v>1031</v>
      </c>
      <c r="K367" s="1" t="s">
        <v>1031</v>
      </c>
      <c r="M367" s="4">
        <v>-1.0</v>
      </c>
      <c r="O367" s="4">
        <v>9.603466666666666</v>
      </c>
    </row>
    <row r="368">
      <c r="A368" s="7">
        <v>45534.0</v>
      </c>
      <c r="B368" s="1" t="s">
        <v>169</v>
      </c>
      <c r="C368" s="1" t="s">
        <v>89</v>
      </c>
      <c r="D368" s="4">
        <v>618.0</v>
      </c>
      <c r="E368" s="4">
        <v>0.0</v>
      </c>
      <c r="G368" s="1" t="s">
        <v>149</v>
      </c>
      <c r="H368" s="1" t="s">
        <v>116</v>
      </c>
      <c r="I368" s="1" t="s">
        <v>1032</v>
      </c>
      <c r="J368" s="1" t="s">
        <v>1033</v>
      </c>
      <c r="K368" s="1" t="s">
        <v>1033</v>
      </c>
      <c r="M368" s="4">
        <v>9.0</v>
      </c>
      <c r="O368" s="4">
        <v>14.0355</v>
      </c>
    </row>
    <row r="369">
      <c r="A369" s="7">
        <v>45534.0</v>
      </c>
      <c r="B369" s="1" t="s">
        <v>95</v>
      </c>
      <c r="C369" s="1" t="s">
        <v>89</v>
      </c>
      <c r="D369" s="4">
        <v>387.0</v>
      </c>
      <c r="E369" s="4">
        <v>0.0</v>
      </c>
      <c r="F369" s="1" t="s">
        <v>298</v>
      </c>
      <c r="G369" s="1" t="s">
        <v>97</v>
      </c>
      <c r="H369" s="1" t="s">
        <v>92</v>
      </c>
      <c r="I369" s="1" t="s">
        <v>1034</v>
      </c>
      <c r="J369" s="1" t="s">
        <v>1035</v>
      </c>
      <c r="K369" s="1" t="s">
        <v>1036</v>
      </c>
      <c r="L369" s="1" t="s">
        <v>1037</v>
      </c>
      <c r="M369" s="4">
        <v>-3.0</v>
      </c>
      <c r="N369" s="4">
        <v>0.009383333333333334</v>
      </c>
      <c r="O369" s="4">
        <v>9.584816666666667</v>
      </c>
    </row>
    <row r="370">
      <c r="A370" s="7">
        <v>45534.0</v>
      </c>
      <c r="B370" s="1" t="s">
        <v>95</v>
      </c>
      <c r="C370" s="1" t="s">
        <v>89</v>
      </c>
      <c r="D370" s="4">
        <v>269.0</v>
      </c>
      <c r="E370" s="4">
        <v>0.0</v>
      </c>
      <c r="F370" s="1" t="s">
        <v>846</v>
      </c>
      <c r="G370" s="1" t="s">
        <v>97</v>
      </c>
      <c r="H370" s="1" t="s">
        <v>92</v>
      </c>
      <c r="I370" s="1" t="s">
        <v>1038</v>
      </c>
      <c r="J370" s="1" t="s">
        <v>1039</v>
      </c>
      <c r="K370" s="1" t="s">
        <v>1040</v>
      </c>
      <c r="L370" s="1" t="s">
        <v>1041</v>
      </c>
      <c r="M370" s="4">
        <v>-6.0</v>
      </c>
      <c r="N370" s="4">
        <v>0.011133333333333334</v>
      </c>
      <c r="O370" s="4">
        <v>10.658433333333333</v>
      </c>
    </row>
    <row r="371">
      <c r="A371" s="7">
        <v>45534.0</v>
      </c>
      <c r="B371" s="1" t="s">
        <v>95</v>
      </c>
      <c r="C371" s="1" t="s">
        <v>89</v>
      </c>
      <c r="D371" s="4">
        <v>573.0</v>
      </c>
      <c r="E371" s="4">
        <v>15.0</v>
      </c>
      <c r="F371" s="1" t="s">
        <v>846</v>
      </c>
      <c r="G371" s="1" t="s">
        <v>97</v>
      </c>
      <c r="H371" s="1" t="s">
        <v>92</v>
      </c>
      <c r="I371" s="1" t="s">
        <v>1042</v>
      </c>
      <c r="J371" s="1" t="s">
        <v>1043</v>
      </c>
      <c r="K371" s="1" t="s">
        <v>1044</v>
      </c>
      <c r="L371" s="1" t="s">
        <v>1045</v>
      </c>
      <c r="M371" s="4">
        <v>14.0</v>
      </c>
      <c r="N371" s="4">
        <v>0.008633333333333333</v>
      </c>
      <c r="O371" s="4">
        <v>11.3383</v>
      </c>
    </row>
    <row r="372">
      <c r="A372" s="7">
        <v>45534.0</v>
      </c>
      <c r="B372" s="1" t="s">
        <v>104</v>
      </c>
      <c r="C372" s="1" t="s">
        <v>105</v>
      </c>
      <c r="D372" s="4">
        <v>321.0</v>
      </c>
      <c r="E372" s="4">
        <v>0.0</v>
      </c>
      <c r="F372" s="1" t="s">
        <v>1046</v>
      </c>
      <c r="G372" s="1" t="s">
        <v>91</v>
      </c>
      <c r="H372" s="1" t="s">
        <v>92</v>
      </c>
      <c r="I372" s="1" t="s">
        <v>1047</v>
      </c>
      <c r="J372" s="1" t="s">
        <v>1048</v>
      </c>
      <c r="K372" s="1" t="s">
        <v>1048</v>
      </c>
      <c r="M372" s="4">
        <v>-4.0</v>
      </c>
      <c r="O372" s="4">
        <v>10.005883333333333</v>
      </c>
    </row>
    <row r="373">
      <c r="A373" s="7">
        <v>45534.0</v>
      </c>
      <c r="B373" s="1" t="s">
        <v>169</v>
      </c>
      <c r="C373" s="1" t="s">
        <v>89</v>
      </c>
      <c r="D373" s="4">
        <v>249.0</v>
      </c>
      <c r="E373" s="4">
        <v>0.0</v>
      </c>
      <c r="G373" s="1" t="s">
        <v>149</v>
      </c>
      <c r="H373" s="1" t="s">
        <v>116</v>
      </c>
      <c r="I373" s="1" t="s">
        <v>1049</v>
      </c>
      <c r="J373" s="1" t="s">
        <v>1050</v>
      </c>
      <c r="K373" s="1" t="s">
        <v>1050</v>
      </c>
      <c r="M373" s="4">
        <v>4.0</v>
      </c>
      <c r="O373" s="4">
        <v>9.677516666666667</v>
      </c>
    </row>
    <row r="374">
      <c r="A374" s="7">
        <v>45534.0</v>
      </c>
      <c r="B374" s="1" t="s">
        <v>169</v>
      </c>
      <c r="C374" s="1" t="s">
        <v>89</v>
      </c>
      <c r="D374" s="4">
        <v>558.0</v>
      </c>
      <c r="E374" s="4">
        <v>0.0</v>
      </c>
      <c r="G374" s="1" t="s">
        <v>149</v>
      </c>
      <c r="H374" s="1" t="s">
        <v>116</v>
      </c>
      <c r="I374" s="1" t="s">
        <v>1051</v>
      </c>
      <c r="J374" s="1" t="s">
        <v>1052</v>
      </c>
      <c r="K374" s="1" t="s">
        <v>1052</v>
      </c>
      <c r="M374" s="4">
        <v>1.0</v>
      </c>
      <c r="O374" s="4">
        <v>6.7999</v>
      </c>
    </row>
    <row r="375">
      <c r="A375" s="7">
        <v>45534.0</v>
      </c>
      <c r="B375" s="1" t="s">
        <v>127</v>
      </c>
      <c r="C375" s="1" t="s">
        <v>105</v>
      </c>
      <c r="D375" s="4">
        <v>329.0</v>
      </c>
      <c r="E375" s="4">
        <v>0.0</v>
      </c>
      <c r="G375" s="1" t="s">
        <v>91</v>
      </c>
      <c r="H375" s="1" t="s">
        <v>92</v>
      </c>
      <c r="I375" s="1" t="s">
        <v>1053</v>
      </c>
      <c r="J375" s="1" t="s">
        <v>1054</v>
      </c>
      <c r="K375" s="1" t="s">
        <v>1054</v>
      </c>
      <c r="M375" s="4">
        <v>6.0</v>
      </c>
      <c r="O375" s="4">
        <v>17.119933333333332</v>
      </c>
    </row>
    <row r="376">
      <c r="A376" s="7">
        <v>45534.0</v>
      </c>
      <c r="B376" s="1" t="s">
        <v>127</v>
      </c>
      <c r="C376" s="1" t="s">
        <v>105</v>
      </c>
      <c r="D376" s="4">
        <v>239.0</v>
      </c>
      <c r="E376" s="4">
        <v>50.0</v>
      </c>
      <c r="G376" s="1" t="s">
        <v>91</v>
      </c>
      <c r="H376" s="1" t="s">
        <v>92</v>
      </c>
      <c r="I376" s="1" t="s">
        <v>1055</v>
      </c>
      <c r="J376" s="1" t="s">
        <v>1056</v>
      </c>
      <c r="K376" s="1" t="s">
        <v>1056</v>
      </c>
      <c r="M376" s="4">
        <v>-1.0</v>
      </c>
      <c r="O376" s="4">
        <v>9.020066666666667</v>
      </c>
    </row>
    <row r="377">
      <c r="A377" s="7">
        <v>45534.0</v>
      </c>
      <c r="B377" s="1" t="s">
        <v>95</v>
      </c>
      <c r="C377" s="1" t="s">
        <v>89</v>
      </c>
      <c r="D377" s="4">
        <v>267.0</v>
      </c>
      <c r="E377" s="4">
        <v>62.0</v>
      </c>
      <c r="G377" s="1" t="s">
        <v>149</v>
      </c>
      <c r="H377" s="1" t="s">
        <v>92</v>
      </c>
      <c r="I377" s="1" t="s">
        <v>1057</v>
      </c>
      <c r="J377" s="1" t="s">
        <v>1058</v>
      </c>
      <c r="K377" s="1" t="s">
        <v>1058</v>
      </c>
      <c r="M377" s="4">
        <v>-6.0</v>
      </c>
      <c r="O377" s="4">
        <v>12.19515</v>
      </c>
    </row>
    <row r="378">
      <c r="A378" s="7">
        <v>45534.0</v>
      </c>
      <c r="B378" s="1" t="s">
        <v>95</v>
      </c>
      <c r="C378" s="1" t="s">
        <v>89</v>
      </c>
      <c r="D378" s="4">
        <v>434.0</v>
      </c>
      <c r="E378" s="4">
        <v>104.0</v>
      </c>
      <c r="G378" s="1" t="s">
        <v>149</v>
      </c>
      <c r="H378" s="1" t="s">
        <v>153</v>
      </c>
      <c r="I378" s="1" t="s">
        <v>1059</v>
      </c>
      <c r="J378" s="1" t="s">
        <v>1060</v>
      </c>
      <c r="K378" s="1" t="s">
        <v>1060</v>
      </c>
      <c r="M378" s="4">
        <v>-7.0</v>
      </c>
      <c r="O378" s="4">
        <v>11.11585</v>
      </c>
    </row>
    <row r="379">
      <c r="A379" s="7">
        <v>45534.0</v>
      </c>
      <c r="B379" s="1" t="s">
        <v>169</v>
      </c>
      <c r="C379" s="1" t="s">
        <v>89</v>
      </c>
      <c r="D379" s="4">
        <v>249.0</v>
      </c>
      <c r="E379" s="4">
        <v>0.0</v>
      </c>
      <c r="G379" s="1" t="s">
        <v>149</v>
      </c>
      <c r="H379" s="1" t="s">
        <v>116</v>
      </c>
      <c r="I379" s="1" t="s">
        <v>1061</v>
      </c>
      <c r="J379" s="1" t="s">
        <v>1062</v>
      </c>
      <c r="K379" s="1" t="s">
        <v>1062</v>
      </c>
      <c r="M379" s="4">
        <v>4.0</v>
      </c>
      <c r="O379" s="4">
        <v>9.772216666666667</v>
      </c>
    </row>
    <row r="380">
      <c r="A380" s="7">
        <v>45534.0</v>
      </c>
      <c r="B380" s="1" t="s">
        <v>169</v>
      </c>
      <c r="C380" s="1" t="s">
        <v>89</v>
      </c>
      <c r="D380" s="4">
        <v>119.0</v>
      </c>
      <c r="E380" s="4">
        <v>0.0</v>
      </c>
      <c r="G380" s="1" t="s">
        <v>149</v>
      </c>
      <c r="H380" s="1" t="s">
        <v>116</v>
      </c>
      <c r="I380" s="1" t="s">
        <v>1063</v>
      </c>
      <c r="J380" s="1" t="s">
        <v>1064</v>
      </c>
      <c r="K380" s="1" t="s">
        <v>1064</v>
      </c>
      <c r="M380" s="4">
        <v>4.0</v>
      </c>
      <c r="O380" s="4">
        <v>9.00935</v>
      </c>
    </row>
    <row r="381">
      <c r="A381" s="7">
        <v>45534.0</v>
      </c>
      <c r="B381" s="1" t="s">
        <v>127</v>
      </c>
      <c r="C381" s="1" t="s">
        <v>89</v>
      </c>
      <c r="D381" s="4">
        <v>264.0</v>
      </c>
      <c r="E381" s="4">
        <v>100.0</v>
      </c>
      <c r="G381" s="1" t="s">
        <v>91</v>
      </c>
      <c r="H381" s="1" t="s">
        <v>92</v>
      </c>
      <c r="I381" s="1" t="s">
        <v>1065</v>
      </c>
      <c r="J381" s="1" t="s">
        <v>1066</v>
      </c>
      <c r="K381" s="1" t="s">
        <v>1066</v>
      </c>
      <c r="M381" s="4">
        <v>2.0</v>
      </c>
      <c r="O381" s="4">
        <v>14.1992</v>
      </c>
    </row>
    <row r="382">
      <c r="A382" s="7">
        <v>45534.0</v>
      </c>
      <c r="B382" s="1" t="s">
        <v>95</v>
      </c>
      <c r="C382" s="1" t="s">
        <v>89</v>
      </c>
      <c r="D382" s="4">
        <v>368.0</v>
      </c>
      <c r="E382" s="4">
        <v>0.0</v>
      </c>
      <c r="F382" s="1" t="s">
        <v>846</v>
      </c>
      <c r="G382" s="1" t="s">
        <v>97</v>
      </c>
      <c r="H382" s="1" t="s">
        <v>92</v>
      </c>
      <c r="I382" s="1" t="s">
        <v>1067</v>
      </c>
      <c r="J382" s="1" t="s">
        <v>1068</v>
      </c>
      <c r="K382" s="1" t="s">
        <v>1069</v>
      </c>
      <c r="L382" s="1" t="s">
        <v>1070</v>
      </c>
      <c r="M382" s="4">
        <v>3.0</v>
      </c>
      <c r="N382" s="4">
        <v>0.0081</v>
      </c>
      <c r="O382" s="4">
        <v>12.618433333333334</v>
      </c>
    </row>
    <row r="383">
      <c r="A383" s="7">
        <v>45534.0</v>
      </c>
      <c r="B383" s="1" t="s">
        <v>88</v>
      </c>
      <c r="C383" s="1" t="s">
        <v>89</v>
      </c>
      <c r="D383" s="4">
        <v>387.0</v>
      </c>
      <c r="E383" s="4">
        <v>0.0</v>
      </c>
      <c r="F383" s="1" t="s">
        <v>90</v>
      </c>
      <c r="G383" s="1" t="s">
        <v>91</v>
      </c>
      <c r="H383" s="1" t="s">
        <v>92</v>
      </c>
      <c r="I383" s="1" t="s">
        <v>1071</v>
      </c>
      <c r="J383" s="1" t="s">
        <v>1072</v>
      </c>
      <c r="K383" s="1" t="s">
        <v>1072</v>
      </c>
      <c r="M383" s="4">
        <v>-9.0</v>
      </c>
      <c r="O383" s="4">
        <v>9.328083333333334</v>
      </c>
    </row>
    <row r="384">
      <c r="A384" s="7">
        <v>45534.0</v>
      </c>
      <c r="B384" s="1" t="s">
        <v>95</v>
      </c>
      <c r="C384" s="1" t="s">
        <v>89</v>
      </c>
      <c r="D384" s="4">
        <v>309.0</v>
      </c>
      <c r="E384" s="4">
        <v>0.0</v>
      </c>
      <c r="F384" s="1" t="s">
        <v>298</v>
      </c>
      <c r="G384" s="1" t="s">
        <v>97</v>
      </c>
      <c r="H384" s="1" t="s">
        <v>92</v>
      </c>
      <c r="I384" s="1" t="s">
        <v>1073</v>
      </c>
      <c r="J384" s="1" t="s">
        <v>1074</v>
      </c>
      <c r="K384" s="1" t="s">
        <v>1075</v>
      </c>
      <c r="L384" s="1" t="s">
        <v>1076</v>
      </c>
      <c r="M384" s="4">
        <v>-4.0</v>
      </c>
      <c r="N384" s="4">
        <v>0.009933333333333334</v>
      </c>
      <c r="O384" s="4">
        <v>10.8984</v>
      </c>
    </row>
    <row r="385">
      <c r="A385" s="7">
        <v>45534.0</v>
      </c>
      <c r="B385" s="1" t="s">
        <v>95</v>
      </c>
      <c r="C385" s="1" t="s">
        <v>89</v>
      </c>
      <c r="D385" s="4">
        <v>347.0</v>
      </c>
      <c r="E385" s="4">
        <v>0.0</v>
      </c>
      <c r="F385" s="1" t="s">
        <v>846</v>
      </c>
      <c r="G385" s="1" t="s">
        <v>97</v>
      </c>
      <c r="H385" s="1" t="s">
        <v>92</v>
      </c>
      <c r="I385" s="1" t="s">
        <v>1077</v>
      </c>
      <c r="J385" s="1" t="s">
        <v>1078</v>
      </c>
      <c r="K385" s="1" t="s">
        <v>1079</v>
      </c>
      <c r="L385" s="1" t="s">
        <v>1080</v>
      </c>
      <c r="M385" s="4">
        <v>0.0</v>
      </c>
      <c r="N385" s="4">
        <v>0.0117</v>
      </c>
      <c r="O385" s="4">
        <v>7.140833333333333</v>
      </c>
    </row>
    <row r="386">
      <c r="A386" s="7">
        <v>45534.0</v>
      </c>
      <c r="B386" s="1" t="s">
        <v>95</v>
      </c>
      <c r="C386" s="1" t="s">
        <v>89</v>
      </c>
      <c r="D386" s="4">
        <v>378.0</v>
      </c>
      <c r="E386" s="4">
        <v>75.0</v>
      </c>
      <c r="G386" s="1" t="s">
        <v>149</v>
      </c>
      <c r="H386" s="1" t="s">
        <v>153</v>
      </c>
      <c r="I386" s="1" t="s">
        <v>1081</v>
      </c>
      <c r="J386" s="1" t="s">
        <v>1082</v>
      </c>
      <c r="K386" s="1" t="s">
        <v>1082</v>
      </c>
      <c r="M386" s="4">
        <v>-21.0</v>
      </c>
      <c r="O386" s="4">
        <v>11.829133333333333</v>
      </c>
    </row>
    <row r="387">
      <c r="A387" s="7">
        <v>45534.0</v>
      </c>
      <c r="B387" s="1" t="s">
        <v>95</v>
      </c>
      <c r="C387" s="1" t="s">
        <v>89</v>
      </c>
      <c r="D387" s="4">
        <v>238.0</v>
      </c>
      <c r="E387" s="4">
        <v>12.0</v>
      </c>
      <c r="F387" s="1" t="s">
        <v>846</v>
      </c>
      <c r="G387" s="1" t="s">
        <v>97</v>
      </c>
      <c r="H387" s="1" t="s">
        <v>92</v>
      </c>
      <c r="I387" s="1" t="s">
        <v>1083</v>
      </c>
      <c r="J387" s="1" t="s">
        <v>1084</v>
      </c>
      <c r="K387" s="1" t="s">
        <v>1085</v>
      </c>
      <c r="L387" s="1" t="s">
        <v>1086</v>
      </c>
      <c r="M387" s="4">
        <v>-9.0</v>
      </c>
      <c r="N387" s="4">
        <v>0.01335</v>
      </c>
      <c r="O387" s="4">
        <v>9.5619</v>
      </c>
    </row>
    <row r="388">
      <c r="A388" s="7">
        <v>45534.0</v>
      </c>
      <c r="B388" s="1" t="s">
        <v>88</v>
      </c>
      <c r="C388" s="1" t="s">
        <v>89</v>
      </c>
      <c r="D388" s="4">
        <v>289.0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1087</v>
      </c>
      <c r="J388" s="1" t="s">
        <v>1088</v>
      </c>
      <c r="K388" s="1" t="s">
        <v>1088</v>
      </c>
      <c r="M388" s="4">
        <v>3.0</v>
      </c>
      <c r="O388" s="4">
        <v>18.018433333333334</v>
      </c>
    </row>
    <row r="389">
      <c r="A389" s="7">
        <v>45534.0</v>
      </c>
      <c r="B389" s="1" t="s">
        <v>127</v>
      </c>
      <c r="C389" s="1" t="s">
        <v>105</v>
      </c>
      <c r="D389" s="4">
        <v>214.0</v>
      </c>
      <c r="E389" s="4">
        <v>50.0</v>
      </c>
      <c r="G389" s="1" t="s">
        <v>91</v>
      </c>
      <c r="H389" s="1" t="s">
        <v>92</v>
      </c>
      <c r="I389" s="1" t="s">
        <v>1089</v>
      </c>
      <c r="J389" s="1" t="s">
        <v>1090</v>
      </c>
      <c r="K389" s="1" t="s">
        <v>1090</v>
      </c>
      <c r="M389" s="4">
        <v>9.0</v>
      </c>
      <c r="O389" s="4">
        <v>20.572183333333335</v>
      </c>
    </row>
    <row r="390">
      <c r="A390" s="7">
        <v>45534.0</v>
      </c>
      <c r="B390" s="1" t="s">
        <v>127</v>
      </c>
      <c r="C390" s="1" t="s">
        <v>105</v>
      </c>
      <c r="D390" s="4">
        <v>324.0</v>
      </c>
      <c r="E390" s="4">
        <v>0.0</v>
      </c>
      <c r="G390" s="1" t="s">
        <v>91</v>
      </c>
      <c r="H390" s="1" t="s">
        <v>92</v>
      </c>
      <c r="I390" s="1" t="s">
        <v>1091</v>
      </c>
      <c r="J390" s="1" t="s">
        <v>1092</v>
      </c>
      <c r="K390" s="1" t="s">
        <v>1092</v>
      </c>
      <c r="M390" s="4">
        <v>8.0</v>
      </c>
      <c r="O390" s="4">
        <v>19.736</v>
      </c>
    </row>
    <row r="391">
      <c r="A391" s="7">
        <v>45534.0</v>
      </c>
      <c r="B391" s="1" t="s">
        <v>88</v>
      </c>
      <c r="C391" s="1" t="s">
        <v>89</v>
      </c>
      <c r="D391" s="4">
        <v>321.0</v>
      </c>
      <c r="E391" s="4">
        <v>0.0</v>
      </c>
      <c r="F391" s="1" t="s">
        <v>90</v>
      </c>
      <c r="G391" s="1" t="s">
        <v>91</v>
      </c>
      <c r="H391" s="1" t="s">
        <v>92</v>
      </c>
      <c r="I391" s="1" t="s">
        <v>1093</v>
      </c>
      <c r="J391" s="1" t="s">
        <v>1094</v>
      </c>
      <c r="K391" s="1" t="s">
        <v>1094</v>
      </c>
      <c r="M391" s="4">
        <v>3.0</v>
      </c>
      <c r="O391" s="4">
        <v>18.379466666666666</v>
      </c>
    </row>
    <row r="392">
      <c r="A392" s="7">
        <v>45534.0</v>
      </c>
      <c r="B392" s="1" t="s">
        <v>104</v>
      </c>
      <c r="C392" s="1" t="s">
        <v>105</v>
      </c>
      <c r="D392" s="4">
        <v>328.0</v>
      </c>
      <c r="E392" s="4">
        <v>0.0</v>
      </c>
      <c r="F392" s="1" t="s">
        <v>1095</v>
      </c>
      <c r="G392" s="1" t="s">
        <v>91</v>
      </c>
      <c r="H392" s="1" t="s">
        <v>92</v>
      </c>
      <c r="I392" s="1" t="s">
        <v>1096</v>
      </c>
      <c r="J392" s="1" t="s">
        <v>1097</v>
      </c>
      <c r="K392" s="1" t="s">
        <v>1097</v>
      </c>
      <c r="M392" s="4">
        <v>3.0</v>
      </c>
      <c r="O392" s="4">
        <v>18.148083333333332</v>
      </c>
    </row>
    <row r="393">
      <c r="A393" s="7">
        <v>45534.0</v>
      </c>
      <c r="B393" s="1" t="s">
        <v>95</v>
      </c>
      <c r="C393" s="1" t="s">
        <v>89</v>
      </c>
      <c r="D393" s="4">
        <v>526.0</v>
      </c>
      <c r="E393" s="4">
        <v>0.0</v>
      </c>
      <c r="F393" s="1" t="s">
        <v>90</v>
      </c>
      <c r="G393" s="1" t="s">
        <v>97</v>
      </c>
      <c r="H393" s="1" t="s">
        <v>92</v>
      </c>
      <c r="I393" s="1" t="s">
        <v>1098</v>
      </c>
      <c r="J393" s="1" t="s">
        <v>1099</v>
      </c>
      <c r="K393" s="1" t="s">
        <v>1100</v>
      </c>
      <c r="L393" s="1" t="s">
        <v>1101</v>
      </c>
      <c r="M393" s="4">
        <v>2.0</v>
      </c>
      <c r="N393" s="4">
        <v>9.951966666666667</v>
      </c>
      <c r="O393" s="4">
        <v>9.973383333333333</v>
      </c>
    </row>
    <row r="394">
      <c r="A394" s="7">
        <v>45534.0</v>
      </c>
      <c r="B394" s="1" t="s">
        <v>95</v>
      </c>
      <c r="C394" s="1" t="s">
        <v>89</v>
      </c>
      <c r="D394" s="4">
        <v>612.0</v>
      </c>
      <c r="E394" s="4">
        <v>0.0</v>
      </c>
      <c r="F394" s="1" t="s">
        <v>90</v>
      </c>
      <c r="G394" s="1" t="s">
        <v>97</v>
      </c>
      <c r="H394" s="1" t="s">
        <v>116</v>
      </c>
      <c r="I394" s="1" t="s">
        <v>1102</v>
      </c>
      <c r="J394" s="1" t="s">
        <v>1103</v>
      </c>
      <c r="K394" s="1" t="s">
        <v>1104</v>
      </c>
      <c r="L394" s="1" t="s">
        <v>1105</v>
      </c>
      <c r="M394" s="4">
        <v>7.0</v>
      </c>
      <c r="N394" s="4">
        <v>45.01045</v>
      </c>
      <c r="O394" s="4">
        <v>55.65295</v>
      </c>
    </row>
    <row r="395">
      <c r="A395" s="7">
        <v>45535.0</v>
      </c>
      <c r="B395" s="1" t="s">
        <v>169</v>
      </c>
      <c r="C395" s="1" t="s">
        <v>89</v>
      </c>
      <c r="D395" s="4">
        <v>49.0</v>
      </c>
      <c r="E395" s="4">
        <v>0.0</v>
      </c>
      <c r="G395" s="1" t="s">
        <v>149</v>
      </c>
      <c r="H395" s="1" t="s">
        <v>116</v>
      </c>
      <c r="I395" s="1" t="s">
        <v>1106</v>
      </c>
      <c r="J395" s="1" t="s">
        <v>1107</v>
      </c>
      <c r="K395" s="1" t="s">
        <v>1107</v>
      </c>
      <c r="M395" s="4">
        <v>2.0</v>
      </c>
      <c r="O395" s="4">
        <v>7.810083333333333</v>
      </c>
    </row>
    <row r="396">
      <c r="A396" s="7">
        <v>45535.0</v>
      </c>
      <c r="B396" s="1" t="s">
        <v>95</v>
      </c>
      <c r="C396" s="1" t="s">
        <v>89</v>
      </c>
      <c r="D396" s="4">
        <v>388.0</v>
      </c>
      <c r="E396" s="4">
        <v>0.0</v>
      </c>
      <c r="F396" s="1" t="s">
        <v>90</v>
      </c>
      <c r="G396" s="1" t="s">
        <v>97</v>
      </c>
      <c r="H396" s="1" t="s">
        <v>92</v>
      </c>
      <c r="I396" s="1" t="s">
        <v>1108</v>
      </c>
      <c r="J396" s="1" t="s">
        <v>1109</v>
      </c>
      <c r="K396" s="1" t="s">
        <v>1110</v>
      </c>
      <c r="L396" s="1" t="s">
        <v>1111</v>
      </c>
      <c r="M396" s="4">
        <v>8.0</v>
      </c>
      <c r="N396" s="4">
        <v>6.6984</v>
      </c>
      <c r="O396" s="4">
        <v>12.93805</v>
      </c>
    </row>
    <row r="397">
      <c r="A397" s="7">
        <v>45535.0</v>
      </c>
      <c r="B397" s="1" t="s">
        <v>127</v>
      </c>
      <c r="C397" s="1" t="s">
        <v>89</v>
      </c>
      <c r="D397" s="4">
        <v>350.0</v>
      </c>
      <c r="E397" s="4">
        <v>0.0</v>
      </c>
      <c r="G397" s="1" t="s">
        <v>91</v>
      </c>
      <c r="H397" s="1" t="s">
        <v>116</v>
      </c>
      <c r="I397" s="1" t="s">
        <v>1112</v>
      </c>
      <c r="J397" s="1" t="s">
        <v>1113</v>
      </c>
      <c r="K397" s="1" t="s">
        <v>1113</v>
      </c>
      <c r="M397" s="4">
        <v>1.0</v>
      </c>
      <c r="O397" s="4">
        <v>13.12025</v>
      </c>
    </row>
    <row r="398">
      <c r="A398" s="7">
        <v>45535.0</v>
      </c>
      <c r="B398" s="1" t="s">
        <v>169</v>
      </c>
      <c r="C398" s="1" t="s">
        <v>89</v>
      </c>
      <c r="D398" s="4">
        <v>119.0</v>
      </c>
      <c r="E398" s="4">
        <v>0.0</v>
      </c>
      <c r="G398" s="1" t="s">
        <v>149</v>
      </c>
      <c r="H398" s="1" t="s">
        <v>116</v>
      </c>
      <c r="I398" s="1" t="s">
        <v>1114</v>
      </c>
      <c r="J398" s="1" t="s">
        <v>1115</v>
      </c>
      <c r="K398" s="1" t="s">
        <v>1115</v>
      </c>
      <c r="M398" s="4">
        <v>2.0</v>
      </c>
      <c r="O398" s="4">
        <v>7.8571</v>
      </c>
    </row>
    <row r="399">
      <c r="A399" s="7">
        <v>45535.0</v>
      </c>
      <c r="B399" s="1" t="s">
        <v>169</v>
      </c>
      <c r="C399" s="1" t="s">
        <v>152</v>
      </c>
      <c r="D399" s="4">
        <v>249.0</v>
      </c>
      <c r="E399" s="4">
        <v>0.0</v>
      </c>
      <c r="G399" s="1" t="s">
        <v>149</v>
      </c>
      <c r="H399" s="1" t="s">
        <v>116</v>
      </c>
      <c r="I399" s="1" t="s">
        <v>1116</v>
      </c>
      <c r="M399" s="4">
        <v>0.0</v>
      </c>
    </row>
    <row r="400">
      <c r="A400" s="7">
        <v>45535.0</v>
      </c>
      <c r="B400" s="1" t="s">
        <v>127</v>
      </c>
      <c r="C400" s="1" t="s">
        <v>105</v>
      </c>
      <c r="D400" s="4">
        <v>294.0</v>
      </c>
      <c r="E400" s="4">
        <v>100.0</v>
      </c>
      <c r="G400" s="1" t="s">
        <v>91</v>
      </c>
      <c r="H400" s="1" t="s">
        <v>92</v>
      </c>
      <c r="I400" s="1" t="s">
        <v>1117</v>
      </c>
      <c r="J400" s="1" t="s">
        <v>1118</v>
      </c>
      <c r="K400" s="1" t="s">
        <v>1118</v>
      </c>
      <c r="M400" s="4">
        <v>2.0</v>
      </c>
      <c r="O400" s="4">
        <v>15.06505</v>
      </c>
    </row>
    <row r="401">
      <c r="A401" s="7">
        <v>45535.0</v>
      </c>
      <c r="B401" s="1" t="s">
        <v>127</v>
      </c>
      <c r="C401" s="1" t="s">
        <v>105</v>
      </c>
      <c r="D401" s="4">
        <v>397.0</v>
      </c>
      <c r="E401" s="4">
        <v>0.0</v>
      </c>
      <c r="G401" s="1" t="s">
        <v>91</v>
      </c>
      <c r="H401" s="1" t="s">
        <v>92</v>
      </c>
      <c r="I401" s="1" t="s">
        <v>1119</v>
      </c>
      <c r="J401" s="1" t="s">
        <v>1120</v>
      </c>
      <c r="K401" s="1" t="s">
        <v>1120</v>
      </c>
      <c r="M401" s="4">
        <v>-2.0</v>
      </c>
      <c r="O401" s="4">
        <v>10.72</v>
      </c>
    </row>
    <row r="402">
      <c r="A402" s="7">
        <v>45535.0</v>
      </c>
      <c r="B402" s="1" t="s">
        <v>127</v>
      </c>
      <c r="C402" s="1" t="s">
        <v>105</v>
      </c>
      <c r="D402" s="4">
        <v>268.0</v>
      </c>
      <c r="E402" s="4">
        <v>100.0</v>
      </c>
      <c r="G402" s="1" t="s">
        <v>91</v>
      </c>
      <c r="H402" s="1" t="s">
        <v>116</v>
      </c>
      <c r="I402" s="1" t="s">
        <v>1121</v>
      </c>
      <c r="J402" s="1" t="s">
        <v>1122</v>
      </c>
      <c r="K402" s="1" t="s">
        <v>1122</v>
      </c>
      <c r="M402" s="4">
        <v>1.0</v>
      </c>
      <c r="O402" s="4">
        <v>13.935116666666667</v>
      </c>
    </row>
    <row r="403">
      <c r="A403" s="7">
        <v>45535.0</v>
      </c>
      <c r="B403" s="1" t="s">
        <v>127</v>
      </c>
      <c r="C403" s="1" t="s">
        <v>105</v>
      </c>
      <c r="D403" s="4">
        <v>260.0</v>
      </c>
      <c r="E403" s="4">
        <v>100.0</v>
      </c>
      <c r="G403" s="1" t="s">
        <v>91</v>
      </c>
      <c r="H403" s="1" t="s">
        <v>92</v>
      </c>
      <c r="I403" s="1" t="s">
        <v>1123</v>
      </c>
      <c r="J403" s="1" t="s">
        <v>1124</v>
      </c>
      <c r="K403" s="1" t="s">
        <v>1124</v>
      </c>
      <c r="M403" s="4">
        <v>1.0</v>
      </c>
      <c r="O403" s="4">
        <v>14.666283333333332</v>
      </c>
    </row>
    <row r="404">
      <c r="A404" s="7">
        <v>45535.0</v>
      </c>
      <c r="B404" s="1" t="s">
        <v>104</v>
      </c>
      <c r="C404" s="1" t="s">
        <v>105</v>
      </c>
      <c r="D404" s="4">
        <v>264.0</v>
      </c>
      <c r="E404" s="4">
        <v>0.0</v>
      </c>
      <c r="F404" s="1" t="s">
        <v>1125</v>
      </c>
      <c r="G404" s="1" t="s">
        <v>91</v>
      </c>
      <c r="H404" s="1" t="s">
        <v>92</v>
      </c>
      <c r="I404" s="1" t="s">
        <v>1126</v>
      </c>
      <c r="J404" s="1" t="s">
        <v>1127</v>
      </c>
      <c r="K404" s="1" t="s">
        <v>1127</v>
      </c>
      <c r="M404" s="4">
        <v>0.0</v>
      </c>
      <c r="O404" s="4">
        <v>15.32795</v>
      </c>
    </row>
    <row r="405">
      <c r="A405" s="7">
        <v>45535.0</v>
      </c>
      <c r="B405" s="1" t="s">
        <v>95</v>
      </c>
      <c r="C405" s="1" t="s">
        <v>89</v>
      </c>
      <c r="D405" s="4">
        <v>376.0</v>
      </c>
      <c r="E405" s="4">
        <v>0.0</v>
      </c>
      <c r="G405" s="1" t="s">
        <v>149</v>
      </c>
      <c r="H405" s="1" t="s">
        <v>116</v>
      </c>
      <c r="I405" s="1" t="s">
        <v>1128</v>
      </c>
      <c r="J405" s="1" t="s">
        <v>1129</v>
      </c>
      <c r="K405" s="1" t="s">
        <v>1129</v>
      </c>
      <c r="M405" s="4">
        <v>-2.0</v>
      </c>
      <c r="O405" s="4">
        <v>16.580283333333334</v>
      </c>
    </row>
    <row r="406">
      <c r="A406" s="7">
        <v>45535.0</v>
      </c>
      <c r="B406" s="1" t="s">
        <v>95</v>
      </c>
      <c r="C406" s="1" t="s">
        <v>89</v>
      </c>
      <c r="D406" s="4">
        <v>247.0</v>
      </c>
      <c r="E406" s="4">
        <v>62.0</v>
      </c>
      <c r="G406" s="1" t="s">
        <v>149</v>
      </c>
      <c r="H406" s="1" t="s">
        <v>153</v>
      </c>
      <c r="I406" s="1" t="s">
        <v>1130</v>
      </c>
      <c r="J406" s="1" t="s">
        <v>1131</v>
      </c>
      <c r="K406" s="1" t="s">
        <v>1131</v>
      </c>
      <c r="M406" s="4">
        <v>-7.0</v>
      </c>
      <c r="O406" s="4">
        <v>12.609816666666667</v>
      </c>
    </row>
    <row r="407">
      <c r="A407" s="7">
        <v>45535.0</v>
      </c>
      <c r="B407" s="1" t="s">
        <v>104</v>
      </c>
      <c r="C407" s="1" t="s">
        <v>105</v>
      </c>
      <c r="D407" s="4">
        <v>264.0</v>
      </c>
      <c r="E407" s="4">
        <v>0.0</v>
      </c>
      <c r="F407" s="1" t="s">
        <v>106</v>
      </c>
      <c r="G407" s="1" t="s">
        <v>91</v>
      </c>
      <c r="H407" s="1" t="s">
        <v>92</v>
      </c>
      <c r="I407" s="1" t="s">
        <v>1132</v>
      </c>
      <c r="J407" s="1" t="s">
        <v>1133</v>
      </c>
      <c r="K407" s="1" t="s">
        <v>1133</v>
      </c>
      <c r="M407" s="4">
        <v>0.0</v>
      </c>
      <c r="O407" s="4">
        <v>15.944283333333333</v>
      </c>
    </row>
    <row r="408">
      <c r="A408" s="7">
        <v>45535.0</v>
      </c>
      <c r="B408" s="1" t="s">
        <v>127</v>
      </c>
      <c r="C408" s="1" t="s">
        <v>105</v>
      </c>
      <c r="D408" s="4">
        <v>378.0</v>
      </c>
      <c r="E408" s="4">
        <v>150.0</v>
      </c>
      <c r="G408" s="1" t="s">
        <v>91</v>
      </c>
      <c r="H408" s="1" t="s">
        <v>92</v>
      </c>
      <c r="I408" s="1" t="s">
        <v>1134</v>
      </c>
      <c r="J408" s="1" t="s">
        <v>1135</v>
      </c>
      <c r="K408" s="1" t="s">
        <v>1135</v>
      </c>
      <c r="M408" s="4">
        <v>8.0</v>
      </c>
      <c r="O408" s="4">
        <v>23.692233333333334</v>
      </c>
    </row>
    <row r="409">
      <c r="A409" s="7">
        <v>45535.0</v>
      </c>
      <c r="B409" s="1" t="s">
        <v>104</v>
      </c>
      <c r="C409" s="1" t="s">
        <v>105</v>
      </c>
      <c r="D409" s="4">
        <v>264.0</v>
      </c>
      <c r="E409" s="4">
        <v>0.0</v>
      </c>
      <c r="F409" s="1" t="s">
        <v>1136</v>
      </c>
      <c r="G409" s="1" t="s">
        <v>91</v>
      </c>
      <c r="H409" s="1" t="s">
        <v>92</v>
      </c>
      <c r="I409" s="1" t="s">
        <v>1137</v>
      </c>
      <c r="J409" s="1" t="s">
        <v>1138</v>
      </c>
      <c r="K409" s="1" t="s">
        <v>1138</v>
      </c>
      <c r="M409" s="4">
        <v>5.0</v>
      </c>
      <c r="O409" s="4">
        <v>20.6454</v>
      </c>
    </row>
    <row r="410">
      <c r="A410" s="7">
        <v>45535.0</v>
      </c>
      <c r="B410" s="1" t="s">
        <v>127</v>
      </c>
      <c r="C410" s="1" t="s">
        <v>105</v>
      </c>
      <c r="D410" s="4">
        <v>479.0</v>
      </c>
      <c r="E410" s="4">
        <v>0.0</v>
      </c>
      <c r="G410" s="1" t="s">
        <v>91</v>
      </c>
      <c r="H410" s="1" t="s">
        <v>92</v>
      </c>
      <c r="I410" s="1" t="s">
        <v>1139</v>
      </c>
      <c r="J410" s="1" t="s">
        <v>1140</v>
      </c>
      <c r="K410" s="1" t="s">
        <v>1140</v>
      </c>
      <c r="M410" s="4">
        <v>5.0</v>
      </c>
      <c r="O410" s="4">
        <v>19.854316666666666</v>
      </c>
    </row>
    <row r="411">
      <c r="A411" s="7">
        <v>45535.0</v>
      </c>
      <c r="B411" s="1" t="s">
        <v>104</v>
      </c>
      <c r="C411" s="1" t="s">
        <v>105</v>
      </c>
      <c r="D411" s="4">
        <v>399.0</v>
      </c>
      <c r="E411" s="4">
        <v>0.0</v>
      </c>
      <c r="F411" s="1" t="s">
        <v>1125</v>
      </c>
      <c r="G411" s="1" t="s">
        <v>91</v>
      </c>
      <c r="H411" s="1" t="s">
        <v>92</v>
      </c>
      <c r="I411" s="1" t="s">
        <v>1141</v>
      </c>
      <c r="J411" s="1" t="s">
        <v>1142</v>
      </c>
      <c r="K411" s="1" t="s">
        <v>1142</v>
      </c>
      <c r="M411" s="4">
        <v>1.0</v>
      </c>
      <c r="O411" s="4">
        <v>16.395583333333335</v>
      </c>
    </row>
    <row r="412">
      <c r="A412" s="7">
        <v>45535.0</v>
      </c>
      <c r="B412" s="1" t="s">
        <v>127</v>
      </c>
      <c r="C412" s="1" t="s">
        <v>105</v>
      </c>
      <c r="D412" s="4">
        <v>371.0</v>
      </c>
      <c r="E412" s="4">
        <v>150.0</v>
      </c>
      <c r="G412" s="1" t="s">
        <v>91</v>
      </c>
      <c r="H412" s="1" t="s">
        <v>92</v>
      </c>
      <c r="I412" s="1" t="s">
        <v>1143</v>
      </c>
      <c r="J412" s="1" t="s">
        <v>1144</v>
      </c>
      <c r="K412" s="1" t="s">
        <v>1144</v>
      </c>
      <c r="M412" s="4">
        <v>0.0</v>
      </c>
      <c r="O412" s="4">
        <v>14.990016666666667</v>
      </c>
    </row>
    <row r="413">
      <c r="A413" s="7">
        <v>45535.0</v>
      </c>
      <c r="B413" s="1" t="s">
        <v>95</v>
      </c>
      <c r="C413" s="1" t="s">
        <v>89</v>
      </c>
      <c r="D413" s="4">
        <v>395.0</v>
      </c>
      <c r="E413" s="4">
        <v>62.0</v>
      </c>
      <c r="G413" s="1" t="s">
        <v>149</v>
      </c>
      <c r="H413" s="1" t="s">
        <v>116</v>
      </c>
      <c r="I413" s="1" t="s">
        <v>1145</v>
      </c>
      <c r="J413" s="1" t="s">
        <v>1146</v>
      </c>
      <c r="K413" s="1" t="s">
        <v>1146</v>
      </c>
      <c r="M413" s="4">
        <v>-22.0</v>
      </c>
      <c r="O413" s="4">
        <v>14.013333333333334</v>
      </c>
    </row>
    <row r="414">
      <c r="A414" s="7">
        <v>45535.0</v>
      </c>
      <c r="B414" s="1" t="s">
        <v>169</v>
      </c>
      <c r="C414" s="1" t="s">
        <v>89</v>
      </c>
      <c r="D414" s="4">
        <v>249.0</v>
      </c>
      <c r="E414" s="4">
        <v>0.0</v>
      </c>
      <c r="G414" s="1" t="s">
        <v>149</v>
      </c>
      <c r="H414" s="1" t="s">
        <v>116</v>
      </c>
      <c r="I414" s="1" t="s">
        <v>1147</v>
      </c>
      <c r="J414" s="1" t="s">
        <v>1148</v>
      </c>
      <c r="K414" s="1" t="s">
        <v>1148</v>
      </c>
      <c r="M414" s="4">
        <v>6.0</v>
      </c>
      <c r="O414" s="4">
        <v>11.520966666666666</v>
      </c>
    </row>
    <row r="415">
      <c r="A415" s="7">
        <v>45535.0</v>
      </c>
      <c r="B415" s="1" t="s">
        <v>127</v>
      </c>
      <c r="C415" s="1" t="s">
        <v>105</v>
      </c>
      <c r="D415" s="4">
        <v>289.0</v>
      </c>
      <c r="E415" s="4">
        <v>0.0</v>
      </c>
      <c r="G415" s="1" t="s">
        <v>91</v>
      </c>
      <c r="H415" s="1" t="s">
        <v>116</v>
      </c>
      <c r="I415" s="1" t="s">
        <v>1149</v>
      </c>
      <c r="J415" s="1" t="s">
        <v>1150</v>
      </c>
      <c r="K415" s="1" t="s">
        <v>1150</v>
      </c>
      <c r="M415" s="4">
        <v>-2.0</v>
      </c>
      <c r="O415" s="4">
        <v>9.737116666666667</v>
      </c>
    </row>
    <row r="416">
      <c r="A416" s="7">
        <v>45535.0</v>
      </c>
      <c r="B416" s="1" t="s">
        <v>88</v>
      </c>
      <c r="C416" s="1" t="s">
        <v>89</v>
      </c>
      <c r="D416" s="4">
        <v>289.0</v>
      </c>
      <c r="E416" s="4">
        <v>0.0</v>
      </c>
      <c r="F416" s="1" t="s">
        <v>90</v>
      </c>
      <c r="G416" s="1" t="s">
        <v>91</v>
      </c>
      <c r="H416" s="1" t="s">
        <v>92</v>
      </c>
      <c r="I416" s="1" t="s">
        <v>1151</v>
      </c>
      <c r="J416" s="1" t="s">
        <v>1152</v>
      </c>
      <c r="K416" s="1" t="s">
        <v>1152</v>
      </c>
      <c r="M416" s="4">
        <v>-6.0</v>
      </c>
      <c r="O416" s="4">
        <v>8.199883333333334</v>
      </c>
    </row>
    <row r="417">
      <c r="A417" s="7">
        <v>45535.0</v>
      </c>
      <c r="B417" s="1" t="s">
        <v>127</v>
      </c>
      <c r="C417" s="1" t="s">
        <v>105</v>
      </c>
      <c r="D417" s="4">
        <v>404.0</v>
      </c>
      <c r="E417" s="4">
        <v>0.0</v>
      </c>
      <c r="G417" s="1" t="s">
        <v>91</v>
      </c>
      <c r="H417" s="1" t="s">
        <v>116</v>
      </c>
      <c r="I417" s="1" t="s">
        <v>1153</v>
      </c>
      <c r="J417" s="1" t="s">
        <v>1154</v>
      </c>
      <c r="K417" s="1" t="s">
        <v>1154</v>
      </c>
      <c r="M417" s="4">
        <v>-1.0</v>
      </c>
      <c r="O417" s="4">
        <v>11.1674</v>
      </c>
    </row>
    <row r="418">
      <c r="A418" s="7">
        <v>45535.0</v>
      </c>
      <c r="B418" s="1" t="s">
        <v>88</v>
      </c>
      <c r="C418" s="1" t="s">
        <v>89</v>
      </c>
      <c r="D418" s="4">
        <v>224.0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1155</v>
      </c>
      <c r="J418" s="1" t="s">
        <v>1156</v>
      </c>
      <c r="K418" s="1" t="s">
        <v>1156</v>
      </c>
      <c r="M418" s="4">
        <v>-7.0</v>
      </c>
      <c r="O418" s="4">
        <v>7.26755</v>
      </c>
    </row>
    <row r="419">
      <c r="A419" s="7">
        <v>45535.0</v>
      </c>
      <c r="B419" s="1" t="s">
        <v>127</v>
      </c>
      <c r="C419" s="1" t="s">
        <v>105</v>
      </c>
      <c r="D419" s="4">
        <v>448.0</v>
      </c>
      <c r="E419" s="4">
        <v>0.0</v>
      </c>
      <c r="G419" s="1" t="s">
        <v>91</v>
      </c>
      <c r="H419" s="1" t="s">
        <v>116</v>
      </c>
      <c r="I419" s="1" t="s">
        <v>1157</v>
      </c>
      <c r="J419" s="1" t="s">
        <v>1158</v>
      </c>
      <c r="K419" s="1" t="s">
        <v>1158</v>
      </c>
      <c r="M419" s="4">
        <v>-4.0</v>
      </c>
      <c r="O419" s="4">
        <v>9.7769</v>
      </c>
    </row>
    <row r="420">
      <c r="A420" s="7">
        <v>45535.0</v>
      </c>
      <c r="B420" s="1" t="s">
        <v>127</v>
      </c>
      <c r="C420" s="1" t="s">
        <v>89</v>
      </c>
      <c r="D420" s="4">
        <v>264.0</v>
      </c>
      <c r="E420" s="4">
        <v>0.0</v>
      </c>
      <c r="G420" s="1" t="s">
        <v>91</v>
      </c>
      <c r="H420" s="1" t="s">
        <v>116</v>
      </c>
      <c r="I420" s="1" t="s">
        <v>1159</v>
      </c>
      <c r="J420" s="1" t="s">
        <v>1160</v>
      </c>
      <c r="K420" s="1" t="s">
        <v>1160</v>
      </c>
      <c r="M420" s="4">
        <v>-2.0</v>
      </c>
      <c r="O420" s="4">
        <v>9.67845</v>
      </c>
    </row>
    <row r="421">
      <c r="A421" s="7">
        <v>45535.0</v>
      </c>
      <c r="B421" s="1" t="s">
        <v>127</v>
      </c>
      <c r="C421" s="1" t="s">
        <v>89</v>
      </c>
      <c r="D421" s="4">
        <v>528.0</v>
      </c>
      <c r="E421" s="4">
        <v>0.0</v>
      </c>
      <c r="G421" s="1" t="s">
        <v>91</v>
      </c>
      <c r="H421" s="1" t="s">
        <v>92</v>
      </c>
      <c r="I421" s="1" t="s">
        <v>1161</v>
      </c>
      <c r="J421" s="1" t="s">
        <v>1162</v>
      </c>
      <c r="K421" s="1" t="s">
        <v>1162</v>
      </c>
      <c r="M421" s="4">
        <v>3.0</v>
      </c>
      <c r="O421" s="4">
        <v>17.151066666666665</v>
      </c>
    </row>
    <row r="422">
      <c r="A422" s="7">
        <v>45535.0</v>
      </c>
      <c r="B422" s="1" t="s">
        <v>127</v>
      </c>
      <c r="C422" s="1" t="s">
        <v>89</v>
      </c>
      <c r="D422" s="4">
        <v>329.0</v>
      </c>
      <c r="E422" s="4">
        <v>0.0</v>
      </c>
      <c r="G422" s="1" t="s">
        <v>91</v>
      </c>
      <c r="H422" s="1" t="s">
        <v>92</v>
      </c>
      <c r="I422" s="1" t="s">
        <v>1163</v>
      </c>
      <c r="J422" s="1" t="s">
        <v>1164</v>
      </c>
      <c r="K422" s="1" t="s">
        <v>1164</v>
      </c>
      <c r="M422" s="4">
        <v>3.0</v>
      </c>
      <c r="O422" s="4">
        <v>15.194816666666666</v>
      </c>
    </row>
    <row r="423">
      <c r="A423" s="7">
        <v>45535.0</v>
      </c>
      <c r="B423" s="1" t="s">
        <v>127</v>
      </c>
      <c r="C423" s="1" t="s">
        <v>89</v>
      </c>
      <c r="D423" s="4">
        <v>329.0</v>
      </c>
      <c r="E423" s="4">
        <v>0.0</v>
      </c>
      <c r="G423" s="1" t="s">
        <v>91</v>
      </c>
      <c r="H423" s="1" t="s">
        <v>116</v>
      </c>
      <c r="I423" s="1" t="s">
        <v>1165</v>
      </c>
      <c r="J423" s="1" t="s">
        <v>1166</v>
      </c>
      <c r="K423" s="1" t="s">
        <v>1166</v>
      </c>
      <c r="M423" s="4">
        <v>1.0</v>
      </c>
      <c r="O423" s="4">
        <v>12.557516666666666</v>
      </c>
    </row>
    <row r="424">
      <c r="A424" s="7">
        <v>45535.0</v>
      </c>
      <c r="B424" s="1" t="s">
        <v>169</v>
      </c>
      <c r="C424" s="1" t="s">
        <v>89</v>
      </c>
      <c r="D424" s="4">
        <v>124.5</v>
      </c>
      <c r="E424" s="4">
        <v>124.5</v>
      </c>
      <c r="G424" s="1" t="s">
        <v>149</v>
      </c>
      <c r="H424" s="1" t="s">
        <v>116</v>
      </c>
      <c r="I424" s="1" t="s">
        <v>1167</v>
      </c>
      <c r="J424" s="1" t="s">
        <v>1168</v>
      </c>
      <c r="K424" s="1" t="s">
        <v>1168</v>
      </c>
      <c r="M424" s="4">
        <v>4.0</v>
      </c>
      <c r="O424" s="4">
        <v>9.431516666666667</v>
      </c>
    </row>
    <row r="425">
      <c r="A425" s="7">
        <v>45535.0</v>
      </c>
      <c r="B425" s="1" t="s">
        <v>88</v>
      </c>
      <c r="C425" s="1" t="s">
        <v>89</v>
      </c>
      <c r="D425" s="4">
        <v>359.0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1169</v>
      </c>
      <c r="J425" s="1" t="s">
        <v>1170</v>
      </c>
      <c r="K425" s="1" t="s">
        <v>1170</v>
      </c>
      <c r="M425" s="4">
        <v>0.0</v>
      </c>
      <c r="O425" s="4">
        <v>14.825966666666666</v>
      </c>
    </row>
    <row r="426">
      <c r="A426" s="7">
        <v>45535.0</v>
      </c>
      <c r="B426" s="1" t="s">
        <v>104</v>
      </c>
      <c r="C426" s="1" t="s">
        <v>105</v>
      </c>
      <c r="D426" s="4">
        <v>259.0</v>
      </c>
      <c r="E426" s="4">
        <v>0.0</v>
      </c>
      <c r="F426" s="1" t="s">
        <v>1171</v>
      </c>
      <c r="G426" s="1" t="s">
        <v>91</v>
      </c>
      <c r="H426" s="1" t="s">
        <v>92</v>
      </c>
      <c r="I426" s="1" t="s">
        <v>1172</v>
      </c>
      <c r="J426" s="1" t="s">
        <v>1173</v>
      </c>
      <c r="K426" s="1" t="s">
        <v>1173</v>
      </c>
      <c r="M426" s="4">
        <v>-4.0</v>
      </c>
      <c r="O426" s="4">
        <v>10.725533333333333</v>
      </c>
    </row>
    <row r="427">
      <c r="A427" s="7">
        <v>45535.0</v>
      </c>
      <c r="B427" s="1" t="s">
        <v>88</v>
      </c>
      <c r="C427" s="1" t="s">
        <v>89</v>
      </c>
      <c r="D427" s="4">
        <v>857.0</v>
      </c>
      <c r="E427" s="4">
        <v>0.0</v>
      </c>
      <c r="F427" s="1" t="s">
        <v>90</v>
      </c>
      <c r="G427" s="1" t="s">
        <v>91</v>
      </c>
      <c r="H427" s="1" t="s">
        <v>92</v>
      </c>
      <c r="I427" s="1" t="s">
        <v>1174</v>
      </c>
      <c r="J427" s="1" t="s">
        <v>1175</v>
      </c>
      <c r="K427" s="1" t="s">
        <v>1175</v>
      </c>
      <c r="M427" s="4">
        <v>-1.0</v>
      </c>
      <c r="O427" s="4">
        <v>13.3621</v>
      </c>
    </row>
    <row r="428">
      <c r="A428" s="7">
        <v>45535.0</v>
      </c>
      <c r="B428" s="1" t="s">
        <v>88</v>
      </c>
      <c r="C428" s="1" t="s">
        <v>89</v>
      </c>
      <c r="D428" s="4">
        <v>324.0</v>
      </c>
      <c r="E428" s="4">
        <v>0.0</v>
      </c>
      <c r="F428" s="1" t="s">
        <v>90</v>
      </c>
      <c r="G428" s="1" t="s">
        <v>91</v>
      </c>
      <c r="H428" s="1" t="s">
        <v>92</v>
      </c>
      <c r="I428" s="1" t="s">
        <v>1176</v>
      </c>
      <c r="J428" s="1" t="s">
        <v>1177</v>
      </c>
      <c r="K428" s="1" t="s">
        <v>1177</v>
      </c>
      <c r="M428" s="4">
        <v>-5.0</v>
      </c>
      <c r="O428" s="4">
        <v>9.285716666666668</v>
      </c>
    </row>
    <row r="429">
      <c r="A429" s="7">
        <v>45535.0</v>
      </c>
      <c r="B429" s="1" t="s">
        <v>88</v>
      </c>
      <c r="C429" s="1" t="s">
        <v>89</v>
      </c>
      <c r="D429" s="4">
        <v>369.0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1178</v>
      </c>
      <c r="J429" s="1" t="s">
        <v>1179</v>
      </c>
      <c r="K429" s="1" t="s">
        <v>1179</v>
      </c>
      <c r="M429" s="4">
        <v>0.0</v>
      </c>
      <c r="O429" s="4">
        <v>15.489416666666667</v>
      </c>
    </row>
    <row r="430">
      <c r="A430" s="7">
        <v>45535.0</v>
      </c>
      <c r="B430" s="1" t="s">
        <v>127</v>
      </c>
      <c r="C430" s="1" t="s">
        <v>105</v>
      </c>
      <c r="D430" s="4">
        <v>264.0</v>
      </c>
      <c r="E430" s="4">
        <v>0.0</v>
      </c>
      <c r="G430" s="1" t="s">
        <v>91</v>
      </c>
      <c r="H430" s="1" t="s">
        <v>116</v>
      </c>
      <c r="I430" s="1" t="s">
        <v>1180</v>
      </c>
      <c r="J430" s="1" t="s">
        <v>1181</v>
      </c>
      <c r="K430" s="1" t="s">
        <v>1181</v>
      </c>
      <c r="M430" s="4">
        <v>5.0</v>
      </c>
      <c r="O430" s="4">
        <v>16.21405</v>
      </c>
    </row>
    <row r="431">
      <c r="A431" s="7">
        <v>45535.0</v>
      </c>
      <c r="B431" s="1" t="s">
        <v>95</v>
      </c>
      <c r="C431" s="1" t="s">
        <v>89</v>
      </c>
      <c r="D431" s="4">
        <v>711.0</v>
      </c>
      <c r="E431" s="4">
        <v>37.0</v>
      </c>
      <c r="F431" s="1" t="s">
        <v>1182</v>
      </c>
      <c r="G431" s="1" t="s">
        <v>97</v>
      </c>
      <c r="H431" s="1" t="s">
        <v>92</v>
      </c>
      <c r="I431" s="1" t="s">
        <v>1183</v>
      </c>
      <c r="J431" s="1" t="s">
        <v>1184</v>
      </c>
      <c r="K431" s="1" t="s">
        <v>1185</v>
      </c>
      <c r="L431" s="1" t="s">
        <v>1186</v>
      </c>
      <c r="M431" s="4">
        <v>-11.0</v>
      </c>
      <c r="N431" s="4">
        <v>0.0116</v>
      </c>
      <c r="O431" s="4">
        <v>41.35658333333333</v>
      </c>
    </row>
    <row r="432">
      <c r="A432" s="7">
        <v>45535.0</v>
      </c>
      <c r="B432" s="1" t="s">
        <v>127</v>
      </c>
      <c r="C432" s="1" t="s">
        <v>105</v>
      </c>
      <c r="D432" s="4">
        <v>294.0</v>
      </c>
      <c r="E432" s="4">
        <v>0.0</v>
      </c>
      <c r="G432" s="1" t="s">
        <v>91</v>
      </c>
      <c r="H432" s="1" t="s">
        <v>92</v>
      </c>
      <c r="I432" s="1" t="s">
        <v>1187</v>
      </c>
      <c r="J432" s="1" t="s">
        <v>1188</v>
      </c>
      <c r="K432" s="1" t="s">
        <v>1188</v>
      </c>
      <c r="M432" s="4">
        <v>6.0</v>
      </c>
      <c r="O432" s="4">
        <v>17.581716666666665</v>
      </c>
    </row>
    <row r="433">
      <c r="A433" s="7">
        <v>45535.0</v>
      </c>
      <c r="B433" s="1" t="s">
        <v>95</v>
      </c>
      <c r="C433" s="1" t="s">
        <v>89</v>
      </c>
      <c r="D433" s="4">
        <v>583.0</v>
      </c>
      <c r="E433" s="4">
        <v>124.0</v>
      </c>
      <c r="G433" s="1" t="s">
        <v>149</v>
      </c>
      <c r="H433" s="1" t="s">
        <v>153</v>
      </c>
      <c r="I433" s="1" t="s">
        <v>1189</v>
      </c>
      <c r="J433" s="1" t="s">
        <v>1190</v>
      </c>
      <c r="K433" s="1" t="s">
        <v>1190</v>
      </c>
      <c r="M433" s="4">
        <v>0.0</v>
      </c>
      <c r="O433" s="4">
        <v>19.512366666666665</v>
      </c>
    </row>
    <row r="434">
      <c r="A434" s="7">
        <v>45535.0</v>
      </c>
      <c r="B434" s="1" t="s">
        <v>104</v>
      </c>
      <c r="C434" s="1" t="s">
        <v>105</v>
      </c>
      <c r="D434" s="4">
        <v>139.0</v>
      </c>
      <c r="E434" s="4">
        <v>0.0</v>
      </c>
      <c r="F434" s="1" t="s">
        <v>1191</v>
      </c>
      <c r="G434" s="1" t="s">
        <v>91</v>
      </c>
      <c r="H434" s="1" t="s">
        <v>92</v>
      </c>
      <c r="I434" s="1" t="s">
        <v>1192</v>
      </c>
      <c r="J434" s="1" t="s">
        <v>1193</v>
      </c>
      <c r="K434" s="1" t="s">
        <v>1193</v>
      </c>
      <c r="M434" s="4">
        <v>-14.0</v>
      </c>
      <c r="O434" s="4">
        <v>0.7055166666666667</v>
      </c>
    </row>
    <row r="435">
      <c r="A435" s="7">
        <v>45535.0</v>
      </c>
      <c r="B435" s="1" t="s">
        <v>95</v>
      </c>
      <c r="C435" s="1" t="s">
        <v>89</v>
      </c>
      <c r="D435" s="4">
        <v>309.0</v>
      </c>
      <c r="E435" s="4">
        <v>0.0</v>
      </c>
      <c r="F435" s="1" t="s">
        <v>1182</v>
      </c>
      <c r="G435" s="1" t="s">
        <v>97</v>
      </c>
      <c r="H435" s="1" t="s">
        <v>92</v>
      </c>
      <c r="I435" s="1" t="s">
        <v>1194</v>
      </c>
      <c r="J435" s="1" t="s">
        <v>1195</v>
      </c>
      <c r="K435" s="1" t="s">
        <v>1196</v>
      </c>
      <c r="L435" s="1" t="s">
        <v>1197</v>
      </c>
      <c r="M435" s="4">
        <v>-9.0</v>
      </c>
      <c r="N435" s="4">
        <v>0.0077</v>
      </c>
      <c r="O435" s="4">
        <v>12.448666666666666</v>
      </c>
    </row>
    <row r="436">
      <c r="A436" s="7">
        <v>45535.0</v>
      </c>
      <c r="B436" s="1" t="s">
        <v>127</v>
      </c>
      <c r="C436" s="1" t="s">
        <v>105</v>
      </c>
      <c r="D436" s="4">
        <v>928.0</v>
      </c>
      <c r="E436" s="4">
        <v>0.0</v>
      </c>
      <c r="G436" s="1" t="s">
        <v>91</v>
      </c>
      <c r="H436" s="1" t="s">
        <v>92</v>
      </c>
      <c r="I436" s="1" t="s">
        <v>1198</v>
      </c>
      <c r="J436" s="1" t="s">
        <v>1199</v>
      </c>
      <c r="K436" s="1" t="s">
        <v>1199</v>
      </c>
      <c r="M436" s="4">
        <v>1.0</v>
      </c>
      <c r="O436" s="4">
        <v>17.755683333333334</v>
      </c>
    </row>
    <row r="437">
      <c r="A437" s="7">
        <v>45535.0</v>
      </c>
      <c r="B437" s="1" t="s">
        <v>95</v>
      </c>
      <c r="C437" s="1" t="s">
        <v>89</v>
      </c>
      <c r="D437" s="4">
        <v>358.0</v>
      </c>
      <c r="E437" s="4">
        <v>0.0</v>
      </c>
      <c r="F437" s="1" t="s">
        <v>361</v>
      </c>
      <c r="G437" s="1" t="s">
        <v>97</v>
      </c>
      <c r="H437" s="1" t="s">
        <v>116</v>
      </c>
      <c r="I437" s="1" t="s">
        <v>1200</v>
      </c>
      <c r="J437" s="1" t="s">
        <v>1201</v>
      </c>
      <c r="K437" s="1" t="s">
        <v>1202</v>
      </c>
      <c r="L437" s="1" t="s">
        <v>1203</v>
      </c>
      <c r="M437" s="4">
        <v>6.0</v>
      </c>
      <c r="N437" s="4">
        <v>0.009283333333333333</v>
      </c>
      <c r="O437" s="4">
        <v>16.508816666666668</v>
      </c>
    </row>
    <row r="438">
      <c r="A438" s="7">
        <v>45535.0</v>
      </c>
      <c r="B438" s="1" t="s">
        <v>127</v>
      </c>
      <c r="C438" s="1" t="s">
        <v>105</v>
      </c>
      <c r="D438" s="4">
        <v>329.0</v>
      </c>
      <c r="E438" s="4">
        <v>0.0</v>
      </c>
      <c r="G438" s="1" t="s">
        <v>91</v>
      </c>
      <c r="H438" s="1" t="s">
        <v>92</v>
      </c>
      <c r="I438" s="1" t="s">
        <v>1204</v>
      </c>
      <c r="J438" s="1" t="s">
        <v>1205</v>
      </c>
      <c r="K438" s="1" t="s">
        <v>1205</v>
      </c>
      <c r="M438" s="4">
        <v>0.0</v>
      </c>
      <c r="O438" s="4">
        <v>11.324333333333334</v>
      </c>
    </row>
    <row r="439">
      <c r="A439" s="7">
        <v>45535.0</v>
      </c>
      <c r="B439" s="1" t="s">
        <v>95</v>
      </c>
      <c r="C439" s="1" t="s">
        <v>89</v>
      </c>
      <c r="D439" s="4">
        <v>215.0</v>
      </c>
      <c r="E439" s="4">
        <v>54.0</v>
      </c>
      <c r="G439" s="1" t="s">
        <v>149</v>
      </c>
      <c r="H439" s="1" t="s">
        <v>116</v>
      </c>
      <c r="I439" s="1" t="s">
        <v>1206</v>
      </c>
      <c r="J439" s="1" t="s">
        <v>1207</v>
      </c>
      <c r="K439" s="1" t="s">
        <v>1207</v>
      </c>
      <c r="M439" s="4">
        <v>-27.0</v>
      </c>
      <c r="O439" s="4">
        <v>7.9587666666666665</v>
      </c>
    </row>
    <row r="440">
      <c r="A440" s="7">
        <v>45535.0</v>
      </c>
      <c r="B440" s="1" t="s">
        <v>169</v>
      </c>
      <c r="C440" s="1" t="s">
        <v>89</v>
      </c>
      <c r="D440" s="4">
        <v>39.0</v>
      </c>
      <c r="E440" s="4">
        <v>0.0</v>
      </c>
      <c r="G440" s="1" t="s">
        <v>149</v>
      </c>
      <c r="H440" s="1" t="s">
        <v>116</v>
      </c>
      <c r="I440" s="1" t="s">
        <v>1208</v>
      </c>
      <c r="J440" s="1" t="s">
        <v>1209</v>
      </c>
      <c r="K440" s="1" t="s">
        <v>1209</v>
      </c>
      <c r="M440" s="4">
        <v>11.0</v>
      </c>
      <c r="O440" s="4">
        <v>16.1081</v>
      </c>
    </row>
    <row r="441">
      <c r="A441" s="7">
        <v>45535.0</v>
      </c>
      <c r="B441" s="1" t="s">
        <v>169</v>
      </c>
      <c r="C441" s="1" t="s">
        <v>89</v>
      </c>
      <c r="D441" s="4">
        <v>249.0</v>
      </c>
      <c r="E441" s="4">
        <v>0.0</v>
      </c>
      <c r="G441" s="1" t="s">
        <v>149</v>
      </c>
      <c r="H441" s="1" t="s">
        <v>116</v>
      </c>
      <c r="I441" s="1" t="s">
        <v>1210</v>
      </c>
      <c r="J441" s="1" t="s">
        <v>1211</v>
      </c>
      <c r="K441" s="1" t="s">
        <v>1211</v>
      </c>
      <c r="M441" s="4">
        <v>4.0</v>
      </c>
      <c r="O441" s="4">
        <v>9.564266666666667</v>
      </c>
    </row>
    <row r="442">
      <c r="A442" s="7">
        <v>45535.0</v>
      </c>
      <c r="B442" s="1" t="s">
        <v>127</v>
      </c>
      <c r="C442" s="1" t="s">
        <v>89</v>
      </c>
      <c r="D442" s="4">
        <v>394.0</v>
      </c>
      <c r="E442" s="4">
        <v>0.0</v>
      </c>
      <c r="G442" s="1" t="s">
        <v>91</v>
      </c>
      <c r="H442" s="1" t="s">
        <v>92</v>
      </c>
      <c r="I442" s="1" t="s">
        <v>1212</v>
      </c>
      <c r="J442" s="1" t="s">
        <v>1213</v>
      </c>
      <c r="K442" s="1" t="s">
        <v>1213</v>
      </c>
      <c r="M442" s="4">
        <v>8.0</v>
      </c>
      <c r="O442" s="4">
        <v>20.048833333333334</v>
      </c>
    </row>
    <row r="443">
      <c r="A443" s="7">
        <v>45535.0</v>
      </c>
      <c r="B443" s="1" t="s">
        <v>95</v>
      </c>
      <c r="C443" s="1" t="s">
        <v>89</v>
      </c>
      <c r="D443" s="4">
        <v>247.0</v>
      </c>
      <c r="E443" s="4">
        <v>62.0</v>
      </c>
      <c r="G443" s="1" t="s">
        <v>149</v>
      </c>
      <c r="H443" s="1" t="s">
        <v>116</v>
      </c>
      <c r="I443" s="1" t="s">
        <v>1214</v>
      </c>
      <c r="J443" s="1" t="s">
        <v>1215</v>
      </c>
      <c r="K443" s="1" t="s">
        <v>1215</v>
      </c>
      <c r="M443" s="4">
        <v>-3.0</v>
      </c>
      <c r="O443" s="4">
        <v>15.582983333333333</v>
      </c>
    </row>
    <row r="444">
      <c r="A444" s="7">
        <v>45535.0</v>
      </c>
      <c r="B444" s="1" t="s">
        <v>169</v>
      </c>
      <c r="C444" s="1" t="s">
        <v>152</v>
      </c>
      <c r="D444" s="4">
        <v>249.0</v>
      </c>
      <c r="E444" s="4">
        <v>0.0</v>
      </c>
      <c r="G444" s="1" t="s">
        <v>149</v>
      </c>
      <c r="H444" s="1" t="s">
        <v>116</v>
      </c>
      <c r="I444" s="1" t="s">
        <v>1216</v>
      </c>
      <c r="J444" s="1" t="s">
        <v>1217</v>
      </c>
      <c r="K444" s="1" t="s">
        <v>1217</v>
      </c>
      <c r="M444" s="4">
        <v>5.0</v>
      </c>
      <c r="O444" s="4">
        <v>10.294233333333333</v>
      </c>
    </row>
    <row r="445">
      <c r="A445" s="7">
        <v>45535.0</v>
      </c>
      <c r="B445" s="1" t="s">
        <v>104</v>
      </c>
      <c r="C445" s="1" t="s">
        <v>89</v>
      </c>
      <c r="D445" s="4">
        <v>443.0</v>
      </c>
      <c r="E445" s="4">
        <v>0.0</v>
      </c>
      <c r="F445" s="1" t="s">
        <v>1218</v>
      </c>
      <c r="G445" s="1" t="s">
        <v>91</v>
      </c>
      <c r="H445" s="1" t="s">
        <v>92</v>
      </c>
      <c r="I445" s="1" t="s">
        <v>1219</v>
      </c>
      <c r="J445" s="1" t="s">
        <v>1220</v>
      </c>
      <c r="K445" s="1" t="s">
        <v>1220</v>
      </c>
      <c r="M445" s="4">
        <v>-3.0</v>
      </c>
      <c r="O445" s="4">
        <v>11.35225</v>
      </c>
    </row>
    <row r="446">
      <c r="A446" s="7">
        <v>45535.0</v>
      </c>
      <c r="B446" s="1" t="s">
        <v>88</v>
      </c>
      <c r="C446" s="1" t="s">
        <v>89</v>
      </c>
      <c r="D446" s="4">
        <v>129.0</v>
      </c>
      <c r="E446" s="4">
        <v>0.0</v>
      </c>
      <c r="F446" s="1" t="s">
        <v>90</v>
      </c>
      <c r="G446" s="1" t="s">
        <v>91</v>
      </c>
      <c r="H446" s="1" t="s">
        <v>92</v>
      </c>
      <c r="I446" s="1" t="s">
        <v>1221</v>
      </c>
      <c r="J446" s="1" t="s">
        <v>1222</v>
      </c>
      <c r="K446" s="1" t="s">
        <v>1222</v>
      </c>
      <c r="M446" s="4">
        <v>-5.0</v>
      </c>
      <c r="O446" s="4">
        <v>9.590566666666666</v>
      </c>
    </row>
    <row r="447">
      <c r="A447" s="7">
        <v>45535.0</v>
      </c>
      <c r="B447" s="1" t="s">
        <v>169</v>
      </c>
      <c r="C447" s="1" t="s">
        <v>89</v>
      </c>
      <c r="D447" s="4">
        <v>309.0</v>
      </c>
      <c r="E447" s="4">
        <v>0.0</v>
      </c>
      <c r="G447" s="1" t="s">
        <v>149</v>
      </c>
      <c r="H447" s="1" t="s">
        <v>116</v>
      </c>
      <c r="I447" s="1" t="s">
        <v>1223</v>
      </c>
      <c r="J447" s="1" t="s">
        <v>1224</v>
      </c>
      <c r="K447" s="1" t="s">
        <v>1224</v>
      </c>
      <c r="M447" s="4">
        <v>7.0</v>
      </c>
      <c r="O447" s="4">
        <v>12.608316666666667</v>
      </c>
    </row>
    <row r="448">
      <c r="A448" s="7">
        <v>45535.0</v>
      </c>
      <c r="B448" s="1" t="s">
        <v>88</v>
      </c>
      <c r="C448" s="1" t="s">
        <v>89</v>
      </c>
      <c r="D448" s="4">
        <v>329.0</v>
      </c>
      <c r="E448" s="4">
        <v>0.0</v>
      </c>
      <c r="F448" s="1" t="s">
        <v>90</v>
      </c>
      <c r="G448" s="1" t="s">
        <v>91</v>
      </c>
      <c r="H448" s="1" t="s">
        <v>92</v>
      </c>
      <c r="I448" s="1" t="s">
        <v>1225</v>
      </c>
      <c r="J448" s="1" t="s">
        <v>1226</v>
      </c>
      <c r="K448" s="1" t="s">
        <v>1226</v>
      </c>
      <c r="M448" s="4">
        <v>2.0</v>
      </c>
      <c r="O448" s="4">
        <v>17.65095</v>
      </c>
    </row>
    <row r="449">
      <c r="A449" s="7">
        <v>45535.0</v>
      </c>
      <c r="B449" s="1" t="s">
        <v>88</v>
      </c>
      <c r="C449" s="1" t="s">
        <v>89</v>
      </c>
      <c r="D449" s="4">
        <v>329.0</v>
      </c>
      <c r="E449" s="4">
        <v>0.0</v>
      </c>
      <c r="F449" s="1" t="s">
        <v>90</v>
      </c>
      <c r="G449" s="1" t="s">
        <v>91</v>
      </c>
      <c r="H449" s="1" t="s">
        <v>92</v>
      </c>
      <c r="I449" s="1" t="s">
        <v>1227</v>
      </c>
      <c r="J449" s="1" t="s">
        <v>1228</v>
      </c>
      <c r="K449" s="1" t="s">
        <v>1228</v>
      </c>
      <c r="M449" s="4">
        <v>2.0</v>
      </c>
      <c r="O449" s="4">
        <v>17.622883333333334</v>
      </c>
    </row>
    <row r="450">
      <c r="A450" s="7">
        <v>45535.0</v>
      </c>
      <c r="B450" s="1" t="s">
        <v>95</v>
      </c>
      <c r="C450" s="1" t="s">
        <v>89</v>
      </c>
      <c r="D450" s="4">
        <v>349.0</v>
      </c>
      <c r="E450" s="4">
        <v>75.0</v>
      </c>
      <c r="G450" s="1" t="s">
        <v>149</v>
      </c>
      <c r="H450" s="1" t="s">
        <v>92</v>
      </c>
      <c r="I450" s="1" t="s">
        <v>1229</v>
      </c>
      <c r="J450" s="1" t="s">
        <v>1230</v>
      </c>
      <c r="K450" s="1" t="s">
        <v>1230</v>
      </c>
      <c r="M450" s="4">
        <v>0.0</v>
      </c>
      <c r="O450" s="4">
        <v>18.394716666666667</v>
      </c>
    </row>
    <row r="451">
      <c r="A451" s="7">
        <v>45535.0</v>
      </c>
      <c r="B451" s="1" t="s">
        <v>127</v>
      </c>
      <c r="C451" s="1" t="s">
        <v>105</v>
      </c>
      <c r="D451" s="4">
        <v>369.0</v>
      </c>
      <c r="E451" s="4">
        <v>0.0</v>
      </c>
      <c r="G451" s="1" t="s">
        <v>91</v>
      </c>
      <c r="H451" s="1" t="s">
        <v>92</v>
      </c>
      <c r="I451" s="1" t="s">
        <v>1231</v>
      </c>
      <c r="J451" s="1" t="s">
        <v>1232</v>
      </c>
      <c r="K451" s="1" t="s">
        <v>1232</v>
      </c>
      <c r="M451" s="4">
        <v>-1.0</v>
      </c>
      <c r="O451" s="4">
        <v>10.9266</v>
      </c>
    </row>
    <row r="452">
      <c r="A452" s="7">
        <v>45535.0</v>
      </c>
      <c r="B452" s="1" t="s">
        <v>88</v>
      </c>
      <c r="C452" s="1" t="s">
        <v>89</v>
      </c>
      <c r="D452" s="4">
        <v>329.0</v>
      </c>
      <c r="E452" s="4">
        <v>0.0</v>
      </c>
      <c r="F452" s="1" t="s">
        <v>90</v>
      </c>
      <c r="G452" s="1" t="s">
        <v>91</v>
      </c>
      <c r="H452" s="1" t="s">
        <v>92</v>
      </c>
      <c r="I452" s="1" t="s">
        <v>1233</v>
      </c>
      <c r="J452" s="1" t="s">
        <v>1234</v>
      </c>
      <c r="K452" s="1" t="s">
        <v>1234</v>
      </c>
      <c r="M452" s="4">
        <v>-5.0</v>
      </c>
      <c r="O452" s="4">
        <v>12.499666666666666</v>
      </c>
    </row>
    <row r="453">
      <c r="A453" s="7">
        <v>45535.0</v>
      </c>
      <c r="B453" s="1" t="s">
        <v>104</v>
      </c>
      <c r="C453" s="1" t="s">
        <v>89</v>
      </c>
      <c r="D453" s="4">
        <v>264.0</v>
      </c>
      <c r="E453" s="4">
        <v>0.0</v>
      </c>
      <c r="F453" s="1" t="s">
        <v>902</v>
      </c>
      <c r="G453" s="1" t="s">
        <v>91</v>
      </c>
      <c r="H453" s="1" t="s">
        <v>92</v>
      </c>
      <c r="I453" s="1" t="s">
        <v>1235</v>
      </c>
      <c r="J453" s="1" t="s">
        <v>1236</v>
      </c>
      <c r="K453" s="1" t="s">
        <v>1236</v>
      </c>
      <c r="M453" s="4">
        <v>-5.0</v>
      </c>
      <c r="O453" s="4">
        <v>9.756166666666667</v>
      </c>
    </row>
    <row r="454">
      <c r="A454" s="7">
        <v>45535.0</v>
      </c>
      <c r="B454" s="1" t="s">
        <v>95</v>
      </c>
      <c r="C454" s="1" t="s">
        <v>89</v>
      </c>
      <c r="D454" s="4">
        <v>358.0</v>
      </c>
      <c r="E454" s="4">
        <v>0.0</v>
      </c>
      <c r="F454" s="1" t="s">
        <v>361</v>
      </c>
      <c r="G454" s="1" t="s">
        <v>97</v>
      </c>
      <c r="H454" s="1" t="s">
        <v>116</v>
      </c>
      <c r="I454" s="1" t="s">
        <v>1237</v>
      </c>
      <c r="J454" s="1" t="s">
        <v>1238</v>
      </c>
      <c r="K454" s="1" t="s">
        <v>1239</v>
      </c>
      <c r="L454" s="1" t="s">
        <v>1240</v>
      </c>
      <c r="M454" s="4">
        <v>-7.0</v>
      </c>
      <c r="N454" s="4">
        <v>0.008833333333333334</v>
      </c>
      <c r="O454" s="4">
        <v>9.46335</v>
      </c>
    </row>
    <row r="455">
      <c r="A455" s="7">
        <v>45535.0</v>
      </c>
      <c r="B455" s="1" t="s">
        <v>104</v>
      </c>
      <c r="C455" s="1" t="s">
        <v>89</v>
      </c>
      <c r="D455" s="4">
        <v>289.0</v>
      </c>
      <c r="E455" s="4">
        <v>0.0</v>
      </c>
      <c r="F455" s="1" t="s">
        <v>446</v>
      </c>
      <c r="G455" s="1" t="s">
        <v>91</v>
      </c>
      <c r="H455" s="1" t="s">
        <v>92</v>
      </c>
      <c r="I455" s="1" t="s">
        <v>1241</v>
      </c>
      <c r="J455" s="1" t="s">
        <v>1242</v>
      </c>
      <c r="K455" s="1" t="s">
        <v>1242</v>
      </c>
      <c r="M455" s="4">
        <v>-5.0</v>
      </c>
      <c r="O455" s="4">
        <v>10.628583333333333</v>
      </c>
    </row>
    <row r="456">
      <c r="A456" s="7">
        <v>45535.0</v>
      </c>
      <c r="B456" s="1" t="s">
        <v>104</v>
      </c>
      <c r="C456" s="1" t="s">
        <v>89</v>
      </c>
      <c r="D456" s="4">
        <v>329.0</v>
      </c>
      <c r="E456" s="4">
        <v>0.0</v>
      </c>
      <c r="F456" s="1" t="s">
        <v>550</v>
      </c>
      <c r="G456" s="1" t="s">
        <v>91</v>
      </c>
      <c r="H456" s="1" t="s">
        <v>92</v>
      </c>
      <c r="I456" s="1" t="s">
        <v>1243</v>
      </c>
      <c r="J456" s="1" t="s">
        <v>1244</v>
      </c>
      <c r="K456" s="1" t="s">
        <v>1244</v>
      </c>
      <c r="M456" s="4">
        <v>-1.0</v>
      </c>
      <c r="O456" s="4">
        <v>13.591666666666667</v>
      </c>
    </row>
    <row r="457">
      <c r="A457" s="7">
        <v>45535.0</v>
      </c>
      <c r="B457" s="1" t="s">
        <v>95</v>
      </c>
      <c r="C457" s="1" t="s">
        <v>89</v>
      </c>
      <c r="D457" s="4">
        <v>270.0</v>
      </c>
      <c r="E457" s="4">
        <v>0.0</v>
      </c>
      <c r="F457" s="1" t="s">
        <v>1182</v>
      </c>
      <c r="G457" s="1" t="s">
        <v>97</v>
      </c>
      <c r="H457" s="1" t="s">
        <v>92</v>
      </c>
      <c r="I457" s="1" t="s">
        <v>1245</v>
      </c>
      <c r="J457" s="1" t="s">
        <v>1246</v>
      </c>
      <c r="K457" s="1" t="s">
        <v>1247</v>
      </c>
      <c r="L457" s="1" t="s">
        <v>1248</v>
      </c>
      <c r="M457" s="4">
        <v>-7.0</v>
      </c>
      <c r="N457" s="4">
        <v>0.0093</v>
      </c>
      <c r="O457" s="4">
        <v>14.30625</v>
      </c>
    </row>
    <row r="458">
      <c r="A458" s="7">
        <v>45535.0</v>
      </c>
      <c r="B458" s="1" t="s">
        <v>95</v>
      </c>
      <c r="C458" s="1" t="s">
        <v>89</v>
      </c>
      <c r="D458" s="4">
        <v>167.0</v>
      </c>
      <c r="E458" s="4">
        <v>42.0</v>
      </c>
      <c r="G458" s="1" t="s">
        <v>149</v>
      </c>
      <c r="H458" s="1" t="s">
        <v>153</v>
      </c>
      <c r="I458" s="1" t="s">
        <v>1249</v>
      </c>
      <c r="J458" s="1" t="s">
        <v>1250</v>
      </c>
      <c r="K458" s="1" t="s">
        <v>1250</v>
      </c>
      <c r="M458" s="4">
        <v>-24.0</v>
      </c>
      <c r="O458" s="4">
        <v>11.070916666666667</v>
      </c>
    </row>
    <row r="459">
      <c r="A459" s="7">
        <v>45535.0</v>
      </c>
      <c r="B459" s="1" t="s">
        <v>95</v>
      </c>
      <c r="C459" s="1" t="s">
        <v>89</v>
      </c>
      <c r="D459" s="4">
        <v>526.0</v>
      </c>
      <c r="E459" s="4">
        <v>43.0</v>
      </c>
      <c r="F459" s="1" t="s">
        <v>1182</v>
      </c>
      <c r="G459" s="1" t="s">
        <v>97</v>
      </c>
      <c r="H459" s="1" t="s">
        <v>92</v>
      </c>
      <c r="I459" s="1" t="s">
        <v>1251</v>
      </c>
      <c r="J459" s="1" t="s">
        <v>1252</v>
      </c>
      <c r="K459" s="1" t="s">
        <v>1253</v>
      </c>
      <c r="L459" s="1" t="s">
        <v>1254</v>
      </c>
      <c r="M459" s="4">
        <v>11.0</v>
      </c>
      <c r="N459" s="4">
        <v>0.009716666666666667</v>
      </c>
      <c r="O459" s="4">
        <v>21.542916666666667</v>
      </c>
    </row>
    <row r="460">
      <c r="A460" s="7">
        <v>45535.0</v>
      </c>
      <c r="B460" s="1" t="s">
        <v>95</v>
      </c>
      <c r="C460" s="1" t="s">
        <v>89</v>
      </c>
      <c r="D460" s="4">
        <v>219.0</v>
      </c>
      <c r="E460" s="4">
        <v>55.0</v>
      </c>
      <c r="G460" s="1" t="s">
        <v>149</v>
      </c>
      <c r="H460" s="1" t="s">
        <v>116</v>
      </c>
      <c r="I460" s="1" t="s">
        <v>1255</v>
      </c>
      <c r="J460" s="1" t="s">
        <v>1256</v>
      </c>
      <c r="K460" s="1" t="s">
        <v>1256</v>
      </c>
      <c r="M460" s="4">
        <v>-5.0</v>
      </c>
      <c r="O460" s="4">
        <v>13.484766666666667</v>
      </c>
    </row>
    <row r="461">
      <c r="A461" s="7">
        <v>45535.0</v>
      </c>
      <c r="B461" s="1" t="s">
        <v>95</v>
      </c>
      <c r="C461" s="1" t="s">
        <v>89</v>
      </c>
      <c r="D461" s="4">
        <v>377.0</v>
      </c>
      <c r="E461" s="4">
        <v>50.0</v>
      </c>
      <c r="G461" s="1" t="s">
        <v>149</v>
      </c>
      <c r="H461" s="1" t="s">
        <v>153</v>
      </c>
      <c r="I461" s="1" t="s">
        <v>1257</v>
      </c>
      <c r="J461" s="1" t="s">
        <v>1258</v>
      </c>
      <c r="K461" s="1" t="s">
        <v>1258</v>
      </c>
      <c r="M461" s="4">
        <v>-6.0</v>
      </c>
      <c r="O461" s="4">
        <v>12.910133333333333</v>
      </c>
    </row>
    <row r="462">
      <c r="A462" s="7">
        <v>45535.0</v>
      </c>
      <c r="B462" s="1" t="s">
        <v>88</v>
      </c>
      <c r="C462" s="1" t="s">
        <v>89</v>
      </c>
      <c r="D462" s="4">
        <v>264.0</v>
      </c>
      <c r="E462" s="4">
        <v>0.0</v>
      </c>
      <c r="F462" s="1" t="s">
        <v>90</v>
      </c>
      <c r="G462" s="1" t="s">
        <v>91</v>
      </c>
      <c r="H462" s="1" t="s">
        <v>92</v>
      </c>
      <c r="I462" s="1" t="s">
        <v>1259</v>
      </c>
      <c r="J462" s="1" t="s">
        <v>1260</v>
      </c>
      <c r="K462" s="1" t="s">
        <v>1260</v>
      </c>
      <c r="M462" s="4">
        <v>4.0</v>
      </c>
      <c r="O462" s="4">
        <v>19.475733333333334</v>
      </c>
    </row>
    <row r="463">
      <c r="A463" s="7">
        <v>45535.0</v>
      </c>
      <c r="B463" s="1" t="s">
        <v>169</v>
      </c>
      <c r="C463" s="1" t="s">
        <v>89</v>
      </c>
      <c r="D463" s="4">
        <v>249.0</v>
      </c>
      <c r="E463" s="4">
        <v>0.0</v>
      </c>
      <c r="G463" s="1" t="s">
        <v>149</v>
      </c>
      <c r="H463" s="1" t="s">
        <v>116</v>
      </c>
      <c r="I463" s="1" t="s">
        <v>1261</v>
      </c>
      <c r="J463" s="1" t="s">
        <v>1262</v>
      </c>
      <c r="K463" s="1" t="s">
        <v>1262</v>
      </c>
      <c r="M463" s="4">
        <v>6.0</v>
      </c>
      <c r="O463" s="4">
        <v>11.261483333333333</v>
      </c>
    </row>
    <row r="464">
      <c r="A464" s="7">
        <v>45535.0</v>
      </c>
      <c r="B464" s="1" t="s">
        <v>88</v>
      </c>
      <c r="C464" s="1" t="s">
        <v>89</v>
      </c>
      <c r="D464" s="4">
        <v>394.0</v>
      </c>
      <c r="E464" s="4">
        <v>0.0</v>
      </c>
      <c r="F464" s="1" t="s">
        <v>90</v>
      </c>
      <c r="G464" s="1" t="s">
        <v>91</v>
      </c>
      <c r="H464" s="1" t="s">
        <v>92</v>
      </c>
      <c r="I464" s="1" t="s">
        <v>1263</v>
      </c>
      <c r="J464" s="1" t="s">
        <v>1264</v>
      </c>
      <c r="K464" s="1" t="s">
        <v>1264</v>
      </c>
      <c r="M464" s="4">
        <v>3.0</v>
      </c>
      <c r="O464" s="4">
        <v>18.646533333333334</v>
      </c>
    </row>
    <row r="465">
      <c r="A465" s="7">
        <v>45535.0</v>
      </c>
      <c r="B465" s="1" t="s">
        <v>127</v>
      </c>
      <c r="C465" s="1" t="s">
        <v>105</v>
      </c>
      <c r="D465" s="4">
        <v>329.0</v>
      </c>
      <c r="E465" s="4">
        <v>0.0</v>
      </c>
      <c r="G465" s="1" t="s">
        <v>91</v>
      </c>
      <c r="H465" s="1" t="s">
        <v>116</v>
      </c>
      <c r="I465" s="1" t="s">
        <v>1265</v>
      </c>
      <c r="J465" s="1" t="s">
        <v>1266</v>
      </c>
      <c r="K465" s="1" t="s">
        <v>1266</v>
      </c>
      <c r="M465" s="4">
        <v>6.0</v>
      </c>
      <c r="O465" s="4">
        <v>18.327016666666665</v>
      </c>
    </row>
    <row r="466">
      <c r="A466" s="7">
        <v>45535.0</v>
      </c>
      <c r="B466" s="1" t="s">
        <v>95</v>
      </c>
      <c r="C466" s="1" t="s">
        <v>89</v>
      </c>
      <c r="D466" s="4">
        <v>275.0</v>
      </c>
      <c r="E466" s="4">
        <v>69.0</v>
      </c>
      <c r="G466" s="1" t="s">
        <v>149</v>
      </c>
      <c r="H466" s="1" t="s">
        <v>153</v>
      </c>
      <c r="I466" s="1" t="s">
        <v>1267</v>
      </c>
      <c r="J466" s="1" t="s">
        <v>1268</v>
      </c>
      <c r="K466" s="1" t="s">
        <v>1268</v>
      </c>
      <c r="M466" s="4">
        <v>-4.0</v>
      </c>
      <c r="O466" s="4">
        <v>14.35365</v>
      </c>
    </row>
    <row r="467">
      <c r="A467" s="7">
        <v>45535.0</v>
      </c>
      <c r="B467" s="1" t="s">
        <v>95</v>
      </c>
      <c r="C467" s="1" t="s">
        <v>89</v>
      </c>
      <c r="D467" s="4">
        <v>267.0</v>
      </c>
      <c r="E467" s="4">
        <v>62.0</v>
      </c>
      <c r="G467" s="1" t="s">
        <v>149</v>
      </c>
      <c r="H467" s="1" t="s">
        <v>116</v>
      </c>
      <c r="I467" s="1" t="s">
        <v>1269</v>
      </c>
      <c r="J467" s="1" t="s">
        <v>1270</v>
      </c>
      <c r="K467" s="1" t="s">
        <v>1270</v>
      </c>
      <c r="M467" s="4">
        <v>-6.0</v>
      </c>
      <c r="O467" s="4">
        <v>12.475466666666666</v>
      </c>
    </row>
    <row r="468">
      <c r="A468" s="7">
        <v>45535.0</v>
      </c>
      <c r="B468" s="1" t="s">
        <v>95</v>
      </c>
      <c r="C468" s="1" t="s">
        <v>89</v>
      </c>
      <c r="D468" s="4">
        <v>1645.0</v>
      </c>
      <c r="E468" s="4">
        <v>0.0</v>
      </c>
      <c r="F468" s="1" t="s">
        <v>1182</v>
      </c>
      <c r="G468" s="1" t="s">
        <v>97</v>
      </c>
      <c r="H468" s="1" t="s">
        <v>92</v>
      </c>
      <c r="I468" s="1" t="s">
        <v>1271</v>
      </c>
      <c r="J468" s="1" t="s">
        <v>1272</v>
      </c>
      <c r="K468" s="1" t="s">
        <v>1273</v>
      </c>
      <c r="L468" s="1" t="s">
        <v>1274</v>
      </c>
      <c r="M468" s="4">
        <v>13.0</v>
      </c>
      <c r="N468" s="4">
        <v>0.020816666666666667</v>
      </c>
      <c r="O468" s="4">
        <v>28.86616666666667</v>
      </c>
    </row>
    <row r="469">
      <c r="A469" s="7">
        <v>45535.0</v>
      </c>
      <c r="B469" s="1" t="s">
        <v>95</v>
      </c>
      <c r="C469" s="1" t="s">
        <v>89</v>
      </c>
      <c r="D469" s="4">
        <v>478.0</v>
      </c>
      <c r="E469" s="4">
        <v>0.0</v>
      </c>
      <c r="F469" s="1" t="s">
        <v>361</v>
      </c>
      <c r="G469" s="1" t="s">
        <v>97</v>
      </c>
      <c r="H469" s="1" t="s">
        <v>116</v>
      </c>
      <c r="I469" s="1" t="s">
        <v>1275</v>
      </c>
      <c r="J469" s="1" t="s">
        <v>1276</v>
      </c>
      <c r="K469" s="1" t="s">
        <v>1277</v>
      </c>
      <c r="L469" s="1" t="s">
        <v>1278</v>
      </c>
      <c r="M469" s="4">
        <v>15.0</v>
      </c>
      <c r="N469" s="4">
        <v>0.013083333333333334</v>
      </c>
      <c r="O469" s="4">
        <v>13.916266666666667</v>
      </c>
    </row>
    <row r="470">
      <c r="A470" s="7">
        <v>45535.0</v>
      </c>
      <c r="B470" s="1" t="s">
        <v>127</v>
      </c>
      <c r="C470" s="1" t="s">
        <v>105</v>
      </c>
      <c r="D470" s="4">
        <v>642.0</v>
      </c>
      <c r="E470" s="4">
        <v>0.0</v>
      </c>
      <c r="G470" s="1" t="s">
        <v>91</v>
      </c>
      <c r="H470" s="1" t="s">
        <v>92</v>
      </c>
      <c r="I470" s="1" t="s">
        <v>1279</v>
      </c>
      <c r="J470" s="1" t="s">
        <v>1280</v>
      </c>
      <c r="K470" s="1" t="s">
        <v>1280</v>
      </c>
      <c r="M470" s="4">
        <v>5.0</v>
      </c>
      <c r="O470" s="4">
        <v>19.167683333333333</v>
      </c>
    </row>
    <row r="471">
      <c r="A471" s="7">
        <v>45535.0</v>
      </c>
      <c r="B471" s="1" t="s">
        <v>95</v>
      </c>
      <c r="C471" s="1" t="s">
        <v>89</v>
      </c>
      <c r="D471" s="4">
        <v>247.0</v>
      </c>
      <c r="E471" s="4">
        <v>62.0</v>
      </c>
      <c r="G471" s="1" t="s">
        <v>149</v>
      </c>
      <c r="H471" s="1" t="s">
        <v>153</v>
      </c>
      <c r="I471" s="1" t="s">
        <v>1281</v>
      </c>
      <c r="J471" s="1" t="s">
        <v>1282</v>
      </c>
      <c r="K471" s="1" t="s">
        <v>1282</v>
      </c>
      <c r="M471" s="4">
        <v>-2.0</v>
      </c>
      <c r="O471" s="4">
        <v>16.765033333333335</v>
      </c>
    </row>
    <row r="472">
      <c r="A472" s="7">
        <v>45535.0</v>
      </c>
      <c r="B472" s="1" t="s">
        <v>95</v>
      </c>
      <c r="C472" s="1" t="s">
        <v>89</v>
      </c>
      <c r="D472" s="4">
        <v>247.0</v>
      </c>
      <c r="E472" s="4">
        <v>62.0</v>
      </c>
      <c r="G472" s="1" t="s">
        <v>149</v>
      </c>
      <c r="H472" s="1" t="s">
        <v>153</v>
      </c>
      <c r="I472" s="1" t="s">
        <v>1283</v>
      </c>
      <c r="J472" s="1" t="s">
        <v>1284</v>
      </c>
      <c r="K472" s="1" t="s">
        <v>1284</v>
      </c>
      <c r="M472" s="4">
        <v>-2.0</v>
      </c>
      <c r="O472" s="4">
        <v>17.30378333333333</v>
      </c>
    </row>
    <row r="473">
      <c r="A473" s="7">
        <v>45535.0</v>
      </c>
      <c r="B473" s="1" t="s">
        <v>95</v>
      </c>
      <c r="C473" s="1" t="s">
        <v>89</v>
      </c>
      <c r="D473" s="4">
        <v>369.0</v>
      </c>
      <c r="E473" s="4">
        <v>0.0</v>
      </c>
      <c r="F473" s="1" t="s">
        <v>1182</v>
      </c>
      <c r="G473" s="1" t="s">
        <v>97</v>
      </c>
      <c r="H473" s="1" t="s">
        <v>92</v>
      </c>
      <c r="I473" s="1" t="s">
        <v>1285</v>
      </c>
      <c r="J473" s="1" t="s">
        <v>1286</v>
      </c>
      <c r="K473" s="1" t="s">
        <v>1287</v>
      </c>
      <c r="L473" s="1" t="s">
        <v>1288</v>
      </c>
      <c r="M473" s="4">
        <v>-11.0</v>
      </c>
      <c r="N473" s="4">
        <v>0.00895</v>
      </c>
      <c r="O473" s="4">
        <v>11.078016666666667</v>
      </c>
    </row>
    <row r="474">
      <c r="A474" s="7">
        <v>45535.0</v>
      </c>
      <c r="B474" s="1" t="s">
        <v>95</v>
      </c>
      <c r="C474" s="1" t="s">
        <v>89</v>
      </c>
      <c r="D474" s="4">
        <v>661.0</v>
      </c>
      <c r="E474" s="4">
        <v>30.0</v>
      </c>
      <c r="F474" s="1" t="s">
        <v>361</v>
      </c>
      <c r="G474" s="1" t="s">
        <v>97</v>
      </c>
      <c r="H474" s="1" t="s">
        <v>92</v>
      </c>
      <c r="I474" s="1" t="s">
        <v>1289</v>
      </c>
      <c r="J474" s="1" t="s">
        <v>1290</v>
      </c>
      <c r="K474" s="1" t="s">
        <v>1291</v>
      </c>
      <c r="L474" s="1" t="s">
        <v>1292</v>
      </c>
      <c r="M474" s="4">
        <v>18.0</v>
      </c>
      <c r="N474" s="4">
        <v>0.012666666666666666</v>
      </c>
      <c r="O474" s="4">
        <v>15.4739</v>
      </c>
    </row>
    <row r="475">
      <c r="A475" s="7">
        <v>45535.0</v>
      </c>
      <c r="B475" s="1" t="s">
        <v>88</v>
      </c>
      <c r="C475" s="1" t="s">
        <v>89</v>
      </c>
      <c r="D475" s="4">
        <v>393.0</v>
      </c>
      <c r="E475" s="4">
        <v>0.0</v>
      </c>
      <c r="F475" s="1" t="s">
        <v>90</v>
      </c>
      <c r="G475" s="1" t="s">
        <v>91</v>
      </c>
      <c r="H475" s="1" t="s">
        <v>92</v>
      </c>
      <c r="I475" s="1" t="s">
        <v>1293</v>
      </c>
      <c r="J475" s="1" t="s">
        <v>1294</v>
      </c>
      <c r="K475" s="1" t="s">
        <v>1294</v>
      </c>
      <c r="M475" s="4">
        <v>11.0</v>
      </c>
      <c r="O475" s="4">
        <v>26.489366666666665</v>
      </c>
    </row>
    <row r="476">
      <c r="A476" s="7">
        <v>45535.0</v>
      </c>
      <c r="B476" s="1" t="s">
        <v>95</v>
      </c>
      <c r="C476" s="1" t="s">
        <v>89</v>
      </c>
      <c r="D476" s="4">
        <v>299.0</v>
      </c>
      <c r="E476" s="4">
        <v>75.0</v>
      </c>
      <c r="G476" s="1" t="s">
        <v>149</v>
      </c>
      <c r="H476" s="1" t="s">
        <v>153</v>
      </c>
      <c r="I476" s="1" t="s">
        <v>1295</v>
      </c>
      <c r="J476" s="1" t="s">
        <v>1296</v>
      </c>
      <c r="K476" s="1" t="s">
        <v>1296</v>
      </c>
      <c r="M476" s="4">
        <v>-4.0</v>
      </c>
      <c r="O476" s="4">
        <v>14.7405</v>
      </c>
    </row>
    <row r="477">
      <c r="A477" s="7">
        <v>45535.0</v>
      </c>
      <c r="B477" s="1" t="s">
        <v>95</v>
      </c>
      <c r="C477" s="1" t="s">
        <v>89</v>
      </c>
      <c r="D477" s="4">
        <v>468.0</v>
      </c>
      <c r="E477" s="4">
        <v>0.0</v>
      </c>
      <c r="F477" s="1" t="s">
        <v>1182</v>
      </c>
      <c r="G477" s="1" t="s">
        <v>97</v>
      </c>
      <c r="H477" s="1" t="s">
        <v>92</v>
      </c>
      <c r="I477" s="1" t="s">
        <v>1297</v>
      </c>
      <c r="J477" s="1" t="s">
        <v>1298</v>
      </c>
      <c r="K477" s="1" t="s">
        <v>1299</v>
      </c>
      <c r="L477" s="1" t="s">
        <v>1300</v>
      </c>
      <c r="M477" s="4">
        <v>15.0</v>
      </c>
      <c r="N477" s="4">
        <v>0.011016666666666666</v>
      </c>
      <c r="O477" s="4">
        <v>13.039966666666666</v>
      </c>
    </row>
    <row r="478">
      <c r="A478" s="7">
        <v>45535.0</v>
      </c>
      <c r="B478" s="1" t="s">
        <v>95</v>
      </c>
      <c r="C478" s="1" t="s">
        <v>89</v>
      </c>
      <c r="D478" s="4">
        <v>247.0</v>
      </c>
      <c r="E478" s="4">
        <v>62.0</v>
      </c>
      <c r="G478" s="1" t="s">
        <v>149</v>
      </c>
      <c r="H478" s="1" t="s">
        <v>92</v>
      </c>
      <c r="I478" s="1" t="s">
        <v>1301</v>
      </c>
      <c r="J478" s="1" t="s">
        <v>1302</v>
      </c>
      <c r="K478" s="1" t="s">
        <v>1302</v>
      </c>
      <c r="M478" s="4">
        <v>-9.0</v>
      </c>
      <c r="O478" s="4">
        <v>8.622116666666667</v>
      </c>
    </row>
    <row r="479">
      <c r="A479" s="7">
        <v>45535.0</v>
      </c>
      <c r="B479" s="1" t="s">
        <v>127</v>
      </c>
      <c r="C479" s="1" t="s">
        <v>105</v>
      </c>
      <c r="D479" s="4">
        <v>364.0</v>
      </c>
      <c r="E479" s="4">
        <v>0.0</v>
      </c>
      <c r="G479" s="1" t="s">
        <v>91</v>
      </c>
      <c r="H479" s="1" t="s">
        <v>92</v>
      </c>
      <c r="I479" s="1" t="s">
        <v>1303</v>
      </c>
      <c r="J479" s="1" t="s">
        <v>1304</v>
      </c>
      <c r="K479" s="1" t="s">
        <v>1304</v>
      </c>
      <c r="M479" s="4">
        <v>4.0</v>
      </c>
      <c r="O479" s="4">
        <v>17.441716666666668</v>
      </c>
    </row>
    <row r="480">
      <c r="A480" s="7">
        <v>45535.0</v>
      </c>
      <c r="B480" s="1" t="s">
        <v>127</v>
      </c>
      <c r="C480" s="1" t="s">
        <v>105</v>
      </c>
      <c r="D480" s="4">
        <v>528.0</v>
      </c>
      <c r="E480" s="4">
        <v>0.0</v>
      </c>
      <c r="G480" s="1" t="s">
        <v>91</v>
      </c>
      <c r="H480" s="1" t="s">
        <v>92</v>
      </c>
      <c r="I480" s="1" t="s">
        <v>1305</v>
      </c>
      <c r="J480" s="1" t="s">
        <v>1306</v>
      </c>
      <c r="K480" s="1" t="s">
        <v>1306</v>
      </c>
      <c r="M480" s="4">
        <v>1.0</v>
      </c>
      <c r="O480" s="4">
        <v>14.976966666666666</v>
      </c>
    </row>
    <row r="481">
      <c r="A481" s="7">
        <v>45535.0</v>
      </c>
      <c r="B481" s="1" t="s">
        <v>127</v>
      </c>
      <c r="C481" s="1" t="s">
        <v>105</v>
      </c>
      <c r="D481" s="4">
        <v>371.0</v>
      </c>
      <c r="E481" s="4">
        <v>0.0</v>
      </c>
      <c r="G481" s="1" t="s">
        <v>91</v>
      </c>
      <c r="H481" s="1" t="s">
        <v>92</v>
      </c>
      <c r="I481" s="1" t="s">
        <v>1307</v>
      </c>
      <c r="J481" s="1" t="s">
        <v>1308</v>
      </c>
      <c r="K481" s="1" t="s">
        <v>1308</v>
      </c>
      <c r="M481" s="4">
        <v>-2.0</v>
      </c>
      <c r="O481" s="4">
        <v>9.8059</v>
      </c>
    </row>
    <row r="482">
      <c r="A482" s="7">
        <v>45535.0</v>
      </c>
      <c r="B482" s="1" t="s">
        <v>95</v>
      </c>
      <c r="C482" s="1" t="s">
        <v>89</v>
      </c>
      <c r="D482" s="4">
        <v>607.0</v>
      </c>
      <c r="E482" s="4">
        <v>0.0</v>
      </c>
      <c r="F482" s="1" t="s">
        <v>1182</v>
      </c>
      <c r="G482" s="1" t="s">
        <v>97</v>
      </c>
      <c r="H482" s="1" t="s">
        <v>92</v>
      </c>
      <c r="I482" s="1" t="s">
        <v>1309</v>
      </c>
      <c r="J482" s="1" t="s">
        <v>1310</v>
      </c>
      <c r="K482" s="1" t="s">
        <v>1311</v>
      </c>
      <c r="L482" s="1" t="s">
        <v>1312</v>
      </c>
      <c r="M482" s="4">
        <v>-9.0</v>
      </c>
      <c r="N482" s="4">
        <v>0.0108</v>
      </c>
      <c r="O482" s="4">
        <v>11.580283333333334</v>
      </c>
    </row>
    <row r="483">
      <c r="A483" s="7">
        <v>45535.0</v>
      </c>
      <c r="B483" s="1" t="s">
        <v>95</v>
      </c>
      <c r="C483" s="1" t="s">
        <v>89</v>
      </c>
      <c r="D483" s="4">
        <v>250.0</v>
      </c>
      <c r="E483" s="4">
        <v>0.0</v>
      </c>
      <c r="F483" s="1" t="s">
        <v>361</v>
      </c>
      <c r="G483" s="1" t="s">
        <v>97</v>
      </c>
      <c r="H483" s="1" t="s">
        <v>92</v>
      </c>
      <c r="I483" s="1" t="s">
        <v>1313</v>
      </c>
      <c r="J483" s="1" t="s">
        <v>1314</v>
      </c>
      <c r="K483" s="1" t="s">
        <v>1315</v>
      </c>
      <c r="L483" s="1" t="s">
        <v>1316</v>
      </c>
      <c r="M483" s="4">
        <v>-7.0</v>
      </c>
      <c r="N483" s="4">
        <v>0.0091</v>
      </c>
      <c r="O483" s="4">
        <v>12.096766666666667</v>
      </c>
    </row>
    <row r="484">
      <c r="A484" s="7">
        <v>45535.0</v>
      </c>
      <c r="B484" s="1" t="s">
        <v>95</v>
      </c>
      <c r="C484" s="1" t="s">
        <v>89</v>
      </c>
      <c r="D484" s="4">
        <v>397.0</v>
      </c>
      <c r="E484" s="4">
        <v>0.0</v>
      </c>
      <c r="F484" s="1" t="s">
        <v>361</v>
      </c>
      <c r="G484" s="1" t="s">
        <v>97</v>
      </c>
      <c r="H484" s="1" t="s">
        <v>92</v>
      </c>
      <c r="I484" s="1" t="s">
        <v>1317</v>
      </c>
      <c r="J484" s="1" t="s">
        <v>1318</v>
      </c>
      <c r="K484" s="1" t="s">
        <v>1319</v>
      </c>
      <c r="L484" s="1" t="s">
        <v>1320</v>
      </c>
      <c r="M484" s="4">
        <v>8.0</v>
      </c>
      <c r="N484" s="4">
        <v>0.009783333333333333</v>
      </c>
      <c r="O484" s="4">
        <v>9.7344</v>
      </c>
    </row>
    <row r="485">
      <c r="A485" s="7">
        <v>45535.0</v>
      </c>
      <c r="B485" s="1" t="s">
        <v>104</v>
      </c>
      <c r="C485" s="1" t="s">
        <v>105</v>
      </c>
      <c r="D485" s="4">
        <v>443.0</v>
      </c>
      <c r="E485" s="4">
        <v>0.0</v>
      </c>
      <c r="F485" s="1" t="s">
        <v>298</v>
      </c>
      <c r="G485" s="1" t="s">
        <v>91</v>
      </c>
      <c r="H485" s="1" t="s">
        <v>92</v>
      </c>
      <c r="I485" s="1" t="s">
        <v>1321</v>
      </c>
      <c r="J485" s="1" t="s">
        <v>1322</v>
      </c>
      <c r="K485" s="1" t="s">
        <v>1322</v>
      </c>
      <c r="M485" s="4">
        <v>-1.0</v>
      </c>
      <c r="O485" s="4">
        <v>14.712966666666667</v>
      </c>
    </row>
    <row r="486">
      <c r="A486" s="7">
        <v>45535.0</v>
      </c>
      <c r="B486" s="1" t="s">
        <v>95</v>
      </c>
      <c r="C486" s="1" t="s">
        <v>89</v>
      </c>
      <c r="D486" s="4">
        <v>503.0</v>
      </c>
      <c r="E486" s="4">
        <v>0.0</v>
      </c>
      <c r="F486" s="1" t="s">
        <v>90</v>
      </c>
      <c r="G486" s="1" t="s">
        <v>97</v>
      </c>
      <c r="H486" s="1" t="s">
        <v>92</v>
      </c>
      <c r="I486" s="1" t="s">
        <v>1323</v>
      </c>
      <c r="J486" s="1" t="s">
        <v>1324</v>
      </c>
      <c r="K486" s="1" t="s">
        <v>1325</v>
      </c>
      <c r="L486" s="1" t="s">
        <v>1326</v>
      </c>
      <c r="M486" s="4">
        <v>5.0</v>
      </c>
      <c r="N486" s="4">
        <v>6.443816666666667</v>
      </c>
      <c r="O486" s="4">
        <v>10.496</v>
      </c>
    </row>
    <row r="487">
      <c r="A487" s="7">
        <v>45535.0</v>
      </c>
      <c r="B487" s="1" t="s">
        <v>95</v>
      </c>
      <c r="C487" s="1" t="s">
        <v>89</v>
      </c>
      <c r="D487" s="4">
        <v>299.0</v>
      </c>
      <c r="E487" s="4">
        <v>0.0</v>
      </c>
      <c r="F487" s="1" t="s">
        <v>1182</v>
      </c>
      <c r="G487" s="1" t="s">
        <v>97</v>
      </c>
      <c r="H487" s="1" t="s">
        <v>92</v>
      </c>
      <c r="I487" s="1" t="s">
        <v>1327</v>
      </c>
      <c r="J487" s="1" t="s">
        <v>1328</v>
      </c>
      <c r="K487" s="1" t="s">
        <v>1329</v>
      </c>
      <c r="L487" s="1" t="s">
        <v>1330</v>
      </c>
      <c r="M487" s="4">
        <v>-10.0</v>
      </c>
      <c r="N487" s="4">
        <v>0.0077666666666666665</v>
      </c>
      <c r="O487" s="4">
        <v>11.600883333333334</v>
      </c>
    </row>
    <row r="488">
      <c r="A488" s="7">
        <v>45535.0</v>
      </c>
      <c r="B488" s="1" t="s">
        <v>127</v>
      </c>
      <c r="C488" s="1" t="s">
        <v>89</v>
      </c>
      <c r="D488" s="4">
        <v>473.0</v>
      </c>
      <c r="E488" s="4">
        <v>0.0</v>
      </c>
      <c r="G488" s="1" t="s">
        <v>91</v>
      </c>
      <c r="H488" s="1" t="s">
        <v>92</v>
      </c>
      <c r="I488" s="1" t="s">
        <v>1331</v>
      </c>
      <c r="J488" s="1" t="s">
        <v>1332</v>
      </c>
      <c r="K488" s="1" t="s">
        <v>1332</v>
      </c>
      <c r="M488" s="4">
        <v>-1.0</v>
      </c>
      <c r="O488" s="4">
        <v>10.639516666666667</v>
      </c>
    </row>
    <row r="489">
      <c r="A489" s="7">
        <v>45535.0</v>
      </c>
      <c r="B489" s="1" t="s">
        <v>95</v>
      </c>
      <c r="C489" s="1" t="s">
        <v>89</v>
      </c>
      <c r="D489" s="4">
        <v>618.0</v>
      </c>
      <c r="E489" s="4">
        <v>0.0</v>
      </c>
      <c r="F489" s="1" t="s">
        <v>1182</v>
      </c>
      <c r="G489" s="1" t="s">
        <v>97</v>
      </c>
      <c r="H489" s="1" t="s">
        <v>92</v>
      </c>
      <c r="I489" s="1" t="s">
        <v>1333</v>
      </c>
      <c r="J489" s="1" t="s">
        <v>1334</v>
      </c>
      <c r="K489" s="1" t="s">
        <v>1335</v>
      </c>
      <c r="L489" s="1" t="s">
        <v>1336</v>
      </c>
      <c r="M489" s="4">
        <v>5.0</v>
      </c>
      <c r="N489" s="4">
        <v>0.008483333333333334</v>
      </c>
      <c r="O489" s="4">
        <v>11.659633333333334</v>
      </c>
    </row>
    <row r="490">
      <c r="A490" s="7">
        <v>45535.0</v>
      </c>
      <c r="B490" s="1" t="s">
        <v>88</v>
      </c>
      <c r="C490" s="1" t="s">
        <v>89</v>
      </c>
      <c r="D490" s="4">
        <v>224.0</v>
      </c>
      <c r="E490" s="4">
        <v>0.0</v>
      </c>
      <c r="F490" s="1" t="s">
        <v>90</v>
      </c>
      <c r="G490" s="1" t="s">
        <v>91</v>
      </c>
      <c r="H490" s="1" t="s">
        <v>92</v>
      </c>
      <c r="I490" s="1" t="s">
        <v>1337</v>
      </c>
      <c r="J490" s="1" t="s">
        <v>1338</v>
      </c>
      <c r="K490" s="1" t="s">
        <v>1338</v>
      </c>
      <c r="M490" s="4">
        <v>-8.0</v>
      </c>
      <c r="O490" s="4">
        <v>6.392083333333333</v>
      </c>
    </row>
    <row r="491">
      <c r="A491" s="7">
        <v>45535.0</v>
      </c>
      <c r="B491" s="1" t="s">
        <v>169</v>
      </c>
      <c r="C491" s="1" t="s">
        <v>89</v>
      </c>
      <c r="D491" s="4">
        <v>249.0</v>
      </c>
      <c r="E491" s="4">
        <v>0.0</v>
      </c>
      <c r="G491" s="1" t="s">
        <v>149</v>
      </c>
      <c r="H491" s="1" t="s">
        <v>116</v>
      </c>
      <c r="I491" s="1" t="s">
        <v>1339</v>
      </c>
      <c r="J491" s="1" t="s">
        <v>1340</v>
      </c>
      <c r="K491" s="1" t="s">
        <v>1340</v>
      </c>
      <c r="M491" s="4">
        <v>-2.0</v>
      </c>
      <c r="O491" s="4">
        <v>2.88825</v>
      </c>
    </row>
    <row r="492">
      <c r="A492" s="7">
        <v>45535.0</v>
      </c>
      <c r="B492" s="1" t="s">
        <v>95</v>
      </c>
      <c r="C492" s="1" t="s">
        <v>89</v>
      </c>
      <c r="D492" s="4">
        <v>309.0</v>
      </c>
      <c r="E492" s="4">
        <v>0.0</v>
      </c>
      <c r="F492" s="1" t="s">
        <v>1182</v>
      </c>
      <c r="G492" s="1" t="s">
        <v>97</v>
      </c>
      <c r="H492" s="1" t="s">
        <v>92</v>
      </c>
      <c r="I492" s="1" t="s">
        <v>1341</v>
      </c>
      <c r="J492" s="1" t="s">
        <v>1342</v>
      </c>
      <c r="K492" s="1" t="s">
        <v>1343</v>
      </c>
      <c r="L492" s="1" t="s">
        <v>1344</v>
      </c>
      <c r="M492" s="4">
        <v>-5.0</v>
      </c>
      <c r="N492" s="4">
        <v>0.008766666666666667</v>
      </c>
      <c r="O492" s="4">
        <v>14.577516666666666</v>
      </c>
    </row>
    <row r="493">
      <c r="A493" s="7">
        <v>45535.0</v>
      </c>
      <c r="B493" s="1" t="s">
        <v>127</v>
      </c>
      <c r="C493" s="1" t="s">
        <v>89</v>
      </c>
      <c r="D493" s="4">
        <v>528.0</v>
      </c>
      <c r="E493" s="4">
        <v>0.0</v>
      </c>
      <c r="G493" s="1" t="s">
        <v>91</v>
      </c>
      <c r="H493" s="1" t="s">
        <v>92</v>
      </c>
      <c r="I493" s="1" t="s">
        <v>1345</v>
      </c>
      <c r="J493" s="1" t="s">
        <v>1346</v>
      </c>
      <c r="K493" s="1" t="s">
        <v>1346</v>
      </c>
      <c r="M493" s="4">
        <v>0.0</v>
      </c>
      <c r="O493" s="4">
        <v>13.4899</v>
      </c>
    </row>
    <row r="494">
      <c r="A494" s="7">
        <v>45535.0</v>
      </c>
      <c r="B494" s="1" t="s">
        <v>127</v>
      </c>
      <c r="C494" s="1" t="s">
        <v>105</v>
      </c>
      <c r="D494" s="4">
        <v>508.0</v>
      </c>
      <c r="E494" s="4">
        <v>0.0</v>
      </c>
      <c r="G494" s="1" t="s">
        <v>91</v>
      </c>
      <c r="H494" s="1" t="s">
        <v>92</v>
      </c>
      <c r="I494" s="1" t="s">
        <v>1347</v>
      </c>
      <c r="J494" s="1" t="s">
        <v>1348</v>
      </c>
      <c r="K494" s="1" t="s">
        <v>1348</v>
      </c>
      <c r="M494" s="4">
        <v>-1.0</v>
      </c>
      <c r="O494" s="4">
        <v>11.757183333333334</v>
      </c>
    </row>
    <row r="495">
      <c r="A495" s="7">
        <v>45535.0</v>
      </c>
      <c r="B495" s="1" t="s">
        <v>95</v>
      </c>
      <c r="C495" s="1" t="s">
        <v>89</v>
      </c>
      <c r="D495" s="4">
        <v>299.0</v>
      </c>
      <c r="E495" s="4">
        <v>75.0</v>
      </c>
      <c r="G495" s="1" t="s">
        <v>149</v>
      </c>
      <c r="H495" s="1" t="s">
        <v>116</v>
      </c>
      <c r="I495" s="1" t="s">
        <v>1349</v>
      </c>
      <c r="J495" s="1" t="s">
        <v>1350</v>
      </c>
      <c r="K495" s="1" t="s">
        <v>1350</v>
      </c>
      <c r="M495" s="4">
        <v>-3.0</v>
      </c>
      <c r="O495" s="4">
        <v>15.477466666666666</v>
      </c>
    </row>
    <row r="496">
      <c r="A496" s="7">
        <v>45535.0</v>
      </c>
      <c r="B496" s="1" t="s">
        <v>169</v>
      </c>
      <c r="C496" s="1" t="s">
        <v>89</v>
      </c>
      <c r="D496" s="4">
        <v>309.0</v>
      </c>
      <c r="E496" s="4">
        <v>0.0</v>
      </c>
      <c r="G496" s="1" t="s">
        <v>149</v>
      </c>
      <c r="H496" s="1" t="s">
        <v>116</v>
      </c>
      <c r="I496" s="1" t="s">
        <v>1351</v>
      </c>
      <c r="J496" s="1" t="s">
        <v>1352</v>
      </c>
      <c r="K496" s="1" t="s">
        <v>1352</v>
      </c>
      <c r="M496" s="4">
        <v>5.0</v>
      </c>
      <c r="O496" s="4">
        <v>10.116616666666667</v>
      </c>
    </row>
    <row r="497">
      <c r="A497" s="7">
        <v>45535.0</v>
      </c>
      <c r="B497" s="1" t="s">
        <v>95</v>
      </c>
      <c r="C497" s="1" t="s">
        <v>89</v>
      </c>
      <c r="D497" s="4">
        <v>299.0</v>
      </c>
      <c r="E497" s="4">
        <v>0.0</v>
      </c>
      <c r="F497" s="1" t="s">
        <v>1182</v>
      </c>
      <c r="G497" s="1" t="s">
        <v>97</v>
      </c>
      <c r="H497" s="1" t="s">
        <v>116</v>
      </c>
      <c r="I497" s="1" t="s">
        <v>1353</v>
      </c>
      <c r="J497" s="1" t="s">
        <v>1354</v>
      </c>
      <c r="K497" s="1" t="s">
        <v>1355</v>
      </c>
      <c r="L497" s="1" t="s">
        <v>1356</v>
      </c>
      <c r="M497" s="4">
        <v>1.0</v>
      </c>
      <c r="N497" s="4">
        <v>0.009116666666666667</v>
      </c>
      <c r="O497" s="4">
        <v>9.902466666666667</v>
      </c>
    </row>
    <row r="498">
      <c r="A498" s="7">
        <v>45535.0</v>
      </c>
      <c r="B498" s="1" t="s">
        <v>95</v>
      </c>
      <c r="C498" s="1" t="s">
        <v>89</v>
      </c>
      <c r="D498" s="4">
        <v>250.0</v>
      </c>
      <c r="E498" s="4">
        <v>0.0</v>
      </c>
      <c r="F498" s="1" t="s">
        <v>1182</v>
      </c>
      <c r="G498" s="1" t="s">
        <v>97</v>
      </c>
      <c r="H498" s="1" t="s">
        <v>92</v>
      </c>
      <c r="I498" s="1" t="s">
        <v>1357</v>
      </c>
      <c r="J498" s="1" t="s">
        <v>1358</v>
      </c>
      <c r="K498" s="1" t="s">
        <v>1359</v>
      </c>
      <c r="L498" s="1" t="s">
        <v>1360</v>
      </c>
      <c r="M498" s="4">
        <v>-12.0</v>
      </c>
      <c r="N498" s="4">
        <v>0.0109</v>
      </c>
      <c r="O498" s="4">
        <v>9.320616666666666</v>
      </c>
    </row>
    <row r="499">
      <c r="A499" s="7">
        <v>45535.0</v>
      </c>
      <c r="B499" s="1" t="s">
        <v>127</v>
      </c>
      <c r="C499" s="1" t="s">
        <v>105</v>
      </c>
      <c r="D499" s="4">
        <v>394.0</v>
      </c>
      <c r="E499" s="4">
        <v>0.0</v>
      </c>
      <c r="G499" s="1" t="s">
        <v>91</v>
      </c>
      <c r="H499" s="1" t="s">
        <v>92</v>
      </c>
      <c r="I499" s="1" t="s">
        <v>1361</v>
      </c>
      <c r="J499" s="1" t="s">
        <v>1362</v>
      </c>
      <c r="K499" s="1" t="s">
        <v>1362</v>
      </c>
      <c r="M499" s="4">
        <v>4.0</v>
      </c>
      <c r="O499" s="4">
        <v>16.245616666666667</v>
      </c>
    </row>
    <row r="500">
      <c r="A500" s="7">
        <v>45535.0</v>
      </c>
      <c r="B500" s="1" t="s">
        <v>127</v>
      </c>
      <c r="C500" s="1" t="s">
        <v>105</v>
      </c>
      <c r="D500" s="4">
        <v>728.0</v>
      </c>
      <c r="E500" s="4">
        <v>0.0</v>
      </c>
      <c r="G500" s="1" t="s">
        <v>91</v>
      </c>
      <c r="H500" s="1" t="s">
        <v>92</v>
      </c>
      <c r="I500" s="1" t="s">
        <v>1363</v>
      </c>
      <c r="J500" s="1" t="s">
        <v>1364</v>
      </c>
      <c r="K500" s="1" t="s">
        <v>1364</v>
      </c>
      <c r="M500" s="4">
        <v>1.0</v>
      </c>
      <c r="O500" s="4">
        <v>15.212833333333334</v>
      </c>
    </row>
    <row r="501">
      <c r="A501" s="7">
        <v>45535.0</v>
      </c>
      <c r="B501" s="1" t="s">
        <v>127</v>
      </c>
      <c r="C501" s="1" t="s">
        <v>105</v>
      </c>
      <c r="D501" s="4">
        <v>338.0</v>
      </c>
      <c r="E501" s="4">
        <v>0.0</v>
      </c>
      <c r="G501" s="1" t="s">
        <v>91</v>
      </c>
      <c r="H501" s="1" t="s">
        <v>92</v>
      </c>
      <c r="I501" s="1" t="s">
        <v>1365</v>
      </c>
      <c r="J501" s="1" t="s">
        <v>1366</v>
      </c>
      <c r="K501" s="1" t="s">
        <v>1366</v>
      </c>
      <c r="M501" s="4">
        <v>-3.0</v>
      </c>
      <c r="O501" s="4">
        <v>7.079283333333334</v>
      </c>
    </row>
    <row r="502">
      <c r="A502" s="7">
        <v>45535.0</v>
      </c>
      <c r="B502" s="1" t="s">
        <v>88</v>
      </c>
      <c r="C502" s="1" t="s">
        <v>89</v>
      </c>
      <c r="D502" s="4">
        <v>923.0</v>
      </c>
      <c r="E502" s="4">
        <v>0.0</v>
      </c>
      <c r="F502" s="1" t="s">
        <v>90</v>
      </c>
      <c r="G502" s="1" t="s">
        <v>91</v>
      </c>
      <c r="H502" s="1" t="s">
        <v>92</v>
      </c>
      <c r="I502" s="1" t="s">
        <v>1367</v>
      </c>
      <c r="J502" s="1" t="s">
        <v>1368</v>
      </c>
      <c r="K502" s="1" t="s">
        <v>1368</v>
      </c>
      <c r="M502" s="4">
        <v>3.0</v>
      </c>
      <c r="O502" s="4">
        <v>18.003016666666667</v>
      </c>
    </row>
    <row r="503">
      <c r="A503" s="7">
        <v>45535.0</v>
      </c>
      <c r="B503" s="1" t="s">
        <v>95</v>
      </c>
      <c r="C503" s="1" t="s">
        <v>89</v>
      </c>
      <c r="D503" s="4">
        <v>349.0</v>
      </c>
      <c r="E503" s="4">
        <v>0.0</v>
      </c>
      <c r="F503" s="1" t="s">
        <v>1182</v>
      </c>
      <c r="G503" s="1" t="s">
        <v>97</v>
      </c>
      <c r="H503" s="1" t="s">
        <v>92</v>
      </c>
      <c r="I503" s="1" t="s">
        <v>1369</v>
      </c>
      <c r="J503" s="1" t="s">
        <v>1370</v>
      </c>
      <c r="K503" s="1" t="s">
        <v>1371</v>
      </c>
      <c r="L503" s="1" t="s">
        <v>1372</v>
      </c>
      <c r="M503" s="4">
        <v>-2.0</v>
      </c>
      <c r="N503" s="4">
        <v>0.010383333333333333</v>
      </c>
      <c r="O503" s="4">
        <v>12.504933333333334</v>
      </c>
    </row>
    <row r="504">
      <c r="A504" s="7">
        <v>45535.0</v>
      </c>
      <c r="B504" s="1" t="s">
        <v>127</v>
      </c>
      <c r="C504" s="1" t="s">
        <v>89</v>
      </c>
      <c r="D504" s="4">
        <v>492.0</v>
      </c>
      <c r="E504" s="4">
        <v>150.0</v>
      </c>
      <c r="G504" s="1" t="s">
        <v>91</v>
      </c>
      <c r="H504" s="1" t="s">
        <v>116</v>
      </c>
      <c r="I504" s="1" t="s">
        <v>1373</v>
      </c>
      <c r="J504" s="1" t="s">
        <v>1374</v>
      </c>
      <c r="K504" s="1" t="s">
        <v>1374</v>
      </c>
      <c r="M504" s="4">
        <v>-3.0</v>
      </c>
      <c r="O504" s="4">
        <v>10.8222</v>
      </c>
    </row>
    <row r="505">
      <c r="A505" s="7">
        <v>45535.0</v>
      </c>
      <c r="B505" s="1" t="s">
        <v>104</v>
      </c>
      <c r="C505" s="1" t="s">
        <v>89</v>
      </c>
      <c r="D505" s="4">
        <v>313.0</v>
      </c>
      <c r="E505" s="4">
        <v>0.0</v>
      </c>
      <c r="F505" s="1" t="s">
        <v>1125</v>
      </c>
      <c r="G505" s="1" t="s">
        <v>91</v>
      </c>
      <c r="H505" s="1" t="s">
        <v>92</v>
      </c>
      <c r="I505" s="1" t="s">
        <v>1375</v>
      </c>
      <c r="J505" s="1" t="s">
        <v>1376</v>
      </c>
      <c r="K505" s="1" t="s">
        <v>1376</v>
      </c>
      <c r="M505" s="4">
        <v>-7.0</v>
      </c>
      <c r="O505" s="4">
        <v>7.9484</v>
      </c>
    </row>
    <row r="506">
      <c r="A506" s="7">
        <v>45535.0</v>
      </c>
      <c r="B506" s="1" t="s">
        <v>95</v>
      </c>
      <c r="C506" s="1" t="s">
        <v>89</v>
      </c>
      <c r="D506" s="4">
        <v>306.0</v>
      </c>
      <c r="E506" s="4">
        <v>0.0</v>
      </c>
      <c r="F506" s="1" t="s">
        <v>1182</v>
      </c>
      <c r="G506" s="1" t="s">
        <v>97</v>
      </c>
      <c r="H506" s="1" t="s">
        <v>92</v>
      </c>
      <c r="I506" s="1" t="s">
        <v>1377</v>
      </c>
      <c r="J506" s="1" t="s">
        <v>1378</v>
      </c>
      <c r="K506" s="1" t="s">
        <v>1379</v>
      </c>
      <c r="L506" s="1" t="s">
        <v>1380</v>
      </c>
      <c r="M506" s="4">
        <v>-16.0</v>
      </c>
      <c r="N506" s="4">
        <v>0.010916666666666667</v>
      </c>
      <c r="O506" s="4">
        <v>6.608483333333333</v>
      </c>
    </row>
    <row r="507">
      <c r="A507" s="7">
        <v>45535.0</v>
      </c>
      <c r="B507" s="1" t="s">
        <v>104</v>
      </c>
      <c r="C507" s="1" t="s">
        <v>105</v>
      </c>
      <c r="D507" s="4">
        <v>429.0</v>
      </c>
      <c r="E507" s="4">
        <v>0.0</v>
      </c>
      <c r="F507" s="1" t="s">
        <v>459</v>
      </c>
      <c r="G507" s="1" t="s">
        <v>91</v>
      </c>
      <c r="H507" s="1" t="s">
        <v>92</v>
      </c>
      <c r="I507" s="1" t="s">
        <v>1381</v>
      </c>
      <c r="J507" s="1" t="s">
        <v>1382</v>
      </c>
      <c r="K507" s="1" t="s">
        <v>1382</v>
      </c>
      <c r="M507" s="4">
        <v>-3.0</v>
      </c>
      <c r="O507" s="4">
        <v>11.345133333333333</v>
      </c>
    </row>
    <row r="508">
      <c r="A508" s="7">
        <v>45535.0</v>
      </c>
      <c r="B508" s="1" t="s">
        <v>127</v>
      </c>
      <c r="C508" s="1" t="s">
        <v>105</v>
      </c>
      <c r="D508" s="4">
        <v>394.0</v>
      </c>
      <c r="E508" s="4">
        <v>0.0</v>
      </c>
      <c r="G508" s="1" t="s">
        <v>91</v>
      </c>
      <c r="H508" s="1" t="s">
        <v>92</v>
      </c>
      <c r="I508" s="1" t="s">
        <v>1383</v>
      </c>
      <c r="J508" s="1" t="s">
        <v>1384</v>
      </c>
      <c r="K508" s="1" t="s">
        <v>1384</v>
      </c>
      <c r="M508" s="4">
        <v>-2.0</v>
      </c>
      <c r="O508" s="4">
        <v>9.884133333333333</v>
      </c>
    </row>
    <row r="509">
      <c r="A509" s="7">
        <v>45535.0</v>
      </c>
      <c r="B509" s="1" t="s">
        <v>88</v>
      </c>
      <c r="C509" s="1" t="s">
        <v>89</v>
      </c>
      <c r="D509" s="4">
        <v>328.0</v>
      </c>
      <c r="E509" s="4">
        <v>0.0</v>
      </c>
      <c r="F509" s="1" t="s">
        <v>90</v>
      </c>
      <c r="G509" s="1" t="s">
        <v>91</v>
      </c>
      <c r="H509" s="1" t="s">
        <v>92</v>
      </c>
      <c r="I509" s="1" t="s">
        <v>1385</v>
      </c>
      <c r="J509" s="1" t="s">
        <v>1386</v>
      </c>
      <c r="K509" s="1" t="s">
        <v>1386</v>
      </c>
      <c r="M509" s="4">
        <v>-3.0</v>
      </c>
      <c r="O509" s="4">
        <v>11.244883333333334</v>
      </c>
    </row>
    <row r="510">
      <c r="A510" s="7">
        <v>45535.0</v>
      </c>
      <c r="B510" s="1" t="s">
        <v>127</v>
      </c>
      <c r="C510" s="1" t="s">
        <v>105</v>
      </c>
      <c r="D510" s="4">
        <v>394.0</v>
      </c>
      <c r="E510" s="4">
        <v>0.0</v>
      </c>
      <c r="G510" s="1" t="s">
        <v>91</v>
      </c>
      <c r="H510" s="1" t="s">
        <v>116</v>
      </c>
      <c r="I510" s="1" t="s">
        <v>1387</v>
      </c>
      <c r="J510" s="1" t="s">
        <v>1388</v>
      </c>
      <c r="K510" s="1" t="s">
        <v>1388</v>
      </c>
      <c r="M510" s="4">
        <v>0.0</v>
      </c>
      <c r="O510" s="4">
        <v>11.809466666666667</v>
      </c>
    </row>
    <row r="511">
      <c r="A511" s="7">
        <v>45535.0</v>
      </c>
      <c r="B511" s="1" t="s">
        <v>95</v>
      </c>
      <c r="C511" s="1" t="s">
        <v>89</v>
      </c>
      <c r="D511" s="4">
        <v>219.0</v>
      </c>
      <c r="E511" s="4">
        <v>50.0</v>
      </c>
      <c r="G511" s="1" t="s">
        <v>149</v>
      </c>
      <c r="H511" s="1" t="s">
        <v>92</v>
      </c>
      <c r="I511" s="1" t="s">
        <v>1389</v>
      </c>
      <c r="J511" s="1" t="s">
        <v>1390</v>
      </c>
      <c r="K511" s="1" t="s">
        <v>1390</v>
      </c>
      <c r="M511" s="4">
        <v>-8.0</v>
      </c>
      <c r="O511" s="4">
        <v>10.942583333333333</v>
      </c>
    </row>
    <row r="512">
      <c r="A512" s="7">
        <v>45535.0</v>
      </c>
      <c r="B512" s="1" t="s">
        <v>88</v>
      </c>
      <c r="C512" s="1" t="s">
        <v>89</v>
      </c>
      <c r="D512" s="4">
        <v>528.0</v>
      </c>
      <c r="E512" s="4">
        <v>0.0</v>
      </c>
      <c r="F512" s="1" t="s">
        <v>90</v>
      </c>
      <c r="G512" s="1" t="s">
        <v>91</v>
      </c>
      <c r="H512" s="1" t="s">
        <v>92</v>
      </c>
      <c r="I512" s="1" t="s">
        <v>1391</v>
      </c>
      <c r="J512" s="1" t="s">
        <v>1392</v>
      </c>
      <c r="K512" s="1" t="s">
        <v>1392</v>
      </c>
      <c r="M512" s="4">
        <v>-4.0</v>
      </c>
      <c r="O512" s="4">
        <v>10.19415</v>
      </c>
    </row>
    <row r="513">
      <c r="A513" s="7">
        <v>45535.0</v>
      </c>
      <c r="B513" s="1" t="s">
        <v>169</v>
      </c>
      <c r="C513" s="1" t="s">
        <v>89</v>
      </c>
      <c r="D513" s="4">
        <v>249.0</v>
      </c>
      <c r="E513" s="4">
        <v>0.0</v>
      </c>
      <c r="G513" s="1" t="s">
        <v>149</v>
      </c>
      <c r="H513" s="1" t="s">
        <v>116</v>
      </c>
      <c r="I513" s="1" t="s">
        <v>1393</v>
      </c>
      <c r="J513" s="1" t="s">
        <v>1394</v>
      </c>
      <c r="K513" s="1" t="s">
        <v>1394</v>
      </c>
      <c r="M513" s="4">
        <v>4.0</v>
      </c>
      <c r="O513" s="4">
        <v>9.850933333333334</v>
      </c>
    </row>
    <row r="514">
      <c r="A514" s="7">
        <v>45535.0</v>
      </c>
      <c r="B514" s="1" t="s">
        <v>95</v>
      </c>
      <c r="C514" s="1" t="s">
        <v>89</v>
      </c>
      <c r="D514" s="4">
        <v>374.0</v>
      </c>
      <c r="E514" s="4">
        <v>0.0</v>
      </c>
      <c r="F514" s="1" t="s">
        <v>1182</v>
      </c>
      <c r="G514" s="1" t="s">
        <v>97</v>
      </c>
      <c r="H514" s="1" t="s">
        <v>92</v>
      </c>
      <c r="I514" s="1" t="s">
        <v>1395</v>
      </c>
      <c r="J514" s="1" t="s">
        <v>1396</v>
      </c>
      <c r="K514" s="1" t="s">
        <v>1397</v>
      </c>
      <c r="L514" s="1" t="s">
        <v>1398</v>
      </c>
      <c r="M514" s="4">
        <v>1.0</v>
      </c>
      <c r="N514" s="4">
        <v>0.010066666666666666</v>
      </c>
      <c r="O514" s="4">
        <v>13.679083333333333</v>
      </c>
    </row>
    <row r="515">
      <c r="A515" s="7">
        <v>45535.0</v>
      </c>
      <c r="B515" s="1" t="s">
        <v>95</v>
      </c>
      <c r="C515" s="1" t="s">
        <v>89</v>
      </c>
      <c r="D515" s="4">
        <v>535.0</v>
      </c>
      <c r="E515" s="4">
        <v>0.0</v>
      </c>
      <c r="F515" s="1" t="s">
        <v>90</v>
      </c>
      <c r="G515" s="1" t="s">
        <v>97</v>
      </c>
      <c r="H515" s="1" t="s">
        <v>92</v>
      </c>
      <c r="I515" s="1" t="s">
        <v>1399</v>
      </c>
      <c r="J515" s="1" t="s">
        <v>1400</v>
      </c>
      <c r="K515" s="1" t="s">
        <v>1401</v>
      </c>
      <c r="L515" s="1" t="s">
        <v>1402</v>
      </c>
      <c r="M515" s="4">
        <v>14.0</v>
      </c>
      <c r="N515" s="4">
        <v>13.00505</v>
      </c>
      <c r="O515" s="4">
        <v>20.31051666666667</v>
      </c>
    </row>
    <row r="516">
      <c r="A516" s="7">
        <v>45535.0</v>
      </c>
      <c r="B516" s="1" t="s">
        <v>127</v>
      </c>
      <c r="C516" s="1" t="s">
        <v>105</v>
      </c>
      <c r="D516" s="4">
        <v>450.0</v>
      </c>
      <c r="E516" s="4">
        <v>0.0</v>
      </c>
      <c r="G516" s="1" t="s">
        <v>91</v>
      </c>
      <c r="H516" s="1" t="s">
        <v>92</v>
      </c>
      <c r="I516" s="1" t="s">
        <v>1403</v>
      </c>
      <c r="J516" s="1" t="s">
        <v>1404</v>
      </c>
      <c r="K516" s="1" t="s">
        <v>1404</v>
      </c>
      <c r="M516" s="4">
        <v>11.0</v>
      </c>
      <c r="O516" s="4">
        <v>24.31005</v>
      </c>
    </row>
    <row r="517">
      <c r="A517" s="7">
        <v>45535.0</v>
      </c>
      <c r="B517" s="1" t="s">
        <v>95</v>
      </c>
      <c r="C517" s="1" t="s">
        <v>89</v>
      </c>
      <c r="D517" s="4">
        <v>309.0</v>
      </c>
      <c r="E517" s="4">
        <v>0.0</v>
      </c>
      <c r="F517" s="1" t="s">
        <v>1182</v>
      </c>
      <c r="G517" s="1" t="s">
        <v>97</v>
      </c>
      <c r="H517" s="1" t="s">
        <v>92</v>
      </c>
      <c r="I517" s="1" t="s">
        <v>1405</v>
      </c>
      <c r="J517" s="1" t="s">
        <v>1406</v>
      </c>
      <c r="K517" s="1" t="s">
        <v>1407</v>
      </c>
      <c r="L517" s="1" t="s">
        <v>1408</v>
      </c>
      <c r="M517" s="4">
        <v>0.0</v>
      </c>
      <c r="N517" s="4">
        <v>0.012616666666666667</v>
      </c>
      <c r="O517" s="4">
        <v>13.108683333333333</v>
      </c>
    </row>
    <row r="518">
      <c r="A518" s="7">
        <v>45535.0</v>
      </c>
      <c r="B518" s="1" t="s">
        <v>95</v>
      </c>
      <c r="C518" s="1" t="s">
        <v>89</v>
      </c>
      <c r="D518" s="4">
        <v>309.0</v>
      </c>
      <c r="E518" s="4">
        <v>0.0</v>
      </c>
      <c r="F518" s="1" t="s">
        <v>1182</v>
      </c>
      <c r="G518" s="1" t="s">
        <v>97</v>
      </c>
      <c r="H518" s="1" t="s">
        <v>92</v>
      </c>
      <c r="I518" s="1" t="s">
        <v>1409</v>
      </c>
      <c r="J518" s="1" t="s">
        <v>1410</v>
      </c>
      <c r="K518" s="1" t="s">
        <v>1411</v>
      </c>
      <c r="L518" s="1" t="s">
        <v>1412</v>
      </c>
      <c r="M518" s="4">
        <v>-7.0</v>
      </c>
      <c r="N518" s="4">
        <v>0.016783333333333334</v>
      </c>
      <c r="O518" s="4">
        <v>11.158116666666666</v>
      </c>
    </row>
    <row r="519">
      <c r="A519" s="7">
        <v>45535.0</v>
      </c>
      <c r="B519" s="1" t="s">
        <v>95</v>
      </c>
      <c r="C519" s="1" t="s">
        <v>89</v>
      </c>
      <c r="D519" s="4">
        <v>264.0</v>
      </c>
      <c r="E519" s="4">
        <v>0.0</v>
      </c>
      <c r="F519" s="1" t="s">
        <v>1182</v>
      </c>
      <c r="G519" s="1" t="s">
        <v>97</v>
      </c>
      <c r="H519" s="1" t="s">
        <v>92</v>
      </c>
      <c r="I519" s="1" t="s">
        <v>1413</v>
      </c>
      <c r="J519" s="1" t="s">
        <v>1414</v>
      </c>
      <c r="K519" s="1" t="s">
        <v>1415</v>
      </c>
      <c r="L519" s="1" t="s">
        <v>1416</v>
      </c>
      <c r="M519" s="4">
        <v>-5.0</v>
      </c>
      <c r="N519" s="4">
        <v>0.0082</v>
      </c>
      <c r="O519" s="4">
        <v>16.7334</v>
      </c>
    </row>
    <row r="520">
      <c r="A520" s="7">
        <v>45535.0</v>
      </c>
      <c r="B520" s="1" t="s">
        <v>104</v>
      </c>
      <c r="C520" s="1" t="s">
        <v>105</v>
      </c>
      <c r="D520" s="4">
        <v>348.0</v>
      </c>
      <c r="E520" s="4">
        <v>0.0</v>
      </c>
      <c r="F520" s="1" t="s">
        <v>459</v>
      </c>
      <c r="G520" s="1" t="s">
        <v>91</v>
      </c>
      <c r="H520" s="1" t="s">
        <v>92</v>
      </c>
      <c r="I520" s="1" t="s">
        <v>1417</v>
      </c>
      <c r="J520" s="1" t="s">
        <v>1418</v>
      </c>
      <c r="K520" s="1" t="s">
        <v>1418</v>
      </c>
      <c r="M520" s="4">
        <v>3.0</v>
      </c>
      <c r="O520" s="4">
        <v>18.304683333333333</v>
      </c>
    </row>
    <row r="521">
      <c r="A521" s="7">
        <v>45535.0</v>
      </c>
      <c r="B521" s="1" t="s">
        <v>169</v>
      </c>
      <c r="C521" s="1" t="s">
        <v>89</v>
      </c>
      <c r="D521" s="4">
        <v>173.5</v>
      </c>
      <c r="E521" s="4">
        <v>124.5</v>
      </c>
      <c r="G521" s="1" t="s">
        <v>149</v>
      </c>
      <c r="H521" s="1" t="s">
        <v>116</v>
      </c>
      <c r="I521" s="1" t="s">
        <v>1419</v>
      </c>
      <c r="J521" s="1" t="s">
        <v>1420</v>
      </c>
      <c r="K521" s="1" t="s">
        <v>1420</v>
      </c>
      <c r="M521" s="4">
        <v>12.0</v>
      </c>
      <c r="O521" s="4">
        <v>17.227016666666668</v>
      </c>
    </row>
    <row r="522">
      <c r="A522" s="7">
        <v>45535.0</v>
      </c>
      <c r="B522" s="1" t="s">
        <v>169</v>
      </c>
      <c r="C522" s="1" t="s">
        <v>89</v>
      </c>
      <c r="D522" s="4">
        <v>124.5</v>
      </c>
      <c r="E522" s="4">
        <v>124.5</v>
      </c>
      <c r="G522" s="1" t="s">
        <v>149</v>
      </c>
      <c r="H522" s="1" t="s">
        <v>116</v>
      </c>
      <c r="I522" s="1" t="s">
        <v>1421</v>
      </c>
      <c r="J522" s="1" t="s">
        <v>1422</v>
      </c>
      <c r="K522" s="1" t="s">
        <v>1422</v>
      </c>
      <c r="M522" s="4">
        <v>11.0</v>
      </c>
      <c r="O522" s="4">
        <v>16.869016666666667</v>
      </c>
    </row>
    <row r="523">
      <c r="A523" s="7">
        <v>45535.0</v>
      </c>
      <c r="B523" s="1" t="s">
        <v>127</v>
      </c>
      <c r="C523" s="1" t="s">
        <v>105</v>
      </c>
      <c r="D523" s="4">
        <v>1092.0</v>
      </c>
      <c r="E523" s="4">
        <v>0.0</v>
      </c>
      <c r="G523" s="1" t="s">
        <v>91</v>
      </c>
      <c r="H523" s="1" t="s">
        <v>92</v>
      </c>
      <c r="I523" s="1" t="s">
        <v>1423</v>
      </c>
      <c r="J523" s="1" t="s">
        <v>1424</v>
      </c>
      <c r="K523" s="1" t="s">
        <v>1424</v>
      </c>
      <c r="M523" s="4">
        <v>-2.0</v>
      </c>
      <c r="O523" s="4">
        <v>15.96425</v>
      </c>
    </row>
    <row r="524">
      <c r="A524" s="7">
        <v>45535.0</v>
      </c>
      <c r="B524" s="1" t="s">
        <v>169</v>
      </c>
      <c r="C524" s="1" t="s">
        <v>89</v>
      </c>
      <c r="D524" s="4">
        <v>124.5</v>
      </c>
      <c r="E524" s="4">
        <v>124.5</v>
      </c>
      <c r="G524" s="1" t="s">
        <v>149</v>
      </c>
      <c r="H524" s="1" t="s">
        <v>116</v>
      </c>
      <c r="I524" s="1" t="s">
        <v>1425</v>
      </c>
      <c r="J524" s="1" t="s">
        <v>1426</v>
      </c>
      <c r="K524" s="1" t="s">
        <v>1426</v>
      </c>
      <c r="M524" s="4">
        <v>3.0</v>
      </c>
      <c r="O524" s="4">
        <v>8.880766666666666</v>
      </c>
    </row>
    <row r="525">
      <c r="A525" s="7">
        <v>45535.0</v>
      </c>
      <c r="B525" s="1" t="s">
        <v>127</v>
      </c>
      <c r="C525" s="1" t="s">
        <v>105</v>
      </c>
      <c r="D525" s="4">
        <v>364.0</v>
      </c>
      <c r="E525" s="4">
        <v>0.0</v>
      </c>
      <c r="G525" s="1" t="s">
        <v>91</v>
      </c>
      <c r="H525" s="1" t="s">
        <v>92</v>
      </c>
      <c r="I525" s="1" t="s">
        <v>1427</v>
      </c>
      <c r="J525" s="1" t="s">
        <v>1428</v>
      </c>
      <c r="K525" s="1" t="s">
        <v>1428</v>
      </c>
      <c r="M525" s="4">
        <v>-1.0</v>
      </c>
      <c r="O525" s="4">
        <v>10.59215</v>
      </c>
    </row>
    <row r="526">
      <c r="A526" s="7">
        <v>45535.0</v>
      </c>
      <c r="B526" s="1" t="s">
        <v>169</v>
      </c>
      <c r="C526" s="1" t="s">
        <v>89</v>
      </c>
      <c r="D526" s="4">
        <v>306.0</v>
      </c>
      <c r="E526" s="4">
        <v>0.0</v>
      </c>
      <c r="G526" s="1" t="s">
        <v>149</v>
      </c>
      <c r="H526" s="1" t="s">
        <v>116</v>
      </c>
      <c r="I526" s="1" t="s">
        <v>1429</v>
      </c>
      <c r="J526" s="1" t="s">
        <v>1430</v>
      </c>
      <c r="K526" s="1" t="s">
        <v>1430</v>
      </c>
      <c r="M526" s="4">
        <v>6.0</v>
      </c>
      <c r="O526" s="4">
        <v>11.632633333333333</v>
      </c>
    </row>
    <row r="527">
      <c r="A527" s="7">
        <v>45535.0</v>
      </c>
      <c r="B527" s="1" t="s">
        <v>127</v>
      </c>
      <c r="C527" s="1" t="s">
        <v>105</v>
      </c>
      <c r="D527" s="4">
        <v>395.0</v>
      </c>
      <c r="E527" s="4">
        <v>0.0</v>
      </c>
      <c r="G527" s="1" t="s">
        <v>91</v>
      </c>
      <c r="H527" s="1" t="s">
        <v>92</v>
      </c>
      <c r="I527" s="1" t="s">
        <v>1431</v>
      </c>
      <c r="J527" s="1" t="s">
        <v>1432</v>
      </c>
      <c r="K527" s="1" t="s">
        <v>1432</v>
      </c>
      <c r="M527" s="4">
        <v>0.0</v>
      </c>
      <c r="O527" s="4">
        <v>12.196866666666667</v>
      </c>
    </row>
    <row r="528">
      <c r="A528" s="7">
        <v>45535.0</v>
      </c>
      <c r="B528" s="1" t="s">
        <v>88</v>
      </c>
      <c r="C528" s="1" t="s">
        <v>89</v>
      </c>
      <c r="D528" s="4">
        <v>259.0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1433</v>
      </c>
      <c r="J528" s="1" t="s">
        <v>1434</v>
      </c>
      <c r="K528" s="1" t="s">
        <v>1434</v>
      </c>
      <c r="M528" s="4">
        <v>-5.0</v>
      </c>
      <c r="O528" s="4">
        <v>9.069766666666666</v>
      </c>
    </row>
    <row r="529">
      <c r="A529" s="7">
        <v>45535.0</v>
      </c>
      <c r="B529" s="1" t="s">
        <v>88</v>
      </c>
      <c r="C529" s="1" t="s">
        <v>89</v>
      </c>
      <c r="D529" s="4">
        <v>443.0</v>
      </c>
      <c r="E529" s="4">
        <v>0.0</v>
      </c>
      <c r="F529" s="1" t="s">
        <v>90</v>
      </c>
      <c r="G529" s="1" t="s">
        <v>91</v>
      </c>
      <c r="H529" s="1" t="s">
        <v>92</v>
      </c>
      <c r="I529" s="1" t="s">
        <v>1435</v>
      </c>
      <c r="J529" s="1" t="s">
        <v>1436</v>
      </c>
      <c r="K529" s="1" t="s">
        <v>1436</v>
      </c>
      <c r="M529" s="4">
        <v>-6.0</v>
      </c>
      <c r="O529" s="4">
        <v>8.965416666666666</v>
      </c>
    </row>
    <row r="530">
      <c r="A530" s="7">
        <v>45535.0</v>
      </c>
      <c r="B530" s="1" t="s">
        <v>127</v>
      </c>
      <c r="C530" s="1" t="s">
        <v>89</v>
      </c>
      <c r="D530" s="4">
        <v>278.0</v>
      </c>
      <c r="E530" s="4">
        <v>100.0</v>
      </c>
      <c r="G530" s="1" t="s">
        <v>91</v>
      </c>
      <c r="H530" s="1" t="s">
        <v>92</v>
      </c>
      <c r="I530" s="1" t="s">
        <v>1437</v>
      </c>
      <c r="J530" s="1" t="s">
        <v>1438</v>
      </c>
      <c r="K530" s="1" t="s">
        <v>1438</v>
      </c>
      <c r="M530" s="4">
        <v>1.0</v>
      </c>
      <c r="O530" s="4">
        <v>13.907116666666667</v>
      </c>
    </row>
    <row r="531">
      <c r="A531" s="7">
        <v>45535.0</v>
      </c>
      <c r="B531" s="1" t="s">
        <v>127</v>
      </c>
      <c r="C531" s="1" t="s">
        <v>89</v>
      </c>
      <c r="D531" s="4">
        <v>264.0</v>
      </c>
      <c r="E531" s="4">
        <v>0.0</v>
      </c>
      <c r="G531" s="1" t="s">
        <v>91</v>
      </c>
      <c r="H531" s="1" t="s">
        <v>92</v>
      </c>
      <c r="I531" s="1" t="s">
        <v>1439</v>
      </c>
      <c r="J531" s="1" t="s">
        <v>1440</v>
      </c>
      <c r="K531" s="1" t="s">
        <v>1440</v>
      </c>
      <c r="M531" s="4">
        <v>1.0</v>
      </c>
      <c r="O531" s="4">
        <v>12.48975</v>
      </c>
    </row>
    <row r="532">
      <c r="A532" s="7">
        <v>45535.0</v>
      </c>
      <c r="B532" s="1" t="s">
        <v>95</v>
      </c>
      <c r="C532" s="1" t="s">
        <v>89</v>
      </c>
      <c r="D532" s="4">
        <v>250.0</v>
      </c>
      <c r="E532" s="4">
        <v>0.0</v>
      </c>
      <c r="F532" s="1" t="s">
        <v>1182</v>
      </c>
      <c r="G532" s="1" t="s">
        <v>97</v>
      </c>
      <c r="H532" s="1" t="s">
        <v>92</v>
      </c>
      <c r="I532" s="1" t="s">
        <v>1441</v>
      </c>
      <c r="J532" s="1" t="s">
        <v>1442</v>
      </c>
      <c r="K532" s="1" t="s">
        <v>1443</v>
      </c>
      <c r="L532" s="1" t="s">
        <v>1444</v>
      </c>
      <c r="M532" s="4">
        <v>-9.0</v>
      </c>
      <c r="N532" s="4">
        <v>0.0086</v>
      </c>
      <c r="O532" s="4">
        <v>9.32145</v>
      </c>
    </row>
    <row r="533">
      <c r="A533" s="7">
        <v>45535.0</v>
      </c>
      <c r="B533" s="1" t="s">
        <v>104</v>
      </c>
      <c r="C533" s="1" t="s">
        <v>89</v>
      </c>
      <c r="D533" s="4">
        <v>698.0</v>
      </c>
      <c r="E533" s="4">
        <v>0.0</v>
      </c>
      <c r="F533" s="1" t="s">
        <v>719</v>
      </c>
      <c r="G533" s="1" t="s">
        <v>91</v>
      </c>
      <c r="H533" s="1" t="s">
        <v>92</v>
      </c>
      <c r="I533" s="1" t="s">
        <v>1445</v>
      </c>
      <c r="J533" s="1" t="s">
        <v>1446</v>
      </c>
      <c r="K533" s="1" t="s">
        <v>1446</v>
      </c>
      <c r="M533" s="4">
        <v>1.0</v>
      </c>
      <c r="O533" s="4">
        <v>17.692616666666666</v>
      </c>
    </row>
    <row r="534">
      <c r="A534" s="7">
        <v>45535.0</v>
      </c>
      <c r="B534" s="1" t="s">
        <v>127</v>
      </c>
      <c r="C534" s="1" t="s">
        <v>89</v>
      </c>
      <c r="D534" s="4">
        <v>376.0</v>
      </c>
      <c r="E534" s="4">
        <v>100.0</v>
      </c>
      <c r="G534" s="1" t="s">
        <v>91</v>
      </c>
      <c r="H534" s="1" t="s">
        <v>92</v>
      </c>
      <c r="I534" s="1" t="s">
        <v>1447</v>
      </c>
      <c r="J534" s="1" t="s">
        <v>1448</v>
      </c>
      <c r="K534" s="1" t="s">
        <v>1448</v>
      </c>
      <c r="M534" s="4">
        <v>0.0</v>
      </c>
      <c r="O534" s="4">
        <v>13.1058</v>
      </c>
    </row>
    <row r="535">
      <c r="A535" s="7">
        <v>45535.0</v>
      </c>
      <c r="B535" s="1" t="s">
        <v>169</v>
      </c>
      <c r="C535" s="1" t="s">
        <v>89</v>
      </c>
      <c r="D535" s="4">
        <v>309.0</v>
      </c>
      <c r="E535" s="4">
        <v>0.0</v>
      </c>
      <c r="G535" s="1" t="s">
        <v>149</v>
      </c>
      <c r="H535" s="1" t="s">
        <v>116</v>
      </c>
      <c r="I535" s="1" t="s">
        <v>1449</v>
      </c>
      <c r="J535" s="1" t="s">
        <v>1450</v>
      </c>
      <c r="K535" s="1" t="s">
        <v>1450</v>
      </c>
      <c r="M535" s="4">
        <v>5.0</v>
      </c>
      <c r="O535" s="4">
        <v>10.10675</v>
      </c>
    </row>
    <row r="536">
      <c r="A536" s="7">
        <v>45535.0</v>
      </c>
      <c r="B536" s="1" t="s">
        <v>88</v>
      </c>
      <c r="C536" s="1" t="s">
        <v>89</v>
      </c>
      <c r="D536" s="4">
        <v>658.0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1451</v>
      </c>
      <c r="J536" s="1" t="s">
        <v>1452</v>
      </c>
      <c r="K536" s="1" t="s">
        <v>1452</v>
      </c>
      <c r="M536" s="4">
        <v>-1.0</v>
      </c>
      <c r="O536" s="4">
        <v>13.130466666666667</v>
      </c>
    </row>
    <row r="537">
      <c r="A537" s="7">
        <v>45535.0</v>
      </c>
      <c r="B537" s="1" t="s">
        <v>169</v>
      </c>
      <c r="C537" s="1" t="s">
        <v>89</v>
      </c>
      <c r="D537" s="4">
        <v>124.5</v>
      </c>
      <c r="E537" s="4">
        <v>124.5</v>
      </c>
      <c r="G537" s="1" t="s">
        <v>149</v>
      </c>
      <c r="H537" s="1" t="s">
        <v>116</v>
      </c>
      <c r="I537" s="1" t="s">
        <v>1453</v>
      </c>
      <c r="J537" s="1" t="s">
        <v>1454</v>
      </c>
      <c r="K537" s="1" t="s">
        <v>1454</v>
      </c>
      <c r="M537" s="4">
        <v>3.0</v>
      </c>
      <c r="O537" s="4">
        <v>8.43315</v>
      </c>
    </row>
    <row r="538">
      <c r="A538" s="7">
        <v>45535.0</v>
      </c>
      <c r="B538" s="1" t="s">
        <v>104</v>
      </c>
      <c r="C538" s="1" t="s">
        <v>105</v>
      </c>
      <c r="D538" s="4">
        <v>264.0</v>
      </c>
      <c r="E538" s="4">
        <v>0.0</v>
      </c>
      <c r="F538" s="1" t="s">
        <v>954</v>
      </c>
      <c r="G538" s="1" t="s">
        <v>91</v>
      </c>
      <c r="H538" s="1" t="s">
        <v>92</v>
      </c>
      <c r="I538" s="1" t="s">
        <v>1455</v>
      </c>
      <c r="J538" s="1" t="s">
        <v>1456</v>
      </c>
      <c r="K538" s="1" t="s">
        <v>1456</v>
      </c>
      <c r="M538" s="4">
        <v>-4.0</v>
      </c>
      <c r="O538" s="4">
        <v>10.603983333333334</v>
      </c>
    </row>
    <row r="539">
      <c r="A539" s="7">
        <v>45535.0</v>
      </c>
      <c r="B539" s="1" t="s">
        <v>169</v>
      </c>
      <c r="C539" s="1" t="s">
        <v>89</v>
      </c>
      <c r="D539" s="4">
        <v>306.0</v>
      </c>
      <c r="E539" s="4">
        <v>0.0</v>
      </c>
      <c r="G539" s="1" t="s">
        <v>149</v>
      </c>
      <c r="H539" s="1" t="s">
        <v>116</v>
      </c>
      <c r="I539" s="1" t="s">
        <v>1457</v>
      </c>
      <c r="J539" s="1" t="s">
        <v>1458</v>
      </c>
      <c r="K539" s="1" t="s">
        <v>1458</v>
      </c>
      <c r="M539" s="4">
        <v>4.0</v>
      </c>
      <c r="O539" s="4">
        <v>9.352366666666667</v>
      </c>
    </row>
    <row r="540">
      <c r="A540" s="7">
        <v>45535.0</v>
      </c>
      <c r="B540" s="1" t="s">
        <v>169</v>
      </c>
      <c r="C540" s="1" t="s">
        <v>89</v>
      </c>
      <c r="D540" s="4">
        <v>309.0</v>
      </c>
      <c r="E540" s="4">
        <v>0.0</v>
      </c>
      <c r="G540" s="1" t="s">
        <v>149</v>
      </c>
      <c r="H540" s="1" t="s">
        <v>116</v>
      </c>
      <c r="I540" s="1" t="s">
        <v>1459</v>
      </c>
      <c r="J540" s="1" t="s">
        <v>1460</v>
      </c>
      <c r="K540" s="1" t="s">
        <v>1460</v>
      </c>
      <c r="M540" s="4">
        <v>9.0</v>
      </c>
      <c r="O540" s="4">
        <v>14.140766666666666</v>
      </c>
    </row>
    <row r="541">
      <c r="A541" s="7">
        <v>45535.0</v>
      </c>
      <c r="B541" s="1" t="s">
        <v>95</v>
      </c>
      <c r="C541" s="1" t="s">
        <v>89</v>
      </c>
      <c r="D541" s="4">
        <v>568.0</v>
      </c>
      <c r="E541" s="4">
        <v>0.0</v>
      </c>
      <c r="F541" s="1" t="s">
        <v>1182</v>
      </c>
      <c r="G541" s="1" t="s">
        <v>97</v>
      </c>
      <c r="H541" s="1" t="s">
        <v>92</v>
      </c>
      <c r="I541" s="1" t="s">
        <v>1461</v>
      </c>
      <c r="J541" s="1" t="s">
        <v>1462</v>
      </c>
      <c r="K541" s="1" t="s">
        <v>1463</v>
      </c>
      <c r="L541" s="1" t="s">
        <v>1464</v>
      </c>
      <c r="M541" s="4">
        <v>-9.0</v>
      </c>
      <c r="N541" s="4">
        <v>0.0099</v>
      </c>
      <c r="O541" s="4">
        <v>16.141583333333333</v>
      </c>
    </row>
    <row r="542">
      <c r="A542" s="7">
        <v>45535.0</v>
      </c>
      <c r="B542" s="1" t="s">
        <v>95</v>
      </c>
      <c r="C542" s="1" t="s">
        <v>89</v>
      </c>
      <c r="D542" s="4">
        <v>521.0</v>
      </c>
      <c r="E542" s="4">
        <v>26.0</v>
      </c>
      <c r="F542" s="1" t="s">
        <v>1182</v>
      </c>
      <c r="G542" s="1" t="s">
        <v>97</v>
      </c>
      <c r="H542" s="1" t="s">
        <v>92</v>
      </c>
      <c r="I542" s="1" t="s">
        <v>1465</v>
      </c>
      <c r="J542" s="1" t="s">
        <v>1466</v>
      </c>
      <c r="K542" s="1" t="s">
        <v>1467</v>
      </c>
      <c r="L542" s="1" t="s">
        <v>1468</v>
      </c>
      <c r="M542" s="4">
        <v>-1.0</v>
      </c>
      <c r="N542" s="4">
        <v>0.016</v>
      </c>
      <c r="O542" s="4">
        <v>41.070283333333336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4" max="4" width="16.88"/>
    <col customWidth="1" min="40" max="40" width="20.25"/>
    <col customWidth="1" min="47" max="47" width="20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1469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1470</v>
      </c>
      <c r="AP1" s="5" t="s">
        <v>1471</v>
      </c>
      <c r="AQ1" s="5" t="s">
        <v>1472</v>
      </c>
      <c r="AR1" s="5" t="s">
        <v>1473</v>
      </c>
      <c r="AS1" s="5" t="s">
        <v>1474</v>
      </c>
      <c r="AT1" s="5" t="s">
        <v>1475</v>
      </c>
      <c r="AU1" s="5" t="s">
        <v>1476</v>
      </c>
      <c r="AV1" s="5" t="s">
        <v>1477</v>
      </c>
    </row>
    <row r="2">
      <c r="A2" s="2">
        <v>45505.0</v>
      </c>
      <c r="B2" s="1" t="s">
        <v>1478</v>
      </c>
      <c r="C2" s="1" t="s">
        <v>1479</v>
      </c>
      <c r="D2" s="3" t="s">
        <v>41</v>
      </c>
      <c r="E2" s="3" t="s">
        <v>1480</v>
      </c>
      <c r="G2" s="3" t="s">
        <v>63</v>
      </c>
    </row>
    <row r="3">
      <c r="A3" s="2">
        <v>45505.0</v>
      </c>
      <c r="B3" s="1" t="s">
        <v>1478</v>
      </c>
      <c r="C3" s="1" t="s">
        <v>1481</v>
      </c>
      <c r="D3" s="3" t="s">
        <v>45</v>
      </c>
      <c r="E3" s="3" t="s">
        <v>1482</v>
      </c>
      <c r="G3" s="3" t="s">
        <v>1483</v>
      </c>
    </row>
    <row r="4">
      <c r="A4" s="2">
        <v>45505.0</v>
      </c>
      <c r="B4" s="1" t="s">
        <v>1478</v>
      </c>
      <c r="C4" s="1"/>
      <c r="D4" s="1"/>
      <c r="E4" s="1"/>
      <c r="G4" s="1"/>
      <c r="H4" s="1" t="s">
        <v>1481</v>
      </c>
      <c r="I4" s="3" t="s">
        <v>63</v>
      </c>
      <c r="J4" s="3" t="s">
        <v>1484</v>
      </c>
      <c r="L4" s="3" t="s">
        <v>1485</v>
      </c>
    </row>
    <row r="5">
      <c r="A5" s="2">
        <v>45505.0</v>
      </c>
      <c r="B5" s="1" t="s">
        <v>1478</v>
      </c>
      <c r="C5" s="1"/>
      <c r="D5" s="1"/>
      <c r="E5" s="1"/>
      <c r="G5" s="1"/>
      <c r="H5" s="1" t="s">
        <v>1486</v>
      </c>
      <c r="I5" s="3" t="s">
        <v>70</v>
      </c>
      <c r="J5" s="3" t="s">
        <v>1487</v>
      </c>
      <c r="L5" s="3" t="s">
        <v>53</v>
      </c>
      <c r="M5" s="4">
        <v>9.0</v>
      </c>
      <c r="N5" s="1" t="b">
        <v>1</v>
      </c>
      <c r="O5" s="4">
        <v>360.0</v>
      </c>
    </row>
    <row r="6">
      <c r="A6" s="2">
        <v>45505.0</v>
      </c>
      <c r="B6" s="1" t="s">
        <v>1478</v>
      </c>
      <c r="C6" s="1"/>
      <c r="D6" s="1"/>
      <c r="E6" s="1"/>
      <c r="G6" s="1"/>
      <c r="H6" s="1" t="s">
        <v>417</v>
      </c>
      <c r="I6" s="3" t="s">
        <v>45</v>
      </c>
      <c r="J6" s="3" t="s">
        <v>1487</v>
      </c>
      <c r="L6" s="3" t="s">
        <v>47</v>
      </c>
      <c r="M6" s="4">
        <v>10.0</v>
      </c>
      <c r="N6" s="1" t="b">
        <v>1</v>
      </c>
      <c r="O6" s="4">
        <v>400.0</v>
      </c>
    </row>
    <row r="7">
      <c r="A7" s="2">
        <v>45505.0</v>
      </c>
      <c r="B7" s="1" t="s">
        <v>1478</v>
      </c>
      <c r="C7" s="1"/>
      <c r="D7" s="1"/>
      <c r="E7" s="1"/>
      <c r="G7" s="1"/>
      <c r="P7" s="4">
        <v>2.0</v>
      </c>
      <c r="Q7" s="1" t="s">
        <v>438</v>
      </c>
      <c r="R7" s="1" t="s">
        <v>1479</v>
      </c>
      <c r="S7" s="4">
        <v>7874.0</v>
      </c>
      <c r="T7" s="4">
        <v>4327.0</v>
      </c>
      <c r="U7" s="4">
        <v>13467.0</v>
      </c>
      <c r="V7" s="4">
        <v>8130.0</v>
      </c>
      <c r="W7" s="4">
        <v>0.0</v>
      </c>
      <c r="X7" s="4">
        <v>3209.0</v>
      </c>
      <c r="Y7" s="4">
        <v>4245.0</v>
      </c>
      <c r="AA7" s="4">
        <v>6221.0</v>
      </c>
      <c r="AB7" s="4">
        <v>46064.0</v>
      </c>
      <c r="AC7" s="4">
        <v>-240.0</v>
      </c>
      <c r="AD7" s="4">
        <v>0.31400112292574706</v>
      </c>
      <c r="AH7" s="4">
        <v>800.0</v>
      </c>
      <c r="AI7" s="4">
        <v>760.0</v>
      </c>
      <c r="AJ7" s="4">
        <v>2.0</v>
      </c>
      <c r="AK7" s="4">
        <v>826.0</v>
      </c>
      <c r="AL7" s="4">
        <v>8.0</v>
      </c>
      <c r="AM7" s="1" t="s">
        <v>1488</v>
      </c>
      <c r="AN7" s="4">
        <v>2.0</v>
      </c>
      <c r="AO7" s="4">
        <v>120.0</v>
      </c>
      <c r="AP7" s="4">
        <v>28.0</v>
      </c>
      <c r="AQ7" s="4">
        <v>0.0</v>
      </c>
      <c r="AR7" s="4">
        <v>0.0</v>
      </c>
      <c r="AS7" s="4">
        <v>0.2857142857142857</v>
      </c>
      <c r="AT7" s="4">
        <v>0.0</v>
      </c>
      <c r="AU7" s="4">
        <v>0.7142857142857143</v>
      </c>
      <c r="AV7" s="4">
        <v>0.0</v>
      </c>
    </row>
    <row r="8">
      <c r="A8" s="2">
        <v>45506.0</v>
      </c>
      <c r="B8" s="1" t="s">
        <v>39</v>
      </c>
      <c r="C8" s="1" t="s">
        <v>1479</v>
      </c>
      <c r="D8" s="3" t="s">
        <v>41</v>
      </c>
      <c r="E8" s="3" t="s">
        <v>1487</v>
      </c>
      <c r="G8" s="3" t="s">
        <v>1489</v>
      </c>
    </row>
    <row r="9">
      <c r="A9" s="2">
        <v>45506.0</v>
      </c>
      <c r="B9" s="1" t="s">
        <v>39</v>
      </c>
      <c r="C9" s="1" t="s">
        <v>1490</v>
      </c>
      <c r="D9" s="3" t="s">
        <v>45</v>
      </c>
      <c r="E9" s="3" t="s">
        <v>1491</v>
      </c>
      <c r="G9" s="3" t="s">
        <v>1492</v>
      </c>
    </row>
    <row r="10">
      <c r="A10" s="2">
        <v>45506.0</v>
      </c>
      <c r="B10" s="1" t="s">
        <v>39</v>
      </c>
      <c r="C10" s="1"/>
      <c r="D10" s="1"/>
      <c r="E10" s="1"/>
      <c r="G10" s="1"/>
      <c r="H10" s="1" t="s">
        <v>1493</v>
      </c>
      <c r="I10" s="3" t="s">
        <v>63</v>
      </c>
      <c r="J10" s="3" t="s">
        <v>1484</v>
      </c>
      <c r="L10" s="3" t="s">
        <v>1485</v>
      </c>
      <c r="M10" s="4">
        <v>5.0</v>
      </c>
      <c r="N10" s="1" t="b">
        <v>1</v>
      </c>
      <c r="O10" s="4">
        <v>200.0</v>
      </c>
    </row>
    <row r="11">
      <c r="A11" s="2">
        <v>45506.0</v>
      </c>
      <c r="B11" s="1" t="s">
        <v>39</v>
      </c>
      <c r="C11" s="1"/>
      <c r="D11" s="1"/>
      <c r="E11" s="1"/>
      <c r="G11" s="1"/>
      <c r="H11" s="1" t="s">
        <v>298</v>
      </c>
      <c r="I11" s="3" t="s">
        <v>63</v>
      </c>
      <c r="J11" s="3" t="s">
        <v>70</v>
      </c>
      <c r="L11" s="3" t="s">
        <v>53</v>
      </c>
    </row>
    <row r="12">
      <c r="A12" s="2">
        <v>45506.0</v>
      </c>
      <c r="B12" s="1" t="s">
        <v>39</v>
      </c>
      <c r="C12" s="1"/>
      <c r="D12" s="1"/>
      <c r="E12" s="1"/>
      <c r="G12" s="1"/>
      <c r="H12" s="1" t="s">
        <v>1494</v>
      </c>
      <c r="I12" s="3" t="s">
        <v>63</v>
      </c>
      <c r="J12" s="3" t="s">
        <v>1480</v>
      </c>
      <c r="L12" s="3" t="s">
        <v>41</v>
      </c>
      <c r="M12" s="4">
        <v>15.0</v>
      </c>
      <c r="N12" s="1" t="b">
        <v>1</v>
      </c>
      <c r="O12" s="4">
        <v>600.0</v>
      </c>
    </row>
    <row r="13">
      <c r="A13" s="2">
        <v>45506.0</v>
      </c>
      <c r="B13" s="1" t="s">
        <v>39</v>
      </c>
      <c r="C13" s="1"/>
      <c r="D13" s="1"/>
      <c r="E13" s="1"/>
      <c r="G13" s="1"/>
      <c r="H13" s="1" t="s">
        <v>1495</v>
      </c>
      <c r="I13" s="3" t="s">
        <v>1496</v>
      </c>
      <c r="J13" s="3" t="s">
        <v>1497</v>
      </c>
      <c r="L13" s="3" t="s">
        <v>1498</v>
      </c>
      <c r="M13" s="4">
        <v>12.0</v>
      </c>
      <c r="N13" s="1" t="b">
        <v>1</v>
      </c>
      <c r="O13" s="4">
        <v>480.0</v>
      </c>
    </row>
    <row r="14">
      <c r="A14" s="2">
        <v>45506.0</v>
      </c>
      <c r="B14" s="1" t="s">
        <v>39</v>
      </c>
      <c r="C14" s="1"/>
      <c r="D14" s="1"/>
      <c r="E14" s="1"/>
      <c r="G14" s="1"/>
      <c r="P14" s="4">
        <v>1.0</v>
      </c>
      <c r="Q14" s="1" t="s">
        <v>1479</v>
      </c>
      <c r="R14" s="1" t="s">
        <v>1490</v>
      </c>
      <c r="S14" s="4">
        <v>10222.0</v>
      </c>
      <c r="T14" s="4">
        <v>8521.0</v>
      </c>
      <c r="U14" s="4">
        <v>16447.0</v>
      </c>
      <c r="V14" s="4">
        <v>13790.0</v>
      </c>
      <c r="W14" s="4">
        <v>0.0</v>
      </c>
      <c r="X14" s="4">
        <v>2015.0</v>
      </c>
      <c r="Y14" s="4">
        <v>5577.0</v>
      </c>
      <c r="AA14" s="4">
        <v>5665.0</v>
      </c>
      <c r="AB14" s="4">
        <v>61834.5</v>
      </c>
      <c r="AC14" s="4">
        <v>4.5</v>
      </c>
      <c r="AD14" s="4">
        <v>0.3494599352538084</v>
      </c>
      <c r="AH14" s="4">
        <v>337.0</v>
      </c>
      <c r="AI14" s="4">
        <v>1280.0</v>
      </c>
      <c r="AJ14" s="4">
        <v>0.0</v>
      </c>
      <c r="AK14" s="4">
        <v>0.0</v>
      </c>
      <c r="AL14" s="4">
        <v>12.0</v>
      </c>
      <c r="AM14" s="1" t="s">
        <v>1499</v>
      </c>
      <c r="AN14" s="4">
        <v>3.0</v>
      </c>
      <c r="AO14" s="4">
        <v>150.0</v>
      </c>
      <c r="AP14" s="4">
        <v>33.0</v>
      </c>
      <c r="AQ14" s="4">
        <v>0.0</v>
      </c>
      <c r="AR14" s="4">
        <v>0.0</v>
      </c>
      <c r="AS14" s="4">
        <v>0.36363636363636365</v>
      </c>
      <c r="AT14" s="4">
        <v>1.0</v>
      </c>
      <c r="AU14" s="4">
        <v>0.6363636363636364</v>
      </c>
      <c r="AV14" s="4">
        <v>0.030303030303030304</v>
      </c>
    </row>
    <row r="15">
      <c r="A15" s="2">
        <v>45507.0</v>
      </c>
      <c r="B15" s="1" t="s">
        <v>1500</v>
      </c>
      <c r="C15" s="1" t="s">
        <v>438</v>
      </c>
      <c r="D15" s="3" t="s">
        <v>41</v>
      </c>
      <c r="E15" s="3" t="s">
        <v>62</v>
      </c>
      <c r="G15" s="3" t="s">
        <v>41</v>
      </c>
    </row>
    <row r="16">
      <c r="A16" s="2">
        <v>45507.0</v>
      </c>
      <c r="B16" s="1" t="s">
        <v>1500</v>
      </c>
      <c r="C16" s="1" t="s">
        <v>51</v>
      </c>
      <c r="D16" s="3" t="s">
        <v>1484</v>
      </c>
      <c r="E16" s="3" t="s">
        <v>1485</v>
      </c>
      <c r="G16" s="3" t="s">
        <v>50</v>
      </c>
    </row>
    <row r="17">
      <c r="A17" s="2">
        <v>45507.0</v>
      </c>
      <c r="B17" s="1" t="s">
        <v>1500</v>
      </c>
      <c r="C17" s="1"/>
      <c r="D17" s="1"/>
      <c r="E17" s="1"/>
      <c r="G17" s="1"/>
      <c r="H17" s="1" t="s">
        <v>1493</v>
      </c>
      <c r="I17" s="3" t="s">
        <v>63</v>
      </c>
      <c r="J17" s="3" t="s">
        <v>1501</v>
      </c>
      <c r="L17" s="3" t="s">
        <v>1502</v>
      </c>
      <c r="M17" s="4">
        <v>5.0</v>
      </c>
      <c r="N17" s="1" t="b">
        <v>1</v>
      </c>
      <c r="O17" s="4">
        <v>200.0</v>
      </c>
    </row>
    <row r="18">
      <c r="A18" s="2">
        <v>45507.0</v>
      </c>
      <c r="B18" s="1" t="s">
        <v>1500</v>
      </c>
      <c r="C18" s="1"/>
      <c r="D18" s="1"/>
      <c r="E18" s="1"/>
      <c r="G18" s="1"/>
      <c r="H18" s="1" t="s">
        <v>1503</v>
      </c>
      <c r="I18" s="3" t="s">
        <v>63</v>
      </c>
      <c r="J18" s="3" t="s">
        <v>1489</v>
      </c>
      <c r="L18" s="3" t="s">
        <v>1504</v>
      </c>
      <c r="M18" s="4">
        <v>5.0</v>
      </c>
      <c r="N18" s="1" t="b">
        <v>1</v>
      </c>
      <c r="O18" s="4">
        <v>200.0</v>
      </c>
    </row>
    <row r="19">
      <c r="A19" s="2">
        <v>45507.0</v>
      </c>
      <c r="B19" s="1" t="s">
        <v>1500</v>
      </c>
      <c r="C19" s="1"/>
      <c r="D19" s="1"/>
      <c r="E19" s="1"/>
      <c r="G19" s="1"/>
      <c r="H19" s="1" t="s">
        <v>1182</v>
      </c>
      <c r="I19" s="3" t="s">
        <v>63</v>
      </c>
      <c r="J19" s="3" t="s">
        <v>45</v>
      </c>
      <c r="L19" s="3" t="s">
        <v>64</v>
      </c>
      <c r="M19" s="4">
        <v>8.0</v>
      </c>
      <c r="N19" s="1" t="b">
        <v>1</v>
      </c>
      <c r="O19" s="4">
        <v>320.0</v>
      </c>
    </row>
    <row r="20">
      <c r="A20" s="2">
        <v>45507.0</v>
      </c>
      <c r="B20" s="1" t="s">
        <v>1500</v>
      </c>
      <c r="C20" s="1"/>
      <c r="D20" s="1"/>
      <c r="E20" s="1"/>
      <c r="G20" s="1"/>
      <c r="H20" s="1" t="s">
        <v>1495</v>
      </c>
      <c r="I20" s="3" t="s">
        <v>45</v>
      </c>
      <c r="J20" s="3" t="s">
        <v>1497</v>
      </c>
      <c r="L20" s="3" t="s">
        <v>41</v>
      </c>
      <c r="M20" s="4">
        <v>10.0</v>
      </c>
      <c r="N20" s="1" t="b">
        <v>1</v>
      </c>
      <c r="O20" s="4">
        <v>400.0</v>
      </c>
    </row>
    <row r="21">
      <c r="A21" s="2">
        <v>45507.0</v>
      </c>
      <c r="B21" s="1" t="s">
        <v>1500</v>
      </c>
      <c r="C21" s="1"/>
      <c r="D21" s="1"/>
      <c r="E21" s="1"/>
      <c r="G21" s="1"/>
      <c r="P21" s="4">
        <v>0.0</v>
      </c>
      <c r="Q21" s="1" t="s">
        <v>1479</v>
      </c>
      <c r="R21" s="1" t="s">
        <v>1490</v>
      </c>
      <c r="S21" s="4">
        <v>8565.0</v>
      </c>
      <c r="T21" s="4">
        <v>6171.0</v>
      </c>
      <c r="U21" s="4">
        <v>11683.0</v>
      </c>
      <c r="V21" s="4">
        <v>9243.0</v>
      </c>
      <c r="W21" s="4">
        <v>0.0</v>
      </c>
      <c r="X21" s="4">
        <v>543.0</v>
      </c>
      <c r="Y21" s="4">
        <v>2099.0</v>
      </c>
      <c r="AA21" s="4">
        <v>5864.0</v>
      </c>
      <c r="AB21" s="4">
        <v>46745.0</v>
      </c>
      <c r="AC21" s="4">
        <v>0.0</v>
      </c>
      <c r="AD21" s="4">
        <v>0.23751934552255027</v>
      </c>
      <c r="AE21" s="4">
        <v>2000.0</v>
      </c>
      <c r="AI21" s="4">
        <v>1120.0</v>
      </c>
      <c r="AJ21" s="4">
        <v>0.0</v>
      </c>
      <c r="AK21" s="4">
        <v>0.0</v>
      </c>
      <c r="AL21" s="4">
        <v>6.0</v>
      </c>
      <c r="AM21" s="1" t="s">
        <v>1505</v>
      </c>
      <c r="AN21" s="4">
        <v>4.0</v>
      </c>
      <c r="AO21" s="4">
        <v>117.0</v>
      </c>
      <c r="AP21" s="4">
        <v>28.0</v>
      </c>
      <c r="AQ21" s="4">
        <v>0.0</v>
      </c>
      <c r="AR21" s="4">
        <v>0.0</v>
      </c>
      <c r="AS21" s="4">
        <v>0.21428571428571427</v>
      </c>
      <c r="AT21" s="4">
        <v>0.0</v>
      </c>
      <c r="AU21" s="4">
        <v>0.7857142857142857</v>
      </c>
      <c r="AV21" s="4">
        <v>0.0</v>
      </c>
    </row>
    <row r="22">
      <c r="A22" s="2">
        <v>45508.0</v>
      </c>
      <c r="B22" s="1" t="s">
        <v>67</v>
      </c>
      <c r="C22" s="1" t="s">
        <v>438</v>
      </c>
      <c r="D22" s="3" t="s">
        <v>41</v>
      </c>
      <c r="E22" s="3" t="s">
        <v>1506</v>
      </c>
      <c r="G22" s="3" t="s">
        <v>1507</v>
      </c>
    </row>
    <row r="23">
      <c r="A23" s="2">
        <v>45508.0</v>
      </c>
      <c r="B23" s="1" t="s">
        <v>67</v>
      </c>
      <c r="C23" s="1" t="s">
        <v>1479</v>
      </c>
      <c r="D23" s="3" t="s">
        <v>1506</v>
      </c>
      <c r="E23" s="3" t="s">
        <v>1487</v>
      </c>
      <c r="G23" s="3" t="s">
        <v>1507</v>
      </c>
    </row>
    <row r="24">
      <c r="A24" s="2">
        <v>45508.0</v>
      </c>
      <c r="B24" s="1" t="s">
        <v>67</v>
      </c>
      <c r="C24" s="1" t="s">
        <v>1508</v>
      </c>
      <c r="D24" s="3" t="s">
        <v>41</v>
      </c>
      <c r="E24" s="3" t="s">
        <v>1506</v>
      </c>
      <c r="G24" s="3" t="s">
        <v>1507</v>
      </c>
    </row>
    <row r="25">
      <c r="A25" s="2">
        <v>45508.0</v>
      </c>
      <c r="B25" s="1" t="s">
        <v>67</v>
      </c>
      <c r="C25" s="1"/>
      <c r="D25" s="1"/>
      <c r="E25" s="1"/>
      <c r="G25" s="1"/>
      <c r="H25" s="1" t="s">
        <v>1493</v>
      </c>
      <c r="I25" s="3" t="s">
        <v>41</v>
      </c>
      <c r="J25" s="3" t="s">
        <v>45</v>
      </c>
      <c r="L25" s="3" t="s">
        <v>53</v>
      </c>
      <c r="M25" s="4">
        <v>15.0</v>
      </c>
      <c r="N25" s="1" t="b">
        <v>1</v>
      </c>
      <c r="O25" s="4">
        <v>600.0</v>
      </c>
    </row>
    <row r="26">
      <c r="A26" s="2">
        <v>45508.0</v>
      </c>
      <c r="B26" s="1" t="s">
        <v>67</v>
      </c>
      <c r="C26" s="1"/>
      <c r="D26" s="1"/>
      <c r="E26" s="1"/>
      <c r="G26" s="1"/>
      <c r="H26" s="1" t="s">
        <v>298</v>
      </c>
      <c r="I26" s="3" t="s">
        <v>41</v>
      </c>
      <c r="J26" s="3" t="s">
        <v>45</v>
      </c>
      <c r="L26" s="3" t="s">
        <v>53</v>
      </c>
    </row>
    <row r="27">
      <c r="A27" s="2">
        <v>45508.0</v>
      </c>
      <c r="B27" s="1" t="s">
        <v>67</v>
      </c>
      <c r="C27" s="1"/>
      <c r="D27" s="1"/>
      <c r="E27" s="1"/>
      <c r="G27" s="1"/>
      <c r="H27" s="1" t="s">
        <v>466</v>
      </c>
      <c r="I27" s="3" t="s">
        <v>45</v>
      </c>
      <c r="J27" s="3" t="s">
        <v>1480</v>
      </c>
      <c r="L27" s="3" t="s">
        <v>1504</v>
      </c>
      <c r="M27" s="4">
        <v>10.0</v>
      </c>
      <c r="N27" s="1" t="b">
        <v>1</v>
      </c>
      <c r="O27" s="4">
        <v>400.0</v>
      </c>
    </row>
    <row r="28">
      <c r="A28" s="2">
        <v>45508.0</v>
      </c>
      <c r="B28" s="1" t="s">
        <v>67</v>
      </c>
      <c r="C28" s="1"/>
      <c r="D28" s="1"/>
      <c r="E28" s="1"/>
      <c r="G28" s="1"/>
      <c r="H28" s="1" t="s">
        <v>1503</v>
      </c>
      <c r="I28" s="3" t="s">
        <v>70</v>
      </c>
      <c r="J28" s="3" t="s">
        <v>57</v>
      </c>
      <c r="L28" s="3" t="s">
        <v>64</v>
      </c>
      <c r="M28" s="4">
        <v>8.0</v>
      </c>
      <c r="N28" s="1" t="b">
        <v>1</v>
      </c>
      <c r="O28" s="4">
        <v>320.0</v>
      </c>
    </row>
    <row r="29">
      <c r="A29" s="2">
        <v>45508.0</v>
      </c>
      <c r="B29" s="1" t="s">
        <v>67</v>
      </c>
      <c r="C29" s="1"/>
      <c r="D29" s="1"/>
      <c r="E29" s="1"/>
      <c r="G29" s="1"/>
      <c r="P29" s="4">
        <v>2.0</v>
      </c>
      <c r="Q29" s="1" t="s">
        <v>1508</v>
      </c>
      <c r="R29" s="1" t="s">
        <v>438</v>
      </c>
      <c r="S29" s="4">
        <v>11702.0</v>
      </c>
      <c r="T29" s="4">
        <v>3756.0</v>
      </c>
      <c r="U29" s="4">
        <v>16469.0</v>
      </c>
      <c r="V29" s="4">
        <v>14491.0</v>
      </c>
      <c r="W29" s="4">
        <v>375.0</v>
      </c>
      <c r="X29" s="4">
        <v>1571.0</v>
      </c>
      <c r="Y29" s="4">
        <v>4709.0</v>
      </c>
      <c r="AA29" s="4">
        <v>6169.0</v>
      </c>
      <c r="AB29" s="4">
        <v>59490.5</v>
      </c>
      <c r="AC29" s="4">
        <v>0.5</v>
      </c>
      <c r="AD29" s="4">
        <v>0.2951238756852206</v>
      </c>
      <c r="AE29" s="4">
        <v>500.0</v>
      </c>
      <c r="AI29" s="4">
        <v>1320.0</v>
      </c>
      <c r="AJ29" s="4">
        <v>0.0</v>
      </c>
      <c r="AK29" s="4">
        <v>0.0</v>
      </c>
      <c r="AL29" s="4">
        <v>5.0</v>
      </c>
      <c r="AM29" s="1" t="s">
        <v>1509</v>
      </c>
      <c r="AN29" s="4">
        <v>3.0</v>
      </c>
      <c r="AO29" s="4">
        <v>146.0</v>
      </c>
      <c r="AP29" s="4">
        <v>36.0</v>
      </c>
      <c r="AQ29" s="4">
        <v>2.0</v>
      </c>
      <c r="AR29" s="4">
        <v>0.0</v>
      </c>
      <c r="AS29" s="4">
        <v>0.1388888888888889</v>
      </c>
      <c r="AT29" s="4">
        <v>0.0</v>
      </c>
      <c r="AU29" s="4">
        <v>0.8611111111111112</v>
      </c>
      <c r="AV29" s="4">
        <v>0.0</v>
      </c>
    </row>
    <row r="30">
      <c r="A30" s="2">
        <v>45509.0</v>
      </c>
      <c r="B30" s="1" t="s">
        <v>69</v>
      </c>
      <c r="C30" s="1" t="s">
        <v>1479</v>
      </c>
      <c r="D30" s="3" t="s">
        <v>41</v>
      </c>
      <c r="E30" s="3" t="s">
        <v>1487</v>
      </c>
      <c r="G30" s="3" t="s">
        <v>1489</v>
      </c>
    </row>
    <row r="31">
      <c r="A31" s="2">
        <v>45509.0</v>
      </c>
      <c r="B31" s="1" t="s">
        <v>69</v>
      </c>
      <c r="C31" s="1"/>
      <c r="D31" s="1"/>
      <c r="E31" s="1"/>
      <c r="G31" s="1"/>
      <c r="H31" s="1" t="s">
        <v>298</v>
      </c>
      <c r="I31" s="3" t="s">
        <v>41</v>
      </c>
      <c r="J31" s="3" t="s">
        <v>70</v>
      </c>
      <c r="L31" s="3" t="s">
        <v>47</v>
      </c>
      <c r="M31" s="4">
        <v>7.0</v>
      </c>
    </row>
    <row r="32">
      <c r="A32" s="2">
        <v>45509.0</v>
      </c>
      <c r="B32" s="1" t="s">
        <v>69</v>
      </c>
      <c r="C32" s="1"/>
      <c r="D32" s="1"/>
      <c r="E32" s="1"/>
      <c r="G32" s="1"/>
      <c r="H32" s="1" t="s">
        <v>1486</v>
      </c>
      <c r="I32" s="3" t="s">
        <v>45</v>
      </c>
      <c r="J32" s="3" t="s">
        <v>1487</v>
      </c>
      <c r="L32" s="3" t="s">
        <v>47</v>
      </c>
    </row>
    <row r="33">
      <c r="A33" s="2">
        <v>45509.0</v>
      </c>
      <c r="B33" s="1" t="s">
        <v>69</v>
      </c>
      <c r="C33" s="1"/>
      <c r="D33" s="1"/>
      <c r="E33" s="1"/>
      <c r="G33" s="1"/>
      <c r="H33" s="1" t="s">
        <v>1495</v>
      </c>
      <c r="I33" s="3" t="s">
        <v>70</v>
      </c>
      <c r="J33" s="3" t="s">
        <v>57</v>
      </c>
      <c r="L33" s="3" t="s">
        <v>64</v>
      </c>
      <c r="M33" s="4">
        <v>13.0</v>
      </c>
      <c r="N33" s="1" t="b">
        <v>1</v>
      </c>
      <c r="O33" s="4">
        <v>520.0</v>
      </c>
    </row>
    <row r="34">
      <c r="A34" s="2">
        <v>45509.0</v>
      </c>
      <c r="B34" s="1" t="s">
        <v>69</v>
      </c>
      <c r="C34" s="1"/>
      <c r="D34" s="1"/>
      <c r="E34" s="1"/>
      <c r="G34" s="1"/>
      <c r="P34" s="4">
        <v>2.0</v>
      </c>
      <c r="Q34" s="1" t="s">
        <v>1479</v>
      </c>
      <c r="R34" s="1" t="s">
        <v>1479</v>
      </c>
      <c r="S34" s="4">
        <v>5067.0</v>
      </c>
      <c r="T34" s="4">
        <v>4145.0</v>
      </c>
      <c r="U34" s="4">
        <v>9858.0</v>
      </c>
      <c r="V34" s="4">
        <v>7572.0</v>
      </c>
      <c r="W34" s="4">
        <v>320.0</v>
      </c>
      <c r="X34" s="4">
        <v>2544.0</v>
      </c>
      <c r="Y34" s="4">
        <v>3479.0</v>
      </c>
      <c r="AA34" s="4">
        <v>1190.0</v>
      </c>
      <c r="AB34" s="4">
        <v>38287.5</v>
      </c>
      <c r="AC34" s="4">
        <v>0.5</v>
      </c>
      <c r="AD34" s="4">
        <v>0.4357984168841427</v>
      </c>
      <c r="AE34" s="4">
        <v>500.0</v>
      </c>
      <c r="AG34" s="4">
        <v>5597.0</v>
      </c>
      <c r="AH34" s="4">
        <v>40.0</v>
      </c>
      <c r="AI34" s="4">
        <v>520.0</v>
      </c>
      <c r="AJ34" s="4">
        <v>1.0</v>
      </c>
      <c r="AK34" s="4">
        <v>247.0</v>
      </c>
      <c r="AL34" s="4">
        <v>7.0</v>
      </c>
      <c r="AM34" s="1" t="s">
        <v>1510</v>
      </c>
      <c r="AN34" s="4">
        <v>1.0</v>
      </c>
      <c r="AO34" s="4">
        <v>108.0</v>
      </c>
      <c r="AP34" s="4">
        <v>22.0</v>
      </c>
      <c r="AQ34" s="4">
        <v>1.0</v>
      </c>
      <c r="AR34" s="4">
        <v>1.0</v>
      </c>
      <c r="AS34" s="4">
        <v>0.3181818181818182</v>
      </c>
      <c r="AT34" s="4">
        <v>1.0</v>
      </c>
      <c r="AU34" s="4">
        <v>0.6818181818181819</v>
      </c>
      <c r="AV34" s="4">
        <v>0.045454545454545456</v>
      </c>
    </row>
    <row r="35">
      <c r="A35" s="2">
        <v>45510.0</v>
      </c>
      <c r="B35" s="1" t="s">
        <v>61</v>
      </c>
      <c r="C35" s="1" t="s">
        <v>438</v>
      </c>
      <c r="D35" s="3" t="s">
        <v>41</v>
      </c>
      <c r="E35" s="3" t="s">
        <v>1506</v>
      </c>
      <c r="G35" s="3" t="s">
        <v>1507</v>
      </c>
    </row>
    <row r="36">
      <c r="A36" s="2">
        <v>45510.0</v>
      </c>
      <c r="B36" s="1" t="s">
        <v>61</v>
      </c>
      <c r="C36" s="1" t="s">
        <v>51</v>
      </c>
      <c r="D36" s="3" t="s">
        <v>45</v>
      </c>
      <c r="E36" s="3" t="s">
        <v>1487</v>
      </c>
      <c r="G36" s="3" t="s">
        <v>47</v>
      </c>
    </row>
    <row r="37">
      <c r="A37" s="2">
        <v>45510.0</v>
      </c>
      <c r="B37" s="1" t="s">
        <v>61</v>
      </c>
      <c r="C37" s="1"/>
      <c r="D37" s="1"/>
      <c r="E37" s="1"/>
      <c r="G37" s="1"/>
      <c r="H37" s="1" t="s">
        <v>298</v>
      </c>
      <c r="I37" s="3" t="s">
        <v>63</v>
      </c>
      <c r="J37" s="3" t="s">
        <v>70</v>
      </c>
      <c r="L37" s="3" t="s">
        <v>53</v>
      </c>
      <c r="M37" s="4">
        <v>5.0</v>
      </c>
    </row>
    <row r="38">
      <c r="A38" s="2">
        <v>45510.0</v>
      </c>
      <c r="B38" s="1" t="s">
        <v>61</v>
      </c>
      <c r="C38" s="1"/>
      <c r="D38" s="1"/>
      <c r="E38" s="1"/>
      <c r="G38" s="1"/>
      <c r="H38" s="1" t="s">
        <v>1486</v>
      </c>
      <c r="I38" s="3" t="s">
        <v>45</v>
      </c>
      <c r="J38" s="3" t="s">
        <v>1487</v>
      </c>
      <c r="L38" s="3" t="s">
        <v>47</v>
      </c>
    </row>
    <row r="39">
      <c r="A39" s="2">
        <v>45510.0</v>
      </c>
      <c r="B39" s="1" t="s">
        <v>61</v>
      </c>
      <c r="C39" s="1"/>
      <c r="D39" s="1"/>
      <c r="E39" s="1"/>
      <c r="G39" s="1"/>
      <c r="H39" s="1" t="s">
        <v>417</v>
      </c>
      <c r="I39" s="3" t="s">
        <v>45</v>
      </c>
      <c r="J39" s="3" t="s">
        <v>57</v>
      </c>
      <c r="L39" s="3" t="s">
        <v>53</v>
      </c>
      <c r="M39" s="4">
        <v>9.0</v>
      </c>
    </row>
    <row r="40">
      <c r="A40" s="2">
        <v>45510.0</v>
      </c>
      <c r="B40" s="1" t="s">
        <v>61</v>
      </c>
      <c r="C40" s="1"/>
      <c r="D40" s="1"/>
      <c r="E40" s="1"/>
      <c r="G40" s="1"/>
      <c r="L40" s="3" t="s">
        <v>68</v>
      </c>
      <c r="N40" s="1" t="b">
        <v>1</v>
      </c>
    </row>
    <row r="41">
      <c r="A41" s="2">
        <v>45510.0</v>
      </c>
      <c r="B41" s="1" t="s">
        <v>61</v>
      </c>
      <c r="C41" s="1"/>
      <c r="D41" s="1"/>
      <c r="E41" s="1"/>
      <c r="G41" s="1"/>
      <c r="P41" s="4">
        <v>0.0</v>
      </c>
      <c r="Q41" s="1" t="s">
        <v>1479</v>
      </c>
      <c r="R41" s="1" t="s">
        <v>1479</v>
      </c>
      <c r="S41" s="4">
        <v>5551.0</v>
      </c>
      <c r="T41" s="4">
        <v>5114.0</v>
      </c>
      <c r="U41" s="4">
        <v>12091.0</v>
      </c>
      <c r="V41" s="4">
        <v>2929.0</v>
      </c>
      <c r="W41" s="4">
        <v>0.0</v>
      </c>
      <c r="X41" s="4">
        <v>578.0</v>
      </c>
      <c r="Y41" s="4">
        <v>3667.0</v>
      </c>
      <c r="AA41" s="4">
        <v>4558.0</v>
      </c>
      <c r="AB41" s="4">
        <v>35304.0</v>
      </c>
      <c r="AC41" s="4">
        <v>76.0</v>
      </c>
      <c r="AD41" s="4">
        <v>0.28198073551018615</v>
      </c>
      <c r="AE41" s="4">
        <v>500.0</v>
      </c>
      <c r="AH41" s="4">
        <v>970.0</v>
      </c>
      <c r="AI41" s="4">
        <v>0.0</v>
      </c>
      <c r="AJ41" s="4">
        <v>1.0</v>
      </c>
      <c r="AK41" s="4">
        <v>436.0</v>
      </c>
      <c r="AL41" s="4">
        <v>2.0</v>
      </c>
      <c r="AM41" s="1" t="s">
        <v>1511</v>
      </c>
      <c r="AN41" s="4">
        <v>0.0</v>
      </c>
      <c r="AO41" s="4">
        <v>92.0</v>
      </c>
      <c r="AP41" s="4">
        <v>14.0</v>
      </c>
      <c r="AQ41" s="4">
        <v>0.0</v>
      </c>
      <c r="AR41" s="4">
        <v>0.0</v>
      </c>
      <c r="AS41" s="4">
        <v>0.14285714285714285</v>
      </c>
      <c r="AT41" s="4">
        <v>0.0</v>
      </c>
      <c r="AU41" s="4">
        <v>0.8571428571428572</v>
      </c>
      <c r="AV41" s="4">
        <v>0.0</v>
      </c>
    </row>
    <row r="42">
      <c r="A42" s="2">
        <v>45511.0</v>
      </c>
      <c r="B42" s="1" t="s">
        <v>73</v>
      </c>
      <c r="C42" s="1" t="s">
        <v>438</v>
      </c>
      <c r="D42" s="3" t="s">
        <v>41</v>
      </c>
      <c r="E42" s="3" t="s">
        <v>1506</v>
      </c>
      <c r="G42" s="3" t="s">
        <v>1507</v>
      </c>
    </row>
    <row r="43">
      <c r="A43" s="2">
        <v>45511.0</v>
      </c>
      <c r="B43" s="1" t="s">
        <v>73</v>
      </c>
      <c r="C43" s="1" t="s">
        <v>51</v>
      </c>
      <c r="D43" s="3" t="s">
        <v>45</v>
      </c>
      <c r="E43" s="3" t="s">
        <v>1487</v>
      </c>
      <c r="G43" s="3" t="s">
        <v>47</v>
      </c>
    </row>
    <row r="44">
      <c r="A44" s="2">
        <v>45511.0</v>
      </c>
      <c r="B44" s="1" t="s">
        <v>73</v>
      </c>
      <c r="C44" s="1"/>
      <c r="D44" s="1"/>
      <c r="E44" s="1"/>
      <c r="G44" s="1"/>
      <c r="H44" s="1" t="s">
        <v>298</v>
      </c>
      <c r="I44" s="3" t="s">
        <v>63</v>
      </c>
      <c r="J44" s="3" t="s">
        <v>1512</v>
      </c>
      <c r="L44" s="3" t="s">
        <v>47</v>
      </c>
      <c r="M44" s="4">
        <v>8.0</v>
      </c>
    </row>
    <row r="45">
      <c r="A45" s="2">
        <v>45511.0</v>
      </c>
      <c r="B45" s="1" t="s">
        <v>73</v>
      </c>
      <c r="C45" s="1"/>
      <c r="D45" s="1"/>
      <c r="E45" s="1"/>
      <c r="G45" s="1"/>
      <c r="H45" s="1" t="s">
        <v>1486</v>
      </c>
      <c r="I45" s="3" t="s">
        <v>45</v>
      </c>
      <c r="J45" s="3" t="s">
        <v>1487</v>
      </c>
      <c r="L45" s="3" t="s">
        <v>47</v>
      </c>
    </row>
    <row r="46">
      <c r="A46" s="2">
        <v>45511.0</v>
      </c>
      <c r="B46" s="1" t="s">
        <v>73</v>
      </c>
      <c r="C46" s="1"/>
      <c r="D46" s="1"/>
      <c r="E46" s="1"/>
      <c r="G46" s="1"/>
      <c r="H46" s="1" t="s">
        <v>1182</v>
      </c>
      <c r="I46" s="3" t="s">
        <v>45</v>
      </c>
      <c r="J46" s="3" t="s">
        <v>1513</v>
      </c>
      <c r="L46" s="3" t="s">
        <v>1514</v>
      </c>
      <c r="M46" s="4">
        <v>8.0</v>
      </c>
      <c r="N46" s="1" t="b">
        <v>1</v>
      </c>
      <c r="O46" s="4">
        <v>320.0</v>
      </c>
    </row>
    <row r="47">
      <c r="A47" s="2">
        <v>45511.0</v>
      </c>
      <c r="B47" s="1" t="s">
        <v>73</v>
      </c>
      <c r="C47" s="1"/>
      <c r="D47" s="1"/>
      <c r="E47" s="1"/>
      <c r="G47" s="1"/>
      <c r="P47" s="4">
        <v>7.0</v>
      </c>
      <c r="Q47" s="1" t="s">
        <v>438</v>
      </c>
      <c r="R47" s="1" t="s">
        <v>51</v>
      </c>
      <c r="S47" s="4">
        <v>7199.0</v>
      </c>
      <c r="T47" s="4">
        <v>4695.0</v>
      </c>
      <c r="U47" s="4">
        <v>11841.0</v>
      </c>
      <c r="V47" s="4">
        <v>8584.0</v>
      </c>
      <c r="W47" s="4">
        <v>337.0</v>
      </c>
      <c r="X47" s="4">
        <v>1842.0</v>
      </c>
      <c r="Y47" s="4">
        <v>2681.0</v>
      </c>
      <c r="AA47" s="4">
        <v>6414.0</v>
      </c>
      <c r="AB47" s="4">
        <v>42111.3</v>
      </c>
      <c r="AC47" s="4">
        <v>-0.3000000000029104</v>
      </c>
      <c r="AD47" s="4">
        <v>0.2790598410985083</v>
      </c>
      <c r="AH47" s="4">
        <v>40.0</v>
      </c>
      <c r="AI47" s="4">
        <v>320.0</v>
      </c>
      <c r="AJ47" s="4">
        <v>0.0</v>
      </c>
      <c r="AK47" s="4">
        <v>0.0</v>
      </c>
      <c r="AL47" s="4">
        <v>6.0</v>
      </c>
      <c r="AM47" s="1" t="s">
        <v>1515</v>
      </c>
      <c r="AN47" s="4">
        <v>1.0</v>
      </c>
      <c r="AO47" s="4">
        <v>106.0</v>
      </c>
      <c r="AP47" s="4">
        <v>23.0</v>
      </c>
      <c r="AQ47" s="4">
        <v>6.0</v>
      </c>
      <c r="AR47" s="4">
        <v>4.0</v>
      </c>
      <c r="AS47" s="4">
        <v>0.2608695652173913</v>
      </c>
      <c r="AT47" s="4">
        <v>5.0</v>
      </c>
      <c r="AU47" s="4">
        <v>0.7391304347826086</v>
      </c>
      <c r="AV47" s="4">
        <v>0.21739130434782608</v>
      </c>
    </row>
    <row r="48">
      <c r="A48" s="2">
        <v>45512.0</v>
      </c>
      <c r="B48" s="1" t="s">
        <v>1478</v>
      </c>
      <c r="C48" s="1" t="s">
        <v>361</v>
      </c>
      <c r="D48" s="3" t="s">
        <v>45</v>
      </c>
      <c r="E48" s="3" t="s">
        <v>1487</v>
      </c>
      <c r="G48" s="3" t="s">
        <v>47</v>
      </c>
    </row>
    <row r="49">
      <c r="A49" s="2">
        <v>45512.0</v>
      </c>
      <c r="B49" s="1" t="s">
        <v>1478</v>
      </c>
      <c r="C49" s="1" t="s">
        <v>51</v>
      </c>
      <c r="D49" s="3" t="s">
        <v>41</v>
      </c>
      <c r="E49" s="3" t="s">
        <v>1487</v>
      </c>
      <c r="G49" s="3" t="s">
        <v>1489</v>
      </c>
    </row>
    <row r="50">
      <c r="A50" s="2">
        <v>45512.0</v>
      </c>
      <c r="B50" s="1" t="s">
        <v>1478</v>
      </c>
      <c r="C50" s="1"/>
      <c r="D50" s="1"/>
      <c r="E50" s="1"/>
      <c r="G50" s="1"/>
      <c r="H50" s="1" t="s">
        <v>1503</v>
      </c>
      <c r="I50" s="3" t="s">
        <v>70</v>
      </c>
      <c r="J50" s="3" t="s">
        <v>1487</v>
      </c>
      <c r="L50" s="3" t="s">
        <v>53</v>
      </c>
      <c r="M50" s="4">
        <v>7.0</v>
      </c>
      <c r="N50" s="1" t="b">
        <v>1</v>
      </c>
      <c r="O50" s="4">
        <v>280.0</v>
      </c>
    </row>
    <row r="51">
      <c r="A51" s="2">
        <v>45512.0</v>
      </c>
      <c r="B51" s="1" t="s">
        <v>1478</v>
      </c>
      <c r="C51" s="1"/>
      <c r="D51" s="1"/>
      <c r="E51" s="1"/>
      <c r="G51" s="1"/>
      <c r="H51" s="1" t="s">
        <v>417</v>
      </c>
      <c r="I51" s="3" t="s">
        <v>63</v>
      </c>
      <c r="J51" s="3" t="s">
        <v>70</v>
      </c>
      <c r="L51" s="3" t="s">
        <v>53</v>
      </c>
      <c r="M51" s="4">
        <v>9.0</v>
      </c>
      <c r="N51" s="1" t="b">
        <v>1</v>
      </c>
      <c r="O51" s="4">
        <v>360.0</v>
      </c>
    </row>
    <row r="52">
      <c r="A52" s="2">
        <v>45512.0</v>
      </c>
      <c r="B52" s="1" t="s">
        <v>1478</v>
      </c>
      <c r="C52" s="1"/>
      <c r="D52" s="1"/>
      <c r="E52" s="1"/>
      <c r="G52" s="1"/>
      <c r="H52" s="1" t="s">
        <v>1495</v>
      </c>
      <c r="I52" s="3" t="s">
        <v>45</v>
      </c>
      <c r="J52" s="3" t="s">
        <v>56</v>
      </c>
      <c r="L52" s="3" t="s">
        <v>1507</v>
      </c>
      <c r="M52" s="4">
        <v>7.0</v>
      </c>
      <c r="N52" s="1" t="b">
        <v>1</v>
      </c>
      <c r="O52" s="4">
        <v>280.0</v>
      </c>
    </row>
    <row r="53">
      <c r="A53" s="2">
        <v>45512.0</v>
      </c>
      <c r="B53" s="1" t="s">
        <v>1478</v>
      </c>
      <c r="C53" s="1"/>
      <c r="D53" s="1"/>
      <c r="E53" s="1"/>
      <c r="G53" s="1"/>
      <c r="P53" s="4">
        <v>6.0</v>
      </c>
      <c r="Q53" s="1" t="s">
        <v>51</v>
      </c>
      <c r="R53" s="1" t="s">
        <v>51</v>
      </c>
      <c r="S53" s="4">
        <v>11575.0</v>
      </c>
      <c r="T53" s="4">
        <v>5816.0</v>
      </c>
      <c r="U53" s="4">
        <v>12429.0</v>
      </c>
      <c r="V53" s="4">
        <v>13313.0</v>
      </c>
      <c r="W53" s="4">
        <v>757.0</v>
      </c>
      <c r="X53" s="4">
        <v>2014.0</v>
      </c>
      <c r="Y53" s="4">
        <v>4921.0</v>
      </c>
      <c r="AA53" s="4">
        <v>3664.0</v>
      </c>
      <c r="AB53" s="4">
        <v>53395.0</v>
      </c>
      <c r="AC53" s="4">
        <v>0.0</v>
      </c>
      <c r="AD53" s="4">
        <v>0.24060548378034674</v>
      </c>
      <c r="AI53" s="4">
        <v>920.0</v>
      </c>
      <c r="AJ53" s="4">
        <v>0.0</v>
      </c>
      <c r="AK53" s="4">
        <v>0.0</v>
      </c>
      <c r="AL53" s="4">
        <v>18.0</v>
      </c>
      <c r="AM53" s="1" t="s">
        <v>1516</v>
      </c>
      <c r="AN53" s="4">
        <v>3.0</v>
      </c>
      <c r="AO53" s="4">
        <v>132.0</v>
      </c>
      <c r="AP53" s="4">
        <v>29.0</v>
      </c>
      <c r="AQ53" s="4">
        <v>6.0</v>
      </c>
      <c r="AR53" s="4">
        <v>4.0</v>
      </c>
      <c r="AS53" s="4">
        <v>0.6206896551724138</v>
      </c>
      <c r="AT53" s="4">
        <v>4.0</v>
      </c>
      <c r="AU53" s="4">
        <v>0.3793103448275862</v>
      </c>
      <c r="AV53" s="4">
        <v>0.13793103448275862</v>
      </c>
    </row>
    <row r="54">
      <c r="A54" s="2">
        <v>45513.0</v>
      </c>
      <c r="B54" s="1" t="s">
        <v>39</v>
      </c>
      <c r="C54" s="1" t="s">
        <v>438</v>
      </c>
      <c r="D54" s="3" t="s">
        <v>1484</v>
      </c>
      <c r="E54" s="3" t="s">
        <v>1485</v>
      </c>
      <c r="G54" s="3" t="s">
        <v>50</v>
      </c>
    </row>
    <row r="55">
      <c r="A55" s="2">
        <v>45513.0</v>
      </c>
      <c r="B55" s="1" t="s">
        <v>39</v>
      </c>
      <c r="C55" s="1" t="s">
        <v>51</v>
      </c>
      <c r="D55" s="3" t="s">
        <v>41</v>
      </c>
      <c r="E55" s="3" t="s">
        <v>1484</v>
      </c>
      <c r="G55" s="3" t="s">
        <v>1504</v>
      </c>
    </row>
    <row r="56">
      <c r="A56" s="2">
        <v>45513.0</v>
      </c>
      <c r="B56" s="1" t="s">
        <v>39</v>
      </c>
      <c r="C56" s="1" t="s">
        <v>1490</v>
      </c>
      <c r="D56" s="3" t="s">
        <v>45</v>
      </c>
      <c r="E56" s="3" t="s">
        <v>1485</v>
      </c>
      <c r="G56" s="3" t="s">
        <v>41</v>
      </c>
    </row>
    <row r="57">
      <c r="A57" s="2">
        <v>45513.0</v>
      </c>
      <c r="B57" s="1" t="s">
        <v>39</v>
      </c>
      <c r="C57" s="1"/>
      <c r="D57" s="1"/>
      <c r="E57" s="1"/>
      <c r="G57" s="1"/>
      <c r="H57" s="1" t="s">
        <v>1503</v>
      </c>
      <c r="I57" s="3" t="s">
        <v>70</v>
      </c>
      <c r="J57" s="3" t="s">
        <v>1513</v>
      </c>
      <c r="L57" s="3" t="s">
        <v>1517</v>
      </c>
      <c r="M57" s="4">
        <v>6.0</v>
      </c>
      <c r="N57" s="1" t="b">
        <v>1</v>
      </c>
      <c r="O57" s="4">
        <v>240.0</v>
      </c>
    </row>
    <row r="58">
      <c r="A58" s="2">
        <v>45513.0</v>
      </c>
      <c r="B58" s="1" t="s">
        <v>39</v>
      </c>
      <c r="C58" s="1"/>
      <c r="D58" s="1"/>
      <c r="E58" s="1"/>
      <c r="G58" s="1"/>
      <c r="H58" s="1" t="s">
        <v>1493</v>
      </c>
      <c r="I58" s="3" t="s">
        <v>45</v>
      </c>
      <c r="J58" s="3" t="s">
        <v>1480</v>
      </c>
      <c r="L58" s="3" t="s">
        <v>1504</v>
      </c>
      <c r="M58" s="4">
        <v>4.0</v>
      </c>
      <c r="N58" s="1" t="b">
        <v>1</v>
      </c>
      <c r="O58" s="4">
        <v>160.0</v>
      </c>
    </row>
    <row r="59">
      <c r="A59" s="2">
        <v>45513.0</v>
      </c>
      <c r="B59" s="1" t="s">
        <v>39</v>
      </c>
      <c r="C59" s="1"/>
      <c r="D59" s="1"/>
      <c r="E59" s="1"/>
      <c r="G59" s="1"/>
      <c r="H59" s="1" t="s">
        <v>466</v>
      </c>
      <c r="I59" s="3" t="s">
        <v>1506</v>
      </c>
      <c r="J59" s="3" t="s">
        <v>1487</v>
      </c>
      <c r="L59" s="3" t="s">
        <v>1507</v>
      </c>
      <c r="M59" s="4">
        <v>12.0</v>
      </c>
      <c r="N59" s="1" t="b">
        <v>1</v>
      </c>
      <c r="O59" s="4">
        <v>480.0</v>
      </c>
    </row>
    <row r="60">
      <c r="A60" s="2">
        <v>45513.0</v>
      </c>
      <c r="B60" s="1" t="s">
        <v>39</v>
      </c>
      <c r="C60" s="1"/>
      <c r="D60" s="1"/>
      <c r="E60" s="1"/>
      <c r="G60" s="1"/>
      <c r="H60" s="1" t="s">
        <v>298</v>
      </c>
      <c r="I60" s="3" t="s">
        <v>63</v>
      </c>
      <c r="J60" s="3" t="s">
        <v>45</v>
      </c>
      <c r="L60" s="3" t="s">
        <v>64</v>
      </c>
      <c r="M60" s="4">
        <v>1.0</v>
      </c>
    </row>
    <row r="61">
      <c r="A61" s="2">
        <v>45513.0</v>
      </c>
      <c r="B61" s="1" t="s">
        <v>39</v>
      </c>
      <c r="C61" s="1"/>
      <c r="D61" s="1"/>
      <c r="E61" s="1"/>
      <c r="G61" s="1"/>
      <c r="P61" s="4">
        <v>3.0</v>
      </c>
      <c r="Q61" s="1" t="s">
        <v>438</v>
      </c>
      <c r="R61" s="1" t="s">
        <v>438</v>
      </c>
      <c r="S61" s="4">
        <v>8506.0</v>
      </c>
      <c r="T61" s="4">
        <v>6088.0</v>
      </c>
      <c r="U61" s="4">
        <v>18433.0</v>
      </c>
      <c r="V61" s="4">
        <v>12630.0</v>
      </c>
      <c r="W61" s="4">
        <v>0.0</v>
      </c>
      <c r="X61" s="4">
        <v>2312.0</v>
      </c>
      <c r="Y61" s="4">
        <v>4918.0</v>
      </c>
      <c r="AA61" s="4">
        <v>5013.0</v>
      </c>
      <c r="AB61" s="4">
        <v>57548.0</v>
      </c>
      <c r="AC61" s="4">
        <v>-80.0</v>
      </c>
      <c r="AD61" s="4">
        <v>0.25437877609042214</v>
      </c>
      <c r="AE61" s="4">
        <v>1000.0</v>
      </c>
      <c r="AI61" s="4">
        <v>880.0</v>
      </c>
      <c r="AJ61" s="4">
        <v>2.0</v>
      </c>
      <c r="AK61" s="4">
        <v>711.0</v>
      </c>
      <c r="AL61" s="4">
        <v>3.0</v>
      </c>
      <c r="AM61" s="1" t="s">
        <v>1518</v>
      </c>
      <c r="AN61" s="4">
        <v>3.0</v>
      </c>
      <c r="AO61" s="4">
        <v>145.0</v>
      </c>
      <c r="AP61" s="4">
        <v>26.0</v>
      </c>
      <c r="AQ61" s="4">
        <v>2.0</v>
      </c>
      <c r="AR61" s="4">
        <v>1.0</v>
      </c>
      <c r="AS61" s="4">
        <v>0.11538461538461539</v>
      </c>
      <c r="AT61" s="4">
        <v>1.0</v>
      </c>
      <c r="AU61" s="4">
        <v>0.8846153846153846</v>
      </c>
      <c r="AV61" s="4">
        <v>0.038461538461538464</v>
      </c>
    </row>
    <row r="62">
      <c r="A62" s="2">
        <v>45514.0</v>
      </c>
      <c r="B62" s="1" t="s">
        <v>1500</v>
      </c>
      <c r="C62" s="1" t="s">
        <v>438</v>
      </c>
      <c r="D62" s="3" t="s">
        <v>45</v>
      </c>
      <c r="E62" s="3" t="s">
        <v>1485</v>
      </c>
      <c r="G62" s="3" t="s">
        <v>41</v>
      </c>
    </row>
    <row r="63">
      <c r="A63" s="2">
        <v>45514.0</v>
      </c>
      <c r="B63" s="1" t="s">
        <v>1500</v>
      </c>
      <c r="C63" s="1" t="s">
        <v>361</v>
      </c>
      <c r="D63" s="3" t="s">
        <v>45</v>
      </c>
      <c r="E63" s="3" t="s">
        <v>1480</v>
      </c>
      <c r="G63" s="3" t="s">
        <v>1504</v>
      </c>
    </row>
    <row r="64">
      <c r="A64" s="2">
        <v>45514.0</v>
      </c>
      <c r="B64" s="1" t="s">
        <v>1500</v>
      </c>
      <c r="C64" s="1" t="s">
        <v>1490</v>
      </c>
      <c r="D64" s="3" t="s">
        <v>41</v>
      </c>
      <c r="E64" s="3" t="s">
        <v>1487</v>
      </c>
      <c r="G64" s="3" t="s">
        <v>1489</v>
      </c>
    </row>
    <row r="65">
      <c r="A65" s="2">
        <v>45514.0</v>
      </c>
      <c r="B65" s="1" t="s">
        <v>1500</v>
      </c>
      <c r="C65" s="1"/>
      <c r="D65" s="1"/>
      <c r="E65" s="1"/>
      <c r="G65" s="1"/>
      <c r="H65" s="1" t="s">
        <v>1182</v>
      </c>
      <c r="I65" s="3" t="s">
        <v>63</v>
      </c>
      <c r="J65" s="3" t="s">
        <v>1506</v>
      </c>
      <c r="L65" s="3" t="s">
        <v>1519</v>
      </c>
      <c r="M65" s="4">
        <v>10.0</v>
      </c>
      <c r="N65" s="1" t="b">
        <v>1</v>
      </c>
      <c r="O65" s="4">
        <v>400.0</v>
      </c>
    </row>
    <row r="66">
      <c r="A66" s="2">
        <v>45514.0</v>
      </c>
      <c r="B66" s="1" t="s">
        <v>1500</v>
      </c>
      <c r="C66" s="1"/>
      <c r="D66" s="1"/>
      <c r="E66" s="1"/>
      <c r="G66" s="1"/>
      <c r="H66" s="1" t="s">
        <v>1495</v>
      </c>
      <c r="I66" s="3" t="s">
        <v>45</v>
      </c>
      <c r="J66" s="3" t="s">
        <v>1485</v>
      </c>
      <c r="L66" s="3" t="s">
        <v>41</v>
      </c>
      <c r="M66" s="4">
        <v>15.0</v>
      </c>
      <c r="N66" s="1" t="b">
        <v>1</v>
      </c>
      <c r="O66" s="4">
        <v>600.0</v>
      </c>
    </row>
    <row r="67">
      <c r="A67" s="2">
        <v>45514.0</v>
      </c>
      <c r="B67" s="1" t="s">
        <v>1500</v>
      </c>
      <c r="C67" s="1"/>
      <c r="D67" s="1"/>
      <c r="E67" s="1"/>
      <c r="G67" s="1"/>
      <c r="P67" s="4">
        <v>6.0</v>
      </c>
      <c r="Q67" s="1" t="s">
        <v>1490</v>
      </c>
      <c r="R67" s="1" t="s">
        <v>438</v>
      </c>
      <c r="S67" s="4">
        <v>9219.0</v>
      </c>
      <c r="T67" s="4">
        <v>7517.0</v>
      </c>
      <c r="U67" s="4">
        <v>16192.0</v>
      </c>
      <c r="V67" s="4">
        <v>12120.0</v>
      </c>
      <c r="W67" s="4">
        <v>0.0</v>
      </c>
      <c r="X67" s="4">
        <v>2137.0</v>
      </c>
      <c r="Y67" s="4">
        <v>4178.0</v>
      </c>
      <c r="AA67" s="4">
        <v>10845.0</v>
      </c>
      <c r="AB67" s="4">
        <v>61071.0</v>
      </c>
      <c r="AC67" s="4">
        <v>0.0</v>
      </c>
      <c r="AD67" s="4">
        <v>0.25061366944133245</v>
      </c>
      <c r="AI67" s="4">
        <v>1000.0</v>
      </c>
      <c r="AJ67" s="4">
        <v>0.0</v>
      </c>
      <c r="AK67" s="4">
        <v>0.0</v>
      </c>
      <c r="AL67" s="4">
        <v>10.0</v>
      </c>
      <c r="AM67" s="1" t="s">
        <v>1520</v>
      </c>
      <c r="AN67" s="4">
        <v>2.0</v>
      </c>
      <c r="AO67" s="4">
        <v>147.0</v>
      </c>
      <c r="AP67" s="4">
        <v>31.0</v>
      </c>
      <c r="AQ67" s="4">
        <v>5.0</v>
      </c>
      <c r="AR67" s="4">
        <v>4.0</v>
      </c>
      <c r="AS67" s="4">
        <v>0.3225806451612903</v>
      </c>
      <c r="AT67" s="4">
        <v>4.0</v>
      </c>
      <c r="AU67" s="4">
        <v>0.6774193548387097</v>
      </c>
      <c r="AV67" s="4">
        <v>0.12903225806451613</v>
      </c>
    </row>
    <row r="68">
      <c r="A68" s="2">
        <v>45515.0</v>
      </c>
      <c r="B68" s="1" t="s">
        <v>67</v>
      </c>
      <c r="C68" s="1" t="s">
        <v>438</v>
      </c>
      <c r="D68" s="3" t="s">
        <v>41</v>
      </c>
      <c r="E68" s="3" t="s">
        <v>45</v>
      </c>
      <c r="G68" s="3" t="s">
        <v>53</v>
      </c>
    </row>
    <row r="69">
      <c r="A69" s="2">
        <v>45515.0</v>
      </c>
      <c r="B69" s="1" t="s">
        <v>67</v>
      </c>
      <c r="C69" s="1" t="s">
        <v>1479</v>
      </c>
      <c r="D69" s="3" t="s">
        <v>45</v>
      </c>
      <c r="E69" s="3" t="s">
        <v>57</v>
      </c>
      <c r="G69" s="3" t="s">
        <v>53</v>
      </c>
    </row>
    <row r="70">
      <c r="A70" s="2">
        <v>45515.0</v>
      </c>
      <c r="B70" s="1" t="s">
        <v>67</v>
      </c>
      <c r="C70" s="1" t="s">
        <v>1490</v>
      </c>
      <c r="D70" s="3" t="s">
        <v>45</v>
      </c>
      <c r="E70" s="3" t="s">
        <v>57</v>
      </c>
      <c r="G70" s="3" t="s">
        <v>53</v>
      </c>
    </row>
    <row r="71">
      <c r="A71" s="2">
        <v>45515.0</v>
      </c>
      <c r="B71" s="1" t="s">
        <v>67</v>
      </c>
      <c r="C71" s="1"/>
      <c r="D71" s="1"/>
      <c r="E71" s="1"/>
      <c r="G71" s="1"/>
      <c r="H71" s="1" t="s">
        <v>1182</v>
      </c>
      <c r="I71" s="3" t="s">
        <v>45</v>
      </c>
      <c r="J71" s="3" t="s">
        <v>1480</v>
      </c>
      <c r="L71" s="3" t="s">
        <v>1504</v>
      </c>
      <c r="M71" s="4">
        <v>6.0</v>
      </c>
      <c r="N71" s="1" t="b">
        <v>1</v>
      </c>
      <c r="O71" s="4">
        <v>240.0</v>
      </c>
    </row>
    <row r="72">
      <c r="A72" s="2">
        <v>45515.0</v>
      </c>
      <c r="B72" s="1" t="s">
        <v>67</v>
      </c>
      <c r="C72" s="1"/>
      <c r="D72" s="1"/>
      <c r="E72" s="1"/>
      <c r="G72" s="1"/>
      <c r="H72" s="1" t="s">
        <v>298</v>
      </c>
      <c r="I72" s="3" t="s">
        <v>63</v>
      </c>
      <c r="J72" s="3" t="s">
        <v>70</v>
      </c>
      <c r="L72" s="3" t="s">
        <v>53</v>
      </c>
      <c r="M72" s="4">
        <v>4.0</v>
      </c>
    </row>
    <row r="73">
      <c r="A73" s="2">
        <v>45515.0</v>
      </c>
      <c r="B73" s="1" t="s">
        <v>67</v>
      </c>
      <c r="C73" s="1"/>
      <c r="D73" s="1"/>
      <c r="E73" s="1"/>
      <c r="G73" s="1"/>
      <c r="H73" s="1" t="s">
        <v>1493</v>
      </c>
      <c r="I73" s="3" t="s">
        <v>1496</v>
      </c>
      <c r="J73" s="3" t="s">
        <v>1487</v>
      </c>
      <c r="L73" s="3" t="s">
        <v>1519</v>
      </c>
      <c r="M73" s="4">
        <v>19.0</v>
      </c>
      <c r="N73" s="1" t="b">
        <v>1</v>
      </c>
      <c r="O73" s="4">
        <v>760.0</v>
      </c>
    </row>
    <row r="74">
      <c r="A74" s="2">
        <v>45515.0</v>
      </c>
      <c r="B74" s="1" t="s">
        <v>67</v>
      </c>
      <c r="C74" s="1"/>
      <c r="D74" s="1"/>
      <c r="E74" s="1"/>
      <c r="G74" s="1"/>
      <c r="P74" s="4">
        <v>8.0</v>
      </c>
      <c r="Q74" s="1" t="s">
        <v>438</v>
      </c>
      <c r="R74" s="1" t="s">
        <v>1479</v>
      </c>
      <c r="S74" s="4">
        <v>3033.0</v>
      </c>
      <c r="T74" s="4">
        <v>5022.0</v>
      </c>
      <c r="U74" s="4">
        <v>7563.0</v>
      </c>
      <c r="V74" s="4">
        <v>15790.0</v>
      </c>
      <c r="W74" s="4">
        <v>299.0</v>
      </c>
      <c r="X74" s="4">
        <v>1052.0</v>
      </c>
      <c r="Y74" s="4">
        <v>4058.0</v>
      </c>
      <c r="AA74" s="4">
        <v>4600.0</v>
      </c>
      <c r="AB74" s="4">
        <v>41762.5</v>
      </c>
      <c r="AC74" s="4">
        <v>2.5</v>
      </c>
      <c r="AD74" s="4">
        <v>0.38250279189348374</v>
      </c>
      <c r="AE74" s="4">
        <v>400.0</v>
      </c>
      <c r="AI74" s="4">
        <v>1000.0</v>
      </c>
      <c r="AJ74" s="4">
        <v>1.0</v>
      </c>
      <c r="AK74" s="4">
        <v>557.0</v>
      </c>
      <c r="AL74" s="4">
        <v>11.0</v>
      </c>
      <c r="AM74" s="1" t="s">
        <v>1521</v>
      </c>
      <c r="AN74" s="4">
        <v>2.0</v>
      </c>
      <c r="AO74" s="4">
        <v>106.0</v>
      </c>
      <c r="AP74" s="4">
        <v>37.0</v>
      </c>
      <c r="AQ74" s="4">
        <v>7.0</v>
      </c>
      <c r="AR74" s="4">
        <v>4.0</v>
      </c>
      <c r="AS74" s="4">
        <v>0.2972972972972973</v>
      </c>
      <c r="AT74" s="4">
        <v>4.0</v>
      </c>
      <c r="AU74" s="4">
        <v>0.7027027027027026</v>
      </c>
      <c r="AV74" s="4">
        <v>0.10810810810810811</v>
      </c>
    </row>
    <row r="75">
      <c r="A75" s="2">
        <v>45516.0</v>
      </c>
      <c r="B75" s="1" t="s">
        <v>69</v>
      </c>
      <c r="C75" s="1" t="s">
        <v>1479</v>
      </c>
      <c r="D75" s="3" t="s">
        <v>1522</v>
      </c>
      <c r="E75" s="3" t="s">
        <v>57</v>
      </c>
      <c r="G75" s="3" t="s">
        <v>1498</v>
      </c>
    </row>
    <row r="76">
      <c r="A76" s="2">
        <v>45516.0</v>
      </c>
      <c r="B76" s="1" t="s">
        <v>69</v>
      </c>
      <c r="C76" s="1" t="s">
        <v>361</v>
      </c>
      <c r="D76" s="3" t="s">
        <v>1512</v>
      </c>
      <c r="E76" s="3" t="s">
        <v>57</v>
      </c>
      <c r="G76" s="3" t="s">
        <v>1502</v>
      </c>
    </row>
    <row r="77">
      <c r="A77" s="2">
        <v>45516.0</v>
      </c>
      <c r="B77" s="1" t="s">
        <v>69</v>
      </c>
      <c r="C77" s="1"/>
      <c r="D77" s="1"/>
      <c r="E77" s="1"/>
      <c r="G77" s="1"/>
      <c r="H77" s="1" t="s">
        <v>1495</v>
      </c>
      <c r="I77" s="3" t="s">
        <v>45</v>
      </c>
      <c r="J77" s="3" t="s">
        <v>56</v>
      </c>
      <c r="L77" s="3" t="s">
        <v>1507</v>
      </c>
      <c r="M77" s="4">
        <v>11.0</v>
      </c>
      <c r="N77" s="1" t="b">
        <v>1</v>
      </c>
      <c r="O77" s="4">
        <v>440.0</v>
      </c>
    </row>
    <row r="78">
      <c r="A78" s="2">
        <v>45516.0</v>
      </c>
      <c r="B78" s="1" t="s">
        <v>69</v>
      </c>
      <c r="C78" s="1"/>
      <c r="D78" s="1"/>
      <c r="E78" s="1"/>
      <c r="G78" s="1"/>
      <c r="H78" s="1" t="s">
        <v>298</v>
      </c>
      <c r="I78" s="3" t="s">
        <v>63</v>
      </c>
      <c r="J78" s="3" t="s">
        <v>1512</v>
      </c>
      <c r="L78" s="3" t="s">
        <v>47</v>
      </c>
      <c r="M78" s="4">
        <v>4.0</v>
      </c>
    </row>
    <row r="79">
      <c r="A79" s="2">
        <v>45516.0</v>
      </c>
      <c r="B79" s="1" t="s">
        <v>69</v>
      </c>
      <c r="C79" s="1"/>
      <c r="D79" s="1"/>
      <c r="E79" s="1"/>
      <c r="G79" s="1"/>
      <c r="H79" s="1" t="s">
        <v>1486</v>
      </c>
      <c r="I79" s="3" t="s">
        <v>1506</v>
      </c>
      <c r="J79" s="3" t="s">
        <v>1487</v>
      </c>
      <c r="L79" s="3" t="s">
        <v>1507</v>
      </c>
    </row>
    <row r="80">
      <c r="A80" s="2">
        <v>45516.0</v>
      </c>
      <c r="B80" s="1" t="s">
        <v>69</v>
      </c>
      <c r="C80" s="1"/>
      <c r="D80" s="1"/>
      <c r="E80" s="1"/>
      <c r="G80" s="1"/>
      <c r="P80" s="4">
        <v>4.0</v>
      </c>
      <c r="Q80" s="1" t="s">
        <v>438</v>
      </c>
      <c r="R80" s="1" t="s">
        <v>1479</v>
      </c>
      <c r="S80" s="4">
        <v>4757.0</v>
      </c>
      <c r="T80" s="4">
        <v>6406.0</v>
      </c>
      <c r="U80" s="4">
        <v>10842.0</v>
      </c>
      <c r="V80" s="4">
        <v>10633.0</v>
      </c>
      <c r="W80" s="4">
        <v>0.0</v>
      </c>
      <c r="X80" s="4">
        <v>2592.0</v>
      </c>
      <c r="Y80" s="4">
        <v>3523.0</v>
      </c>
      <c r="AA80" s="4">
        <v>120.0</v>
      </c>
      <c r="AB80" s="4">
        <v>42461.0</v>
      </c>
      <c r="AC80" s="4">
        <v>-40.0</v>
      </c>
      <c r="AD80" s="4">
        <v>0.3706484022150117</v>
      </c>
      <c r="AE80" s="4">
        <v>600.0</v>
      </c>
      <c r="AG80" s="4">
        <v>5100.0</v>
      </c>
      <c r="AI80" s="4">
        <v>440.0</v>
      </c>
      <c r="AJ80" s="4">
        <v>2.0</v>
      </c>
      <c r="AK80" s="4">
        <v>535.0</v>
      </c>
      <c r="AL80" s="4">
        <v>6.0</v>
      </c>
      <c r="AM80" s="1" t="s">
        <v>1523</v>
      </c>
      <c r="AN80" s="4">
        <v>1.0</v>
      </c>
      <c r="AO80" s="4">
        <v>118.0</v>
      </c>
      <c r="AP80" s="4">
        <v>19.0</v>
      </c>
      <c r="AQ80" s="4">
        <v>4.0</v>
      </c>
      <c r="AR80" s="4">
        <v>2.0</v>
      </c>
      <c r="AS80" s="4">
        <v>0.3157894736842105</v>
      </c>
      <c r="AT80" s="4">
        <v>2.0</v>
      </c>
      <c r="AU80" s="4">
        <v>0.6842105263157895</v>
      </c>
      <c r="AV80" s="4">
        <v>0.10526315789473684</v>
      </c>
    </row>
    <row r="81">
      <c r="A81" s="2">
        <v>45517.0</v>
      </c>
      <c r="B81" s="1" t="s">
        <v>61</v>
      </c>
      <c r="C81" s="1" t="s">
        <v>1508</v>
      </c>
      <c r="D81" s="3" t="s">
        <v>41</v>
      </c>
      <c r="E81" s="3" t="s">
        <v>1506</v>
      </c>
      <c r="G81" s="3" t="s">
        <v>1507</v>
      </c>
    </row>
    <row r="82">
      <c r="A82" s="2">
        <v>45517.0</v>
      </c>
      <c r="B82" s="1" t="s">
        <v>61</v>
      </c>
      <c r="C82" s="1" t="s">
        <v>1479</v>
      </c>
      <c r="D82" s="3" t="s">
        <v>1522</v>
      </c>
      <c r="E82" s="3" t="s">
        <v>57</v>
      </c>
      <c r="G82" s="3" t="s">
        <v>1498</v>
      </c>
    </row>
    <row r="83">
      <c r="A83" s="2">
        <v>45517.0</v>
      </c>
      <c r="B83" s="1" t="s">
        <v>61</v>
      </c>
      <c r="C83" s="1" t="s">
        <v>361</v>
      </c>
      <c r="D83" s="3" t="s">
        <v>1512</v>
      </c>
      <c r="E83" s="3" t="s">
        <v>1487</v>
      </c>
      <c r="G83" s="3" t="s">
        <v>64</v>
      </c>
    </row>
    <row r="84">
      <c r="A84" s="2">
        <v>45517.0</v>
      </c>
      <c r="B84" s="1" t="s">
        <v>61</v>
      </c>
      <c r="C84" s="1"/>
      <c r="D84" s="1"/>
      <c r="E84" s="1"/>
      <c r="G84" s="1"/>
      <c r="H84" s="1" t="s">
        <v>298</v>
      </c>
      <c r="I84" s="3" t="s">
        <v>63</v>
      </c>
      <c r="J84" s="3" t="s">
        <v>70</v>
      </c>
      <c r="L84" s="3" t="s">
        <v>53</v>
      </c>
      <c r="M84" s="4">
        <v>7.0</v>
      </c>
    </row>
    <row r="85">
      <c r="A85" s="2">
        <v>45517.0</v>
      </c>
      <c r="B85" s="1" t="s">
        <v>61</v>
      </c>
      <c r="C85" s="1"/>
      <c r="D85" s="1"/>
      <c r="E85" s="1"/>
      <c r="G85" s="1"/>
      <c r="H85" s="1" t="s">
        <v>466</v>
      </c>
      <c r="I85" s="3" t="s">
        <v>70</v>
      </c>
      <c r="J85" s="3" t="s">
        <v>1487</v>
      </c>
      <c r="L85" s="3" t="s">
        <v>53</v>
      </c>
      <c r="M85" s="4">
        <v>15.0</v>
      </c>
      <c r="N85" s="1" t="b">
        <v>1</v>
      </c>
      <c r="O85" s="4">
        <v>600.0</v>
      </c>
    </row>
    <row r="86">
      <c r="A86" s="2">
        <v>45517.0</v>
      </c>
      <c r="B86" s="1" t="s">
        <v>61</v>
      </c>
      <c r="C86" s="1"/>
      <c r="D86" s="1"/>
      <c r="E86" s="1"/>
      <c r="G86" s="1"/>
      <c r="P86" s="4">
        <v>6.0</v>
      </c>
      <c r="Q86" s="1" t="s">
        <v>1508</v>
      </c>
      <c r="R86" s="1" t="s">
        <v>1479</v>
      </c>
      <c r="S86" s="4">
        <v>4564.0</v>
      </c>
      <c r="T86" s="4">
        <v>3676.0</v>
      </c>
      <c r="U86" s="4">
        <v>7981.0</v>
      </c>
      <c r="V86" s="4">
        <v>12832.0</v>
      </c>
      <c r="W86" s="4">
        <v>706.0</v>
      </c>
      <c r="X86" s="4">
        <v>2387.0</v>
      </c>
      <c r="Y86" s="4">
        <v>3181.0</v>
      </c>
      <c r="AA86" s="4">
        <v>1310.0</v>
      </c>
      <c r="AB86" s="4">
        <v>37568.5</v>
      </c>
      <c r="AC86" s="4">
        <v>3.5</v>
      </c>
      <c r="AD86" s="4">
        <v>0.4605856599665042</v>
      </c>
      <c r="AE86" s="4">
        <v>2000.0</v>
      </c>
      <c r="AG86" s="4">
        <v>722.0</v>
      </c>
      <c r="AI86" s="4">
        <v>600.0</v>
      </c>
      <c r="AJ86" s="4">
        <v>1.0</v>
      </c>
      <c r="AK86" s="4">
        <v>364.0</v>
      </c>
      <c r="AL86" s="4">
        <v>3.0</v>
      </c>
      <c r="AM86" s="1" t="s">
        <v>1524</v>
      </c>
      <c r="AN86" s="4">
        <v>1.0</v>
      </c>
      <c r="AO86" s="4">
        <v>104.0</v>
      </c>
      <c r="AP86" s="4">
        <v>28.0</v>
      </c>
      <c r="AQ86" s="4">
        <v>5.0</v>
      </c>
      <c r="AR86" s="4">
        <v>2.0</v>
      </c>
      <c r="AS86" s="4">
        <v>0.10714285714285714</v>
      </c>
      <c r="AT86" s="4">
        <v>2.0</v>
      </c>
      <c r="AU86" s="4">
        <v>0.8928571428571429</v>
      </c>
      <c r="AV86" s="4">
        <v>0.07142857142857142</v>
      </c>
    </row>
    <row r="87">
      <c r="A87" s="2">
        <v>45518.0</v>
      </c>
      <c r="B87" s="1" t="s">
        <v>73</v>
      </c>
      <c r="C87" s="1" t="s">
        <v>1490</v>
      </c>
      <c r="D87" s="3" t="s">
        <v>41</v>
      </c>
      <c r="E87" s="3" t="s">
        <v>1487</v>
      </c>
      <c r="G87" s="3" t="s">
        <v>1489</v>
      </c>
    </row>
    <row r="88">
      <c r="A88" s="2">
        <v>45518.0</v>
      </c>
      <c r="B88" s="1" t="s">
        <v>73</v>
      </c>
      <c r="C88" s="1" t="s">
        <v>361</v>
      </c>
      <c r="D88" s="3" t="s">
        <v>62</v>
      </c>
      <c r="E88" s="3" t="s">
        <v>1487</v>
      </c>
      <c r="G88" s="3" t="s">
        <v>1502</v>
      </c>
    </row>
    <row r="89">
      <c r="A89" s="2">
        <v>45518.0</v>
      </c>
      <c r="B89" s="1" t="s">
        <v>73</v>
      </c>
      <c r="C89" s="1"/>
      <c r="D89" s="1"/>
      <c r="E89" s="1"/>
      <c r="G89" s="1"/>
      <c r="H89" s="1" t="s">
        <v>1503</v>
      </c>
      <c r="I89" s="3" t="s">
        <v>45</v>
      </c>
      <c r="J89" s="3" t="s">
        <v>1480</v>
      </c>
      <c r="L89" s="3" t="s">
        <v>1504</v>
      </c>
      <c r="M89" s="4">
        <v>4.0</v>
      </c>
      <c r="N89" s="1" t="b">
        <v>1</v>
      </c>
      <c r="O89" s="4">
        <v>160.0</v>
      </c>
    </row>
    <row r="90">
      <c r="A90" s="2">
        <v>45518.0</v>
      </c>
      <c r="B90" s="1" t="s">
        <v>73</v>
      </c>
      <c r="C90" s="1"/>
      <c r="D90" s="1"/>
      <c r="E90" s="1"/>
      <c r="G90" s="1"/>
      <c r="H90" s="1" t="s">
        <v>298</v>
      </c>
      <c r="I90" s="3" t="s">
        <v>63</v>
      </c>
      <c r="J90" s="3" t="s">
        <v>1512</v>
      </c>
      <c r="L90" s="3" t="s">
        <v>47</v>
      </c>
      <c r="M90" s="4">
        <v>7.0</v>
      </c>
    </row>
    <row r="91">
      <c r="A91" s="2">
        <v>45518.0</v>
      </c>
      <c r="B91" s="1" t="s">
        <v>73</v>
      </c>
      <c r="C91" s="1"/>
      <c r="D91" s="1"/>
      <c r="E91" s="1"/>
      <c r="G91" s="1"/>
      <c r="H91" s="1" t="s">
        <v>1495</v>
      </c>
      <c r="I91" s="3" t="s">
        <v>45</v>
      </c>
      <c r="J91" s="3" t="s">
        <v>1487</v>
      </c>
      <c r="L91" s="3" t="s">
        <v>47</v>
      </c>
      <c r="M91" s="4">
        <v>6.0</v>
      </c>
      <c r="N91" s="1" t="b">
        <v>1</v>
      </c>
      <c r="O91" s="4">
        <v>240.0</v>
      </c>
    </row>
    <row r="92">
      <c r="A92" s="2">
        <v>45518.0</v>
      </c>
      <c r="B92" s="1" t="s">
        <v>73</v>
      </c>
      <c r="C92" s="1"/>
      <c r="D92" s="1"/>
      <c r="E92" s="1"/>
      <c r="G92" s="1"/>
      <c r="P92" s="4">
        <v>3.0</v>
      </c>
      <c r="Q92" s="1" t="s">
        <v>1490</v>
      </c>
      <c r="R92" s="1" t="s">
        <v>1490</v>
      </c>
      <c r="S92" s="4">
        <v>4707.0</v>
      </c>
      <c r="T92" s="4">
        <v>5117.0</v>
      </c>
      <c r="U92" s="4">
        <v>13153.0</v>
      </c>
      <c r="V92" s="4">
        <v>8240.0</v>
      </c>
      <c r="W92" s="4">
        <v>547.0</v>
      </c>
      <c r="X92" s="4">
        <v>2181.0</v>
      </c>
      <c r="Y92" s="4">
        <v>4129.0</v>
      </c>
      <c r="Z92" s="4">
        <v>480.0</v>
      </c>
      <c r="AA92" s="4">
        <v>3201.0</v>
      </c>
      <c r="AB92" s="4">
        <v>40571.0</v>
      </c>
      <c r="AC92" s="4">
        <v>0.0</v>
      </c>
      <c r="AD92" s="4">
        <v>0.39211626547168205</v>
      </c>
      <c r="AG92" s="4">
        <v>597.0</v>
      </c>
      <c r="AI92" s="4">
        <v>400.0</v>
      </c>
      <c r="AJ92" s="4">
        <v>1.0</v>
      </c>
      <c r="AK92" s="4">
        <v>718.0</v>
      </c>
      <c r="AL92" s="4">
        <v>2.0</v>
      </c>
      <c r="AM92" s="1" t="s">
        <v>1525</v>
      </c>
      <c r="AN92" s="4">
        <v>2.0</v>
      </c>
      <c r="AO92" s="4">
        <v>110.0</v>
      </c>
      <c r="AP92" s="4">
        <v>19.0</v>
      </c>
      <c r="AQ92" s="4">
        <v>3.0</v>
      </c>
      <c r="AR92" s="4">
        <v>2.0</v>
      </c>
      <c r="AS92" s="4">
        <v>0.10526315789473684</v>
      </c>
      <c r="AT92" s="4">
        <v>2.0</v>
      </c>
      <c r="AU92" s="4">
        <v>0.8947368421052632</v>
      </c>
      <c r="AV92" s="4">
        <v>0.10526315789473684</v>
      </c>
    </row>
    <row r="93">
      <c r="A93" s="2">
        <v>45519.0</v>
      </c>
      <c r="B93" s="1" t="s">
        <v>1478</v>
      </c>
      <c r="C93" s="1" t="s">
        <v>51</v>
      </c>
      <c r="D93" s="3" t="s">
        <v>41</v>
      </c>
      <c r="E93" s="3" t="s">
        <v>42</v>
      </c>
      <c r="G93" s="3" t="s">
        <v>43</v>
      </c>
    </row>
    <row r="94">
      <c r="A94" s="2">
        <v>45519.0</v>
      </c>
      <c r="B94" s="1" t="s">
        <v>1478</v>
      </c>
      <c r="C94" s="1" t="s">
        <v>1490</v>
      </c>
      <c r="D94" s="3" t="s">
        <v>45</v>
      </c>
      <c r="E94" s="3" t="s">
        <v>1487</v>
      </c>
      <c r="G94" s="3" t="s">
        <v>47</v>
      </c>
    </row>
    <row r="95">
      <c r="A95" s="2">
        <v>45519.0</v>
      </c>
      <c r="B95" s="1" t="s">
        <v>1478</v>
      </c>
      <c r="C95" s="1"/>
      <c r="D95" s="1"/>
      <c r="E95" s="1"/>
      <c r="G95" s="1"/>
      <c r="H95" s="1" t="s">
        <v>1503</v>
      </c>
      <c r="I95" s="3" t="s">
        <v>45</v>
      </c>
      <c r="J95" s="3" t="s">
        <v>42</v>
      </c>
      <c r="L95" s="3" t="s">
        <v>1502</v>
      </c>
      <c r="M95" s="4">
        <v>8.0</v>
      </c>
      <c r="N95" s="1" t="b">
        <v>1</v>
      </c>
      <c r="O95" s="4">
        <v>320.0</v>
      </c>
    </row>
    <row r="96">
      <c r="A96" s="2">
        <v>45519.0</v>
      </c>
      <c r="B96" s="1" t="s">
        <v>1478</v>
      </c>
      <c r="C96" s="1"/>
      <c r="D96" s="1"/>
      <c r="E96" s="1"/>
      <c r="G96" s="1"/>
      <c r="H96" s="1" t="s">
        <v>1486</v>
      </c>
      <c r="I96" s="3" t="s">
        <v>63</v>
      </c>
      <c r="J96" s="3" t="s">
        <v>1489</v>
      </c>
      <c r="L96" s="3" t="s">
        <v>1504</v>
      </c>
      <c r="M96" s="4">
        <v>4.0</v>
      </c>
      <c r="N96" s="1" t="b">
        <v>1</v>
      </c>
      <c r="O96" s="4">
        <v>160.0</v>
      </c>
    </row>
    <row r="97">
      <c r="A97" s="2">
        <v>45519.0</v>
      </c>
      <c r="B97" s="1" t="s">
        <v>1478</v>
      </c>
      <c r="C97" s="1"/>
      <c r="D97" s="1"/>
      <c r="E97" s="1"/>
      <c r="G97" s="1"/>
      <c r="H97" s="1" t="s">
        <v>417</v>
      </c>
      <c r="I97" s="3" t="s">
        <v>70</v>
      </c>
      <c r="J97" s="3" t="s">
        <v>1487</v>
      </c>
      <c r="L97" s="3" t="s">
        <v>53</v>
      </c>
      <c r="M97" s="4">
        <v>11.0</v>
      </c>
      <c r="N97" s="1" t="b">
        <v>1</v>
      </c>
      <c r="O97" s="4">
        <v>440.0</v>
      </c>
    </row>
    <row r="98">
      <c r="A98" s="2">
        <v>45519.0</v>
      </c>
      <c r="B98" s="1" t="s">
        <v>1478</v>
      </c>
      <c r="C98" s="1"/>
      <c r="D98" s="1"/>
      <c r="E98" s="1"/>
      <c r="G98" s="1"/>
      <c r="P98" s="4">
        <v>5.0</v>
      </c>
      <c r="Q98" s="1" t="s">
        <v>51</v>
      </c>
      <c r="R98" s="1" t="s">
        <v>1490</v>
      </c>
      <c r="S98" s="4">
        <v>6648.0</v>
      </c>
      <c r="T98" s="4">
        <v>7042.0</v>
      </c>
      <c r="U98" s="4">
        <v>8325.0</v>
      </c>
      <c r="V98" s="4">
        <v>10209.0</v>
      </c>
      <c r="W98" s="4">
        <v>250.0</v>
      </c>
      <c r="X98" s="4">
        <v>2491.0</v>
      </c>
      <c r="Y98" s="4">
        <v>5083.0</v>
      </c>
      <c r="AA98" s="4">
        <v>3670.0</v>
      </c>
      <c r="AB98" s="4">
        <v>42248.5</v>
      </c>
      <c r="AC98" s="4">
        <v>-36.5</v>
      </c>
      <c r="AD98" s="4">
        <v>0.2879202482088503</v>
      </c>
      <c r="AH98" s="4">
        <v>65.0</v>
      </c>
      <c r="AI98" s="4">
        <v>920.0</v>
      </c>
      <c r="AJ98" s="4">
        <v>0.0</v>
      </c>
      <c r="AK98" s="4">
        <v>0.0</v>
      </c>
      <c r="AL98" s="4">
        <v>3.0</v>
      </c>
      <c r="AM98" s="1" t="s">
        <v>1526</v>
      </c>
      <c r="AN98" s="4">
        <v>3.0</v>
      </c>
      <c r="AO98" s="4">
        <v>113.0</v>
      </c>
      <c r="AP98" s="4">
        <v>29.0</v>
      </c>
      <c r="AQ98" s="4">
        <v>3.0</v>
      </c>
      <c r="AR98" s="4">
        <v>1.0</v>
      </c>
      <c r="AS98" s="4">
        <v>0.10344827586206896</v>
      </c>
      <c r="AT98" s="4">
        <v>1.0</v>
      </c>
      <c r="AU98" s="4">
        <v>0.896551724137931</v>
      </c>
      <c r="AV98" s="4">
        <v>0.034482758620689655</v>
      </c>
    </row>
    <row r="99">
      <c r="A99" s="2">
        <v>45520.0</v>
      </c>
      <c r="B99" s="1" t="s">
        <v>39</v>
      </c>
      <c r="C99" s="1" t="s">
        <v>51</v>
      </c>
      <c r="D99" s="3" t="s">
        <v>41</v>
      </c>
      <c r="E99" s="3" t="s">
        <v>1501</v>
      </c>
      <c r="G99" s="3" t="s">
        <v>64</v>
      </c>
    </row>
    <row r="100">
      <c r="A100" s="2">
        <v>45520.0</v>
      </c>
      <c r="B100" s="1" t="s">
        <v>39</v>
      </c>
      <c r="C100" s="1" t="s">
        <v>1479</v>
      </c>
      <c r="D100" s="3" t="s">
        <v>45</v>
      </c>
      <c r="E100" s="3" t="s">
        <v>1527</v>
      </c>
      <c r="G100" s="3" t="s">
        <v>1528</v>
      </c>
    </row>
    <row r="101">
      <c r="A101" s="2">
        <v>45520.0</v>
      </c>
      <c r="B101" s="1" t="s">
        <v>39</v>
      </c>
      <c r="C101" s="1" t="s">
        <v>1490</v>
      </c>
      <c r="D101" s="3" t="s">
        <v>1501</v>
      </c>
      <c r="E101" s="3" t="s">
        <v>1485</v>
      </c>
      <c r="G101" s="3" t="s">
        <v>63</v>
      </c>
    </row>
    <row r="102">
      <c r="A102" s="2">
        <v>45520.0</v>
      </c>
      <c r="B102" s="1" t="s">
        <v>39</v>
      </c>
      <c r="C102" s="1"/>
      <c r="D102" s="1"/>
      <c r="E102" s="1"/>
      <c r="G102" s="1"/>
      <c r="H102" s="1" t="s">
        <v>1503</v>
      </c>
      <c r="I102" s="3" t="s">
        <v>45</v>
      </c>
      <c r="J102" s="3" t="s">
        <v>42</v>
      </c>
      <c r="L102" s="3" t="s">
        <v>1502</v>
      </c>
      <c r="M102" s="4">
        <v>6.0</v>
      </c>
      <c r="N102" s="1" t="b">
        <v>1</v>
      </c>
      <c r="O102" s="4">
        <v>240.0</v>
      </c>
    </row>
    <row r="103">
      <c r="A103" s="2">
        <v>45520.0</v>
      </c>
      <c r="B103" s="1" t="s">
        <v>39</v>
      </c>
      <c r="C103" s="1"/>
      <c r="D103" s="1"/>
      <c r="E103" s="1"/>
      <c r="G103" s="1"/>
      <c r="H103" s="1" t="s">
        <v>298</v>
      </c>
      <c r="I103" s="3" t="s">
        <v>63</v>
      </c>
      <c r="J103" s="3" t="s">
        <v>70</v>
      </c>
      <c r="L103" s="3" t="s">
        <v>53</v>
      </c>
    </row>
    <row r="104">
      <c r="A104" s="2">
        <v>45520.0</v>
      </c>
      <c r="B104" s="1" t="s">
        <v>39</v>
      </c>
      <c r="C104" s="1"/>
      <c r="D104" s="1"/>
      <c r="E104" s="1"/>
      <c r="G104" s="1"/>
      <c r="H104" s="1" t="s">
        <v>1495</v>
      </c>
      <c r="I104" s="3" t="s">
        <v>1501</v>
      </c>
      <c r="J104" s="3" t="s">
        <v>1487</v>
      </c>
      <c r="L104" s="3" t="s">
        <v>1528</v>
      </c>
      <c r="M104" s="4">
        <v>10.0</v>
      </c>
      <c r="N104" s="1" t="b">
        <v>1</v>
      </c>
      <c r="O104" s="4">
        <v>400.0</v>
      </c>
    </row>
    <row r="105">
      <c r="A105" s="2">
        <v>45520.0</v>
      </c>
      <c r="B105" s="1" t="s">
        <v>39</v>
      </c>
      <c r="C105" s="1"/>
      <c r="D105" s="1"/>
      <c r="E105" s="1"/>
      <c r="G105" s="1"/>
      <c r="H105" s="1" t="s">
        <v>846</v>
      </c>
      <c r="I105" s="3" t="s">
        <v>63</v>
      </c>
      <c r="J105" s="3" t="s">
        <v>70</v>
      </c>
      <c r="L105" s="3" t="s">
        <v>53</v>
      </c>
      <c r="M105" s="4">
        <v>8.0</v>
      </c>
      <c r="N105" s="1" t="b">
        <v>1</v>
      </c>
      <c r="O105" s="4">
        <v>320.0</v>
      </c>
    </row>
    <row r="106">
      <c r="A106" s="2">
        <v>45520.0</v>
      </c>
      <c r="B106" s="1" t="s">
        <v>39</v>
      </c>
      <c r="C106" s="1"/>
      <c r="D106" s="1"/>
      <c r="E106" s="1"/>
      <c r="G106" s="1"/>
      <c r="P106" s="4">
        <v>4.0</v>
      </c>
      <c r="Q106" s="1" t="s">
        <v>51</v>
      </c>
      <c r="R106" s="1" t="s">
        <v>1479</v>
      </c>
      <c r="S106" s="4">
        <v>9383.0</v>
      </c>
      <c r="T106" s="4">
        <v>7604.0</v>
      </c>
      <c r="U106" s="4">
        <v>19797.0</v>
      </c>
      <c r="V106" s="4">
        <v>14012.0</v>
      </c>
      <c r="W106" s="4">
        <v>537.0</v>
      </c>
      <c r="X106" s="4">
        <v>3938.0</v>
      </c>
      <c r="Y106" s="4">
        <v>4545.0</v>
      </c>
      <c r="AA106" s="4">
        <v>5960.0</v>
      </c>
      <c r="AB106" s="4">
        <v>63334.0</v>
      </c>
      <c r="AC106" s="4">
        <v>-36.0</v>
      </c>
      <c r="AD106" s="4">
        <v>0.3012832116470081</v>
      </c>
      <c r="AE106" s="4">
        <v>500.0</v>
      </c>
      <c r="AI106" s="4">
        <v>960.0</v>
      </c>
      <c r="AJ106" s="4">
        <v>1.0</v>
      </c>
      <c r="AK106" s="4">
        <v>592.0</v>
      </c>
      <c r="AL106" s="4">
        <v>6.0</v>
      </c>
      <c r="AM106" s="1" t="s">
        <v>1529</v>
      </c>
      <c r="AN106" s="4">
        <v>3.0</v>
      </c>
      <c r="AO106" s="4">
        <v>162.0</v>
      </c>
      <c r="AP106" s="4">
        <v>28.0</v>
      </c>
      <c r="AQ106" s="4">
        <v>4.0</v>
      </c>
      <c r="AR106" s="4">
        <v>3.0</v>
      </c>
      <c r="AS106" s="4">
        <v>0.21428571428571427</v>
      </c>
      <c r="AT106" s="4">
        <v>3.0</v>
      </c>
      <c r="AU106" s="4">
        <v>0.7857142857142857</v>
      </c>
      <c r="AV106" s="4">
        <v>0.10714285714285714</v>
      </c>
    </row>
    <row r="107">
      <c r="A107" s="2">
        <v>45521.0</v>
      </c>
      <c r="B107" s="1" t="s">
        <v>1500</v>
      </c>
      <c r="C107" s="1" t="s">
        <v>51</v>
      </c>
      <c r="D107" s="3" t="s">
        <v>41</v>
      </c>
      <c r="E107" s="3" t="s">
        <v>1485</v>
      </c>
      <c r="G107" s="3" t="s">
        <v>45</v>
      </c>
    </row>
    <row r="108">
      <c r="A108" s="2">
        <v>45521.0</v>
      </c>
      <c r="B108" s="1" t="s">
        <v>1500</v>
      </c>
      <c r="C108" s="1" t="s">
        <v>361</v>
      </c>
      <c r="D108" s="3" t="s">
        <v>70</v>
      </c>
      <c r="E108" s="3" t="s">
        <v>1487</v>
      </c>
      <c r="G108" s="3" t="s">
        <v>53</v>
      </c>
    </row>
    <row r="109">
      <c r="A109" s="2">
        <v>45521.0</v>
      </c>
      <c r="B109" s="1" t="s">
        <v>1500</v>
      </c>
      <c r="C109" s="1"/>
      <c r="D109" s="1"/>
      <c r="E109" s="1"/>
      <c r="G109" s="1"/>
      <c r="H109" s="1" t="s">
        <v>1182</v>
      </c>
      <c r="I109" s="3" t="s">
        <v>63</v>
      </c>
      <c r="J109" s="3" t="s">
        <v>62</v>
      </c>
      <c r="L109" s="3" t="s">
        <v>1528</v>
      </c>
      <c r="M109" s="4">
        <v>10.0</v>
      </c>
      <c r="N109" s="1" t="b">
        <v>1</v>
      </c>
      <c r="O109" s="4">
        <v>400.0</v>
      </c>
    </row>
    <row r="110">
      <c r="A110" s="2">
        <v>45521.0</v>
      </c>
      <c r="B110" s="1" t="s">
        <v>1500</v>
      </c>
      <c r="C110" s="1"/>
      <c r="D110" s="1"/>
      <c r="E110" s="1"/>
      <c r="G110" s="1"/>
      <c r="H110" s="1" t="s">
        <v>1530</v>
      </c>
      <c r="I110" s="3" t="s">
        <v>45</v>
      </c>
      <c r="J110" s="3" t="s">
        <v>1480</v>
      </c>
      <c r="L110" s="3" t="s">
        <v>1504</v>
      </c>
      <c r="M110" s="4">
        <v>7.0</v>
      </c>
      <c r="N110" s="1" t="b">
        <v>1</v>
      </c>
      <c r="O110" s="4">
        <v>280.0</v>
      </c>
    </row>
    <row r="111">
      <c r="A111" s="2">
        <v>45521.0</v>
      </c>
      <c r="B111" s="1" t="s">
        <v>1500</v>
      </c>
      <c r="C111" s="1"/>
      <c r="D111" s="1"/>
      <c r="E111" s="1"/>
      <c r="G111" s="1"/>
      <c r="H111" s="1" t="s">
        <v>1486</v>
      </c>
      <c r="I111" s="3" t="s">
        <v>45</v>
      </c>
      <c r="J111" s="3" t="s">
        <v>1487</v>
      </c>
      <c r="L111" s="3" t="s">
        <v>47</v>
      </c>
    </row>
    <row r="112">
      <c r="A112" s="2">
        <v>45521.0</v>
      </c>
      <c r="B112" s="1" t="s">
        <v>1500</v>
      </c>
      <c r="C112" s="1"/>
      <c r="D112" s="1"/>
      <c r="E112" s="1"/>
      <c r="G112" s="1"/>
      <c r="H112" s="1" t="s">
        <v>1531</v>
      </c>
      <c r="I112" s="3" t="s">
        <v>63</v>
      </c>
      <c r="J112" s="3" t="s">
        <v>1480</v>
      </c>
      <c r="L112" s="3" t="s">
        <v>41</v>
      </c>
      <c r="M112" s="4">
        <v>17.0</v>
      </c>
      <c r="N112" s="1" t="b">
        <v>1</v>
      </c>
      <c r="O112" s="4">
        <v>680.0</v>
      </c>
    </row>
    <row r="113">
      <c r="A113" s="2">
        <v>45521.0</v>
      </c>
      <c r="B113" s="1" t="s">
        <v>1500</v>
      </c>
      <c r="C113" s="1"/>
      <c r="D113" s="1"/>
      <c r="E113" s="1"/>
      <c r="G113" s="1"/>
      <c r="P113" s="4">
        <v>2.0</v>
      </c>
      <c r="Q113" s="1" t="s">
        <v>51</v>
      </c>
      <c r="R113" s="1" t="s">
        <v>51</v>
      </c>
      <c r="S113" s="4">
        <v>6781.0</v>
      </c>
      <c r="T113" s="4">
        <v>7204.0</v>
      </c>
      <c r="U113" s="4">
        <v>16349.0</v>
      </c>
      <c r="V113" s="4">
        <v>11762.0</v>
      </c>
      <c r="W113" s="4">
        <v>318.0</v>
      </c>
      <c r="X113" s="4">
        <v>1691.0</v>
      </c>
      <c r="Y113" s="4">
        <v>5302.0</v>
      </c>
      <c r="AA113" s="4">
        <v>6054.0</v>
      </c>
      <c r="AB113" s="4">
        <v>55170.0</v>
      </c>
      <c r="AC113" s="4">
        <v>-40.0</v>
      </c>
      <c r="AD113" s="4">
        <v>0.26971572460488696</v>
      </c>
      <c r="AI113" s="4">
        <v>1360.0</v>
      </c>
      <c r="AJ113" s="4">
        <v>0.0</v>
      </c>
      <c r="AK113" s="4">
        <v>0.0</v>
      </c>
      <c r="AL113" s="4">
        <v>2.0</v>
      </c>
      <c r="AM113" s="1" t="s">
        <v>1532</v>
      </c>
      <c r="AN113" s="4">
        <v>3.0</v>
      </c>
      <c r="AO113" s="4">
        <v>145.0</v>
      </c>
      <c r="AP113" s="4">
        <v>36.0</v>
      </c>
      <c r="AQ113" s="4">
        <v>1.0</v>
      </c>
      <c r="AR113" s="4">
        <v>1.0</v>
      </c>
      <c r="AS113" s="4">
        <v>0.05555555555555555</v>
      </c>
      <c r="AT113" s="4">
        <v>1.0</v>
      </c>
      <c r="AU113" s="4">
        <v>0.9444444444444444</v>
      </c>
      <c r="AV113" s="4">
        <v>0.027777777777777776</v>
      </c>
    </row>
    <row r="114">
      <c r="A114" s="2">
        <v>45522.0</v>
      </c>
      <c r="B114" s="1" t="s">
        <v>67</v>
      </c>
      <c r="C114" s="1" t="s">
        <v>51</v>
      </c>
      <c r="D114" s="3" t="s">
        <v>70</v>
      </c>
      <c r="E114" s="3" t="s">
        <v>1487</v>
      </c>
      <c r="G114" s="3" t="s">
        <v>53</v>
      </c>
    </row>
    <row r="115">
      <c r="A115" s="2">
        <v>45522.0</v>
      </c>
      <c r="B115" s="1" t="s">
        <v>67</v>
      </c>
      <c r="C115" s="1" t="s">
        <v>1508</v>
      </c>
      <c r="D115" s="3" t="s">
        <v>41</v>
      </c>
      <c r="E115" s="3" t="s">
        <v>1506</v>
      </c>
      <c r="G115" s="3" t="s">
        <v>1507</v>
      </c>
    </row>
    <row r="116">
      <c r="A116" s="2">
        <v>45522.0</v>
      </c>
      <c r="B116" s="1" t="s">
        <v>67</v>
      </c>
      <c r="C116" s="1"/>
      <c r="D116" s="1"/>
      <c r="E116" s="1"/>
      <c r="G116" s="1"/>
      <c r="H116" s="1" t="s">
        <v>1493</v>
      </c>
      <c r="I116" s="3" t="s">
        <v>45</v>
      </c>
      <c r="J116" s="3" t="s">
        <v>58</v>
      </c>
      <c r="L116" s="3" t="s">
        <v>1519</v>
      </c>
      <c r="M116" s="4">
        <v>11.0</v>
      </c>
      <c r="N116" s="1" t="b">
        <v>1</v>
      </c>
      <c r="O116" s="4">
        <v>440.0</v>
      </c>
    </row>
    <row r="117">
      <c r="A117" s="2">
        <v>45522.0</v>
      </c>
      <c r="B117" s="1" t="s">
        <v>67</v>
      </c>
      <c r="C117" s="1"/>
      <c r="D117" s="1"/>
      <c r="E117" s="1"/>
      <c r="G117" s="1"/>
      <c r="H117" s="1" t="s">
        <v>298</v>
      </c>
      <c r="I117" s="3" t="s">
        <v>63</v>
      </c>
      <c r="J117" s="3" t="s">
        <v>70</v>
      </c>
      <c r="L117" s="3" t="s">
        <v>53</v>
      </c>
      <c r="M117" s="4">
        <v>1.0</v>
      </c>
    </row>
    <row r="118">
      <c r="A118" s="2">
        <v>45522.0</v>
      </c>
      <c r="B118" s="1" t="s">
        <v>67</v>
      </c>
      <c r="C118" s="1"/>
      <c r="D118" s="1"/>
      <c r="E118" s="1"/>
      <c r="G118" s="1"/>
      <c r="H118" s="1" t="s">
        <v>1182</v>
      </c>
      <c r="I118" s="3" t="s">
        <v>45</v>
      </c>
      <c r="J118" s="3" t="s">
        <v>1533</v>
      </c>
      <c r="L118" s="3" t="s">
        <v>1517</v>
      </c>
      <c r="M118" s="4">
        <v>8.0</v>
      </c>
      <c r="N118" s="1" t="b">
        <v>1</v>
      </c>
      <c r="O118" s="4">
        <v>320.0</v>
      </c>
    </row>
    <row r="119">
      <c r="A119" s="2">
        <v>45522.0</v>
      </c>
      <c r="B119" s="1" t="s">
        <v>67</v>
      </c>
      <c r="C119" s="1"/>
      <c r="D119" s="1"/>
      <c r="E119" s="1"/>
      <c r="G119" s="1"/>
      <c r="H119" s="1" t="s">
        <v>1486</v>
      </c>
      <c r="I119" s="3" t="s">
        <v>70</v>
      </c>
      <c r="J119" s="3" t="s">
        <v>1487</v>
      </c>
      <c r="L119" s="3" t="s">
        <v>53</v>
      </c>
      <c r="N119" s="1" t="b">
        <v>1</v>
      </c>
    </row>
    <row r="120">
      <c r="A120" s="2">
        <v>45522.0</v>
      </c>
      <c r="B120" s="1" t="s">
        <v>67</v>
      </c>
      <c r="C120" s="1"/>
      <c r="D120" s="1"/>
      <c r="E120" s="1"/>
      <c r="G120" s="1"/>
      <c r="H120" s="1" t="s">
        <v>1495</v>
      </c>
      <c r="I120" s="3" t="s">
        <v>45</v>
      </c>
      <c r="J120" s="3" t="s">
        <v>42</v>
      </c>
      <c r="L120" s="3" t="s">
        <v>1502</v>
      </c>
      <c r="M120" s="4">
        <v>10.0</v>
      </c>
      <c r="N120" s="1" t="b">
        <v>1</v>
      </c>
      <c r="O120" s="4">
        <v>400.0</v>
      </c>
    </row>
    <row r="121">
      <c r="A121" s="2">
        <v>45522.0</v>
      </c>
      <c r="B121" s="1" t="s">
        <v>67</v>
      </c>
      <c r="C121" s="1"/>
      <c r="D121" s="1"/>
      <c r="E121" s="1"/>
      <c r="G121" s="1"/>
      <c r="P121" s="4">
        <v>12.0</v>
      </c>
      <c r="Q121" s="1" t="s">
        <v>51</v>
      </c>
      <c r="R121" s="1" t="s">
        <v>51</v>
      </c>
      <c r="S121" s="4">
        <v>19330.0</v>
      </c>
      <c r="T121" s="4">
        <v>2979.0</v>
      </c>
      <c r="U121" s="4">
        <v>14875.0</v>
      </c>
      <c r="V121" s="4">
        <v>14345.0</v>
      </c>
      <c r="W121" s="4">
        <v>1267.0</v>
      </c>
      <c r="X121" s="4">
        <v>4662.0</v>
      </c>
      <c r="Y121" s="4">
        <v>5217.0</v>
      </c>
      <c r="AA121" s="4">
        <v>8600.0</v>
      </c>
      <c r="AB121" s="4">
        <v>67962.0</v>
      </c>
      <c r="AC121" s="4">
        <v>1.0</v>
      </c>
      <c r="AD121" s="4">
        <v>0.24756689512450505</v>
      </c>
      <c r="AG121" s="4">
        <v>100.0</v>
      </c>
      <c r="AH121" s="4">
        <v>90.0</v>
      </c>
      <c r="AI121" s="4">
        <v>1160.0</v>
      </c>
      <c r="AJ121" s="4">
        <v>1.0</v>
      </c>
      <c r="AK121" s="4">
        <v>1605.0</v>
      </c>
      <c r="AL121" s="4">
        <v>23.0</v>
      </c>
      <c r="AM121" s="1" t="s">
        <v>1534</v>
      </c>
      <c r="AN121" s="4">
        <v>3.0</v>
      </c>
      <c r="AO121" s="4">
        <v>159.0</v>
      </c>
      <c r="AP121" s="4">
        <v>42.0</v>
      </c>
      <c r="AQ121" s="4">
        <v>10.0</v>
      </c>
      <c r="AR121" s="4">
        <v>6.0</v>
      </c>
      <c r="AS121" s="4">
        <v>0.5476190476190477</v>
      </c>
      <c r="AT121" s="4">
        <v>7.0</v>
      </c>
      <c r="AU121" s="4">
        <v>0.45238095238095233</v>
      </c>
      <c r="AV121" s="4">
        <v>0.16666666666666666</v>
      </c>
    </row>
    <row r="122">
      <c r="A122" s="2">
        <v>45523.0</v>
      </c>
      <c r="B122" s="1" t="s">
        <v>69</v>
      </c>
      <c r="C122" s="1" t="s">
        <v>51</v>
      </c>
      <c r="D122" s="3" t="s">
        <v>70</v>
      </c>
      <c r="E122" s="3" t="s">
        <v>1487</v>
      </c>
      <c r="G122" s="3" t="s">
        <v>53</v>
      </c>
      <c r="H122" s="1"/>
      <c r="I122" s="1"/>
      <c r="J122" s="1"/>
      <c r="L122" s="1"/>
      <c r="N122" s="1"/>
    </row>
    <row r="123">
      <c r="A123" s="2">
        <v>45523.0</v>
      </c>
      <c r="B123" s="1" t="s">
        <v>69</v>
      </c>
      <c r="C123" s="1" t="s">
        <v>438</v>
      </c>
      <c r="D123" s="3" t="s">
        <v>41</v>
      </c>
      <c r="E123" s="3" t="s">
        <v>70</v>
      </c>
      <c r="G123" s="3" t="s">
        <v>47</v>
      </c>
      <c r="H123" s="1"/>
      <c r="I123" s="1"/>
      <c r="J123" s="1"/>
      <c r="L123" s="1"/>
      <c r="N123" s="1"/>
    </row>
    <row r="124">
      <c r="A124" s="2">
        <v>45523.0</v>
      </c>
      <c r="B124" s="1" t="s">
        <v>69</v>
      </c>
      <c r="C124" s="1"/>
      <c r="D124" s="1"/>
      <c r="E124" s="1"/>
      <c r="G124" s="1"/>
      <c r="H124" s="1"/>
      <c r="I124" s="1"/>
      <c r="J124" s="1"/>
      <c r="L124" s="3" t="s">
        <v>68</v>
      </c>
      <c r="N124" s="1" t="b">
        <v>1</v>
      </c>
    </row>
    <row r="125">
      <c r="A125" s="2">
        <v>45523.0</v>
      </c>
      <c r="B125" s="1" t="s">
        <v>69</v>
      </c>
      <c r="C125" s="1"/>
      <c r="D125" s="1"/>
      <c r="E125" s="1"/>
      <c r="G125" s="1"/>
      <c r="H125" s="1" t="s">
        <v>298</v>
      </c>
      <c r="I125" s="3" t="s">
        <v>63</v>
      </c>
      <c r="J125" s="3" t="s">
        <v>1512</v>
      </c>
      <c r="L125" s="3" t="s">
        <v>47</v>
      </c>
      <c r="M125" s="4">
        <v>7.0</v>
      </c>
      <c r="N125" s="1"/>
    </row>
    <row r="126">
      <c r="A126" s="2">
        <v>45523.0</v>
      </c>
      <c r="B126" s="1" t="s">
        <v>69</v>
      </c>
      <c r="C126" s="1"/>
      <c r="D126" s="1"/>
      <c r="E126" s="1"/>
      <c r="G126" s="1"/>
      <c r="H126" s="1"/>
      <c r="I126" s="1"/>
      <c r="J126" s="1"/>
      <c r="L126" s="3" t="s">
        <v>68</v>
      </c>
      <c r="N126" s="1" t="b">
        <v>1</v>
      </c>
    </row>
    <row r="127">
      <c r="A127" s="2">
        <v>45523.0</v>
      </c>
      <c r="B127" s="1" t="s">
        <v>69</v>
      </c>
      <c r="C127" s="1"/>
      <c r="D127" s="1"/>
      <c r="E127" s="1"/>
      <c r="G127" s="1"/>
      <c r="H127" s="1" t="s">
        <v>1486</v>
      </c>
      <c r="I127" s="3" t="s">
        <v>45</v>
      </c>
      <c r="J127" s="3" t="s">
        <v>1487</v>
      </c>
      <c r="L127" s="3" t="s">
        <v>47</v>
      </c>
      <c r="N127" s="1" t="b">
        <v>1</v>
      </c>
    </row>
    <row r="128">
      <c r="A128" s="2">
        <v>45523.0</v>
      </c>
      <c r="B128" s="1" t="s">
        <v>69</v>
      </c>
      <c r="C128" s="1"/>
      <c r="D128" s="1"/>
      <c r="E128" s="1"/>
      <c r="G128" s="1"/>
      <c r="H128" s="1" t="s">
        <v>846</v>
      </c>
      <c r="I128" s="3" t="s">
        <v>45</v>
      </c>
      <c r="J128" s="3" t="s">
        <v>1487</v>
      </c>
      <c r="L128" s="3" t="s">
        <v>47</v>
      </c>
      <c r="M128" s="4">
        <v>15.0</v>
      </c>
      <c r="N128" s="1" t="b">
        <v>1</v>
      </c>
      <c r="O128" s="4">
        <v>600.0</v>
      </c>
    </row>
    <row r="129">
      <c r="A129" s="2">
        <v>45523.0</v>
      </c>
      <c r="B129" s="1" t="s">
        <v>69</v>
      </c>
      <c r="C129" s="1"/>
      <c r="D129" s="1"/>
      <c r="E129" s="1"/>
      <c r="G129" s="1"/>
      <c r="H129" s="1"/>
      <c r="I129" s="1"/>
      <c r="J129" s="1"/>
      <c r="L129" s="1"/>
      <c r="N129" s="1"/>
      <c r="P129" s="4">
        <v>5.0</v>
      </c>
      <c r="Q129" s="1" t="s">
        <v>51</v>
      </c>
      <c r="R129" s="1" t="s">
        <v>51</v>
      </c>
      <c r="S129" s="4">
        <v>4820.0</v>
      </c>
      <c r="T129" s="4">
        <v>7382.0</v>
      </c>
      <c r="U129" s="4">
        <v>9284.0</v>
      </c>
      <c r="V129" s="4">
        <v>8871.0</v>
      </c>
      <c r="W129" s="4">
        <v>653.0</v>
      </c>
      <c r="X129" s="4">
        <v>2850.0</v>
      </c>
      <c r="Y129" s="4">
        <v>4080.0</v>
      </c>
      <c r="Z129" s="4">
        <v>290.0</v>
      </c>
      <c r="AA129" s="4">
        <v>979.0</v>
      </c>
      <c r="AB129" s="4">
        <v>43052.0</v>
      </c>
      <c r="AC129" s="4">
        <v>4.0</v>
      </c>
      <c r="AD129" s="4">
        <v>0.274225585023962</v>
      </c>
      <c r="AE129" s="4">
        <v>500.0</v>
      </c>
      <c r="AG129" s="4">
        <v>5597.0</v>
      </c>
      <c r="AI129" s="4">
        <v>600.0</v>
      </c>
      <c r="AJ129" s="4">
        <v>5.0</v>
      </c>
      <c r="AK129" s="4">
        <v>1437.0</v>
      </c>
      <c r="AL129" s="4">
        <v>8.0</v>
      </c>
      <c r="AM129" s="1" t="s">
        <v>1535</v>
      </c>
      <c r="AN129" s="4">
        <v>1.0</v>
      </c>
      <c r="AO129" s="4">
        <v>119.0</v>
      </c>
      <c r="AP129" s="4">
        <v>27.0</v>
      </c>
      <c r="AQ129" s="4">
        <v>5.0</v>
      </c>
      <c r="AR129" s="4">
        <v>3.0</v>
      </c>
      <c r="AS129" s="4">
        <v>0.2962962962962963</v>
      </c>
      <c r="AT129" s="4">
        <v>3.0</v>
      </c>
      <c r="AU129" s="4">
        <v>0.7037037037037037</v>
      </c>
      <c r="AV129" s="4">
        <v>0.1111111111111111</v>
      </c>
    </row>
    <row r="130">
      <c r="A130" s="2">
        <v>45524.0</v>
      </c>
      <c r="B130" s="1" t="s">
        <v>61</v>
      </c>
      <c r="C130" s="1" t="s">
        <v>1479</v>
      </c>
      <c r="D130" s="3" t="s">
        <v>50</v>
      </c>
      <c r="E130" s="3" t="s">
        <v>1487</v>
      </c>
      <c r="G130" s="3" t="s">
        <v>43</v>
      </c>
      <c r="H130" s="1"/>
      <c r="I130" s="1"/>
      <c r="J130" s="1"/>
      <c r="L130" s="1"/>
      <c r="N130" s="1"/>
    </row>
    <row r="131">
      <c r="A131" s="2">
        <v>45524.0</v>
      </c>
      <c r="B131" s="1" t="s">
        <v>61</v>
      </c>
      <c r="C131" s="1" t="s">
        <v>438</v>
      </c>
      <c r="D131" s="3" t="s">
        <v>41</v>
      </c>
      <c r="E131" s="3" t="s">
        <v>50</v>
      </c>
      <c r="G131" s="3" t="s">
        <v>1485</v>
      </c>
      <c r="H131" s="1"/>
      <c r="I131" s="1"/>
      <c r="J131" s="1"/>
      <c r="L131" s="1"/>
      <c r="N131" s="1"/>
    </row>
    <row r="132">
      <c r="A132" s="2">
        <v>45524.0</v>
      </c>
      <c r="B132" s="1" t="s">
        <v>61</v>
      </c>
      <c r="H132" s="1" t="s">
        <v>298</v>
      </c>
      <c r="I132" s="3" t="s">
        <v>63</v>
      </c>
      <c r="J132" s="3" t="s">
        <v>70</v>
      </c>
      <c r="L132" s="3" t="s">
        <v>53</v>
      </c>
      <c r="M132" s="4">
        <v>9.0</v>
      </c>
      <c r="N132" s="1"/>
    </row>
    <row r="133">
      <c r="A133" s="2">
        <v>45524.0</v>
      </c>
      <c r="B133" s="1" t="s">
        <v>61</v>
      </c>
      <c r="H133" s="1" t="s">
        <v>1486</v>
      </c>
      <c r="I133" s="3" t="s">
        <v>45</v>
      </c>
      <c r="J133" s="3" t="s">
        <v>1487</v>
      </c>
      <c r="L133" s="3" t="s">
        <v>47</v>
      </c>
      <c r="N133" s="1"/>
    </row>
    <row r="134">
      <c r="A134" s="2">
        <v>45524.0</v>
      </c>
      <c r="B134" s="1" t="s">
        <v>61</v>
      </c>
      <c r="H134" s="1" t="s">
        <v>466</v>
      </c>
      <c r="I134" s="3" t="s">
        <v>1512</v>
      </c>
      <c r="J134" s="3" t="s">
        <v>1487</v>
      </c>
      <c r="L134" s="3" t="s">
        <v>64</v>
      </c>
      <c r="M134" s="4">
        <v>13.0</v>
      </c>
      <c r="N134" s="1" t="b">
        <v>1</v>
      </c>
      <c r="O134" s="4">
        <v>520.0</v>
      </c>
    </row>
    <row r="135">
      <c r="A135" s="2">
        <v>45524.0</v>
      </c>
      <c r="B135" s="1" t="s">
        <v>61</v>
      </c>
      <c r="H135" s="1"/>
      <c r="I135" s="1"/>
      <c r="J135" s="1"/>
      <c r="L135" s="1"/>
      <c r="N135" s="1"/>
      <c r="P135" s="4">
        <v>7.0</v>
      </c>
      <c r="Q135" s="1" t="s">
        <v>438</v>
      </c>
      <c r="R135" s="1" t="s">
        <v>1479</v>
      </c>
      <c r="S135" s="4">
        <v>8461.0</v>
      </c>
      <c r="T135" s="4">
        <v>3807.0</v>
      </c>
      <c r="U135" s="4">
        <v>8309.0</v>
      </c>
      <c r="V135" s="4">
        <v>10131.0</v>
      </c>
      <c r="W135" s="4">
        <v>1300.0</v>
      </c>
      <c r="X135" s="4">
        <v>2815.0</v>
      </c>
      <c r="Y135" s="4">
        <v>3723.0</v>
      </c>
      <c r="AA135" s="4">
        <v>1160.0</v>
      </c>
      <c r="AB135" s="4">
        <v>42831.0</v>
      </c>
      <c r="AC135" s="4">
        <v>0.0</v>
      </c>
      <c r="AD135" s="4">
        <v>0.38519359264204933</v>
      </c>
      <c r="AE135" s="4">
        <v>2000.0</v>
      </c>
      <c r="AH135" s="4">
        <v>3420.0</v>
      </c>
      <c r="AI135" s="4">
        <v>520.0</v>
      </c>
      <c r="AJ135" s="4">
        <v>0.0</v>
      </c>
      <c r="AK135" s="4">
        <v>0.0</v>
      </c>
      <c r="AL135" s="4">
        <v>7.0</v>
      </c>
      <c r="AM135" s="1" t="s">
        <v>1536</v>
      </c>
      <c r="AN135" s="4">
        <v>1.0</v>
      </c>
      <c r="AO135" s="4">
        <v>107.0</v>
      </c>
      <c r="AP135" s="4">
        <v>29.0</v>
      </c>
      <c r="AQ135" s="4">
        <v>5.0</v>
      </c>
      <c r="AR135" s="4">
        <v>5.0</v>
      </c>
      <c r="AS135" s="4">
        <v>0.2413793103448276</v>
      </c>
      <c r="AT135" s="4">
        <v>5.0</v>
      </c>
      <c r="AU135" s="4">
        <v>0.7586206896551724</v>
      </c>
      <c r="AV135" s="4">
        <v>0.1724137931034483</v>
      </c>
    </row>
    <row r="136">
      <c r="A136" s="2">
        <v>45525.0</v>
      </c>
      <c r="B136" s="1" t="s">
        <v>73</v>
      </c>
      <c r="C136" s="1" t="s">
        <v>1479</v>
      </c>
      <c r="D136" s="3" t="s">
        <v>41</v>
      </c>
      <c r="E136" s="3" t="s">
        <v>1506</v>
      </c>
      <c r="G136" s="3" t="s">
        <v>1507</v>
      </c>
    </row>
    <row r="137">
      <c r="A137" s="2">
        <v>45525.0</v>
      </c>
      <c r="B137" s="1" t="s">
        <v>73</v>
      </c>
      <c r="C137" s="1" t="s">
        <v>438</v>
      </c>
      <c r="D137" s="3" t="s">
        <v>45</v>
      </c>
      <c r="E137" s="3" t="s">
        <v>1487</v>
      </c>
      <c r="G137" s="3" t="s">
        <v>47</v>
      </c>
    </row>
    <row r="138">
      <c r="A138" s="2">
        <v>45525.0</v>
      </c>
      <c r="B138" s="1" t="s">
        <v>73</v>
      </c>
      <c r="C138" s="1"/>
      <c r="D138" s="1"/>
      <c r="E138" s="1"/>
      <c r="G138" s="1"/>
      <c r="H138" s="1" t="s">
        <v>1493</v>
      </c>
      <c r="I138" s="3" t="s">
        <v>63</v>
      </c>
      <c r="J138" s="3" t="s">
        <v>70</v>
      </c>
      <c r="L138" s="3" t="s">
        <v>53</v>
      </c>
      <c r="M138" s="4">
        <v>7.0</v>
      </c>
      <c r="N138" s="1" t="b">
        <v>1</v>
      </c>
      <c r="O138" s="4">
        <v>280.0</v>
      </c>
    </row>
    <row r="139">
      <c r="A139" s="2">
        <v>45525.0</v>
      </c>
      <c r="B139" s="1" t="s">
        <v>73</v>
      </c>
      <c r="C139" s="1"/>
      <c r="D139" s="1"/>
      <c r="E139" s="1"/>
      <c r="G139" s="1"/>
      <c r="H139" s="1" t="s">
        <v>298</v>
      </c>
      <c r="I139" s="3" t="s">
        <v>63</v>
      </c>
      <c r="J139" s="3" t="s">
        <v>1512</v>
      </c>
      <c r="L139" s="3" t="s">
        <v>47</v>
      </c>
      <c r="M139" s="4">
        <v>6.0</v>
      </c>
    </row>
    <row r="140">
      <c r="A140" s="2">
        <v>45525.0</v>
      </c>
      <c r="B140" s="1" t="s">
        <v>73</v>
      </c>
      <c r="C140" s="1"/>
      <c r="D140" s="1"/>
      <c r="E140" s="1"/>
      <c r="G140" s="1"/>
      <c r="H140" s="1" t="s">
        <v>1486</v>
      </c>
      <c r="I140" s="3" t="s">
        <v>45</v>
      </c>
      <c r="J140" s="3" t="s">
        <v>1487</v>
      </c>
      <c r="L140" s="3" t="s">
        <v>47</v>
      </c>
    </row>
    <row r="141">
      <c r="A141" s="2">
        <v>45525.0</v>
      </c>
      <c r="B141" s="1" t="s">
        <v>73</v>
      </c>
      <c r="C141" s="1"/>
      <c r="D141" s="1"/>
      <c r="E141" s="1"/>
      <c r="G141" s="1"/>
      <c r="H141" s="1" t="s">
        <v>417</v>
      </c>
      <c r="I141" s="3" t="s">
        <v>45</v>
      </c>
      <c r="J141" s="3" t="s">
        <v>1480</v>
      </c>
      <c r="L141" s="3" t="s">
        <v>1504</v>
      </c>
      <c r="M141" s="4">
        <v>5.0</v>
      </c>
      <c r="N141" s="1" t="b">
        <v>1</v>
      </c>
      <c r="O141" s="4">
        <v>200.0</v>
      </c>
    </row>
    <row r="142">
      <c r="A142" s="2">
        <v>45525.0</v>
      </c>
      <c r="B142" s="1" t="s">
        <v>73</v>
      </c>
      <c r="C142" s="1"/>
      <c r="D142" s="1"/>
      <c r="E142" s="1"/>
      <c r="G142" s="1"/>
      <c r="P142" s="4">
        <v>8.0</v>
      </c>
      <c r="Q142" s="1" t="s">
        <v>438</v>
      </c>
      <c r="R142" s="1" t="s">
        <v>1479</v>
      </c>
      <c r="S142" s="4">
        <v>8244.0</v>
      </c>
      <c r="T142" s="4">
        <v>4997.0</v>
      </c>
      <c r="U142" s="4">
        <v>9936.0</v>
      </c>
      <c r="V142" s="4">
        <v>10468.0</v>
      </c>
      <c r="W142" s="4">
        <v>2150.0</v>
      </c>
      <c r="X142" s="4">
        <v>745.0</v>
      </c>
      <c r="Y142" s="4">
        <v>4351.0</v>
      </c>
      <c r="Z142" s="4">
        <v>300.0</v>
      </c>
      <c r="AA142" s="4">
        <v>2567.0</v>
      </c>
      <c r="AB142" s="4">
        <v>44117.5</v>
      </c>
      <c r="AC142" s="4">
        <v>5.5</v>
      </c>
      <c r="AD142" s="4">
        <v>0.3506154221443104</v>
      </c>
      <c r="AE142" s="4">
        <v>500.0</v>
      </c>
      <c r="AG142" s="4">
        <v>130.0</v>
      </c>
      <c r="AI142" s="4">
        <v>480.0</v>
      </c>
      <c r="AJ142" s="4">
        <v>0.0</v>
      </c>
      <c r="AK142" s="4">
        <v>0.0</v>
      </c>
      <c r="AL142" s="4">
        <v>7.0</v>
      </c>
      <c r="AM142" s="1" t="s">
        <v>1537</v>
      </c>
      <c r="AN142" s="4">
        <v>2.0</v>
      </c>
      <c r="AO142" s="4">
        <v>114.0</v>
      </c>
      <c r="AP142" s="4">
        <v>26.0</v>
      </c>
      <c r="AQ142" s="4">
        <v>7.0</v>
      </c>
      <c r="AR142" s="4">
        <v>4.0</v>
      </c>
      <c r="AS142" s="4">
        <v>0.2692307692307692</v>
      </c>
      <c r="AT142" s="4">
        <v>4.0</v>
      </c>
      <c r="AU142" s="4">
        <v>0.7307692307692308</v>
      </c>
      <c r="AV142" s="4">
        <v>0.15384615384615385</v>
      </c>
    </row>
    <row r="143">
      <c r="A143" s="2">
        <v>45526.0</v>
      </c>
      <c r="B143" s="1" t="s">
        <v>1478</v>
      </c>
      <c r="C143" s="1" t="s">
        <v>1508</v>
      </c>
      <c r="D143" s="3" t="s">
        <v>41</v>
      </c>
      <c r="E143" s="3" t="s">
        <v>45</v>
      </c>
      <c r="G143" s="3" t="s">
        <v>53</v>
      </c>
    </row>
    <row r="144">
      <c r="A144" s="2">
        <v>45526.0</v>
      </c>
      <c r="B144" s="1" t="s">
        <v>1478</v>
      </c>
      <c r="C144" s="1" t="s">
        <v>361</v>
      </c>
      <c r="D144" s="3" t="s">
        <v>1512</v>
      </c>
      <c r="E144" s="3" t="s">
        <v>1487</v>
      </c>
      <c r="G144" s="3" t="s">
        <v>64</v>
      </c>
    </row>
    <row r="145">
      <c r="A145" s="2">
        <v>45526.0</v>
      </c>
      <c r="B145" s="1" t="s">
        <v>1478</v>
      </c>
      <c r="C145" s="1" t="s">
        <v>1490</v>
      </c>
      <c r="D145" s="3" t="s">
        <v>45</v>
      </c>
      <c r="E145" s="3" t="s">
        <v>1487</v>
      </c>
      <c r="G145" s="3" t="s">
        <v>47</v>
      </c>
    </row>
    <row r="146">
      <c r="A146" s="2">
        <v>45526.0</v>
      </c>
      <c r="B146" s="1" t="s">
        <v>1478</v>
      </c>
      <c r="C146" s="1"/>
      <c r="D146" s="1"/>
      <c r="E146" s="1"/>
      <c r="G146" s="1"/>
      <c r="H146" s="1" t="s">
        <v>1494</v>
      </c>
      <c r="I146" s="3" t="s">
        <v>63</v>
      </c>
      <c r="J146" s="3" t="s">
        <v>45</v>
      </c>
      <c r="L146" s="3" t="s">
        <v>64</v>
      </c>
      <c r="M146" s="4">
        <v>11.0</v>
      </c>
    </row>
    <row r="147">
      <c r="A147" s="2">
        <v>45526.0</v>
      </c>
      <c r="B147" s="1" t="s">
        <v>1478</v>
      </c>
      <c r="C147" s="1"/>
      <c r="D147" s="1"/>
      <c r="E147" s="1"/>
      <c r="G147" s="1"/>
      <c r="H147" s="1" t="s">
        <v>1495</v>
      </c>
      <c r="I147" s="3" t="s">
        <v>45</v>
      </c>
      <c r="J147" s="3" t="s">
        <v>57</v>
      </c>
      <c r="L147" s="3" t="s">
        <v>53</v>
      </c>
      <c r="M147" s="4">
        <v>8.0</v>
      </c>
      <c r="N147" s="1" t="b">
        <v>1</v>
      </c>
      <c r="O147" s="4">
        <v>320.0</v>
      </c>
    </row>
    <row r="148">
      <c r="A148" s="2">
        <v>45526.0</v>
      </c>
      <c r="B148" s="1" t="s">
        <v>1478</v>
      </c>
      <c r="C148" s="1"/>
      <c r="D148" s="1"/>
      <c r="E148" s="1"/>
      <c r="G148" s="1"/>
      <c r="H148" s="1" t="s">
        <v>846</v>
      </c>
      <c r="I148" s="3" t="s">
        <v>70</v>
      </c>
      <c r="J148" s="3" t="s">
        <v>1487</v>
      </c>
      <c r="L148" s="3" t="s">
        <v>53</v>
      </c>
      <c r="M148" s="4">
        <v>8.0</v>
      </c>
      <c r="N148" s="1" t="b">
        <v>1</v>
      </c>
      <c r="O148" s="4">
        <v>320.0</v>
      </c>
    </row>
    <row r="149">
      <c r="A149" s="2">
        <v>45526.0</v>
      </c>
      <c r="B149" s="1" t="s">
        <v>1478</v>
      </c>
      <c r="C149" s="1"/>
      <c r="D149" s="1"/>
      <c r="E149" s="1"/>
      <c r="G149" s="1"/>
      <c r="P149" s="4">
        <v>0.0</v>
      </c>
      <c r="Q149" s="1" t="s">
        <v>1508</v>
      </c>
      <c r="R149" s="1" t="s">
        <v>1490</v>
      </c>
      <c r="S149" s="4">
        <v>7131.0</v>
      </c>
      <c r="T149" s="4">
        <v>4222.0</v>
      </c>
      <c r="U149" s="4">
        <v>10942.0</v>
      </c>
      <c r="V149" s="4">
        <v>10302.0</v>
      </c>
      <c r="W149" s="4">
        <v>0.0</v>
      </c>
      <c r="X149" s="4">
        <v>2669.0</v>
      </c>
      <c r="Y149" s="4">
        <v>2809.0</v>
      </c>
      <c r="Z149" s="4">
        <v>200.0</v>
      </c>
      <c r="AA149" s="4">
        <v>706.0</v>
      </c>
      <c r="AB149" s="4">
        <v>42449.0</v>
      </c>
      <c r="AC149" s="4">
        <v>0.0</v>
      </c>
      <c r="AD149" s="4">
        <v>0.35846806206157067</v>
      </c>
      <c r="AG149" s="4">
        <v>497.0</v>
      </c>
      <c r="AH149" s="4">
        <v>5000.0</v>
      </c>
      <c r="AI149" s="4">
        <v>640.0</v>
      </c>
      <c r="AJ149" s="4">
        <v>0.0</v>
      </c>
      <c r="AK149" s="4">
        <v>0.0</v>
      </c>
      <c r="AL149" s="4">
        <v>5.0</v>
      </c>
      <c r="AM149" s="1" t="s">
        <v>1538</v>
      </c>
      <c r="AN149" s="4">
        <v>2.0</v>
      </c>
      <c r="AO149" s="4">
        <v>104.0</v>
      </c>
      <c r="AP149" s="4">
        <v>27.0</v>
      </c>
      <c r="AQ149" s="4">
        <v>0.0</v>
      </c>
      <c r="AR149" s="4">
        <v>0.0</v>
      </c>
      <c r="AS149" s="4">
        <v>0.18518518518518517</v>
      </c>
      <c r="AT149" s="4">
        <v>0.0</v>
      </c>
      <c r="AU149" s="4">
        <v>0.8148148148148149</v>
      </c>
      <c r="AV149" s="4">
        <v>0.0</v>
      </c>
    </row>
    <row r="150">
      <c r="A150" s="2">
        <v>45527.0</v>
      </c>
      <c r="B150" s="1" t="s">
        <v>39</v>
      </c>
      <c r="C150" s="1" t="s">
        <v>438</v>
      </c>
      <c r="D150" s="3" t="s">
        <v>45</v>
      </c>
      <c r="E150" s="3" t="s">
        <v>42</v>
      </c>
      <c r="G150" s="3" t="s">
        <v>1502</v>
      </c>
    </row>
    <row r="151">
      <c r="A151" s="2">
        <v>45527.0</v>
      </c>
      <c r="B151" s="1" t="s">
        <v>39</v>
      </c>
      <c r="C151" s="1" t="s">
        <v>51</v>
      </c>
      <c r="D151" s="3" t="s">
        <v>1512</v>
      </c>
      <c r="E151" s="3" t="s">
        <v>1487</v>
      </c>
      <c r="G151" s="3" t="s">
        <v>64</v>
      </c>
    </row>
    <row r="152">
      <c r="A152" s="2">
        <v>45527.0</v>
      </c>
      <c r="B152" s="1" t="s">
        <v>39</v>
      </c>
      <c r="C152" s="1" t="s">
        <v>1490</v>
      </c>
      <c r="D152" s="3" t="s">
        <v>41</v>
      </c>
      <c r="E152" s="3" t="s">
        <v>62</v>
      </c>
      <c r="G152" s="3" t="s">
        <v>41</v>
      </c>
    </row>
    <row r="153">
      <c r="A153" s="2">
        <v>45527.0</v>
      </c>
      <c r="B153" s="1" t="s">
        <v>39</v>
      </c>
      <c r="H153" s="1" t="s">
        <v>1494</v>
      </c>
      <c r="I153" s="3" t="s">
        <v>63</v>
      </c>
      <c r="J153" s="3" t="s">
        <v>1501</v>
      </c>
      <c r="L153" s="3" t="s">
        <v>1502</v>
      </c>
      <c r="M153" s="4">
        <v>11.0</v>
      </c>
      <c r="N153" s="1" t="b">
        <v>1</v>
      </c>
      <c r="O153" s="4">
        <v>440.0</v>
      </c>
    </row>
    <row r="154">
      <c r="A154" s="2">
        <v>45527.0</v>
      </c>
      <c r="B154" s="1" t="s">
        <v>39</v>
      </c>
      <c r="H154" s="1" t="s">
        <v>298</v>
      </c>
      <c r="I154" s="3" t="s">
        <v>45</v>
      </c>
      <c r="J154" s="3" t="s">
        <v>57</v>
      </c>
      <c r="L154" s="3" t="s">
        <v>53</v>
      </c>
      <c r="M154" s="4">
        <v>2.0</v>
      </c>
    </row>
    <row r="155">
      <c r="A155" s="2">
        <v>45527.0</v>
      </c>
      <c r="B155" s="1" t="s">
        <v>39</v>
      </c>
      <c r="H155" s="1" t="s">
        <v>846</v>
      </c>
      <c r="I155" s="3" t="s">
        <v>63</v>
      </c>
      <c r="J155" s="3" t="s">
        <v>1487</v>
      </c>
      <c r="L155" s="3" t="s">
        <v>1484</v>
      </c>
      <c r="M155" s="4">
        <v>15.0</v>
      </c>
      <c r="N155" s="1" t="b">
        <v>1</v>
      </c>
      <c r="O155" s="4">
        <v>600.0</v>
      </c>
    </row>
    <row r="156">
      <c r="A156" s="2">
        <v>45527.0</v>
      </c>
      <c r="B156" s="1" t="s">
        <v>39</v>
      </c>
      <c r="P156" s="4">
        <v>3.0</v>
      </c>
      <c r="Q156" s="1" t="s">
        <v>1490</v>
      </c>
      <c r="R156" s="1" t="s">
        <v>51</v>
      </c>
      <c r="S156" s="4">
        <v>9582.0</v>
      </c>
      <c r="T156" s="4">
        <v>5889.0</v>
      </c>
      <c r="U156" s="4">
        <v>13362.0</v>
      </c>
      <c r="V156" s="4">
        <v>11021.0</v>
      </c>
      <c r="W156" s="4">
        <v>518.0</v>
      </c>
      <c r="X156" s="4">
        <v>1868.0</v>
      </c>
      <c r="Y156" s="4">
        <v>4638.0</v>
      </c>
      <c r="AA156" s="4">
        <v>4253.0</v>
      </c>
      <c r="AB156" s="4">
        <v>51282.5</v>
      </c>
      <c r="AC156" s="4">
        <v>-39.5</v>
      </c>
      <c r="AD156" s="4">
        <v>0.29197884281093184</v>
      </c>
      <c r="AE156" s="4">
        <v>500.0</v>
      </c>
      <c r="AH156" s="4">
        <v>440.0</v>
      </c>
      <c r="AI156" s="4">
        <v>1040.0</v>
      </c>
      <c r="AJ156" s="4">
        <v>1.0</v>
      </c>
      <c r="AK156" s="4">
        <v>249.0</v>
      </c>
      <c r="AL156" s="4">
        <v>4.0</v>
      </c>
      <c r="AM156" s="1" t="s">
        <v>1539</v>
      </c>
      <c r="AN156" s="4">
        <v>2.0</v>
      </c>
      <c r="AO156" s="4">
        <v>142.0</v>
      </c>
      <c r="AP156" s="4">
        <v>29.0</v>
      </c>
      <c r="AQ156" s="4">
        <v>2.0</v>
      </c>
      <c r="AR156" s="4">
        <v>1.0</v>
      </c>
      <c r="AS156" s="4">
        <v>0.13793103448275862</v>
      </c>
      <c r="AT156" s="4">
        <v>1.0</v>
      </c>
      <c r="AU156" s="4">
        <v>0.8620689655172413</v>
      </c>
      <c r="AV156" s="4">
        <v>0.034482758620689655</v>
      </c>
    </row>
    <row r="157">
      <c r="A157" s="2">
        <v>45528.0</v>
      </c>
      <c r="B157" s="1" t="s">
        <v>1500</v>
      </c>
      <c r="C157" s="1" t="s">
        <v>51</v>
      </c>
      <c r="D157" s="3" t="s">
        <v>41</v>
      </c>
      <c r="E157" s="3" t="s">
        <v>45</v>
      </c>
      <c r="G157" s="3" t="s">
        <v>53</v>
      </c>
    </row>
    <row r="158">
      <c r="A158" s="2">
        <v>45528.0</v>
      </c>
      <c r="B158" s="1" t="s">
        <v>1500</v>
      </c>
      <c r="C158" s="1" t="s">
        <v>1490</v>
      </c>
      <c r="D158" s="3" t="s">
        <v>45</v>
      </c>
      <c r="E158" s="3" t="s">
        <v>1485</v>
      </c>
      <c r="G158" s="3" t="s">
        <v>41</v>
      </c>
    </row>
    <row r="159">
      <c r="A159" s="2">
        <v>45528.0</v>
      </c>
      <c r="B159" s="1" t="s">
        <v>1500</v>
      </c>
      <c r="H159" s="1" t="s">
        <v>1486</v>
      </c>
      <c r="I159" s="3" t="s">
        <v>45</v>
      </c>
      <c r="J159" s="3" t="s">
        <v>1485</v>
      </c>
      <c r="L159" s="3" t="s">
        <v>41</v>
      </c>
    </row>
    <row r="160">
      <c r="A160" s="2">
        <v>45528.0</v>
      </c>
      <c r="B160" s="1" t="s">
        <v>1500</v>
      </c>
      <c r="H160" s="1" t="s">
        <v>1495</v>
      </c>
      <c r="I160" s="3" t="s">
        <v>45</v>
      </c>
      <c r="J160" s="3" t="s">
        <v>1485</v>
      </c>
      <c r="L160" s="3" t="s">
        <v>41</v>
      </c>
      <c r="M160" s="4">
        <v>8.0</v>
      </c>
      <c r="N160" s="1" t="b">
        <v>1</v>
      </c>
      <c r="O160" s="4">
        <v>320.0</v>
      </c>
    </row>
    <row r="161">
      <c r="A161" s="2">
        <v>45528.0</v>
      </c>
      <c r="B161" s="1" t="s">
        <v>1500</v>
      </c>
      <c r="H161" s="1" t="s">
        <v>846</v>
      </c>
      <c r="I161" s="3" t="s">
        <v>63</v>
      </c>
      <c r="J161" s="3" t="s">
        <v>1512</v>
      </c>
      <c r="L161" s="3" t="s">
        <v>47</v>
      </c>
      <c r="M161" s="4">
        <v>13.0</v>
      </c>
      <c r="N161" s="1" t="b">
        <v>1</v>
      </c>
      <c r="O161" s="4">
        <v>520.0</v>
      </c>
    </row>
    <row r="162">
      <c r="A162" s="2">
        <v>45528.0</v>
      </c>
      <c r="B162" s="1" t="s">
        <v>1500</v>
      </c>
      <c r="P162" s="4">
        <v>6.0</v>
      </c>
      <c r="Q162" s="1" t="s">
        <v>1490</v>
      </c>
      <c r="R162" s="1" t="s">
        <v>51</v>
      </c>
      <c r="S162" s="4">
        <v>7332.0</v>
      </c>
      <c r="T162" s="4">
        <v>7817.0</v>
      </c>
      <c r="U162" s="4">
        <v>15916.0</v>
      </c>
      <c r="V162" s="4">
        <v>14980.0</v>
      </c>
      <c r="W162" s="4">
        <v>507.0</v>
      </c>
      <c r="X162" s="4">
        <v>2009.0</v>
      </c>
      <c r="Y162" s="4">
        <v>2795.0</v>
      </c>
      <c r="AA162" s="4">
        <v>490.0</v>
      </c>
      <c r="AB162" s="4">
        <v>55753.5</v>
      </c>
      <c r="AC162" s="4">
        <v>-76.5</v>
      </c>
      <c r="AD162" s="4">
        <v>0.2643635037522597</v>
      </c>
      <c r="AH162" s="4">
        <v>5000.0</v>
      </c>
      <c r="AI162" s="4">
        <v>840.0</v>
      </c>
      <c r="AJ162" s="4">
        <v>2.0</v>
      </c>
      <c r="AK162" s="4">
        <v>477.0</v>
      </c>
      <c r="AL162" s="4">
        <v>11.0</v>
      </c>
      <c r="AM162" s="1" t="s">
        <v>1540</v>
      </c>
      <c r="AN162" s="4">
        <v>2.0</v>
      </c>
      <c r="AO162" s="4">
        <v>131.0</v>
      </c>
      <c r="AP162" s="4">
        <v>28.0</v>
      </c>
      <c r="AQ162" s="4">
        <v>6.0</v>
      </c>
      <c r="AR162" s="4">
        <v>6.0</v>
      </c>
      <c r="AS162" s="4">
        <v>0.39285714285714285</v>
      </c>
      <c r="AT162" s="4">
        <v>6.0</v>
      </c>
      <c r="AU162" s="4">
        <v>0.6071428571428572</v>
      </c>
      <c r="AV162" s="4">
        <v>0.21428571428571427</v>
      </c>
    </row>
    <row r="163">
      <c r="A163" s="2">
        <v>45529.0</v>
      </c>
      <c r="B163" s="1" t="s">
        <v>67</v>
      </c>
      <c r="C163" s="1" t="s">
        <v>51</v>
      </c>
      <c r="D163" s="3" t="s">
        <v>45</v>
      </c>
      <c r="E163" s="3" t="s">
        <v>57</v>
      </c>
      <c r="G163" s="3" t="s">
        <v>53</v>
      </c>
    </row>
    <row r="164">
      <c r="A164" s="2">
        <v>45529.0</v>
      </c>
      <c r="B164" s="1" t="s">
        <v>67</v>
      </c>
      <c r="C164" s="1" t="s">
        <v>1490</v>
      </c>
      <c r="D164" s="3" t="s">
        <v>41</v>
      </c>
      <c r="E164" s="3" t="s">
        <v>45</v>
      </c>
      <c r="G164" s="3" t="s">
        <v>53</v>
      </c>
    </row>
    <row r="165">
      <c r="A165" s="2">
        <v>45529.0</v>
      </c>
      <c r="B165" s="1" t="s">
        <v>67</v>
      </c>
      <c r="H165" s="1" t="s">
        <v>1493</v>
      </c>
      <c r="I165" s="3" t="s">
        <v>63</v>
      </c>
      <c r="J165" s="3" t="s">
        <v>45</v>
      </c>
      <c r="L165" s="3" t="s">
        <v>64</v>
      </c>
      <c r="M165" s="4">
        <v>12.0</v>
      </c>
      <c r="N165" s="1" t="b">
        <v>1</v>
      </c>
      <c r="O165" s="4">
        <v>480.0</v>
      </c>
    </row>
    <row r="166">
      <c r="A166" s="2">
        <v>45529.0</v>
      </c>
      <c r="B166" s="1" t="s">
        <v>67</v>
      </c>
      <c r="H166" s="1" t="s">
        <v>1486</v>
      </c>
      <c r="I166" s="3" t="s">
        <v>45</v>
      </c>
      <c r="J166" s="3" t="s">
        <v>57</v>
      </c>
      <c r="L166" s="3" t="s">
        <v>53</v>
      </c>
    </row>
    <row r="167">
      <c r="A167" s="2">
        <v>45529.0</v>
      </c>
      <c r="B167" s="1" t="s">
        <v>67</v>
      </c>
      <c r="H167" s="1" t="s">
        <v>846</v>
      </c>
      <c r="I167" s="3" t="s">
        <v>63</v>
      </c>
      <c r="J167" s="3" t="s">
        <v>42</v>
      </c>
      <c r="L167" s="3" t="s">
        <v>63</v>
      </c>
      <c r="M167" s="4">
        <v>20.0</v>
      </c>
      <c r="N167" s="1" t="b">
        <v>1</v>
      </c>
      <c r="O167" s="4">
        <v>800.0</v>
      </c>
    </row>
    <row r="168">
      <c r="A168" s="2">
        <v>45529.0</v>
      </c>
      <c r="B168" s="1" t="s">
        <v>67</v>
      </c>
      <c r="P168" s="4">
        <v>6.0</v>
      </c>
      <c r="Q168" s="1" t="s">
        <v>1490</v>
      </c>
      <c r="R168" s="1" t="s">
        <v>51</v>
      </c>
      <c r="S168" s="4">
        <v>6349.0</v>
      </c>
      <c r="T168" s="4">
        <v>7379.0</v>
      </c>
      <c r="U168" s="4">
        <v>8517.0</v>
      </c>
      <c r="V168" s="4">
        <v>14144.0</v>
      </c>
      <c r="W168" s="4">
        <v>1034.0</v>
      </c>
      <c r="X168" s="4">
        <v>1984.0</v>
      </c>
      <c r="Y168" s="4">
        <v>3382.0</v>
      </c>
      <c r="AA168" s="4">
        <v>1481.0</v>
      </c>
      <c r="AB168" s="4">
        <v>49162.5</v>
      </c>
      <c r="AC168" s="4">
        <v>0.5</v>
      </c>
      <c r="AD168" s="4">
        <v>0.2759609288879047</v>
      </c>
      <c r="AE168" s="4">
        <v>5597.0</v>
      </c>
      <c r="AI168" s="4">
        <v>1280.0</v>
      </c>
      <c r="AJ168" s="4">
        <v>1.0</v>
      </c>
      <c r="AK168" s="4">
        <v>299.0</v>
      </c>
      <c r="AL168" s="4">
        <v>9.0</v>
      </c>
      <c r="AM168" s="1" t="s">
        <v>1541</v>
      </c>
      <c r="AN168" s="4">
        <v>2.0</v>
      </c>
      <c r="AO168" s="4">
        <v>124.0</v>
      </c>
      <c r="AP168" s="4">
        <v>38.0</v>
      </c>
      <c r="AQ168" s="4">
        <v>5.0</v>
      </c>
      <c r="AR168" s="4">
        <v>3.0</v>
      </c>
      <c r="AS168" s="4">
        <v>0.23684210526315788</v>
      </c>
      <c r="AT168" s="4">
        <v>3.0</v>
      </c>
      <c r="AU168" s="4">
        <v>0.7631578947368421</v>
      </c>
      <c r="AV168" s="4">
        <v>0.07894736842105263</v>
      </c>
    </row>
    <row r="169">
      <c r="A169" s="2">
        <v>45530.0</v>
      </c>
      <c r="B169" s="1" t="s">
        <v>69</v>
      </c>
      <c r="C169" s="1" t="s">
        <v>51</v>
      </c>
      <c r="D169" s="3" t="s">
        <v>41</v>
      </c>
      <c r="E169" s="3" t="s">
        <v>45</v>
      </c>
      <c r="G169" s="1" t="e">
        <v>#VALUE!</v>
      </c>
    </row>
    <row r="170">
      <c r="A170" s="2">
        <v>45530.0</v>
      </c>
      <c r="B170" s="1" t="s">
        <v>69</v>
      </c>
      <c r="C170" s="1" t="s">
        <v>1479</v>
      </c>
      <c r="D170" s="3" t="s">
        <v>45</v>
      </c>
      <c r="E170" s="3" t="s">
        <v>1487</v>
      </c>
      <c r="G170" s="3" t="s">
        <v>47</v>
      </c>
    </row>
    <row r="171">
      <c r="A171" s="2">
        <v>45530.0</v>
      </c>
      <c r="B171" s="1" t="s">
        <v>69</v>
      </c>
      <c r="H171" s="1" t="s">
        <v>1493</v>
      </c>
      <c r="I171" s="3" t="s">
        <v>63</v>
      </c>
      <c r="J171" s="3" t="s">
        <v>45</v>
      </c>
      <c r="L171" s="3" t="s">
        <v>64</v>
      </c>
      <c r="M171" s="4">
        <v>7.0</v>
      </c>
      <c r="N171" s="1" t="b">
        <v>1</v>
      </c>
      <c r="O171" s="4">
        <v>280.0</v>
      </c>
    </row>
    <row r="172">
      <c r="A172" s="2">
        <v>45530.0</v>
      </c>
      <c r="B172" s="1" t="s">
        <v>69</v>
      </c>
      <c r="H172" s="1" t="s">
        <v>1486</v>
      </c>
      <c r="I172" s="3" t="s">
        <v>1542</v>
      </c>
      <c r="J172" s="3" t="s">
        <v>1487</v>
      </c>
      <c r="L172" s="3" t="s">
        <v>1498</v>
      </c>
      <c r="M172" s="4">
        <v>2.0</v>
      </c>
      <c r="N172" s="1" t="b">
        <v>1</v>
      </c>
      <c r="O172" s="4">
        <v>80.0</v>
      </c>
    </row>
    <row r="173">
      <c r="A173" s="2">
        <v>45530.0</v>
      </c>
      <c r="B173" s="1" t="s">
        <v>69</v>
      </c>
      <c r="H173" s="1" t="s">
        <v>846</v>
      </c>
      <c r="I173" s="3" t="s">
        <v>63</v>
      </c>
      <c r="J173" s="3" t="s">
        <v>62</v>
      </c>
      <c r="L173" s="3" t="s">
        <v>1528</v>
      </c>
      <c r="M173" s="4">
        <v>6.0</v>
      </c>
      <c r="N173" s="1" t="b">
        <v>1</v>
      </c>
      <c r="O173" s="4">
        <v>240.0</v>
      </c>
    </row>
    <row r="174">
      <c r="A174" s="2">
        <v>45530.0</v>
      </c>
      <c r="B174" s="1" t="s">
        <v>69</v>
      </c>
      <c r="P174" s="4">
        <v>2.0</v>
      </c>
      <c r="Q174" s="1" t="s">
        <v>1490</v>
      </c>
      <c r="R174" s="1" t="s">
        <v>51</v>
      </c>
      <c r="S174" s="4">
        <v>5824.0</v>
      </c>
      <c r="T174" s="4">
        <v>3338.0</v>
      </c>
      <c r="U174" s="4">
        <v>10269.0</v>
      </c>
      <c r="V174" s="4">
        <v>7603.0</v>
      </c>
      <c r="W174" s="4">
        <v>0.0</v>
      </c>
      <c r="X174" s="4">
        <v>1384.0</v>
      </c>
      <c r="Y174" s="4">
        <v>2199.0</v>
      </c>
      <c r="AA174" s="4">
        <v>2145.0</v>
      </c>
      <c r="AB174" s="4">
        <v>34258.0</v>
      </c>
      <c r="AC174" s="4">
        <v>-280.0</v>
      </c>
      <c r="AD174" s="4">
        <v>0.38893108664988074</v>
      </c>
      <c r="AE174" s="4">
        <v>2000.0</v>
      </c>
      <c r="AI174" s="4">
        <v>600.0</v>
      </c>
      <c r="AJ174" s="4">
        <v>0.0</v>
      </c>
      <c r="AK174" s="4">
        <v>0.0</v>
      </c>
      <c r="AL174" s="4">
        <v>7.0</v>
      </c>
      <c r="AM174" s="1" t="s">
        <v>1543</v>
      </c>
      <c r="AN174" s="4">
        <v>3.0</v>
      </c>
      <c r="AO174" s="4">
        <v>94.0</v>
      </c>
      <c r="AP174" s="4">
        <v>22.0</v>
      </c>
      <c r="AQ174" s="4">
        <v>1.0</v>
      </c>
      <c r="AR174" s="4">
        <v>1.0</v>
      </c>
      <c r="AS174" s="4">
        <v>0.3181818181818182</v>
      </c>
      <c r="AT174" s="4">
        <v>2.0</v>
      </c>
      <c r="AU174" s="4">
        <v>0.6818181818181819</v>
      </c>
      <c r="AV174" s="4">
        <v>0.09090909090909091</v>
      </c>
    </row>
    <row r="175">
      <c r="A175" s="2">
        <v>45531.0</v>
      </c>
      <c r="B175" s="1" t="s">
        <v>61</v>
      </c>
      <c r="C175" s="1" t="s">
        <v>51</v>
      </c>
      <c r="D175" s="3" t="s">
        <v>50</v>
      </c>
      <c r="E175" s="3" t="s">
        <v>1487</v>
      </c>
      <c r="G175" s="3" t="s">
        <v>43</v>
      </c>
    </row>
    <row r="176">
      <c r="A176" s="2">
        <v>45531.0</v>
      </c>
      <c r="B176" s="1" t="s">
        <v>61</v>
      </c>
      <c r="H176" s="1" t="s">
        <v>417</v>
      </c>
      <c r="I176" s="3" t="s">
        <v>63</v>
      </c>
      <c r="J176" s="3" t="s">
        <v>70</v>
      </c>
      <c r="L176" s="3" t="s">
        <v>53</v>
      </c>
      <c r="M176" s="4">
        <v>9.0</v>
      </c>
      <c r="N176" s="1" t="b">
        <v>1</v>
      </c>
      <c r="O176" s="4">
        <v>360.0</v>
      </c>
    </row>
    <row r="177">
      <c r="A177" s="2">
        <v>45531.0</v>
      </c>
      <c r="B177" s="1" t="s">
        <v>61</v>
      </c>
      <c r="H177" s="1" t="s">
        <v>1486</v>
      </c>
      <c r="I177" s="3" t="s">
        <v>45</v>
      </c>
      <c r="J177" s="3" t="s">
        <v>1487</v>
      </c>
      <c r="L177" s="3" t="s">
        <v>47</v>
      </c>
    </row>
    <row r="178">
      <c r="A178" s="2">
        <v>45531.0</v>
      </c>
      <c r="B178" s="1" t="s">
        <v>61</v>
      </c>
      <c r="H178" s="1" t="s">
        <v>846</v>
      </c>
      <c r="I178" s="3" t="s">
        <v>63</v>
      </c>
      <c r="J178" s="3" t="s">
        <v>62</v>
      </c>
      <c r="L178" s="3" t="s">
        <v>1528</v>
      </c>
      <c r="M178" s="4">
        <v>6.0</v>
      </c>
      <c r="N178" s="1" t="b">
        <v>1</v>
      </c>
      <c r="O178" s="4">
        <v>240.0</v>
      </c>
    </row>
    <row r="179">
      <c r="A179" s="2">
        <v>45531.0</v>
      </c>
      <c r="B179" s="1" t="s">
        <v>61</v>
      </c>
      <c r="P179" s="4">
        <v>5.0</v>
      </c>
      <c r="Q179" s="1" t="s">
        <v>1490</v>
      </c>
      <c r="R179" s="1" t="s">
        <v>51</v>
      </c>
      <c r="S179" s="4">
        <v>6635.0</v>
      </c>
      <c r="T179" s="4">
        <v>2740.0</v>
      </c>
      <c r="U179" s="4">
        <v>11466.0</v>
      </c>
      <c r="V179" s="4">
        <v>9001.0</v>
      </c>
      <c r="W179" s="4">
        <v>398.0</v>
      </c>
      <c r="X179" s="4">
        <v>2021.0</v>
      </c>
      <c r="Y179" s="4">
        <v>3460.0</v>
      </c>
      <c r="AA179" s="4">
        <v>5025.0</v>
      </c>
      <c r="AB179" s="4">
        <v>39324.0</v>
      </c>
      <c r="AC179" s="4">
        <v>1.0</v>
      </c>
      <c r="AD179" s="4">
        <v>0.2734275222879568</v>
      </c>
      <c r="AI179" s="4">
        <v>600.0</v>
      </c>
      <c r="AJ179" s="4">
        <v>0.0</v>
      </c>
      <c r="AK179" s="4">
        <v>0.0</v>
      </c>
      <c r="AL179" s="4">
        <v>5.0</v>
      </c>
      <c r="AM179" s="1" t="s">
        <v>1544</v>
      </c>
      <c r="AN179" s="4">
        <v>2.0</v>
      </c>
      <c r="AO179" s="4">
        <v>102.0</v>
      </c>
      <c r="AP179" s="4">
        <v>20.0</v>
      </c>
      <c r="AQ179" s="4">
        <v>5.0</v>
      </c>
      <c r="AR179" s="4">
        <v>3.0</v>
      </c>
      <c r="AS179" s="4">
        <v>0.25</v>
      </c>
      <c r="AT179" s="4">
        <v>3.0</v>
      </c>
      <c r="AU179" s="4">
        <v>0.75</v>
      </c>
      <c r="AV179" s="4">
        <v>0.15</v>
      </c>
    </row>
    <row r="180">
      <c r="A180" s="2">
        <v>45532.0</v>
      </c>
      <c r="B180" s="1" t="s">
        <v>73</v>
      </c>
      <c r="C180" s="1" t="s">
        <v>438</v>
      </c>
      <c r="D180" s="3" t="s">
        <v>41</v>
      </c>
      <c r="E180" s="3" t="s">
        <v>49</v>
      </c>
      <c r="G180" s="3" t="s">
        <v>50</v>
      </c>
    </row>
    <row r="181">
      <c r="A181" s="2">
        <v>45532.0</v>
      </c>
      <c r="B181" s="1" t="s">
        <v>73</v>
      </c>
      <c r="H181" s="1" t="s">
        <v>1493</v>
      </c>
      <c r="I181" s="3" t="s">
        <v>63</v>
      </c>
      <c r="J181" s="3" t="s">
        <v>1501</v>
      </c>
      <c r="L181" s="3" t="s">
        <v>1502</v>
      </c>
      <c r="M181" s="4">
        <v>6.0</v>
      </c>
      <c r="N181" s="1" t="b">
        <v>1</v>
      </c>
      <c r="O181" s="4">
        <v>240.0</v>
      </c>
    </row>
    <row r="182">
      <c r="A182" s="2">
        <v>45532.0</v>
      </c>
      <c r="B182" s="1" t="s">
        <v>73</v>
      </c>
      <c r="H182" s="1" t="s">
        <v>1486</v>
      </c>
      <c r="I182" s="3" t="s">
        <v>45</v>
      </c>
      <c r="J182" s="3" t="s">
        <v>1487</v>
      </c>
      <c r="L182" s="3" t="s">
        <v>47</v>
      </c>
    </row>
    <row r="183">
      <c r="A183" s="2">
        <v>45532.0</v>
      </c>
      <c r="B183" s="1" t="s">
        <v>73</v>
      </c>
      <c r="H183" s="1" t="s">
        <v>417</v>
      </c>
      <c r="I183" s="3" t="s">
        <v>70</v>
      </c>
      <c r="J183" s="3" t="s">
        <v>1487</v>
      </c>
      <c r="L183" s="3" t="s">
        <v>53</v>
      </c>
      <c r="M183" s="4">
        <v>8.0</v>
      </c>
      <c r="N183" s="1" t="b">
        <v>1</v>
      </c>
      <c r="O183" s="4">
        <v>320.0</v>
      </c>
    </row>
    <row r="184">
      <c r="A184" s="2">
        <v>45532.0</v>
      </c>
      <c r="B184" s="1" t="s">
        <v>73</v>
      </c>
      <c r="H184" s="1" t="s">
        <v>846</v>
      </c>
      <c r="I184" s="3" t="s">
        <v>45</v>
      </c>
      <c r="J184" s="3" t="s">
        <v>1487</v>
      </c>
      <c r="L184" s="3" t="s">
        <v>47</v>
      </c>
      <c r="M184" s="4">
        <v>7.0</v>
      </c>
      <c r="N184" s="1" t="b">
        <v>1</v>
      </c>
      <c r="O184" s="4">
        <v>280.0</v>
      </c>
    </row>
    <row r="185">
      <c r="A185" s="2">
        <v>45532.0</v>
      </c>
      <c r="B185" s="1" t="s">
        <v>73</v>
      </c>
      <c r="P185" s="4">
        <v>3.0</v>
      </c>
      <c r="Q185" s="1" t="s">
        <v>1490</v>
      </c>
      <c r="R185" s="1" t="s">
        <v>51</v>
      </c>
      <c r="S185" s="4">
        <v>5618.0</v>
      </c>
      <c r="T185" s="4">
        <v>3298.0</v>
      </c>
      <c r="U185" s="4">
        <v>10741.0</v>
      </c>
      <c r="V185" s="4">
        <v>9354.0</v>
      </c>
      <c r="W185" s="4">
        <v>0.0</v>
      </c>
      <c r="X185" s="4">
        <v>963.0</v>
      </c>
      <c r="Y185" s="4">
        <v>1615.0</v>
      </c>
      <c r="AA185" s="4">
        <v>2099.0</v>
      </c>
      <c r="AB185" s="4">
        <v>39161.5</v>
      </c>
      <c r="AC185" s="4">
        <v>0.5</v>
      </c>
      <c r="AD185" s="4">
        <v>0.29132142248002785</v>
      </c>
      <c r="AG185" s="4">
        <v>5597.0</v>
      </c>
      <c r="AI185" s="4">
        <v>840.0</v>
      </c>
      <c r="AJ185" s="4">
        <v>0.0</v>
      </c>
      <c r="AK185" s="4">
        <v>0.0</v>
      </c>
      <c r="AL185" s="4">
        <v>6.0</v>
      </c>
      <c r="AM185" s="1" t="s">
        <v>1545</v>
      </c>
      <c r="AN185" s="4">
        <v>3.0</v>
      </c>
      <c r="AO185" s="4">
        <v>94.0</v>
      </c>
      <c r="AP185" s="4">
        <v>24.0</v>
      </c>
      <c r="AQ185" s="4">
        <v>4.0</v>
      </c>
      <c r="AR185" s="4">
        <v>3.0</v>
      </c>
      <c r="AS185" s="4">
        <v>0.25</v>
      </c>
      <c r="AT185" s="4">
        <v>3.0</v>
      </c>
      <c r="AU185" s="4">
        <v>0.75</v>
      </c>
      <c r="AV185" s="4">
        <v>0.125</v>
      </c>
    </row>
    <row r="186">
      <c r="A186" s="2">
        <v>45533.0</v>
      </c>
      <c r="B186" s="1" t="s">
        <v>1478</v>
      </c>
      <c r="C186" s="1" t="s">
        <v>361</v>
      </c>
      <c r="D186" s="3" t="s">
        <v>45</v>
      </c>
      <c r="E186" s="3" t="s">
        <v>49</v>
      </c>
      <c r="G186" s="3" t="s">
        <v>64</v>
      </c>
    </row>
    <row r="187">
      <c r="A187" s="2">
        <v>45533.0</v>
      </c>
      <c r="B187" s="1" t="s">
        <v>1478</v>
      </c>
      <c r="C187" s="1" t="s">
        <v>1479</v>
      </c>
      <c r="D187" s="3" t="s">
        <v>1546</v>
      </c>
      <c r="E187" s="3" t="s">
        <v>1533</v>
      </c>
      <c r="G187" s="3" t="s">
        <v>43</v>
      </c>
    </row>
    <row r="188">
      <c r="A188" s="2">
        <v>45533.0</v>
      </c>
      <c r="B188" s="1" t="s">
        <v>1478</v>
      </c>
      <c r="C188" s="1" t="s">
        <v>51</v>
      </c>
      <c r="D188" s="3" t="s">
        <v>1533</v>
      </c>
      <c r="E188" s="3" t="s">
        <v>1487</v>
      </c>
      <c r="G188" s="3" t="s">
        <v>1491</v>
      </c>
    </row>
    <row r="189">
      <c r="A189" s="2">
        <v>45533.0</v>
      </c>
      <c r="B189" s="1" t="s">
        <v>1478</v>
      </c>
      <c r="H189" s="1" t="s">
        <v>417</v>
      </c>
      <c r="I189" s="3" t="s">
        <v>70</v>
      </c>
      <c r="J189" s="3" t="s">
        <v>46</v>
      </c>
      <c r="L189" s="3" t="s">
        <v>53</v>
      </c>
      <c r="M189" s="4">
        <v>11.0</v>
      </c>
      <c r="N189" s="1" t="b">
        <v>1</v>
      </c>
      <c r="O189" s="4">
        <v>440.0</v>
      </c>
    </row>
    <row r="190">
      <c r="A190" s="2">
        <v>45533.0</v>
      </c>
      <c r="B190" s="1" t="s">
        <v>1478</v>
      </c>
      <c r="H190" s="1" t="s">
        <v>298</v>
      </c>
      <c r="I190" s="3" t="s">
        <v>63</v>
      </c>
      <c r="J190" s="3" t="s">
        <v>45</v>
      </c>
      <c r="L190" s="3" t="s">
        <v>64</v>
      </c>
      <c r="M190" s="4">
        <v>5.0</v>
      </c>
    </row>
    <row r="191">
      <c r="A191" s="2">
        <v>45533.0</v>
      </c>
      <c r="B191" s="1" t="s">
        <v>1478</v>
      </c>
      <c r="H191" s="1" t="s">
        <v>466</v>
      </c>
      <c r="I191" s="3" t="s">
        <v>45</v>
      </c>
      <c r="J191" s="3" t="s">
        <v>49</v>
      </c>
      <c r="L191" s="3" t="s">
        <v>64</v>
      </c>
      <c r="M191" s="4">
        <v>10.0</v>
      </c>
      <c r="N191" s="1" t="b">
        <v>1</v>
      </c>
      <c r="O191" s="4">
        <v>400.0</v>
      </c>
    </row>
    <row r="192">
      <c r="A192" s="2">
        <v>45533.0</v>
      </c>
      <c r="B192" s="1" t="s">
        <v>1478</v>
      </c>
      <c r="P192" s="4">
        <v>4.0</v>
      </c>
      <c r="Q192" s="1" t="s">
        <v>1479</v>
      </c>
      <c r="R192" s="1" t="s">
        <v>51</v>
      </c>
      <c r="S192" s="4">
        <v>5746.0</v>
      </c>
      <c r="T192" s="4">
        <v>6961.0</v>
      </c>
      <c r="U192" s="4">
        <v>10051.0</v>
      </c>
      <c r="V192" s="4">
        <v>9620.0</v>
      </c>
      <c r="W192" s="4">
        <v>299.0</v>
      </c>
      <c r="X192" s="4">
        <v>5046.0</v>
      </c>
      <c r="Y192" s="4">
        <v>2586.0</v>
      </c>
      <c r="AA192" s="4">
        <v>7551.0</v>
      </c>
      <c r="AB192" s="4">
        <v>44655.0</v>
      </c>
      <c r="AC192" s="4">
        <v>0.0</v>
      </c>
      <c r="AD192" s="4">
        <v>0.380573156118052</v>
      </c>
      <c r="AE192" s="4">
        <v>1001.0</v>
      </c>
      <c r="AI192" s="4">
        <v>840.0</v>
      </c>
      <c r="AJ192" s="4">
        <v>0.0</v>
      </c>
      <c r="AK192" s="4">
        <v>0.0</v>
      </c>
      <c r="AL192" s="4">
        <v>7.0</v>
      </c>
      <c r="AM192" s="1" t="s">
        <v>1547</v>
      </c>
      <c r="AN192" s="4">
        <v>2.0</v>
      </c>
      <c r="AO192" s="4">
        <v>114.0</v>
      </c>
      <c r="AP192" s="4">
        <v>30.0</v>
      </c>
      <c r="AQ192" s="4">
        <v>4.0</v>
      </c>
      <c r="AR192" s="4">
        <v>2.0</v>
      </c>
      <c r="AS192" s="4">
        <v>0.23333333333333334</v>
      </c>
      <c r="AT192" s="4">
        <v>2.0</v>
      </c>
      <c r="AU192" s="4">
        <v>0.7666666666666666</v>
      </c>
      <c r="AV192" s="4">
        <v>0.06666666666666667</v>
      </c>
    </row>
    <row r="193">
      <c r="A193" s="2"/>
    </row>
    <row r="194">
      <c r="A194" s="2"/>
    </row>
    <row r="195">
      <c r="A195" s="2"/>
    </row>
    <row r="196" ht="18.75" customHeight="1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8"/>
      <c r="B1" s="9" t="s">
        <v>1548</v>
      </c>
      <c r="C1" s="10" t="s">
        <v>0</v>
      </c>
      <c r="D1" s="11">
        <v>46004.0</v>
      </c>
      <c r="E1" s="12"/>
      <c r="F1" s="13" t="s">
        <v>28</v>
      </c>
      <c r="G1" s="14"/>
      <c r="H1" s="15"/>
      <c r="I1" s="13" t="s">
        <v>26</v>
      </c>
      <c r="J1" s="14"/>
      <c r="K1" s="15"/>
      <c r="L1" s="16" t="s">
        <v>1549</v>
      </c>
      <c r="M1" s="17"/>
    </row>
    <row r="2" ht="19.5" customHeight="1">
      <c r="A2" s="8"/>
      <c r="B2" s="18"/>
      <c r="C2" s="18"/>
      <c r="D2" s="19"/>
      <c r="E2" s="20"/>
      <c r="F2" s="21">
        <f>IFERROR(__xludf.DUMMYFUNCTION("IF(I2&gt;0, 
    100 / (I2 / 112 * 100 / ((SUM(A12:A21, A25:A31) + (M17 + I32) + IFERROR(SUM(FILTER(HR!W5:W48, LEN(HR!A5:A48) &gt; 0)), 0)) / 100)), 
    ""Zadej tržbu"")
"),0.020798514391829157)</f>
        <v>0.02079851439</v>
      </c>
      <c r="H2" s="22"/>
      <c r="I2" s="23">
        <f>SUM(RestiaCSV!C:C) - SUMIFS(RestiaCSV!C:C, RestiaCSV!B:B, "canceled")</f>
        <v>36618</v>
      </c>
      <c r="K2" s="22"/>
      <c r="L2" s="24" t="s">
        <v>1550</v>
      </c>
      <c r="M2" s="25">
        <f>SUMIFS(RestiaCSV!C:C, RestiaCSV!A:A, Report!L2, RestiaCSV!B:B, "&lt;&gt;canceled")</f>
        <v>9034</v>
      </c>
    </row>
    <row r="3">
      <c r="A3" s="26"/>
      <c r="B3" s="27" t="str">
        <f>CHOOSE(WEEKDAY(D1), "Neděle", "Pondělí", "Úterý", "Středa", "Čtvrtek", "Pátek", "Sobota")</f>
        <v>Sobota</v>
      </c>
      <c r="C3" s="28"/>
      <c r="D3" s="28"/>
      <c r="E3" s="12"/>
      <c r="H3" s="22"/>
      <c r="K3" s="22"/>
      <c r="L3" s="24" t="s">
        <v>1551</v>
      </c>
      <c r="M3" s="25">
        <f>SUMIFS(RestiaCSV!C:C, RestiaCSV!A:A, Report!L3, RestiaCSV!B:B, "&lt;&gt;canceled")</f>
        <v>1056</v>
      </c>
    </row>
    <row r="4">
      <c r="A4" s="26"/>
      <c r="B4" s="19"/>
      <c r="C4" s="29"/>
      <c r="D4" s="29"/>
      <c r="E4" s="20"/>
      <c r="F4" s="29"/>
      <c r="G4" s="29"/>
      <c r="H4" s="20"/>
      <c r="I4" s="29"/>
      <c r="J4" s="29"/>
      <c r="K4" s="20"/>
      <c r="L4" s="24" t="s">
        <v>1552</v>
      </c>
      <c r="M4" s="25">
        <f>SUMIFS(RestiaCSV!C:C, RestiaCSV!A:A, "damejidlo", RestiaCSV!G:G, "online", RestiaCSV!B:B, "&lt;&gt;canceled")</f>
        <v>8491</v>
      </c>
    </row>
    <row r="5">
      <c r="A5" s="26"/>
      <c r="B5" s="30" t="s">
        <v>1553</v>
      </c>
      <c r="C5" s="28"/>
      <c r="D5" s="28"/>
      <c r="E5" s="28"/>
      <c r="F5" s="28"/>
      <c r="G5" s="28"/>
      <c r="H5" s="28"/>
      <c r="I5" s="28"/>
      <c r="J5" s="28"/>
      <c r="K5" s="12"/>
      <c r="L5" s="31" t="s">
        <v>1554</v>
      </c>
      <c r="M5" s="25">
        <f>SUMIFS(RestiaCSV!C:C, RestiaCSV!A:A, "generic", RestiaCSV!G:G, "online", RestiaCSV!B:B, "&lt;&gt;canceled") </f>
        <v>12699</v>
      </c>
    </row>
    <row r="6">
      <c r="A6" s="26"/>
      <c r="B6" s="19"/>
      <c r="C6" s="29"/>
      <c r="D6" s="29"/>
      <c r="E6" s="29"/>
      <c r="F6" s="29"/>
      <c r="G6" s="29"/>
      <c r="H6" s="29"/>
      <c r="I6" s="29"/>
      <c r="J6" s="29"/>
      <c r="K6" s="20"/>
      <c r="L6" s="31" t="s">
        <v>1555</v>
      </c>
      <c r="M6" s="25">
        <f>SUMIFS(RestiaCSV!C:C, RestiaCSV!E:E, "wolt kurýr", RestiaCSV!A:A, "&lt;&gt;wolt", RestiaCSV!G:G, "cash", RestiaCSV!B:B, "&lt;&gt;canceled")</f>
        <v>0</v>
      </c>
    </row>
    <row r="7">
      <c r="A7" s="26"/>
      <c r="B7" s="32"/>
      <c r="C7" s="28"/>
      <c r="D7" s="28"/>
      <c r="E7" s="12"/>
      <c r="F7" s="33"/>
      <c r="J7" s="34"/>
      <c r="K7" s="12"/>
      <c r="L7" s="35" t="s">
        <v>1556</v>
      </c>
      <c r="M7" s="36">
        <f>SUMIFS(RestiaCSV!C:C, RestiaCSV!A:A, "damejidlo", RestiaCSV!G:G, "cash", RestiaCSV!B:B, "&lt;&gt;canceled") </f>
        <v>2093</v>
      </c>
    </row>
    <row r="8">
      <c r="A8" s="26"/>
      <c r="B8" s="37"/>
      <c r="E8" s="22"/>
      <c r="J8" s="37"/>
      <c r="K8" s="22"/>
      <c r="L8" s="38" t="s">
        <v>25</v>
      </c>
      <c r="M8" s="15"/>
    </row>
    <row r="9">
      <c r="A9" s="26"/>
      <c r="B9" s="19"/>
      <c r="C9" s="29"/>
      <c r="D9" s="29"/>
      <c r="E9" s="20"/>
      <c r="F9" s="29"/>
      <c r="G9" s="29"/>
      <c r="H9" s="29"/>
      <c r="I9" s="29"/>
      <c r="J9" s="19"/>
      <c r="K9" s="20"/>
      <c r="L9" s="24" t="s">
        <v>23</v>
      </c>
      <c r="M9" s="39"/>
    </row>
    <row r="10">
      <c r="A10" s="26"/>
      <c r="B10" s="40" t="s">
        <v>1557</v>
      </c>
      <c r="F10" s="22"/>
      <c r="G10" s="41" t="s">
        <v>15</v>
      </c>
      <c r="H10" s="29"/>
      <c r="I10" s="20"/>
      <c r="J10" s="42" t="s">
        <v>1558</v>
      </c>
      <c r="K10" s="20"/>
      <c r="L10" s="24" t="s">
        <v>24</v>
      </c>
      <c r="M10" s="39"/>
    </row>
    <row r="11">
      <c r="A11" s="43"/>
      <c r="B11" s="44" t="s">
        <v>1559</v>
      </c>
      <c r="C11" s="45" t="s">
        <v>1560</v>
      </c>
      <c r="D11" s="45" t="s">
        <v>1561</v>
      </c>
      <c r="E11" s="45" t="s">
        <v>1562</v>
      </c>
      <c r="F11" s="46" t="s">
        <v>1563</v>
      </c>
      <c r="G11" s="47"/>
      <c r="I11" s="22"/>
      <c r="J11" s="48">
        <f>M2+M3+M4+M5+M6+M13+M14+M15+M16+M17+M9+M10+M11-I2</f>
        <v>-4658</v>
      </c>
      <c r="K11" s="12"/>
      <c r="L11" s="49" t="s">
        <v>25</v>
      </c>
      <c r="M11" s="39"/>
    </row>
    <row r="12">
      <c r="A12" s="50">
        <f t="array" ref="A12">IF(ISBLANK(B12), 0, IF(ISNUMBER(MATCH(B12, HR!A:A, 0)), 0, IF(ISNUMBER(MATCH(B12, HR!B:B, 0)), INDEX(HR!V:V, MATCH(B12, HR!B:B, 0)) * (F12 * 24), 0)))</f>
        <v>0</v>
      </c>
      <c r="B12" s="51" t="s">
        <v>51</v>
      </c>
      <c r="C12" s="52" t="s">
        <v>41</v>
      </c>
      <c r="D12" s="52" t="s">
        <v>1487</v>
      </c>
      <c r="E12" s="53"/>
      <c r="F12" s="54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15:00</v>
      </c>
      <c r="I12" s="22"/>
      <c r="J12" s="37"/>
      <c r="K12" s="22"/>
      <c r="L12" s="55" t="s">
        <v>1564</v>
      </c>
      <c r="M12" s="20"/>
    </row>
    <row r="13">
      <c r="A13" s="50">
        <f t="array" ref="A13">IF(ISBLANK(B13), 0, IF(ISNUMBER(MATCH(B13, HR!A:A, 0)), 0, IF(ISNUMBER(MATCH(B13, HR!B:B, 0)), INDEX(HR!V:V, MATCH(B13, HR!B:B, 0)) * (F13 * 24), 0)))</f>
        <v>0</v>
      </c>
      <c r="B13" s="51" t="s">
        <v>1486</v>
      </c>
      <c r="C13" s="52" t="s">
        <v>45</v>
      </c>
      <c r="D13" s="52" t="s">
        <v>42</v>
      </c>
      <c r="E13" s="53"/>
      <c r="F13" s="54" t="str">
        <f t="shared" si="1"/>
        <v>05:00</v>
      </c>
      <c r="G13" s="29"/>
      <c r="H13" s="29"/>
      <c r="I13" s="20"/>
      <c r="J13" s="37"/>
      <c r="K13" s="22"/>
      <c r="L13" s="24" t="s">
        <v>29</v>
      </c>
      <c r="M13" s="39"/>
    </row>
    <row r="14">
      <c r="A14" s="50">
        <f t="array" ref="A14">IF(ISBLANK(B14), 0, IF(ISNUMBER(MATCH(B14, HR!A:A, 0)), 0, IF(ISNUMBER(MATCH(B14, HR!B:B, 0)), INDEX(HR!V:V, MATCH(B14, HR!B:B, 0)) * (F14 * 24), 0)))</f>
        <v>0</v>
      </c>
      <c r="B14" s="51" t="s">
        <v>1565</v>
      </c>
      <c r="C14" s="52" t="s">
        <v>45</v>
      </c>
      <c r="D14" s="52" t="s">
        <v>1487</v>
      </c>
      <c r="E14" s="53"/>
      <c r="F14" s="54" t="str">
        <f t="shared" si="1"/>
        <v>08:00</v>
      </c>
      <c r="G14" s="56"/>
      <c r="I14" s="22"/>
      <c r="J14" s="37"/>
      <c r="K14" s="22"/>
      <c r="L14" s="57" t="s">
        <v>30</v>
      </c>
      <c r="M14" s="39"/>
    </row>
    <row r="15">
      <c r="A15" s="50">
        <f t="array" ref="A15">IF(ISBLANK(B15), 0, IF(ISNUMBER(MATCH(B15, HR!A:A, 0)), 0, IF(ISNUMBER(MATCH(B15, HR!B:B, 0)), INDEX(HR!V:V, MATCH(B15, HR!B:B, 0)) * (F15 * 24), 0)))</f>
        <v>0</v>
      </c>
      <c r="B15" s="51"/>
      <c r="C15" s="52"/>
      <c r="D15" s="52"/>
      <c r="E15" s="58"/>
      <c r="F15" s="54" t="str">
        <f t="shared" si="1"/>
        <v>0:00</v>
      </c>
      <c r="I15" s="22"/>
      <c r="J15" s="37"/>
      <c r="K15" s="22"/>
      <c r="L15" s="57" t="s">
        <v>31</v>
      </c>
      <c r="M15" s="39"/>
    </row>
    <row r="16">
      <c r="A16" s="50">
        <f t="array" ref="A16">IF(ISBLANK(B16), 0, IF(ISNUMBER(MATCH(B16, HR!A:A, 0)), 0, IF(ISNUMBER(MATCH(B16, HR!B:B, 0)), INDEX(HR!V:V, MATCH(B16, HR!B:B, 0)) * (F16 * 24), 0)))</f>
        <v>0</v>
      </c>
      <c r="B16" s="59"/>
      <c r="C16" s="60"/>
      <c r="D16" s="60"/>
      <c r="E16" s="58"/>
      <c r="F16" s="54" t="str">
        <f t="shared" si="1"/>
        <v>0:00</v>
      </c>
      <c r="I16" s="22"/>
      <c r="J16" s="37"/>
      <c r="K16" s="22"/>
      <c r="L16" s="57" t="s">
        <v>32</v>
      </c>
      <c r="M16" s="39"/>
    </row>
    <row r="17">
      <c r="A17" s="50">
        <f t="array" ref="A17">IF(ISBLANK(B17), 0, IF(ISNUMBER(MATCH(B17, HR!A:A, 0)), 0, IF(ISNUMBER(MATCH(B17, HR!B:B, 0)), INDEX(HR!V:V, MATCH(B17, HR!B:B, 0)) * (F17 * 24), 0)))</f>
        <v>0</v>
      </c>
      <c r="B17" s="59"/>
      <c r="C17" s="60"/>
      <c r="D17" s="60"/>
      <c r="E17" s="53"/>
      <c r="F17" s="54" t="str">
        <f t="shared" si="1"/>
        <v>0:00</v>
      </c>
      <c r="G17" s="29"/>
      <c r="H17" s="29"/>
      <c r="I17" s="20"/>
      <c r="J17" s="19"/>
      <c r="K17" s="20"/>
      <c r="L17" s="61" t="s">
        <v>33</v>
      </c>
      <c r="M17" s="62">
        <f>sum(I25:I31)</f>
        <v>680</v>
      </c>
    </row>
    <row r="18" ht="21.75" customHeight="1">
      <c r="A18" s="50">
        <f t="array" ref="A18">IF(ISBLANK(B18), 0, IF(ISNUMBER(MATCH(B18, HR!A:A, 0)), 0, IF(ISNUMBER(MATCH(B18, HR!B:B, 0)), INDEX(HR!V:V, MATCH(B18, HR!B:B, 0)) * (F18 * 24), 0)))</f>
        <v>0</v>
      </c>
      <c r="B18" s="59"/>
      <c r="C18" s="60"/>
      <c r="D18" s="60"/>
      <c r="E18" s="58"/>
      <c r="F18" s="54" t="str">
        <f t="shared" si="1"/>
        <v>0:00</v>
      </c>
      <c r="G18" s="55" t="s">
        <v>16</v>
      </c>
      <c r="H18" s="29"/>
      <c r="I18" s="20"/>
      <c r="J18" s="63"/>
      <c r="M18" s="64"/>
    </row>
    <row r="19">
      <c r="A19" s="50">
        <f t="array" ref="A19">IF(ISBLANK(B19), 0, IF(ISNUMBER(MATCH(B19, HR!A:A, 0)), 0, IF(ISNUMBER(MATCH(B19, HR!B:B, 0)), INDEX(HR!V:V, MATCH(B19, HR!B:B, 0)) * (F19 * 24), 0)))</f>
        <v>0</v>
      </c>
      <c r="B19" s="59"/>
      <c r="C19" s="60"/>
      <c r="D19" s="60"/>
      <c r="E19" s="58"/>
      <c r="F19" s="54" t="str">
        <f t="shared" si="1"/>
        <v>0:00</v>
      </c>
      <c r="G19" s="47"/>
      <c r="I19" s="22"/>
      <c r="M19" s="64"/>
    </row>
    <row r="20">
      <c r="A20" s="50">
        <f t="array" ref="A20">IF(ISBLANK(B20), 0, IF(ISNUMBER(MATCH(B20, HR!A:A, 0)), 0, IF(ISNUMBER(MATCH(B20, HR!B:B, 0)), INDEX(HR!V:V, MATCH(B20, HR!B:B, 0)) * (F20 * 24), 0)))</f>
        <v>0</v>
      </c>
      <c r="B20" s="59"/>
      <c r="C20" s="65"/>
      <c r="D20" s="65"/>
      <c r="E20" s="58"/>
      <c r="F20" s="54" t="str">
        <f t="shared" si="1"/>
        <v>0:00</v>
      </c>
      <c r="I20" s="22"/>
      <c r="M20" s="64"/>
    </row>
    <row r="21" ht="23.25" customHeight="1">
      <c r="A21" s="50">
        <f t="array" ref="A21">IF(ISBLANK(B21), 0, IF(ISNUMBER(MATCH(B21, HR!A:A, 0)), 0, IF(ISNUMBER(MATCH(B21, HR!B:B, 0)), INDEX(HR!V:V, MATCH(B21, HR!B:B, 0)) * (F21 * 24), 0)))</f>
        <v>0</v>
      </c>
      <c r="B21" s="66"/>
      <c r="C21" s="67"/>
      <c r="D21" s="67"/>
      <c r="E21" s="68"/>
      <c r="F21" s="69" t="str">
        <f t="shared" si="1"/>
        <v>0:00</v>
      </c>
      <c r="G21" s="29"/>
      <c r="H21" s="29"/>
      <c r="I21" s="20"/>
      <c r="M21" s="64"/>
    </row>
    <row r="22">
      <c r="A22" s="70"/>
      <c r="B22" s="71"/>
      <c r="C22" s="29"/>
      <c r="D22" s="29"/>
      <c r="E22" s="29"/>
      <c r="F22" s="29"/>
      <c r="G22" s="29"/>
      <c r="H22" s="29"/>
      <c r="I22" s="20"/>
      <c r="J22" s="72" t="s">
        <v>34</v>
      </c>
      <c r="K22" s="72" t="s">
        <v>35</v>
      </c>
      <c r="L22" s="73" t="s">
        <v>1566</v>
      </c>
      <c r="M22" s="73" t="s">
        <v>37</v>
      </c>
    </row>
    <row r="23">
      <c r="A23" s="74"/>
      <c r="B23" s="40" t="s">
        <v>78</v>
      </c>
      <c r="I23" s="22"/>
      <c r="J23" s="75">
        <f>COUNTIF(RestiaCSV!B:B, "canceled")</f>
        <v>0</v>
      </c>
      <c r="K23" s="76">
        <f>SUMIF(RestiaCSV!B:B, "canceled", RestiaCSV!C:C)</f>
        <v>0</v>
      </c>
      <c r="L23" s="77">
        <f>COUNTIFS(RestiaCSV!L:L, "&gt;5", RestiaCSV!F:F, "delivery")</f>
        <v>5</v>
      </c>
      <c r="M23" s="75" t="str">
        <f>INT(AVERAGEIFS(RestiaCSV!N:N, RestiaCSV!N:N, "&gt;=5", RestiaCSV!N:N, "&lt;=30")) &amp; " min " &amp; TEXT(MOD(AVERAGEIFS(RestiaCSV!N:N, RestiaCSV!N:N, "&gt;=5", RestiaCSV!N:N, "&lt;=30") * 60, 60), "00") &amp; " s"</f>
        <v>13 min 24 s</v>
      </c>
    </row>
    <row r="24" ht="21.75" customHeight="1">
      <c r="A24" s="70"/>
      <c r="B24" s="44" t="s">
        <v>1559</v>
      </c>
      <c r="C24" s="45" t="s">
        <v>1560</v>
      </c>
      <c r="D24" s="45" t="s">
        <v>1561</v>
      </c>
      <c r="E24" s="45" t="s">
        <v>1562</v>
      </c>
      <c r="F24" s="78" t="s">
        <v>1563</v>
      </c>
      <c r="G24" s="78" t="s">
        <v>1567</v>
      </c>
      <c r="H24" s="78" t="s">
        <v>1568</v>
      </c>
      <c r="I24" s="79" t="s">
        <v>13</v>
      </c>
      <c r="J24" s="80" t="s">
        <v>1569</v>
      </c>
      <c r="K24" s="81" t="s">
        <v>1470</v>
      </c>
      <c r="L24" s="80" t="s">
        <v>1471</v>
      </c>
      <c r="M24" s="81" t="s">
        <v>1472</v>
      </c>
    </row>
    <row r="25">
      <c r="A25" s="50">
        <f t="array" ref="A25">IF(ISBLANK(B25), 0, IF(ISNUMBER(MATCH(B25, HR!A:A, 0)), 0, IF(ISNUMBER(MATCH(B25, HR!B:B, 0)), INDEX(HR!V:V, MATCH(B25, HR!B:B, 0)) * (F25 * 24), 0)))</f>
        <v>0</v>
      </c>
      <c r="B25" s="82" t="s">
        <v>1570</v>
      </c>
      <c r="C25" s="52" t="s">
        <v>63</v>
      </c>
      <c r="D25" s="52" t="s">
        <v>70</v>
      </c>
      <c r="E25" s="83"/>
      <c r="F25" s="84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07:00</v>
      </c>
      <c r="G25" s="85">
        <f>COUNTIF(RestiaCSV!E:E, B25)</f>
        <v>7</v>
      </c>
      <c r="H25" s="86" t="b">
        <v>0</v>
      </c>
      <c r="I25" s="87">
        <f t="shared" ref="I25:I31" si="3">IF(H25,G25*40, 0)</f>
        <v>0</v>
      </c>
      <c r="J25" s="88"/>
      <c r="K25" s="88"/>
      <c r="L25" s="88"/>
      <c r="M25" s="88"/>
    </row>
    <row r="26">
      <c r="A26" s="50">
        <f t="array" ref="A26">IF(ISBLANK(B26), 0, IF(ISNUMBER(MATCH(B26, HR!A:A, 0)), 0, IF(ISNUMBER(MATCH(B26, HR!B:B, 0)), INDEX(HR!V:V, MATCH(B26, HR!B:B, 0)) * (F26 * 24), 0)))</f>
        <v>0</v>
      </c>
      <c r="B26" s="89" t="s">
        <v>1571</v>
      </c>
      <c r="C26" s="52" t="s">
        <v>63</v>
      </c>
      <c r="D26" s="52" t="s">
        <v>1487</v>
      </c>
      <c r="E26" s="90"/>
      <c r="F26" s="84" t="str">
        <f t="shared" si="2"/>
        <v>14:00</v>
      </c>
      <c r="G26" s="85">
        <f>COUNTIF(RestiaCSV!E:E, B26)</f>
        <v>15</v>
      </c>
      <c r="H26" s="86" t="b">
        <v>1</v>
      </c>
      <c r="I26" s="91">
        <f t="shared" si="3"/>
        <v>600</v>
      </c>
      <c r="J26" s="92">
        <f>COUNTIF(I25:I31, "&gt;0")</f>
        <v>2</v>
      </c>
      <c r="K26" s="77">
        <f>IFERROR(__xludf.DUMMYFUNCTION("COUNTA(FILTER(RestiaCSV!B2:B32, RestiaCSV!B2:B32 &lt;&gt; ""canceled""))"),78.0)</f>
        <v>78</v>
      </c>
      <c r="L26" s="77">
        <f>COUNTIF(RestiaCSV!F1:F32, "delivery")</f>
        <v>24</v>
      </c>
      <c r="M26" s="93">
        <f>COUNTIFS(RestiaCSV!M:M, "&gt;5",RestiaCSV!A:A, "&lt;&gt;wolt")</f>
        <v>0</v>
      </c>
    </row>
    <row r="27">
      <c r="A27" s="50">
        <f t="array" ref="A27">IF(ISBLANK(B27), 0, IF(ISNUMBER(MATCH(B27, HR!A:A, 0)), 0, IF(ISNUMBER(MATCH(B27, HR!B:B, 0)), INDEX(HR!V:V, MATCH(B27, HR!B:B, 0)) * (F27 * 24), 0)))</f>
        <v>0</v>
      </c>
      <c r="B27" s="51" t="s">
        <v>1572</v>
      </c>
      <c r="C27" s="94" t="s">
        <v>45</v>
      </c>
      <c r="D27" s="94"/>
      <c r="E27" s="90"/>
      <c r="F27" s="84" t="str">
        <f t="shared" si="2"/>
        <v>0:00</v>
      </c>
      <c r="G27" s="85">
        <f>COUNTIF(RestiaCSV!E:E, B27)</f>
        <v>0</v>
      </c>
      <c r="H27" s="86" t="b">
        <v>0</v>
      </c>
      <c r="I27" s="91">
        <f t="shared" si="3"/>
        <v>0</v>
      </c>
      <c r="J27" s="95" t="s">
        <v>1573</v>
      </c>
      <c r="K27" s="96"/>
      <c r="L27" s="80" t="s">
        <v>1474</v>
      </c>
      <c r="M27" s="81" t="s">
        <v>1475</v>
      </c>
    </row>
    <row r="28">
      <c r="A28" s="50">
        <f t="array" ref="A28">IF(ISBLANK(B28), 0, IF(ISNUMBER(MATCH(B28, HR!A:A, 0)), 0, IF(ISNUMBER(MATCH(B28, HR!B:B, 0)), INDEX(HR!V:V, MATCH(B28, HR!B:B, 0)) * (F28 * 24), 0)))</f>
        <v>0</v>
      </c>
      <c r="B28" s="59" t="s">
        <v>1574</v>
      </c>
      <c r="C28" s="83" t="s">
        <v>45</v>
      </c>
      <c r="D28" s="83"/>
      <c r="E28" s="90"/>
      <c r="F28" s="84" t="str">
        <f t="shared" si="2"/>
        <v>0:00</v>
      </c>
      <c r="G28" s="85">
        <f>COUNTIF(RestiaCSV!E:E, B28)</f>
        <v>2</v>
      </c>
      <c r="H28" s="86" t="b">
        <v>1</v>
      </c>
      <c r="I28" s="91">
        <f t="shared" si="3"/>
        <v>80</v>
      </c>
      <c r="J28" s="97"/>
      <c r="K28" s="98"/>
      <c r="L28" s="88"/>
      <c r="M28" s="88"/>
    </row>
    <row r="29">
      <c r="A29" s="50">
        <f t="array" ref="A29">IF(ISBLANK(B29), 0, IF(ISNUMBER(MATCH(B29, HR!A:A, 0)), 0, IF(ISNUMBER(MATCH(B29, HR!B:B, 0)), INDEX(HR!V:V, MATCH(B29, HR!B:B, 0)) * (F29 * 24), 0)))</f>
        <v>0</v>
      </c>
      <c r="B29" s="59"/>
      <c r="C29" s="83"/>
      <c r="D29" s="83"/>
      <c r="E29" s="90"/>
      <c r="F29" s="84" t="str">
        <f t="shared" si="2"/>
        <v>0:00</v>
      </c>
      <c r="G29" s="85">
        <f>COUNTIF(RestiaCSV!E:E, B29)</f>
        <v>0</v>
      </c>
      <c r="H29" s="86" t="b">
        <v>0</v>
      </c>
      <c r="I29" s="91">
        <f t="shared" si="3"/>
        <v>0</v>
      </c>
      <c r="J29" s="99">
        <f>COUNTIFS(RestiaCSV!M:M, "&gt;5", RestiaCSV!L:L, "&gt;5")</f>
        <v>0</v>
      </c>
      <c r="K29" s="100"/>
      <c r="L29" s="101">
        <f>L23/L26</f>
        <v>0.2083333333</v>
      </c>
      <c r="M29" s="77">
        <f>COUNTIFS(RestiaCSV!L:L, "&gt;5", RestiaCSV!F:F, "delivery", RestiaCSV!E:E, "Wolt Kurýr")</f>
        <v>0</v>
      </c>
    </row>
    <row r="30">
      <c r="A30" s="50">
        <f t="array" ref="A30">IF(ISBLANK(B30), 0, IF(ISNUMBER(MATCH(B30, HR!A:A, 0)), 0, IF(ISNUMBER(MATCH(B30, HR!B:B, 0)), INDEX(HR!V:V, MATCH(B30, HR!B:B, 0)) * (F30 * 24), 0)))</f>
        <v>0</v>
      </c>
      <c r="B30" s="59"/>
      <c r="C30" s="83"/>
      <c r="D30" s="83"/>
      <c r="E30" s="90"/>
      <c r="F30" s="84" t="str">
        <f t="shared" si="2"/>
        <v>0:00</v>
      </c>
      <c r="G30" s="85">
        <f>COUNTIF(RestiaCSV!E:E, B30)</f>
        <v>0</v>
      </c>
      <c r="H30" s="86" t="b">
        <v>0</v>
      </c>
      <c r="I30" s="91">
        <f t="shared" si="3"/>
        <v>0</v>
      </c>
      <c r="J30" s="102"/>
      <c r="K30" s="102"/>
      <c r="L30" s="81" t="s">
        <v>1476</v>
      </c>
      <c r="M30" s="81" t="s">
        <v>1477</v>
      </c>
    </row>
    <row r="31">
      <c r="A31" s="50">
        <f t="array" ref="A31">IF(ISBLANK(B31), 0, IF(ISNUMBER(MATCH(B31, HR!A:A, 0)), 0, IF(ISNUMBER(MATCH(B31, HR!B:B, 0)), INDEX(HR!V:V, MATCH(B31, HR!B:B, 0)) * (F31 * 24), 0)))</f>
        <v>0</v>
      </c>
      <c r="B31" s="103"/>
      <c r="C31" s="104"/>
      <c r="D31" s="104"/>
      <c r="E31" s="105"/>
      <c r="F31" s="106" t="str">
        <f t="shared" si="2"/>
        <v>0:00</v>
      </c>
      <c r="G31" s="85">
        <f>COUNTIF(RestiaCSV!E:E, B31)</f>
        <v>0</v>
      </c>
      <c r="H31" s="86" t="b">
        <v>0</v>
      </c>
      <c r="I31" s="91">
        <f t="shared" si="3"/>
        <v>0</v>
      </c>
      <c r="J31" s="102"/>
      <c r="K31" s="102"/>
      <c r="L31" s="88"/>
      <c r="M31" s="88"/>
    </row>
    <row r="32">
      <c r="A32" s="107"/>
      <c r="B32" s="108" t="s">
        <v>90</v>
      </c>
      <c r="C32" s="109" t="s">
        <v>14</v>
      </c>
      <c r="D32" s="14"/>
      <c r="E32" s="14"/>
      <c r="F32" s="15"/>
      <c r="G32" s="110">
        <f>COUNTIFS(RestiaCSV!E:E, "wolt kurýr", RestiaCSV!A:A, "&lt;&gt;wolt")</f>
        <v>0</v>
      </c>
      <c r="H32" s="111" t="b">
        <v>1</v>
      </c>
      <c r="I32" s="112">
        <f>G32*127</f>
        <v>0</v>
      </c>
      <c r="J32" s="113"/>
      <c r="K32" s="113"/>
      <c r="L32" s="101">
        <f>100%-L29</f>
        <v>0.7916666667</v>
      </c>
      <c r="M32" s="101">
        <f>M29/L26</f>
        <v>0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conditionalFormatting sqref="M9:M11">
    <cfRule type="expression" dxfId="2" priority="4">
      <formula>ISNUMBER(A1)</formula>
    </cfRule>
  </conditionalFormatting>
  <dataValidations>
    <dataValidation type="list" allowBlank="1" sqref="B12:B21">
      <formula1>"Sova Martin,Ahurieva Viktoriia,Pešová Hana,Šebesta Tomáš,Hegedüs Erik,Pelikán Jan,Yarushynskyi Vladyslav,Kursheva Diana,Chlubnová Adéla,Céspedes Miranda Sebastián"</formula1>
    </dataValidation>
    <dataValidation type="list" allowBlank="1" sqref="B25:B31">
      <formula1>"Jurkovič Martin,Navrátil Ondřej,Nekolný Vladimír,Lanský Zoltan,Hyský Aleš,Lažek Jaroslav,Chlubna Tomáš,Hřebík Martin,Reischl Jan,Pražák Aleš,Fabera Tomáš,Hubr Samuel,Jan Přibyl"</formula1>
    </dataValidation>
    <dataValidation type="list" allowBlank="1" sqref="G11 G19">
      <formula1>"Šebesta Tomáš,Pešová Hana,Chlubnová Adéla"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  <col hidden="1" min="14" max="14" width="12.63"/>
  </cols>
  <sheetData>
    <row r="1">
      <c r="A1" s="114"/>
      <c r="B1" s="115" t="str">
        <f>Report!B1</f>
        <v>Chodov</v>
      </c>
      <c r="C1" s="116">
        <v>45992.0</v>
      </c>
      <c r="D1" s="117" t="s">
        <v>1575</v>
      </c>
      <c r="E1" s="118">
        <v>46022.0</v>
      </c>
      <c r="F1" s="119" t="s">
        <v>28</v>
      </c>
      <c r="G1" s="14"/>
      <c r="H1" s="15"/>
      <c r="I1" s="119" t="s">
        <v>26</v>
      </c>
      <c r="J1" s="14"/>
      <c r="K1" s="15"/>
      <c r="L1" s="120" t="s">
        <v>1549</v>
      </c>
      <c r="M1" s="22"/>
      <c r="N1" s="120"/>
    </row>
    <row r="2" ht="19.5" customHeight="1">
      <c r="A2" s="114"/>
      <c r="B2" s="18"/>
      <c r="C2" s="19"/>
      <c r="D2" s="18"/>
      <c r="E2" s="20"/>
      <c r="F2" s="121">
        <v>0.2883158748422048</v>
      </c>
      <c r="H2" s="22"/>
      <c r="I2" s="122">
        <v>668801.0</v>
      </c>
      <c r="K2" s="22"/>
      <c r="L2" s="123" t="s">
        <v>1550</v>
      </c>
      <c r="M2" s="124">
        <v>155029.0</v>
      </c>
      <c r="N2" s="125"/>
    </row>
    <row r="3">
      <c r="A3" s="126"/>
      <c r="B3" s="127" t="str">
        <f>CHOOSE(WEEKDAY(C1), "Neděle", "Pondělí", "Úterý", "Středa", "Čtvrtek", "Pátek", "Sobota")</f>
        <v>Pondělí</v>
      </c>
      <c r="C3" s="28"/>
      <c r="D3" s="127" t="str">
        <f>CHOOSE(WEEKDAY(E1), "Neděle", "Pondělí", "Úterý", "Středa", "Čtvrtek", "Pátek", "Sobota")</f>
        <v>Středa</v>
      </c>
      <c r="E3" s="12"/>
      <c r="H3" s="22"/>
      <c r="K3" s="22"/>
      <c r="L3" s="128" t="s">
        <v>1551</v>
      </c>
      <c r="M3" s="129">
        <v>60062.0</v>
      </c>
      <c r="N3" s="125"/>
    </row>
    <row r="4">
      <c r="A4" s="126"/>
      <c r="B4" s="19"/>
      <c r="C4" s="29"/>
      <c r="D4" s="19"/>
      <c r="E4" s="20"/>
      <c r="F4" s="29"/>
      <c r="G4" s="29"/>
      <c r="H4" s="20"/>
      <c r="I4" s="29"/>
      <c r="J4" s="29"/>
      <c r="K4" s="20"/>
      <c r="L4" s="128" t="s">
        <v>1552</v>
      </c>
      <c r="M4" s="129">
        <v>145767.0</v>
      </c>
      <c r="N4" s="125"/>
    </row>
    <row r="5">
      <c r="A5" s="130"/>
      <c r="B5" s="131" t="s">
        <v>1576</v>
      </c>
      <c r="C5" s="28"/>
      <c r="D5" s="28"/>
      <c r="E5" s="12"/>
      <c r="F5" s="132" t="s">
        <v>1577</v>
      </c>
      <c r="G5" s="28"/>
      <c r="H5" s="28"/>
      <c r="I5" s="28"/>
      <c r="J5" s="28"/>
      <c r="K5" s="12"/>
      <c r="L5" s="133" t="s">
        <v>1554</v>
      </c>
      <c r="M5" s="129">
        <v>164710.0</v>
      </c>
      <c r="N5" s="125"/>
    </row>
    <row r="6">
      <c r="A6" s="130"/>
      <c r="B6" s="19"/>
      <c r="C6" s="29"/>
      <c r="D6" s="29"/>
      <c r="E6" s="20"/>
      <c r="F6" s="29"/>
      <c r="G6" s="29"/>
      <c r="H6" s="29"/>
      <c r="I6" s="29"/>
      <c r="J6" s="29"/>
      <c r="K6" s="20"/>
      <c r="L6" s="133" t="s">
        <v>1555</v>
      </c>
      <c r="M6" s="129">
        <v>393.0</v>
      </c>
      <c r="N6" s="125"/>
    </row>
    <row r="7">
      <c r="A7" s="134"/>
      <c r="B7" s="135">
        <f>TEXT(SUMPRODUCT((IFERROR(LEFT(D10:D30, FIND(":", D10:D30) - 1) * 60, 0) + IFERROR(MID(D10:D30, FIND(":", D10:D30) + 1, LEN(D10:D30) - FIND(":", D10:D30)), 0))), "[h]:mm")/60</f>
        <v>333</v>
      </c>
      <c r="C7" s="29"/>
      <c r="D7" s="29"/>
      <c r="E7" s="20"/>
      <c r="F7" s="136">
        <f>TEXT(SUMPRODUCT((IFERROR(LEFT(H10:H30, FIND(":", H10:H30) - 1) * 60, 0) + IFERROR(MID(H10:H30, FIND(":", H10:H30) + 1, LEN(H10:H30) - FIND(":", H10:H30)), 0))), "[h]:mm")/60</f>
        <v>228.5</v>
      </c>
      <c r="G7" s="14"/>
      <c r="H7" s="14"/>
      <c r="I7" s="14"/>
      <c r="J7" s="137"/>
      <c r="K7" s="137"/>
      <c r="L7" s="138" t="s">
        <v>1556</v>
      </c>
      <c r="M7" s="139">
        <v>17325.0</v>
      </c>
      <c r="N7" s="125"/>
    </row>
    <row r="8">
      <c r="A8" s="140"/>
      <c r="B8" s="141" t="s">
        <v>1557</v>
      </c>
      <c r="C8" s="14"/>
      <c r="D8" s="14"/>
      <c r="E8" s="15"/>
      <c r="F8" s="142" t="s">
        <v>78</v>
      </c>
      <c r="G8" s="14"/>
      <c r="H8" s="14"/>
      <c r="I8" s="15"/>
      <c r="J8" s="143" t="s">
        <v>1558</v>
      </c>
      <c r="K8" s="12"/>
      <c r="L8" s="144" t="s">
        <v>25</v>
      </c>
      <c r="M8" s="15"/>
      <c r="N8" s="120"/>
    </row>
    <row r="9">
      <c r="A9" s="145"/>
      <c r="B9" s="146" t="s">
        <v>1559</v>
      </c>
      <c r="C9" s="147" t="s">
        <v>1578</v>
      </c>
      <c r="D9" s="147" t="s">
        <v>1563</v>
      </c>
      <c r="E9" s="148"/>
      <c r="F9" s="146" t="s">
        <v>1559</v>
      </c>
      <c r="G9" s="147" t="s">
        <v>1578</v>
      </c>
      <c r="H9" s="147" t="s">
        <v>1563</v>
      </c>
      <c r="I9" s="149" t="s">
        <v>1567</v>
      </c>
      <c r="J9" s="150">
        <v>1.5</v>
      </c>
      <c r="K9" s="12"/>
      <c r="L9" s="151" t="s">
        <v>23</v>
      </c>
      <c r="M9" s="129">
        <v>70600.5</v>
      </c>
      <c r="N9" s="125"/>
    </row>
    <row r="10" ht="18.75" customHeight="1">
      <c r="A10" s="152"/>
      <c r="B10" s="153" t="s">
        <v>51</v>
      </c>
      <c r="C10" s="154">
        <v>8.0</v>
      </c>
      <c r="D10" s="154" t="s">
        <v>1579</v>
      </c>
      <c r="E10" s="155" t="s">
        <v>1580</v>
      </c>
      <c r="F10" s="153" t="s">
        <v>1570</v>
      </c>
      <c r="G10" s="154">
        <v>8.0</v>
      </c>
      <c r="H10" s="154" t="s">
        <v>1581</v>
      </c>
      <c r="I10" s="156">
        <v>57.0</v>
      </c>
      <c r="J10" s="37"/>
      <c r="K10" s="22"/>
      <c r="L10" s="151" t="s">
        <v>24</v>
      </c>
      <c r="M10" s="129">
        <v>0.0</v>
      </c>
      <c r="N10" s="125"/>
    </row>
    <row r="11" ht="18.75" customHeight="1">
      <c r="A11" s="152"/>
      <c r="B11" s="153" t="s">
        <v>1582</v>
      </c>
      <c r="C11" s="154">
        <v>9.0</v>
      </c>
      <c r="D11" s="154" t="s">
        <v>1583</v>
      </c>
      <c r="E11" s="155" t="s">
        <v>49</v>
      </c>
      <c r="F11" s="157" t="s">
        <v>1182</v>
      </c>
      <c r="G11" s="157">
        <v>5.0</v>
      </c>
      <c r="H11" s="157" t="s">
        <v>1584</v>
      </c>
      <c r="I11" s="156">
        <v>67.0</v>
      </c>
      <c r="J11" s="37"/>
      <c r="K11" s="22"/>
      <c r="L11" s="158" t="s">
        <v>25</v>
      </c>
      <c r="M11" s="159">
        <v>53276.0</v>
      </c>
      <c r="N11" s="125"/>
    </row>
    <row r="12" ht="18.75" customHeight="1">
      <c r="A12" s="152"/>
      <c r="B12" s="153" t="s">
        <v>1565</v>
      </c>
      <c r="C12" s="154">
        <v>6.0</v>
      </c>
      <c r="D12" s="154" t="s">
        <v>1585</v>
      </c>
      <c r="E12" s="155" t="s">
        <v>50</v>
      </c>
      <c r="F12" s="160" t="s">
        <v>1571</v>
      </c>
      <c r="G12" s="160">
        <v>3.0</v>
      </c>
      <c r="H12" s="157" t="s">
        <v>50</v>
      </c>
      <c r="I12" s="156">
        <v>21.0</v>
      </c>
      <c r="J12" s="37"/>
      <c r="K12" s="22"/>
      <c r="L12" s="161" t="s">
        <v>1564</v>
      </c>
      <c r="M12" s="20"/>
      <c r="N12" s="120"/>
    </row>
    <row r="13" ht="18.75" customHeight="1">
      <c r="A13" s="152"/>
      <c r="B13" s="153" t="s">
        <v>1486</v>
      </c>
      <c r="C13" s="154">
        <v>8.0</v>
      </c>
      <c r="D13" s="154" t="s">
        <v>1586</v>
      </c>
      <c r="E13" s="155" t="s">
        <v>50</v>
      </c>
      <c r="F13" s="160" t="s">
        <v>1494</v>
      </c>
      <c r="G13" s="160">
        <v>3.0</v>
      </c>
      <c r="H13" s="160" t="s">
        <v>62</v>
      </c>
      <c r="I13" s="156">
        <v>38.0</v>
      </c>
      <c r="J13" s="37"/>
      <c r="K13" s="22"/>
      <c r="L13" s="151" t="s">
        <v>29</v>
      </c>
      <c r="M13" s="129">
        <v>7000.0</v>
      </c>
      <c r="N13" s="125"/>
    </row>
    <row r="14" ht="18.75" customHeight="1">
      <c r="A14" s="152"/>
      <c r="B14" s="153" t="s">
        <v>1587</v>
      </c>
      <c r="C14" s="154">
        <v>5.0</v>
      </c>
      <c r="D14" s="154" t="s">
        <v>1588</v>
      </c>
      <c r="E14" s="155" t="s">
        <v>1589</v>
      </c>
      <c r="F14" s="153" t="s">
        <v>1590</v>
      </c>
      <c r="G14" s="154">
        <v>3.0</v>
      </c>
      <c r="H14" s="154" t="s">
        <v>45</v>
      </c>
      <c r="I14" s="156">
        <v>30.0</v>
      </c>
      <c r="J14" s="37"/>
      <c r="K14" s="22"/>
      <c r="L14" s="162" t="s">
        <v>30</v>
      </c>
      <c r="M14" s="129">
        <v>0.0</v>
      </c>
      <c r="N14" s="125"/>
    </row>
    <row r="15" ht="18.75" customHeight="1">
      <c r="A15" s="152"/>
      <c r="B15" s="153"/>
      <c r="C15" s="154"/>
      <c r="D15" s="154"/>
      <c r="E15" s="155" t="s">
        <v>1589</v>
      </c>
      <c r="F15" s="153" t="s">
        <v>1572</v>
      </c>
      <c r="G15" s="154">
        <v>7.0</v>
      </c>
      <c r="H15" s="154" t="s">
        <v>1591</v>
      </c>
      <c r="I15" s="156">
        <v>112.0</v>
      </c>
      <c r="J15" s="37"/>
      <c r="K15" s="22"/>
      <c r="L15" s="162" t="s">
        <v>31</v>
      </c>
      <c r="M15" s="129">
        <v>166.0</v>
      </c>
      <c r="N15" s="125"/>
    </row>
    <row r="16" ht="18.75" customHeight="1">
      <c r="A16" s="152"/>
      <c r="B16" s="153"/>
      <c r="C16" s="154"/>
      <c r="D16" s="154"/>
      <c r="E16" s="163"/>
      <c r="F16" s="153" t="s">
        <v>1592</v>
      </c>
      <c r="G16" s="154">
        <v>3.0</v>
      </c>
      <c r="H16" s="154" t="s">
        <v>1522</v>
      </c>
      <c r="I16" s="156">
        <v>29.0</v>
      </c>
      <c r="J16" s="37"/>
      <c r="K16" s="22"/>
      <c r="L16" s="162" t="s">
        <v>32</v>
      </c>
      <c r="M16" s="129">
        <v>5319.0</v>
      </c>
      <c r="N16" s="125"/>
    </row>
    <row r="17" ht="18.75" customHeight="1">
      <c r="A17" s="152"/>
      <c r="B17" s="153"/>
      <c r="C17" s="154"/>
      <c r="D17" s="154"/>
      <c r="E17" s="163"/>
      <c r="F17" s="153"/>
      <c r="G17" s="154"/>
      <c r="H17" s="154"/>
      <c r="I17" s="156"/>
      <c r="J17" s="19"/>
      <c r="K17" s="20"/>
      <c r="L17" s="164" t="s">
        <v>33</v>
      </c>
      <c r="M17" s="165">
        <v>6480.0</v>
      </c>
      <c r="N17" s="125"/>
    </row>
    <row r="18" ht="18.75" customHeight="1">
      <c r="A18" s="152"/>
      <c r="B18" s="153"/>
      <c r="C18" s="154"/>
      <c r="D18" s="154"/>
      <c r="E18" s="163"/>
      <c r="F18" s="153"/>
      <c r="G18" s="154"/>
      <c r="H18" s="154"/>
      <c r="I18" s="156"/>
      <c r="J18" s="166"/>
      <c r="K18" s="14"/>
      <c r="L18" s="14"/>
      <c r="M18" s="15"/>
      <c r="N18" s="167"/>
    </row>
    <row r="19" ht="18.75" customHeight="1">
      <c r="A19" s="152"/>
      <c r="B19" s="153"/>
      <c r="C19" s="154"/>
      <c r="D19" s="154"/>
      <c r="E19" s="163"/>
      <c r="F19" s="153"/>
      <c r="G19" s="154"/>
      <c r="H19" s="154"/>
      <c r="I19" s="156"/>
      <c r="J19" s="168" t="s">
        <v>34</v>
      </c>
      <c r="K19" s="169" t="s">
        <v>35</v>
      </c>
      <c r="L19" s="170" t="s">
        <v>1566</v>
      </c>
      <c r="M19" s="171" t="s">
        <v>37</v>
      </c>
      <c r="N19" s="172"/>
    </row>
    <row r="20" ht="18.75" customHeight="1">
      <c r="A20" s="152"/>
      <c r="B20" s="153"/>
      <c r="C20" s="154"/>
      <c r="D20" s="154"/>
      <c r="E20" s="163"/>
      <c r="F20" s="153"/>
      <c r="G20" s="154"/>
      <c r="H20" s="154"/>
      <c r="I20" s="156"/>
      <c r="J20" s="173"/>
      <c r="K20" s="88"/>
      <c r="L20" s="88"/>
      <c r="M20" s="174"/>
      <c r="N20" s="172"/>
    </row>
    <row r="21" ht="18.75" customHeight="1">
      <c r="A21" s="152"/>
      <c r="B21" s="153"/>
      <c r="C21" s="154"/>
      <c r="D21" s="154"/>
      <c r="E21" s="163"/>
      <c r="F21" s="153"/>
      <c r="G21" s="154"/>
      <c r="H21" s="154"/>
      <c r="I21" s="156"/>
      <c r="J21" s="175">
        <v>6.0</v>
      </c>
      <c r="K21" s="176">
        <v>1454.0</v>
      </c>
      <c r="L21" s="177">
        <v>76.0</v>
      </c>
      <c r="M21" s="178" t="s">
        <v>1593</v>
      </c>
      <c r="N21" s="167"/>
    </row>
    <row r="22" ht="18.75" customHeight="1">
      <c r="A22" s="152"/>
      <c r="B22" s="153"/>
      <c r="C22" s="154"/>
      <c r="D22" s="154"/>
      <c r="E22" s="163"/>
      <c r="F22" s="153"/>
      <c r="G22" s="154"/>
      <c r="H22" s="154"/>
      <c r="I22" s="156"/>
      <c r="J22" s="179" t="s">
        <v>1569</v>
      </c>
      <c r="K22" s="180" t="s">
        <v>1470</v>
      </c>
      <c r="L22" s="181" t="s">
        <v>1471</v>
      </c>
      <c r="M22" s="182" t="s">
        <v>1472</v>
      </c>
      <c r="N22" s="167"/>
    </row>
    <row r="23" ht="18.75" customHeight="1">
      <c r="A23" s="152"/>
      <c r="B23" s="153"/>
      <c r="C23" s="154"/>
      <c r="D23" s="154"/>
      <c r="E23" s="163"/>
      <c r="F23" s="153"/>
      <c r="G23" s="154"/>
      <c r="H23" s="154"/>
      <c r="I23" s="156"/>
      <c r="J23" s="173"/>
      <c r="K23" s="88"/>
      <c r="L23" s="88"/>
      <c r="M23" s="174"/>
      <c r="N23" s="167"/>
    </row>
    <row r="24" ht="18.75" customHeight="1">
      <c r="A24" s="152"/>
      <c r="B24" s="153"/>
      <c r="C24" s="154"/>
      <c r="D24" s="154"/>
      <c r="E24" s="163"/>
      <c r="F24" s="153"/>
      <c r="G24" s="154"/>
      <c r="H24" s="154"/>
      <c r="I24" s="156"/>
      <c r="J24" s="183">
        <v>15.0</v>
      </c>
      <c r="K24" s="177">
        <v>1652.0</v>
      </c>
      <c r="L24" s="177">
        <v>368.0</v>
      </c>
      <c r="M24" s="184">
        <v>11.0</v>
      </c>
      <c r="N24" s="167"/>
    </row>
    <row r="25" ht="18.75" customHeight="1">
      <c r="A25" s="152"/>
      <c r="B25" s="153"/>
      <c r="C25" s="154"/>
      <c r="D25" s="154"/>
      <c r="E25" s="163"/>
      <c r="F25" s="153"/>
      <c r="G25" s="154"/>
      <c r="H25" s="154"/>
      <c r="I25" s="156"/>
      <c r="J25" s="185" t="s">
        <v>1573</v>
      </c>
      <c r="K25" s="96"/>
      <c r="L25" s="186" t="s">
        <v>1474</v>
      </c>
      <c r="M25" s="187" t="s">
        <v>1475</v>
      </c>
      <c r="N25" s="167"/>
    </row>
    <row r="26" ht="21.75" customHeight="1">
      <c r="A26" s="152"/>
      <c r="B26" s="153"/>
      <c r="C26" s="154"/>
      <c r="D26" s="154"/>
      <c r="E26" s="163"/>
      <c r="F26" s="153"/>
      <c r="G26" s="154"/>
      <c r="H26" s="154"/>
      <c r="I26" s="156"/>
      <c r="J26" s="188"/>
      <c r="K26" s="98"/>
      <c r="L26" s="88"/>
      <c r="M26" s="174"/>
      <c r="N26" s="167"/>
    </row>
    <row r="27" ht="18.75" customHeight="1">
      <c r="A27" s="152"/>
      <c r="B27" s="153"/>
      <c r="C27" s="154"/>
      <c r="D27" s="154"/>
      <c r="E27" s="163"/>
      <c r="F27" s="153"/>
      <c r="G27" s="154"/>
      <c r="H27" s="154"/>
      <c r="I27" s="156"/>
      <c r="J27" s="189">
        <v>6.0</v>
      </c>
      <c r="K27" s="100"/>
      <c r="L27" s="190">
        <v>0.17787089795109332</v>
      </c>
      <c r="M27" s="191">
        <v>4.0</v>
      </c>
      <c r="N27" s="167"/>
    </row>
    <row r="28" ht="18.75" customHeight="1">
      <c r="A28" s="152"/>
      <c r="B28" s="153"/>
      <c r="C28" s="154"/>
      <c r="D28" s="154"/>
      <c r="E28" s="163"/>
      <c r="F28" s="153"/>
      <c r="G28" s="154"/>
      <c r="H28" s="154"/>
      <c r="I28" s="156"/>
      <c r="J28" s="192"/>
      <c r="L28" s="193" t="s">
        <v>1476</v>
      </c>
      <c r="M28" s="187" t="s">
        <v>1477</v>
      </c>
      <c r="N28" s="167"/>
    </row>
    <row r="29" ht="18.75" customHeight="1">
      <c r="A29" s="152"/>
      <c r="B29" s="153"/>
      <c r="C29" s="154"/>
      <c r="D29" s="154"/>
      <c r="E29" s="163"/>
      <c r="F29" s="153"/>
      <c r="G29" s="154"/>
      <c r="H29" s="154"/>
      <c r="I29" s="156"/>
      <c r="J29" s="37"/>
      <c r="L29" s="88"/>
      <c r="M29" s="174"/>
      <c r="N29" s="167"/>
    </row>
    <row r="30" ht="18.75" customHeight="1">
      <c r="A30" s="152"/>
      <c r="B30" s="153"/>
      <c r="C30" s="154"/>
      <c r="D30" s="154"/>
      <c r="E30" s="163"/>
      <c r="F30" s="153"/>
      <c r="G30" s="154"/>
      <c r="H30" s="154"/>
      <c r="I30" s="156"/>
      <c r="J30" s="19"/>
      <c r="K30" s="29"/>
      <c r="L30" s="194">
        <v>0.8221291020489067</v>
      </c>
      <c r="M30" s="195">
        <v>0.013945005611672279</v>
      </c>
      <c r="N30" s="167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3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1594</v>
      </c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</row>
    <row r="2">
      <c r="A2" s="1" t="s">
        <v>95</v>
      </c>
      <c r="B2" s="1" t="s">
        <v>404</v>
      </c>
      <c r="C2" s="197">
        <v>260.0</v>
      </c>
      <c r="D2" s="1">
        <v>0.0</v>
      </c>
      <c r="E2" s="1" t="s">
        <v>1574</v>
      </c>
      <c r="F2" s="1" t="s">
        <v>97</v>
      </c>
      <c r="G2" s="1" t="s">
        <v>92</v>
      </c>
      <c r="H2" s="1" t="s">
        <v>1595</v>
      </c>
      <c r="I2" s="196"/>
      <c r="J2" s="196"/>
      <c r="K2" s="1" t="s">
        <v>1596</v>
      </c>
      <c r="L2" s="1">
        <v>0.0</v>
      </c>
      <c r="M2" s="1">
        <v>0.0082</v>
      </c>
      <c r="N2" s="196"/>
      <c r="O2" s="1" t="s">
        <v>1597</v>
      </c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196"/>
      <c r="AC2" s="196"/>
      <c r="AD2" s="196"/>
      <c r="AE2" s="196"/>
    </row>
    <row r="3">
      <c r="A3" s="1" t="s">
        <v>127</v>
      </c>
      <c r="B3" s="1" t="s">
        <v>404</v>
      </c>
      <c r="C3" s="197">
        <v>394.0</v>
      </c>
      <c r="D3" s="1">
        <v>0.0</v>
      </c>
      <c r="E3" s="196"/>
      <c r="F3" s="1" t="s">
        <v>91</v>
      </c>
      <c r="G3" s="1" t="s">
        <v>92</v>
      </c>
      <c r="H3" s="1" t="s">
        <v>1598</v>
      </c>
      <c r="I3" s="196"/>
      <c r="J3" s="196"/>
      <c r="K3" s="196"/>
      <c r="L3" s="1">
        <v>0.0</v>
      </c>
      <c r="M3" s="1"/>
      <c r="N3" s="196"/>
      <c r="O3" s="1" t="s">
        <v>1599</v>
      </c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  <c r="AA3" s="196"/>
      <c r="AB3" s="196"/>
      <c r="AC3" s="196"/>
      <c r="AD3" s="196"/>
      <c r="AE3" s="196"/>
    </row>
    <row r="4">
      <c r="A4" s="1" t="s">
        <v>127</v>
      </c>
      <c r="B4" s="1" t="s">
        <v>105</v>
      </c>
      <c r="C4" s="197">
        <v>658.0</v>
      </c>
      <c r="D4" s="1">
        <v>0.0</v>
      </c>
      <c r="E4" s="196"/>
      <c r="F4" s="1" t="s">
        <v>91</v>
      </c>
      <c r="G4" s="1" t="s">
        <v>116</v>
      </c>
      <c r="H4" s="1" t="s">
        <v>1600</v>
      </c>
      <c r="I4" s="1" t="s">
        <v>1601</v>
      </c>
      <c r="J4" s="1" t="s">
        <v>1601</v>
      </c>
      <c r="K4" s="196"/>
      <c r="L4" s="1">
        <v>-6.0</v>
      </c>
      <c r="M4" s="1"/>
      <c r="N4" s="1">
        <v>8.395983333333334</v>
      </c>
      <c r="O4" s="1" t="s">
        <v>1599</v>
      </c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  <c r="AA4" s="196"/>
      <c r="AB4" s="196"/>
      <c r="AC4" s="196"/>
      <c r="AD4" s="196"/>
      <c r="AE4" s="196"/>
    </row>
    <row r="5">
      <c r="A5" s="1" t="s">
        <v>88</v>
      </c>
      <c r="B5" s="197" t="s">
        <v>105</v>
      </c>
      <c r="C5" s="197">
        <v>858.0</v>
      </c>
      <c r="D5" s="1">
        <v>0.0</v>
      </c>
      <c r="E5" s="1" t="s">
        <v>90</v>
      </c>
      <c r="F5" s="1" t="s">
        <v>91</v>
      </c>
      <c r="G5" s="1" t="s">
        <v>92</v>
      </c>
      <c r="H5" s="1" t="s">
        <v>1602</v>
      </c>
      <c r="I5" s="1" t="s">
        <v>1603</v>
      </c>
      <c r="J5" s="1" t="s">
        <v>1603</v>
      </c>
      <c r="K5" s="196"/>
      <c r="L5" s="1">
        <v>-7.0</v>
      </c>
      <c r="M5" s="1"/>
      <c r="N5" s="1">
        <v>11.357566666666667</v>
      </c>
      <c r="O5" s="1" t="s">
        <v>1599</v>
      </c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</row>
    <row r="6">
      <c r="A6" s="1" t="s">
        <v>127</v>
      </c>
      <c r="B6" s="1" t="s">
        <v>89</v>
      </c>
      <c r="C6" s="197">
        <v>414.0</v>
      </c>
      <c r="D6" s="1">
        <v>0.0</v>
      </c>
      <c r="E6" s="196"/>
      <c r="F6" s="1" t="s">
        <v>91</v>
      </c>
      <c r="G6" s="1" t="s">
        <v>92</v>
      </c>
      <c r="H6" s="1" t="s">
        <v>1604</v>
      </c>
      <c r="I6" s="1" t="s">
        <v>1605</v>
      </c>
      <c r="J6" s="1" t="s">
        <v>1605</v>
      </c>
      <c r="K6" s="196"/>
      <c r="L6" s="1">
        <v>-3.0</v>
      </c>
      <c r="M6" s="1"/>
      <c r="N6" s="1">
        <v>11.3695</v>
      </c>
      <c r="O6" s="1" t="s">
        <v>1599</v>
      </c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</row>
    <row r="7">
      <c r="A7" s="1" t="s">
        <v>127</v>
      </c>
      <c r="B7" s="1" t="s">
        <v>89</v>
      </c>
      <c r="C7" s="197">
        <v>817.0</v>
      </c>
      <c r="D7" s="1">
        <v>0.0</v>
      </c>
      <c r="E7" s="196"/>
      <c r="F7" s="1" t="s">
        <v>91</v>
      </c>
      <c r="G7" s="1" t="s">
        <v>116</v>
      </c>
      <c r="H7" s="1" t="s">
        <v>1606</v>
      </c>
      <c r="I7" s="1" t="s">
        <v>1607</v>
      </c>
      <c r="J7" s="1" t="s">
        <v>1607</v>
      </c>
      <c r="K7" s="196"/>
      <c r="L7" s="1">
        <v>-2.0</v>
      </c>
      <c r="M7" s="1"/>
      <c r="N7" s="1">
        <v>12.388616666666667</v>
      </c>
      <c r="O7" s="1" t="s">
        <v>1599</v>
      </c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</row>
    <row r="8">
      <c r="A8" s="1" t="s">
        <v>169</v>
      </c>
      <c r="B8" s="1" t="s">
        <v>89</v>
      </c>
      <c r="C8" s="197">
        <v>309.0</v>
      </c>
      <c r="D8" s="1">
        <v>0.0</v>
      </c>
      <c r="E8" s="196"/>
      <c r="F8" s="1" t="s">
        <v>149</v>
      </c>
      <c r="G8" s="1" t="s">
        <v>116</v>
      </c>
      <c r="H8" s="1" t="s">
        <v>1608</v>
      </c>
      <c r="I8" s="1" t="s">
        <v>1609</v>
      </c>
      <c r="J8" s="1" t="s">
        <v>1609</v>
      </c>
      <c r="K8" s="196"/>
      <c r="L8" s="1">
        <v>1.0</v>
      </c>
      <c r="M8" s="1"/>
      <c r="N8" s="1">
        <v>6.8491</v>
      </c>
      <c r="O8" s="1" t="s">
        <v>1610</v>
      </c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</row>
    <row r="9">
      <c r="A9" s="1" t="s">
        <v>88</v>
      </c>
      <c r="B9" s="1" t="s">
        <v>89</v>
      </c>
      <c r="C9" s="197">
        <v>394.0</v>
      </c>
      <c r="D9" s="1">
        <v>0.0</v>
      </c>
      <c r="E9" s="1" t="s">
        <v>90</v>
      </c>
      <c r="F9" s="1" t="s">
        <v>91</v>
      </c>
      <c r="G9" s="1" t="s">
        <v>92</v>
      </c>
      <c r="H9" s="1" t="s">
        <v>1611</v>
      </c>
      <c r="I9" s="1" t="s">
        <v>1612</v>
      </c>
      <c r="J9" s="1" t="s">
        <v>1612</v>
      </c>
      <c r="K9" s="196"/>
      <c r="L9" s="1">
        <v>-5.0</v>
      </c>
      <c r="M9" s="1"/>
      <c r="N9" s="1">
        <v>9.680883333333334</v>
      </c>
      <c r="O9" s="1" t="s">
        <v>1599</v>
      </c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</row>
    <row r="10">
      <c r="A10" s="1" t="s">
        <v>95</v>
      </c>
      <c r="B10" s="1" t="s">
        <v>89</v>
      </c>
      <c r="C10" s="197">
        <v>215.0</v>
      </c>
      <c r="D10" s="1">
        <v>54.0</v>
      </c>
      <c r="E10" s="196"/>
      <c r="F10" s="1" t="s">
        <v>149</v>
      </c>
      <c r="G10" s="1" t="s">
        <v>153</v>
      </c>
      <c r="H10" s="1" t="s">
        <v>1613</v>
      </c>
      <c r="I10" s="1" t="s">
        <v>1614</v>
      </c>
      <c r="J10" s="1" t="s">
        <v>1614</v>
      </c>
      <c r="K10" s="196"/>
      <c r="L10" s="1">
        <v>-13.0</v>
      </c>
      <c r="M10" s="1"/>
      <c r="N10" s="1">
        <v>5.956583333333334</v>
      </c>
      <c r="O10" s="1" t="s">
        <v>1597</v>
      </c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</row>
    <row r="11">
      <c r="A11" s="1" t="s">
        <v>104</v>
      </c>
      <c r="B11" s="1" t="s">
        <v>89</v>
      </c>
      <c r="C11" s="197">
        <v>264.0</v>
      </c>
      <c r="D11" s="1">
        <v>0.0</v>
      </c>
      <c r="E11" s="1" t="s">
        <v>1136</v>
      </c>
      <c r="F11" s="1" t="s">
        <v>91</v>
      </c>
      <c r="G11" s="1" t="s">
        <v>92</v>
      </c>
      <c r="H11" s="1" t="s">
        <v>1615</v>
      </c>
      <c r="I11" s="1" t="s">
        <v>1616</v>
      </c>
      <c r="J11" s="1" t="s">
        <v>1616</v>
      </c>
      <c r="K11" s="196"/>
      <c r="L11" s="1">
        <v>-6.0</v>
      </c>
      <c r="M11" s="1"/>
      <c r="N11" s="1">
        <v>8.579716666666666</v>
      </c>
      <c r="O11" s="1" t="s">
        <v>1599</v>
      </c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</row>
    <row r="12">
      <c r="A12" s="1" t="s">
        <v>95</v>
      </c>
      <c r="B12" s="197" t="s">
        <v>89</v>
      </c>
      <c r="C12" s="197">
        <v>65.0</v>
      </c>
      <c r="D12" s="1">
        <v>526.0</v>
      </c>
      <c r="E12" s="1" t="s">
        <v>1574</v>
      </c>
      <c r="F12" s="1" t="s">
        <v>97</v>
      </c>
      <c r="G12" s="1" t="s">
        <v>92</v>
      </c>
      <c r="H12" s="1" t="s">
        <v>1617</v>
      </c>
      <c r="I12" s="1" t="s">
        <v>1618</v>
      </c>
      <c r="J12" s="1" t="s">
        <v>1619</v>
      </c>
      <c r="K12" s="1" t="s">
        <v>1620</v>
      </c>
      <c r="L12" s="1">
        <v>-10.0</v>
      </c>
      <c r="M12" s="1">
        <v>0.006533333333333334</v>
      </c>
      <c r="N12" s="1">
        <v>12.665966666666666</v>
      </c>
      <c r="O12" s="1" t="s">
        <v>1597</v>
      </c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</row>
    <row r="13">
      <c r="A13" s="1" t="s">
        <v>104</v>
      </c>
      <c r="B13" s="1" t="s">
        <v>89</v>
      </c>
      <c r="C13" s="197">
        <v>528.0</v>
      </c>
      <c r="D13" s="1">
        <v>0.0</v>
      </c>
      <c r="E13" s="1" t="s">
        <v>1621</v>
      </c>
      <c r="F13" s="1" t="s">
        <v>91</v>
      </c>
      <c r="G13" s="1" t="s">
        <v>92</v>
      </c>
      <c r="H13" s="1" t="s">
        <v>1622</v>
      </c>
      <c r="I13" s="1" t="s">
        <v>1623</v>
      </c>
      <c r="J13" s="1" t="s">
        <v>1623</v>
      </c>
      <c r="K13" s="196"/>
      <c r="L13" s="1">
        <v>-3.0</v>
      </c>
      <c r="M13" s="1"/>
      <c r="N13" s="1">
        <v>11.428266666666667</v>
      </c>
      <c r="O13" s="1" t="s">
        <v>1599</v>
      </c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</row>
    <row r="14">
      <c r="A14" s="1" t="s">
        <v>88</v>
      </c>
      <c r="B14" s="1" t="s">
        <v>89</v>
      </c>
      <c r="C14" s="197">
        <v>376.0</v>
      </c>
      <c r="D14" s="1">
        <v>0.0</v>
      </c>
      <c r="E14" s="1" t="s">
        <v>90</v>
      </c>
      <c r="F14" s="1" t="s">
        <v>91</v>
      </c>
      <c r="G14" s="1" t="s">
        <v>92</v>
      </c>
      <c r="H14" s="1" t="s">
        <v>1624</v>
      </c>
      <c r="I14" s="1" t="s">
        <v>1625</v>
      </c>
      <c r="J14" s="1" t="s">
        <v>1625</v>
      </c>
      <c r="K14" s="196"/>
      <c r="L14" s="1">
        <v>-5.0</v>
      </c>
      <c r="M14" s="1"/>
      <c r="N14" s="1">
        <v>9.4302</v>
      </c>
      <c r="O14" s="1" t="s">
        <v>1599</v>
      </c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</row>
    <row r="15">
      <c r="A15" s="1" t="s">
        <v>169</v>
      </c>
      <c r="B15" s="1" t="s">
        <v>89</v>
      </c>
      <c r="C15" s="197">
        <v>238.0</v>
      </c>
      <c r="D15" s="1">
        <v>0.0</v>
      </c>
      <c r="E15" s="196"/>
      <c r="F15" s="1" t="s">
        <v>149</v>
      </c>
      <c r="G15" s="1" t="s">
        <v>116</v>
      </c>
      <c r="H15" s="1" t="s">
        <v>1626</v>
      </c>
      <c r="I15" s="1" t="s">
        <v>1627</v>
      </c>
      <c r="J15" s="1" t="s">
        <v>1627</v>
      </c>
      <c r="K15" s="196"/>
      <c r="L15" s="1">
        <v>5.0</v>
      </c>
      <c r="M15" s="1"/>
      <c r="N15" s="1">
        <v>10.896133333333333</v>
      </c>
      <c r="O15" s="1" t="s">
        <v>1610</v>
      </c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</row>
    <row r="16">
      <c r="A16" s="1" t="s">
        <v>88</v>
      </c>
      <c r="B16" s="1" t="s">
        <v>89</v>
      </c>
      <c r="C16" s="197">
        <v>264.0</v>
      </c>
      <c r="D16" s="1">
        <v>0.0</v>
      </c>
      <c r="E16" s="1" t="s">
        <v>90</v>
      </c>
      <c r="F16" s="1" t="s">
        <v>91</v>
      </c>
      <c r="G16" s="1" t="s">
        <v>92</v>
      </c>
      <c r="H16" s="1" t="s">
        <v>1628</v>
      </c>
      <c r="I16" s="1" t="s">
        <v>1629</v>
      </c>
      <c r="J16" s="1" t="s">
        <v>1629</v>
      </c>
      <c r="K16" s="196"/>
      <c r="L16" s="1">
        <v>-3.0</v>
      </c>
      <c r="M16" s="1"/>
      <c r="N16" s="1">
        <v>11.935766666666666</v>
      </c>
      <c r="O16" s="1" t="s">
        <v>1599</v>
      </c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</row>
    <row r="17">
      <c r="A17" s="1" t="s">
        <v>88</v>
      </c>
      <c r="B17" s="1" t="s">
        <v>89</v>
      </c>
      <c r="C17" s="197">
        <v>319.0</v>
      </c>
      <c r="D17" s="1">
        <v>0.0</v>
      </c>
      <c r="E17" s="1" t="s">
        <v>90</v>
      </c>
      <c r="F17" s="1" t="s">
        <v>91</v>
      </c>
      <c r="G17" s="1" t="s">
        <v>92</v>
      </c>
      <c r="H17" s="1" t="s">
        <v>1630</v>
      </c>
      <c r="I17" s="1" t="s">
        <v>1631</v>
      </c>
      <c r="J17" s="1" t="s">
        <v>1631</v>
      </c>
      <c r="K17" s="196"/>
      <c r="L17" s="1">
        <v>-4.0</v>
      </c>
      <c r="M17" s="1"/>
      <c r="N17" s="1">
        <v>10.835316666666667</v>
      </c>
      <c r="O17" s="1" t="s">
        <v>1599</v>
      </c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  <c r="AB17" s="196"/>
      <c r="AC17" s="196"/>
      <c r="AD17" s="196"/>
      <c r="AE17" s="196"/>
    </row>
    <row r="18">
      <c r="A18" s="1" t="s">
        <v>95</v>
      </c>
      <c r="B18" s="1" t="s">
        <v>89</v>
      </c>
      <c r="C18" s="197">
        <v>304.0</v>
      </c>
      <c r="D18" s="1">
        <v>15.0</v>
      </c>
      <c r="E18" s="1" t="s">
        <v>1570</v>
      </c>
      <c r="F18" s="1" t="s">
        <v>97</v>
      </c>
      <c r="G18" s="1" t="s">
        <v>92</v>
      </c>
      <c r="H18" s="1" t="s">
        <v>1632</v>
      </c>
      <c r="I18" s="1" t="s">
        <v>1633</v>
      </c>
      <c r="J18" s="1" t="s">
        <v>1634</v>
      </c>
      <c r="K18" s="1" t="s">
        <v>1635</v>
      </c>
      <c r="L18" s="1">
        <v>-1.0</v>
      </c>
      <c r="M18" s="1">
        <v>0.004816666666666667</v>
      </c>
      <c r="N18" s="1">
        <v>12.56175</v>
      </c>
      <c r="O18" s="1" t="s">
        <v>1597</v>
      </c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</row>
    <row r="19">
      <c r="A19" s="1" t="s">
        <v>88</v>
      </c>
      <c r="B19" s="1" t="s">
        <v>89</v>
      </c>
      <c r="C19" s="197">
        <v>274.0</v>
      </c>
      <c r="D19" s="1">
        <v>0.0</v>
      </c>
      <c r="E19" s="1" t="s">
        <v>90</v>
      </c>
      <c r="F19" s="1" t="s">
        <v>91</v>
      </c>
      <c r="G19" s="1" t="s">
        <v>92</v>
      </c>
      <c r="H19" s="1" t="s">
        <v>1636</v>
      </c>
      <c r="I19" s="1" t="s">
        <v>1637</v>
      </c>
      <c r="J19" s="1" t="s">
        <v>1637</v>
      </c>
      <c r="K19" s="196"/>
      <c r="L19" s="1">
        <v>-1.0</v>
      </c>
      <c r="M19" s="1"/>
      <c r="N19" s="1">
        <v>13.8599</v>
      </c>
      <c r="O19" s="1" t="s">
        <v>1599</v>
      </c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  <c r="AA19" s="196"/>
      <c r="AB19" s="196"/>
      <c r="AC19" s="196"/>
      <c r="AD19" s="196"/>
      <c r="AE19" s="196"/>
    </row>
    <row r="20">
      <c r="A20" s="1" t="s">
        <v>95</v>
      </c>
      <c r="B20" s="1" t="s">
        <v>89</v>
      </c>
      <c r="C20" s="197">
        <v>328.0</v>
      </c>
      <c r="D20" s="1">
        <v>279.0</v>
      </c>
      <c r="E20" s="1" t="s">
        <v>1571</v>
      </c>
      <c r="F20" s="1" t="s">
        <v>97</v>
      </c>
      <c r="G20" s="1" t="s">
        <v>92</v>
      </c>
      <c r="H20" s="1" t="s">
        <v>1638</v>
      </c>
      <c r="I20" s="1" t="s">
        <v>1639</v>
      </c>
      <c r="J20" s="1" t="s">
        <v>1640</v>
      </c>
      <c r="K20" s="1" t="s">
        <v>1641</v>
      </c>
      <c r="L20" s="1">
        <v>9.0</v>
      </c>
      <c r="M20" s="1">
        <v>0.00635</v>
      </c>
      <c r="N20" s="1">
        <v>25.3767</v>
      </c>
      <c r="O20" s="1" t="s">
        <v>1597</v>
      </c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  <c r="AA20" s="196"/>
      <c r="AB20" s="196"/>
      <c r="AC20" s="196"/>
      <c r="AD20" s="196"/>
      <c r="AE20" s="196"/>
    </row>
    <row r="21">
      <c r="A21" s="1" t="s">
        <v>95</v>
      </c>
      <c r="B21" s="1" t="s">
        <v>89</v>
      </c>
      <c r="C21" s="197">
        <v>374.0</v>
      </c>
      <c r="D21" s="1">
        <v>0.0</v>
      </c>
      <c r="E21" s="1" t="s">
        <v>1570</v>
      </c>
      <c r="F21" s="1" t="s">
        <v>97</v>
      </c>
      <c r="G21" s="1" t="s">
        <v>92</v>
      </c>
      <c r="H21" s="1" t="s">
        <v>1642</v>
      </c>
      <c r="I21" s="1" t="s">
        <v>1643</v>
      </c>
      <c r="J21" s="1" t="s">
        <v>1644</v>
      </c>
      <c r="K21" s="1" t="s">
        <v>1645</v>
      </c>
      <c r="L21" s="1">
        <v>3.0</v>
      </c>
      <c r="M21" s="1">
        <v>0.0066166666666666665</v>
      </c>
      <c r="N21" s="1">
        <v>16.5271</v>
      </c>
      <c r="O21" s="1" t="s">
        <v>1597</v>
      </c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  <c r="AA21" s="196"/>
      <c r="AB21" s="196"/>
      <c r="AC21" s="196"/>
      <c r="AD21" s="196"/>
      <c r="AE21" s="196"/>
    </row>
    <row r="22">
      <c r="A22" s="1" t="s">
        <v>95</v>
      </c>
      <c r="B22" s="1" t="s">
        <v>89</v>
      </c>
      <c r="C22" s="197">
        <v>547.0</v>
      </c>
      <c r="D22" s="1">
        <v>0.0</v>
      </c>
      <c r="E22" s="1" t="s">
        <v>1571</v>
      </c>
      <c r="F22" s="1" t="s">
        <v>97</v>
      </c>
      <c r="G22" s="1" t="s">
        <v>92</v>
      </c>
      <c r="H22" s="1" t="s">
        <v>1646</v>
      </c>
      <c r="I22" s="1" t="s">
        <v>1647</v>
      </c>
      <c r="J22" s="1" t="s">
        <v>1648</v>
      </c>
      <c r="K22" s="1" t="s">
        <v>1649</v>
      </c>
      <c r="L22" s="1">
        <v>8.0</v>
      </c>
      <c r="M22" s="1">
        <v>0.0053</v>
      </c>
      <c r="N22" s="1">
        <v>23.996316666666665</v>
      </c>
      <c r="O22" s="1" t="s">
        <v>1597</v>
      </c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  <c r="AA22" s="196"/>
      <c r="AB22" s="196"/>
      <c r="AC22" s="196"/>
      <c r="AD22" s="196"/>
      <c r="AE22" s="196"/>
    </row>
    <row r="23">
      <c r="A23" s="1" t="s">
        <v>95</v>
      </c>
      <c r="B23" s="1" t="s">
        <v>89</v>
      </c>
      <c r="C23" s="1">
        <v>314.0</v>
      </c>
      <c r="D23" s="1">
        <v>0.0</v>
      </c>
      <c r="E23" s="1" t="s">
        <v>1570</v>
      </c>
      <c r="F23" s="1" t="s">
        <v>97</v>
      </c>
      <c r="G23" s="1" t="s">
        <v>92</v>
      </c>
      <c r="H23" s="1" t="s">
        <v>1650</v>
      </c>
      <c r="I23" s="1" t="s">
        <v>1651</v>
      </c>
      <c r="J23" s="1" t="s">
        <v>1652</v>
      </c>
      <c r="K23" s="1" t="s">
        <v>1653</v>
      </c>
      <c r="L23" s="1">
        <v>0.0</v>
      </c>
      <c r="M23" s="1">
        <v>0.004683333333333334</v>
      </c>
      <c r="N23" s="1">
        <v>9.055166666666667</v>
      </c>
      <c r="O23" s="1" t="s">
        <v>1597</v>
      </c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  <c r="AA23" s="196"/>
      <c r="AB23" s="196"/>
      <c r="AC23" s="196"/>
      <c r="AD23" s="196"/>
      <c r="AE23" s="196"/>
    </row>
    <row r="24">
      <c r="A24" s="1" t="s">
        <v>95</v>
      </c>
      <c r="B24" s="1" t="s">
        <v>89</v>
      </c>
      <c r="C24" s="197">
        <v>757.0</v>
      </c>
      <c r="D24" s="1">
        <v>0.0</v>
      </c>
      <c r="E24" s="1" t="s">
        <v>1571</v>
      </c>
      <c r="F24" s="1" t="s">
        <v>97</v>
      </c>
      <c r="G24" s="1" t="s">
        <v>92</v>
      </c>
      <c r="H24" s="1" t="s">
        <v>1654</v>
      </c>
      <c r="I24" s="1" t="s">
        <v>1655</v>
      </c>
      <c r="J24" s="1" t="s">
        <v>1656</v>
      </c>
      <c r="K24" s="1" t="s">
        <v>1657</v>
      </c>
      <c r="L24" s="1">
        <v>-11.0</v>
      </c>
      <c r="M24" s="1">
        <v>0.00525</v>
      </c>
      <c r="N24" s="1">
        <v>10.06415</v>
      </c>
      <c r="O24" s="1" t="s">
        <v>1597</v>
      </c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  <c r="AA24" s="196"/>
      <c r="AB24" s="196"/>
      <c r="AC24" s="196"/>
      <c r="AD24" s="196"/>
      <c r="AE24" s="196"/>
    </row>
    <row r="25">
      <c r="A25" s="1" t="s">
        <v>95</v>
      </c>
      <c r="B25" s="1" t="s">
        <v>89</v>
      </c>
      <c r="C25" s="197">
        <v>189.0</v>
      </c>
      <c r="D25" s="1">
        <v>60.0</v>
      </c>
      <c r="E25" s="196"/>
      <c r="F25" s="1" t="s">
        <v>149</v>
      </c>
      <c r="G25" s="1" t="s">
        <v>153</v>
      </c>
      <c r="H25" s="1" t="s">
        <v>1658</v>
      </c>
      <c r="I25" s="1" t="s">
        <v>1659</v>
      </c>
      <c r="J25" s="1" t="s">
        <v>1659</v>
      </c>
      <c r="K25" s="196"/>
      <c r="L25" s="1">
        <v>-8.0</v>
      </c>
      <c r="M25" s="1"/>
      <c r="N25" s="1">
        <v>40.268566666666665</v>
      </c>
      <c r="O25" s="1" t="s">
        <v>1597</v>
      </c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</row>
    <row r="26">
      <c r="A26" s="1" t="s">
        <v>95</v>
      </c>
      <c r="B26" s="1" t="s">
        <v>89</v>
      </c>
      <c r="C26" s="197">
        <v>267.0</v>
      </c>
      <c r="D26" s="1">
        <v>62.0</v>
      </c>
      <c r="E26" s="196"/>
      <c r="F26" s="1" t="s">
        <v>149</v>
      </c>
      <c r="G26" s="1" t="s">
        <v>153</v>
      </c>
      <c r="H26" s="1" t="s">
        <v>1660</v>
      </c>
      <c r="I26" s="1" t="s">
        <v>1661</v>
      </c>
      <c r="J26" s="1" t="s">
        <v>1661</v>
      </c>
      <c r="K26" s="196"/>
      <c r="L26" s="1">
        <v>-7.0</v>
      </c>
      <c r="M26" s="1"/>
      <c r="N26" s="1">
        <v>11.930666666666667</v>
      </c>
      <c r="O26" s="1" t="s">
        <v>1597</v>
      </c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</row>
    <row r="27">
      <c r="A27" s="1" t="s">
        <v>95</v>
      </c>
      <c r="B27" s="1" t="s">
        <v>89</v>
      </c>
      <c r="C27" s="197">
        <v>518.0</v>
      </c>
      <c r="D27" s="1">
        <v>0.0</v>
      </c>
      <c r="E27" s="1" t="s">
        <v>1570</v>
      </c>
      <c r="F27" s="1" t="s">
        <v>97</v>
      </c>
      <c r="G27" s="1" t="s">
        <v>92</v>
      </c>
      <c r="H27" s="1" t="s">
        <v>1662</v>
      </c>
      <c r="I27" s="1" t="s">
        <v>1663</v>
      </c>
      <c r="J27" s="1" t="s">
        <v>1664</v>
      </c>
      <c r="K27" s="1" t="s">
        <v>1665</v>
      </c>
      <c r="L27" s="1">
        <v>0.0</v>
      </c>
      <c r="M27" s="1">
        <v>0.0048</v>
      </c>
      <c r="N27" s="1">
        <v>23.842233333333333</v>
      </c>
      <c r="O27" s="1" t="s">
        <v>1597</v>
      </c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  <c r="AA27" s="196"/>
      <c r="AB27" s="196"/>
      <c r="AC27" s="196"/>
      <c r="AD27" s="196"/>
      <c r="AE27" s="196"/>
    </row>
    <row r="28">
      <c r="A28" s="1" t="s">
        <v>88</v>
      </c>
      <c r="B28" s="1" t="s">
        <v>89</v>
      </c>
      <c r="C28" s="197">
        <v>329.0</v>
      </c>
      <c r="D28" s="1">
        <v>0.0</v>
      </c>
      <c r="E28" s="1" t="s">
        <v>90</v>
      </c>
      <c r="F28" s="1" t="s">
        <v>91</v>
      </c>
      <c r="G28" s="1" t="s">
        <v>92</v>
      </c>
      <c r="H28" s="1" t="s">
        <v>1666</v>
      </c>
      <c r="I28" s="1" t="s">
        <v>1667</v>
      </c>
      <c r="J28" s="1" t="s">
        <v>1667</v>
      </c>
      <c r="K28" s="196"/>
      <c r="L28" s="1">
        <v>4.0</v>
      </c>
      <c r="M28" s="1"/>
      <c r="N28" s="1">
        <v>19.3274</v>
      </c>
      <c r="O28" s="1" t="s">
        <v>1599</v>
      </c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  <c r="AA28" s="196"/>
      <c r="AB28" s="196"/>
      <c r="AC28" s="196"/>
      <c r="AD28" s="196"/>
      <c r="AE28" s="196"/>
    </row>
    <row r="29">
      <c r="A29" s="1" t="s">
        <v>95</v>
      </c>
      <c r="B29" s="1" t="s">
        <v>89</v>
      </c>
      <c r="C29" s="197">
        <v>522.0</v>
      </c>
      <c r="D29" s="1">
        <v>26.0</v>
      </c>
      <c r="E29" s="1" t="s">
        <v>1571</v>
      </c>
      <c r="F29" s="1" t="s">
        <v>97</v>
      </c>
      <c r="G29" s="1" t="s">
        <v>92</v>
      </c>
      <c r="H29" s="1" t="s">
        <v>1668</v>
      </c>
      <c r="I29" s="1" t="s">
        <v>1669</v>
      </c>
      <c r="J29" s="1" t="s">
        <v>1670</v>
      </c>
      <c r="K29" s="1" t="s">
        <v>1671</v>
      </c>
      <c r="L29" s="1">
        <v>6.0</v>
      </c>
      <c r="M29" s="1">
        <v>0.00515</v>
      </c>
      <c r="N29" s="1">
        <v>25.57475</v>
      </c>
      <c r="O29" s="1" t="s">
        <v>1597</v>
      </c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</row>
    <row r="30">
      <c r="A30" s="1" t="s">
        <v>127</v>
      </c>
      <c r="B30" s="1" t="s">
        <v>89</v>
      </c>
      <c r="C30" s="197">
        <v>618.0</v>
      </c>
      <c r="D30" s="1">
        <v>0.0</v>
      </c>
      <c r="E30" s="196"/>
      <c r="F30" s="1" t="s">
        <v>91</v>
      </c>
      <c r="G30" s="1" t="s">
        <v>116</v>
      </c>
      <c r="H30" s="1" t="s">
        <v>1672</v>
      </c>
      <c r="I30" s="1" t="s">
        <v>1673</v>
      </c>
      <c r="J30" s="1" t="s">
        <v>1673</v>
      </c>
      <c r="K30" s="196"/>
      <c r="L30" s="1">
        <v>2.0</v>
      </c>
      <c r="M30" s="1"/>
      <c r="N30" s="1">
        <v>17.022183333333334</v>
      </c>
      <c r="O30" s="1" t="s">
        <v>1599</v>
      </c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</row>
    <row r="31">
      <c r="A31" s="1" t="s">
        <v>88</v>
      </c>
      <c r="B31" s="1" t="s">
        <v>89</v>
      </c>
      <c r="C31" s="1">
        <v>1066.0</v>
      </c>
      <c r="D31" s="1">
        <v>0.0</v>
      </c>
      <c r="E31" s="1" t="s">
        <v>90</v>
      </c>
      <c r="F31" s="1" t="s">
        <v>91</v>
      </c>
      <c r="G31" s="1" t="s">
        <v>92</v>
      </c>
      <c r="H31" s="1" t="s">
        <v>1674</v>
      </c>
      <c r="I31" s="1" t="s">
        <v>1675</v>
      </c>
      <c r="J31" s="1" t="s">
        <v>1675</v>
      </c>
      <c r="K31" s="196"/>
      <c r="L31" s="1">
        <v>1.0</v>
      </c>
      <c r="M31" s="1"/>
      <c r="N31" s="1">
        <v>16.4031</v>
      </c>
      <c r="O31" s="1" t="s">
        <v>1599</v>
      </c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</row>
    <row r="32">
      <c r="A32" s="1" t="s">
        <v>127</v>
      </c>
      <c r="B32" s="1" t="s">
        <v>89</v>
      </c>
      <c r="C32" s="1">
        <v>987.0</v>
      </c>
      <c r="D32" s="1">
        <v>0.0</v>
      </c>
      <c r="E32" s="196"/>
      <c r="F32" s="1" t="s">
        <v>91</v>
      </c>
      <c r="G32" s="1" t="s">
        <v>92</v>
      </c>
      <c r="H32" s="1" t="s">
        <v>1676</v>
      </c>
      <c r="I32" s="1" t="s">
        <v>1677</v>
      </c>
      <c r="J32" s="1" t="s">
        <v>1677</v>
      </c>
      <c r="K32" s="196"/>
      <c r="L32" s="1">
        <v>-2.0</v>
      </c>
      <c r="M32" s="1"/>
      <c r="N32" s="1">
        <v>12.828516666666667</v>
      </c>
      <c r="O32" s="1" t="s">
        <v>1599</v>
      </c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</row>
    <row r="33">
      <c r="A33" s="1" t="s">
        <v>95</v>
      </c>
      <c r="B33" s="1" t="s">
        <v>89</v>
      </c>
      <c r="C33" s="1">
        <v>293.0</v>
      </c>
      <c r="D33" s="1">
        <v>13.0</v>
      </c>
      <c r="E33" s="1" t="s">
        <v>1571</v>
      </c>
      <c r="F33" s="1" t="s">
        <v>97</v>
      </c>
      <c r="G33" s="1" t="s">
        <v>92</v>
      </c>
      <c r="H33" s="1" t="s">
        <v>1678</v>
      </c>
      <c r="I33" s="1" t="s">
        <v>1679</v>
      </c>
      <c r="J33" s="1" t="s">
        <v>1680</v>
      </c>
      <c r="K33" s="1" t="s">
        <v>1681</v>
      </c>
      <c r="L33" s="1">
        <v>-3.0</v>
      </c>
      <c r="M33" s="1">
        <v>0.010066666666666666</v>
      </c>
      <c r="N33" s="1">
        <v>16.22345</v>
      </c>
      <c r="O33" s="1" t="s">
        <v>1597</v>
      </c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  <c r="AA33" s="196"/>
      <c r="AB33" s="196"/>
      <c r="AC33" s="196"/>
      <c r="AD33" s="196"/>
      <c r="AE33" s="196"/>
    </row>
    <row r="34">
      <c r="A34" s="1" t="s">
        <v>127</v>
      </c>
      <c r="B34" s="1" t="s">
        <v>89</v>
      </c>
      <c r="C34" s="197">
        <v>379.0</v>
      </c>
      <c r="D34" s="1">
        <v>0.0</v>
      </c>
      <c r="E34" s="196"/>
      <c r="F34" s="1" t="s">
        <v>91</v>
      </c>
      <c r="G34" s="1" t="s">
        <v>92</v>
      </c>
      <c r="H34" s="1" t="s">
        <v>1682</v>
      </c>
      <c r="I34" s="1" t="s">
        <v>1683</v>
      </c>
      <c r="J34" s="1" t="s">
        <v>1683</v>
      </c>
      <c r="K34" s="196"/>
      <c r="L34" s="1">
        <v>-3.0</v>
      </c>
      <c r="M34" s="1"/>
      <c r="N34" s="1">
        <v>11.945016666666668</v>
      </c>
      <c r="O34" s="1" t="s">
        <v>1599</v>
      </c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96"/>
      <c r="AB34" s="196"/>
      <c r="AC34" s="196"/>
      <c r="AD34" s="196"/>
      <c r="AE34" s="196"/>
    </row>
    <row r="35">
      <c r="A35" s="1" t="s">
        <v>169</v>
      </c>
      <c r="B35" s="1" t="s">
        <v>89</v>
      </c>
      <c r="C35" s="197">
        <v>498.0</v>
      </c>
      <c r="D35" s="1">
        <v>0.0</v>
      </c>
      <c r="E35" s="196"/>
      <c r="F35" s="1" t="s">
        <v>149</v>
      </c>
      <c r="G35" s="1" t="s">
        <v>116</v>
      </c>
      <c r="H35" s="1" t="s">
        <v>1684</v>
      </c>
      <c r="I35" s="1" t="s">
        <v>1685</v>
      </c>
      <c r="J35" s="1" t="s">
        <v>1685</v>
      </c>
      <c r="K35" s="196"/>
      <c r="L35" s="1">
        <v>1.0</v>
      </c>
      <c r="M35" s="1"/>
      <c r="N35" s="1">
        <v>6.687366666666667</v>
      </c>
      <c r="O35" s="1" t="s">
        <v>1610</v>
      </c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  <c r="AA35" s="196"/>
      <c r="AB35" s="196"/>
      <c r="AC35" s="196"/>
      <c r="AD35" s="196"/>
      <c r="AE35" s="196"/>
    </row>
    <row r="36">
      <c r="A36" s="1" t="s">
        <v>127</v>
      </c>
      <c r="B36" s="1" t="s">
        <v>89</v>
      </c>
      <c r="C36" s="197">
        <v>329.0</v>
      </c>
      <c r="D36" s="1">
        <v>0.0</v>
      </c>
      <c r="E36" s="196"/>
      <c r="F36" s="1" t="s">
        <v>91</v>
      </c>
      <c r="G36" s="1" t="s">
        <v>92</v>
      </c>
      <c r="H36" s="1" t="s">
        <v>1686</v>
      </c>
      <c r="I36" s="1" t="s">
        <v>1687</v>
      </c>
      <c r="J36" s="1" t="s">
        <v>1687</v>
      </c>
      <c r="K36" s="196"/>
      <c r="L36" s="1">
        <v>-6.0</v>
      </c>
      <c r="M36" s="1"/>
      <c r="N36" s="1">
        <v>8.488916666666666</v>
      </c>
      <c r="O36" s="1" t="s">
        <v>1599</v>
      </c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  <c r="AA36" s="196"/>
      <c r="AB36" s="196"/>
      <c r="AC36" s="196"/>
      <c r="AD36" s="196"/>
      <c r="AE36" s="196"/>
    </row>
    <row r="37">
      <c r="A37" s="1" t="s">
        <v>95</v>
      </c>
      <c r="B37" s="1" t="s">
        <v>89</v>
      </c>
      <c r="C37" s="1">
        <v>444.0</v>
      </c>
      <c r="D37" s="1">
        <v>111.0</v>
      </c>
      <c r="E37" s="196"/>
      <c r="F37" s="1" t="s">
        <v>149</v>
      </c>
      <c r="G37" s="1" t="s">
        <v>153</v>
      </c>
      <c r="H37" s="1" t="s">
        <v>1688</v>
      </c>
      <c r="I37" s="1" t="s">
        <v>1689</v>
      </c>
      <c r="J37" s="1" t="s">
        <v>1689</v>
      </c>
      <c r="K37" s="196"/>
      <c r="L37" s="1">
        <v>-4.0</v>
      </c>
      <c r="M37" s="1"/>
      <c r="N37" s="1">
        <v>15.053616666666667</v>
      </c>
      <c r="O37" s="1" t="s">
        <v>1597</v>
      </c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  <c r="AA37" s="196"/>
      <c r="AB37" s="196"/>
      <c r="AC37" s="196"/>
      <c r="AD37" s="196"/>
      <c r="AE37" s="196"/>
    </row>
    <row r="38">
      <c r="A38" s="1" t="s">
        <v>127</v>
      </c>
      <c r="B38" s="1" t="s">
        <v>89</v>
      </c>
      <c r="C38" s="197">
        <v>329.0</v>
      </c>
      <c r="D38" s="1">
        <v>0.0</v>
      </c>
      <c r="E38" s="196"/>
      <c r="F38" s="1" t="s">
        <v>91</v>
      </c>
      <c r="G38" s="1" t="s">
        <v>92</v>
      </c>
      <c r="H38" s="1" t="s">
        <v>1690</v>
      </c>
      <c r="I38" s="1" t="s">
        <v>1691</v>
      </c>
      <c r="J38" s="1" t="s">
        <v>1691</v>
      </c>
      <c r="K38" s="196"/>
      <c r="L38" s="1">
        <v>-2.0</v>
      </c>
      <c r="M38" s="1"/>
      <c r="N38" s="1">
        <v>12.04575</v>
      </c>
      <c r="O38" s="1" t="s">
        <v>1599</v>
      </c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96"/>
      <c r="AB38" s="196"/>
      <c r="AC38" s="196"/>
      <c r="AD38" s="196"/>
      <c r="AE38" s="196"/>
    </row>
    <row r="39">
      <c r="A39" s="1" t="s">
        <v>88</v>
      </c>
      <c r="B39" s="1" t="s">
        <v>89</v>
      </c>
      <c r="C39" s="197">
        <v>528.0</v>
      </c>
      <c r="D39" s="1">
        <v>0.0</v>
      </c>
      <c r="E39" s="1" t="s">
        <v>90</v>
      </c>
      <c r="F39" s="1" t="s">
        <v>91</v>
      </c>
      <c r="G39" s="1" t="s">
        <v>92</v>
      </c>
      <c r="H39" s="1" t="s">
        <v>1692</v>
      </c>
      <c r="I39" s="1" t="s">
        <v>1693</v>
      </c>
      <c r="J39" s="1" t="s">
        <v>1693</v>
      </c>
      <c r="K39" s="196"/>
      <c r="L39" s="1">
        <v>-6.0</v>
      </c>
      <c r="M39" s="1"/>
      <c r="N39" s="1">
        <v>8.917983333333334</v>
      </c>
      <c r="O39" s="1" t="s">
        <v>1599</v>
      </c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</row>
    <row r="40">
      <c r="A40" s="1" t="s">
        <v>95</v>
      </c>
      <c r="B40" s="197" t="s">
        <v>89</v>
      </c>
      <c r="C40" s="197">
        <v>358.0</v>
      </c>
      <c r="D40" s="1">
        <v>0.0</v>
      </c>
      <c r="E40" s="1" t="s">
        <v>1570</v>
      </c>
      <c r="F40" s="1" t="s">
        <v>97</v>
      </c>
      <c r="G40" s="1" t="s">
        <v>116</v>
      </c>
      <c r="H40" s="1" t="s">
        <v>1694</v>
      </c>
      <c r="I40" s="1" t="s">
        <v>1695</v>
      </c>
      <c r="J40" s="1" t="s">
        <v>1696</v>
      </c>
      <c r="K40" s="1" t="s">
        <v>1697</v>
      </c>
      <c r="L40" s="1">
        <v>-5.0</v>
      </c>
      <c r="M40" s="1">
        <v>0.0061333333333333335</v>
      </c>
      <c r="N40" s="1">
        <v>6.037133333333333</v>
      </c>
      <c r="O40" s="1" t="s">
        <v>1597</v>
      </c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</row>
    <row r="41">
      <c r="A41" s="1" t="s">
        <v>95</v>
      </c>
      <c r="B41" s="1" t="s">
        <v>89</v>
      </c>
      <c r="C41" s="1">
        <v>398.0</v>
      </c>
      <c r="D41" s="1">
        <v>100.0</v>
      </c>
      <c r="E41" s="196"/>
      <c r="F41" s="1" t="s">
        <v>149</v>
      </c>
      <c r="G41" s="1" t="s">
        <v>116</v>
      </c>
      <c r="H41" s="1" t="s">
        <v>1698</v>
      </c>
      <c r="I41" s="1" t="s">
        <v>1699</v>
      </c>
      <c r="J41" s="1" t="s">
        <v>1699</v>
      </c>
      <c r="K41" s="196"/>
      <c r="L41" s="1">
        <v>-12.0</v>
      </c>
      <c r="M41" s="1"/>
      <c r="N41" s="1">
        <v>7.617683333333333</v>
      </c>
      <c r="O41" s="1" t="s">
        <v>1597</v>
      </c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</row>
    <row r="42">
      <c r="A42" s="1" t="s">
        <v>169</v>
      </c>
      <c r="B42" s="1" t="s">
        <v>89</v>
      </c>
      <c r="C42" s="197">
        <v>309.0</v>
      </c>
      <c r="D42" s="1">
        <v>0.0</v>
      </c>
      <c r="E42" s="196"/>
      <c r="F42" s="1" t="s">
        <v>149</v>
      </c>
      <c r="G42" s="1" t="s">
        <v>116</v>
      </c>
      <c r="H42" s="1" t="s">
        <v>1700</v>
      </c>
      <c r="I42" s="1" t="s">
        <v>1701</v>
      </c>
      <c r="J42" s="1" t="s">
        <v>1701</v>
      </c>
      <c r="K42" s="196"/>
      <c r="L42" s="1">
        <v>7.0</v>
      </c>
      <c r="M42" s="1"/>
      <c r="N42" s="1">
        <v>12.232816666666666</v>
      </c>
      <c r="O42" s="1" t="s">
        <v>1610</v>
      </c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</row>
    <row r="43">
      <c r="A43" s="1" t="s">
        <v>95</v>
      </c>
      <c r="B43" s="1" t="s">
        <v>89</v>
      </c>
      <c r="C43" s="197">
        <v>897.0</v>
      </c>
      <c r="D43" s="1">
        <v>0.0</v>
      </c>
      <c r="E43" s="1" t="s">
        <v>1571</v>
      </c>
      <c r="F43" s="1" t="s">
        <v>97</v>
      </c>
      <c r="G43" s="1" t="s">
        <v>92</v>
      </c>
      <c r="H43" s="1" t="s">
        <v>1702</v>
      </c>
      <c r="I43" s="1" t="s">
        <v>1703</v>
      </c>
      <c r="J43" s="1" t="s">
        <v>1704</v>
      </c>
      <c r="K43" s="1" t="s">
        <v>1705</v>
      </c>
      <c r="L43" s="1">
        <v>7.0</v>
      </c>
      <c r="M43" s="1">
        <v>0.004916666666666666</v>
      </c>
      <c r="N43" s="1">
        <v>15.98435</v>
      </c>
      <c r="O43" s="1" t="s">
        <v>1597</v>
      </c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6"/>
      <c r="AE43" s="196"/>
    </row>
    <row r="44">
      <c r="A44" s="1" t="s">
        <v>88</v>
      </c>
      <c r="B44" s="1" t="s">
        <v>89</v>
      </c>
      <c r="C44" s="197">
        <v>394.0</v>
      </c>
      <c r="D44" s="1">
        <v>0.0</v>
      </c>
      <c r="E44" s="1" t="s">
        <v>90</v>
      </c>
      <c r="F44" s="1" t="s">
        <v>91</v>
      </c>
      <c r="G44" s="1" t="s">
        <v>92</v>
      </c>
      <c r="H44" s="1" t="s">
        <v>1706</v>
      </c>
      <c r="I44" s="1" t="s">
        <v>1707</v>
      </c>
      <c r="J44" s="1" t="s">
        <v>1707</v>
      </c>
      <c r="K44" s="196"/>
      <c r="L44" s="1">
        <v>-2.0</v>
      </c>
      <c r="M44" s="1"/>
      <c r="N44" s="1">
        <v>12.416633333333333</v>
      </c>
      <c r="O44" s="1" t="s">
        <v>1599</v>
      </c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</row>
    <row r="45">
      <c r="A45" s="1" t="s">
        <v>95</v>
      </c>
      <c r="B45" s="1" t="s">
        <v>89</v>
      </c>
      <c r="C45" s="197">
        <v>318.0</v>
      </c>
      <c r="D45" s="1">
        <v>0.0</v>
      </c>
      <c r="E45" s="1" t="s">
        <v>1571</v>
      </c>
      <c r="F45" s="1" t="s">
        <v>97</v>
      </c>
      <c r="G45" s="1" t="s">
        <v>92</v>
      </c>
      <c r="H45" s="1" t="s">
        <v>1708</v>
      </c>
      <c r="I45" s="1" t="s">
        <v>1709</v>
      </c>
      <c r="J45" s="1" t="s">
        <v>1710</v>
      </c>
      <c r="K45" s="1" t="s">
        <v>1711</v>
      </c>
      <c r="L45" s="1">
        <v>18.0</v>
      </c>
      <c r="M45" s="1">
        <v>0.005533333333333334</v>
      </c>
      <c r="N45" s="1">
        <v>20.832866666666668</v>
      </c>
      <c r="O45" s="1" t="s">
        <v>1597</v>
      </c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</row>
    <row r="46">
      <c r="A46" s="1" t="s">
        <v>95</v>
      </c>
      <c r="B46" s="1" t="s">
        <v>89</v>
      </c>
      <c r="C46" s="197">
        <v>638.0</v>
      </c>
      <c r="D46" s="1">
        <v>0.0</v>
      </c>
      <c r="E46" s="1" t="s">
        <v>1571</v>
      </c>
      <c r="F46" s="1" t="s">
        <v>97</v>
      </c>
      <c r="G46" s="1" t="s">
        <v>92</v>
      </c>
      <c r="H46" s="1" t="s">
        <v>1712</v>
      </c>
      <c r="I46" s="1" t="s">
        <v>1713</v>
      </c>
      <c r="J46" s="1" t="s">
        <v>1714</v>
      </c>
      <c r="K46" s="1" t="s">
        <v>1715</v>
      </c>
      <c r="L46" s="1">
        <v>-15.0</v>
      </c>
      <c r="M46" s="1">
        <v>0.0062</v>
      </c>
      <c r="N46" s="1">
        <v>7.600583333333334</v>
      </c>
      <c r="O46" s="1" t="s">
        <v>1597</v>
      </c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</row>
    <row r="47">
      <c r="A47" s="1" t="s">
        <v>95</v>
      </c>
      <c r="B47" s="1" t="s">
        <v>89</v>
      </c>
      <c r="C47" s="197">
        <v>190.0</v>
      </c>
      <c r="D47" s="1">
        <v>59.0</v>
      </c>
      <c r="E47" s="196"/>
      <c r="F47" s="1" t="s">
        <v>149</v>
      </c>
      <c r="G47" s="1" t="s">
        <v>92</v>
      </c>
      <c r="H47" s="1" t="s">
        <v>1716</v>
      </c>
      <c r="I47" s="1" t="s">
        <v>1717</v>
      </c>
      <c r="J47" s="1" t="s">
        <v>1717</v>
      </c>
      <c r="K47" s="196"/>
      <c r="L47" s="1">
        <v>-10.0</v>
      </c>
      <c r="M47" s="1"/>
      <c r="N47" s="1">
        <v>8.178983333333333</v>
      </c>
      <c r="O47" s="1" t="s">
        <v>1597</v>
      </c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</row>
    <row r="48">
      <c r="A48" s="1" t="s">
        <v>127</v>
      </c>
      <c r="B48" s="1" t="s">
        <v>89</v>
      </c>
      <c r="C48" s="197">
        <v>299.0</v>
      </c>
      <c r="D48" s="1">
        <v>0.0</v>
      </c>
      <c r="E48" s="196"/>
      <c r="F48" s="1" t="s">
        <v>91</v>
      </c>
      <c r="G48" s="1" t="s">
        <v>92</v>
      </c>
      <c r="H48" s="1" t="s">
        <v>1718</v>
      </c>
      <c r="I48" s="1" t="s">
        <v>1719</v>
      </c>
      <c r="J48" s="1" t="s">
        <v>1719</v>
      </c>
      <c r="K48" s="196"/>
      <c r="L48" s="1">
        <v>-6.0</v>
      </c>
      <c r="M48" s="1"/>
      <c r="N48" s="1">
        <v>8.118216666666667</v>
      </c>
      <c r="O48" s="1" t="s">
        <v>1599</v>
      </c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</row>
    <row r="49">
      <c r="A49" s="1" t="s">
        <v>95</v>
      </c>
      <c r="B49" s="1" t="s">
        <v>89</v>
      </c>
      <c r="C49" s="197">
        <v>358.0</v>
      </c>
      <c r="D49" s="1">
        <v>0.0</v>
      </c>
      <c r="E49" s="1" t="s">
        <v>1571</v>
      </c>
      <c r="F49" s="1" t="s">
        <v>97</v>
      </c>
      <c r="G49" s="1" t="s">
        <v>92</v>
      </c>
      <c r="H49" s="1" t="s">
        <v>1720</v>
      </c>
      <c r="I49" s="1" t="s">
        <v>1721</v>
      </c>
      <c r="J49" s="1" t="s">
        <v>1722</v>
      </c>
      <c r="K49" s="1" t="s">
        <v>1723</v>
      </c>
      <c r="L49" s="1">
        <v>-8.0</v>
      </c>
      <c r="M49" s="1">
        <v>0.005883333333333333</v>
      </c>
      <c r="N49" s="1">
        <v>11.342833333333333</v>
      </c>
      <c r="O49" s="1" t="s">
        <v>1597</v>
      </c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</row>
    <row r="50">
      <c r="A50" s="1" t="s">
        <v>169</v>
      </c>
      <c r="B50" s="1" t="s">
        <v>89</v>
      </c>
      <c r="C50" s="197">
        <v>20.0</v>
      </c>
      <c r="D50" s="1">
        <v>30.0</v>
      </c>
      <c r="E50" s="196"/>
      <c r="F50" s="1" t="s">
        <v>149</v>
      </c>
      <c r="G50" s="1" t="s">
        <v>116</v>
      </c>
      <c r="H50" s="1" t="s">
        <v>1724</v>
      </c>
      <c r="I50" s="1" t="s">
        <v>1725</v>
      </c>
      <c r="J50" s="1" t="s">
        <v>1725</v>
      </c>
      <c r="K50" s="196"/>
      <c r="L50" s="1">
        <v>-4.0</v>
      </c>
      <c r="M50" s="1"/>
      <c r="N50" s="1">
        <v>0.5102166666666667</v>
      </c>
      <c r="O50" s="1" t="s">
        <v>1610</v>
      </c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</row>
    <row r="51">
      <c r="A51" s="1" t="s">
        <v>104</v>
      </c>
      <c r="B51" s="1" t="s">
        <v>89</v>
      </c>
      <c r="C51" s="197">
        <v>264.0</v>
      </c>
      <c r="D51" s="1">
        <v>0.0</v>
      </c>
      <c r="E51" s="1" t="s">
        <v>625</v>
      </c>
      <c r="F51" s="1" t="s">
        <v>91</v>
      </c>
      <c r="G51" s="1" t="s">
        <v>92</v>
      </c>
      <c r="H51" s="1" t="s">
        <v>1726</v>
      </c>
      <c r="I51" s="1" t="s">
        <v>1727</v>
      </c>
      <c r="J51" s="1" t="s">
        <v>1727</v>
      </c>
      <c r="K51" s="196"/>
      <c r="L51" s="1">
        <v>4.0</v>
      </c>
      <c r="M51" s="1"/>
      <c r="N51" s="1">
        <v>19.06085</v>
      </c>
      <c r="O51" s="1" t="s">
        <v>1599</v>
      </c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  <c r="AA51" s="196"/>
      <c r="AB51" s="196"/>
      <c r="AC51" s="196"/>
      <c r="AD51" s="196"/>
      <c r="AE51" s="196"/>
    </row>
    <row r="52">
      <c r="A52" s="1" t="s">
        <v>88</v>
      </c>
      <c r="B52" s="1" t="s">
        <v>89</v>
      </c>
      <c r="C52" s="197">
        <v>792.0</v>
      </c>
      <c r="D52" s="1">
        <v>0.0</v>
      </c>
      <c r="E52" s="1" t="s">
        <v>90</v>
      </c>
      <c r="F52" s="1" t="s">
        <v>91</v>
      </c>
      <c r="G52" s="1" t="s">
        <v>92</v>
      </c>
      <c r="H52" s="1" t="s">
        <v>1728</v>
      </c>
      <c r="I52" s="1" t="s">
        <v>1729</v>
      </c>
      <c r="J52" s="1" t="s">
        <v>1729</v>
      </c>
      <c r="K52" s="196"/>
      <c r="L52" s="1">
        <v>5.0</v>
      </c>
      <c r="M52" s="1"/>
      <c r="N52" s="1">
        <v>20.285133333333334</v>
      </c>
      <c r="O52" s="1" t="s">
        <v>1599</v>
      </c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96"/>
      <c r="AB52" s="196"/>
      <c r="AC52" s="196"/>
      <c r="AD52" s="196"/>
      <c r="AE52" s="196"/>
    </row>
    <row r="53">
      <c r="A53" s="1" t="s">
        <v>88</v>
      </c>
      <c r="B53" s="197" t="s">
        <v>89</v>
      </c>
      <c r="C53" s="1">
        <v>1142.0</v>
      </c>
      <c r="D53" s="1">
        <v>0.0</v>
      </c>
      <c r="E53" s="1" t="s">
        <v>90</v>
      </c>
      <c r="F53" s="1" t="s">
        <v>91</v>
      </c>
      <c r="G53" s="1" t="s">
        <v>92</v>
      </c>
      <c r="H53" s="1" t="s">
        <v>1730</v>
      </c>
      <c r="I53" s="1" t="s">
        <v>1731</v>
      </c>
      <c r="J53" s="1" t="s">
        <v>1731</v>
      </c>
      <c r="K53" s="196"/>
      <c r="L53" s="1">
        <v>2.0</v>
      </c>
      <c r="M53" s="1"/>
      <c r="N53" s="1">
        <v>17.51925</v>
      </c>
      <c r="O53" s="1" t="s">
        <v>1599</v>
      </c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  <c r="AA53" s="196"/>
      <c r="AB53" s="196"/>
      <c r="AC53" s="196"/>
      <c r="AD53" s="196"/>
      <c r="AE53" s="196"/>
    </row>
    <row r="54">
      <c r="A54" s="1" t="s">
        <v>95</v>
      </c>
      <c r="B54" s="1" t="s">
        <v>89</v>
      </c>
      <c r="C54" s="197">
        <v>355.0</v>
      </c>
      <c r="D54" s="1">
        <v>114.0</v>
      </c>
      <c r="E54" s="196"/>
      <c r="F54" s="1" t="s">
        <v>149</v>
      </c>
      <c r="G54" s="1" t="s">
        <v>92</v>
      </c>
      <c r="H54" s="1" t="s">
        <v>1732</v>
      </c>
      <c r="I54" s="1" t="s">
        <v>1733</v>
      </c>
      <c r="J54" s="1" t="s">
        <v>1733</v>
      </c>
      <c r="K54" s="196"/>
      <c r="L54" s="1">
        <v>0.0</v>
      </c>
      <c r="M54" s="1"/>
      <c r="N54" s="1">
        <v>18.28665</v>
      </c>
      <c r="O54" s="1" t="s">
        <v>1597</v>
      </c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</row>
    <row r="55">
      <c r="A55" s="1" t="s">
        <v>95</v>
      </c>
      <c r="B55" s="1" t="s">
        <v>89</v>
      </c>
      <c r="C55" s="197">
        <v>424.0</v>
      </c>
      <c r="D55" s="1">
        <v>0.0</v>
      </c>
      <c r="E55" s="1" t="s">
        <v>1571</v>
      </c>
      <c r="F55" s="1" t="s">
        <v>97</v>
      </c>
      <c r="G55" s="1" t="s">
        <v>92</v>
      </c>
      <c r="H55" s="1" t="s">
        <v>1734</v>
      </c>
      <c r="I55" s="1" t="s">
        <v>1735</v>
      </c>
      <c r="J55" s="1" t="s">
        <v>1736</v>
      </c>
      <c r="K55" s="1" t="s">
        <v>1737</v>
      </c>
      <c r="L55" s="1">
        <v>-13.0</v>
      </c>
      <c r="M55" s="1">
        <v>0.0122</v>
      </c>
      <c r="N55" s="1">
        <v>7.3752</v>
      </c>
      <c r="O55" s="1" t="s">
        <v>1597</v>
      </c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6"/>
      <c r="AB55" s="196"/>
      <c r="AC55" s="196"/>
      <c r="AD55" s="196"/>
      <c r="AE55" s="196"/>
    </row>
    <row r="56">
      <c r="A56" s="1" t="s">
        <v>127</v>
      </c>
      <c r="B56" s="1" t="s">
        <v>89</v>
      </c>
      <c r="C56" s="197">
        <v>792.0</v>
      </c>
      <c r="D56" s="1">
        <v>0.0</v>
      </c>
      <c r="E56" s="196"/>
      <c r="F56" s="1" t="s">
        <v>91</v>
      </c>
      <c r="G56" s="1" t="s">
        <v>92</v>
      </c>
      <c r="H56" s="1" t="s">
        <v>1738</v>
      </c>
      <c r="I56" s="1" t="s">
        <v>1739</v>
      </c>
      <c r="J56" s="1" t="s">
        <v>1739</v>
      </c>
      <c r="K56" s="196"/>
      <c r="L56" s="1">
        <v>-4.0</v>
      </c>
      <c r="M56" s="1"/>
      <c r="N56" s="1">
        <v>10.578616666666667</v>
      </c>
      <c r="O56" s="1" t="s">
        <v>1599</v>
      </c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</row>
    <row r="57">
      <c r="A57" s="1" t="s">
        <v>127</v>
      </c>
      <c r="B57" s="1" t="s">
        <v>89</v>
      </c>
      <c r="C57" s="197">
        <v>922.0</v>
      </c>
      <c r="D57" s="1">
        <v>0.0</v>
      </c>
      <c r="E57" s="196"/>
      <c r="F57" s="1" t="s">
        <v>91</v>
      </c>
      <c r="G57" s="1" t="s">
        <v>92</v>
      </c>
      <c r="H57" s="1" t="s">
        <v>1740</v>
      </c>
      <c r="I57" s="1" t="s">
        <v>1741</v>
      </c>
      <c r="J57" s="1" t="s">
        <v>1741</v>
      </c>
      <c r="K57" s="196"/>
      <c r="L57" s="1">
        <v>-1.0</v>
      </c>
      <c r="M57" s="1"/>
      <c r="N57" s="1">
        <v>13.7062</v>
      </c>
      <c r="O57" s="1" t="s">
        <v>1599</v>
      </c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</row>
    <row r="58">
      <c r="A58" s="1" t="s">
        <v>127</v>
      </c>
      <c r="B58" s="1" t="s">
        <v>89</v>
      </c>
      <c r="C58" s="1">
        <v>638.0</v>
      </c>
      <c r="D58" s="1">
        <v>0.0</v>
      </c>
      <c r="E58" s="196"/>
      <c r="F58" s="1" t="s">
        <v>91</v>
      </c>
      <c r="G58" s="1" t="s">
        <v>92</v>
      </c>
      <c r="H58" s="1" t="s">
        <v>1742</v>
      </c>
      <c r="I58" s="1" t="s">
        <v>1743</v>
      </c>
      <c r="J58" s="1" t="s">
        <v>1743</v>
      </c>
      <c r="K58" s="196"/>
      <c r="L58" s="1">
        <v>-2.0</v>
      </c>
      <c r="M58" s="1"/>
      <c r="N58" s="1">
        <v>12.270916666666666</v>
      </c>
      <c r="O58" s="1" t="s">
        <v>1599</v>
      </c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</row>
    <row r="59">
      <c r="A59" s="1" t="s">
        <v>95</v>
      </c>
      <c r="B59" s="1" t="s">
        <v>89</v>
      </c>
      <c r="C59" s="197">
        <v>269.0</v>
      </c>
      <c r="D59" s="1">
        <v>0.0</v>
      </c>
      <c r="E59" s="1" t="s">
        <v>1571</v>
      </c>
      <c r="F59" s="1" t="s">
        <v>97</v>
      </c>
      <c r="G59" s="1" t="s">
        <v>92</v>
      </c>
      <c r="H59" s="1" t="s">
        <v>1744</v>
      </c>
      <c r="I59" s="1" t="s">
        <v>1745</v>
      </c>
      <c r="J59" s="1" t="s">
        <v>1746</v>
      </c>
      <c r="K59" s="1" t="s">
        <v>1747</v>
      </c>
      <c r="L59" s="1">
        <v>-7.0</v>
      </c>
      <c r="M59" s="1">
        <v>0.00515</v>
      </c>
      <c r="N59" s="1">
        <v>14.733483333333334</v>
      </c>
      <c r="O59" s="1" t="s">
        <v>1597</v>
      </c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96"/>
      <c r="AB59" s="196"/>
      <c r="AC59" s="196"/>
      <c r="AD59" s="196"/>
      <c r="AE59" s="196"/>
    </row>
    <row r="60">
      <c r="A60" s="1" t="s">
        <v>88</v>
      </c>
      <c r="B60" s="1" t="s">
        <v>89</v>
      </c>
      <c r="C60" s="197">
        <v>364.0</v>
      </c>
      <c r="D60" s="1">
        <v>0.0</v>
      </c>
      <c r="E60" s="1" t="s">
        <v>90</v>
      </c>
      <c r="F60" s="1" t="s">
        <v>91</v>
      </c>
      <c r="G60" s="1" t="s">
        <v>92</v>
      </c>
      <c r="H60" s="1" t="s">
        <v>1748</v>
      </c>
      <c r="I60" s="1" t="s">
        <v>1749</v>
      </c>
      <c r="J60" s="1" t="s">
        <v>1749</v>
      </c>
      <c r="K60" s="196"/>
      <c r="L60" s="1">
        <v>10.0</v>
      </c>
      <c r="M60" s="1"/>
      <c r="N60" s="1">
        <v>25.273716666666665</v>
      </c>
      <c r="O60" s="1" t="s">
        <v>1599</v>
      </c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6"/>
      <c r="AB60" s="196"/>
      <c r="AC60" s="196"/>
      <c r="AD60" s="196"/>
      <c r="AE60" s="196"/>
    </row>
    <row r="61">
      <c r="A61" s="1" t="s">
        <v>95</v>
      </c>
      <c r="B61" s="1" t="s">
        <v>89</v>
      </c>
      <c r="C61" s="1">
        <v>922.0</v>
      </c>
      <c r="D61" s="1">
        <v>231.0</v>
      </c>
      <c r="E61" s="196"/>
      <c r="F61" s="1" t="s">
        <v>149</v>
      </c>
      <c r="G61" s="1" t="s">
        <v>92</v>
      </c>
      <c r="H61" s="1" t="s">
        <v>1750</v>
      </c>
      <c r="I61" s="1" t="s">
        <v>1751</v>
      </c>
      <c r="J61" s="1" t="s">
        <v>1751</v>
      </c>
      <c r="K61" s="196"/>
      <c r="L61" s="1">
        <v>-1.0</v>
      </c>
      <c r="M61" s="1"/>
      <c r="N61" s="1">
        <v>17.533633333333334</v>
      </c>
      <c r="O61" s="1" t="s">
        <v>1597</v>
      </c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6"/>
      <c r="AB61" s="196"/>
      <c r="AC61" s="196"/>
      <c r="AD61" s="196"/>
      <c r="AE61" s="196"/>
    </row>
    <row r="62">
      <c r="A62" s="1" t="s">
        <v>127</v>
      </c>
      <c r="B62" s="1" t="s">
        <v>89</v>
      </c>
      <c r="C62" s="197">
        <v>364.0</v>
      </c>
      <c r="D62" s="1">
        <v>0.0</v>
      </c>
      <c r="E62" s="196"/>
      <c r="F62" s="1" t="s">
        <v>91</v>
      </c>
      <c r="G62" s="1" t="s">
        <v>92</v>
      </c>
      <c r="H62" s="1" t="s">
        <v>1752</v>
      </c>
      <c r="I62" s="1" t="s">
        <v>1753</v>
      </c>
      <c r="J62" s="1" t="s">
        <v>1753</v>
      </c>
      <c r="K62" s="196"/>
      <c r="L62" s="1">
        <v>11.0</v>
      </c>
      <c r="M62" s="1"/>
      <c r="N62" s="1">
        <v>26.572016666666666</v>
      </c>
      <c r="O62" s="1" t="s">
        <v>1599</v>
      </c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6"/>
      <c r="AB62" s="196"/>
      <c r="AC62" s="196"/>
      <c r="AD62" s="196"/>
      <c r="AE62" s="196"/>
    </row>
    <row r="63">
      <c r="A63" s="1" t="s">
        <v>88</v>
      </c>
      <c r="B63" s="1" t="s">
        <v>89</v>
      </c>
      <c r="C63" s="1">
        <v>987.0</v>
      </c>
      <c r="D63" s="1">
        <v>0.0</v>
      </c>
      <c r="E63" s="1" t="s">
        <v>90</v>
      </c>
      <c r="F63" s="1" t="s">
        <v>91</v>
      </c>
      <c r="G63" s="1" t="s">
        <v>92</v>
      </c>
      <c r="H63" s="1" t="s">
        <v>1754</v>
      </c>
      <c r="I63" s="1" t="s">
        <v>1755</v>
      </c>
      <c r="J63" s="1" t="s">
        <v>1755</v>
      </c>
      <c r="K63" s="196"/>
      <c r="L63" s="1">
        <v>8.0</v>
      </c>
      <c r="M63" s="1"/>
      <c r="N63" s="1">
        <v>23.2603</v>
      </c>
      <c r="O63" s="1" t="s">
        <v>1599</v>
      </c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6"/>
      <c r="AB63" s="196"/>
      <c r="AC63" s="196"/>
      <c r="AD63" s="196"/>
      <c r="AE63" s="196"/>
    </row>
    <row r="64">
      <c r="A64" s="1" t="s">
        <v>127</v>
      </c>
      <c r="B64" s="1" t="s">
        <v>89</v>
      </c>
      <c r="C64" s="1">
        <v>321.0</v>
      </c>
      <c r="D64" s="1">
        <v>0.0</v>
      </c>
      <c r="E64" s="196"/>
      <c r="F64" s="1" t="s">
        <v>91</v>
      </c>
      <c r="G64" s="1" t="s">
        <v>92</v>
      </c>
      <c r="H64" s="1" t="s">
        <v>1756</v>
      </c>
      <c r="I64" s="1" t="s">
        <v>1757</v>
      </c>
      <c r="J64" s="1" t="s">
        <v>1757</v>
      </c>
      <c r="K64" s="196"/>
      <c r="L64" s="1">
        <v>-8.0</v>
      </c>
      <c r="M64" s="1"/>
      <c r="N64" s="1">
        <v>6.385283333333334</v>
      </c>
      <c r="O64" s="1" t="s">
        <v>1599</v>
      </c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6"/>
      <c r="AB64" s="196"/>
      <c r="AC64" s="196"/>
      <c r="AD64" s="196"/>
      <c r="AE64" s="196"/>
    </row>
    <row r="65">
      <c r="A65" s="1" t="s">
        <v>88</v>
      </c>
      <c r="B65" s="1" t="s">
        <v>89</v>
      </c>
      <c r="C65" s="197">
        <v>289.0</v>
      </c>
      <c r="D65" s="1">
        <v>0.0</v>
      </c>
      <c r="E65" s="1" t="s">
        <v>90</v>
      </c>
      <c r="F65" s="1" t="s">
        <v>91</v>
      </c>
      <c r="G65" s="1" t="s">
        <v>92</v>
      </c>
      <c r="H65" s="1" t="s">
        <v>1758</v>
      </c>
      <c r="I65" s="1" t="s">
        <v>1759</v>
      </c>
      <c r="J65" s="1" t="s">
        <v>1759</v>
      </c>
      <c r="K65" s="196"/>
      <c r="L65" s="1">
        <v>-8.0</v>
      </c>
      <c r="M65" s="1"/>
      <c r="N65" s="1">
        <v>7.3157</v>
      </c>
      <c r="O65" s="1" t="s">
        <v>1599</v>
      </c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  <c r="AA65" s="196"/>
      <c r="AB65" s="196"/>
      <c r="AC65" s="196"/>
      <c r="AD65" s="196"/>
      <c r="AE65" s="196"/>
    </row>
    <row r="66">
      <c r="A66" s="1" t="s">
        <v>88</v>
      </c>
      <c r="B66" s="1" t="s">
        <v>89</v>
      </c>
      <c r="C66" s="197">
        <v>329.0</v>
      </c>
      <c r="D66" s="1">
        <v>0.0</v>
      </c>
      <c r="E66" s="1" t="s">
        <v>90</v>
      </c>
      <c r="F66" s="1" t="s">
        <v>91</v>
      </c>
      <c r="G66" s="1" t="s">
        <v>92</v>
      </c>
      <c r="H66" s="1" t="s">
        <v>1760</v>
      </c>
      <c r="I66" s="1" t="s">
        <v>1761</v>
      </c>
      <c r="J66" s="1" t="s">
        <v>1761</v>
      </c>
      <c r="K66" s="196"/>
      <c r="L66" s="1">
        <v>-5.0</v>
      </c>
      <c r="M66" s="1"/>
      <c r="N66" s="1">
        <v>9.68475</v>
      </c>
      <c r="O66" s="1" t="s">
        <v>1599</v>
      </c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  <c r="AA66" s="196"/>
      <c r="AB66" s="196"/>
      <c r="AC66" s="196"/>
      <c r="AD66" s="196"/>
      <c r="AE66" s="196"/>
    </row>
    <row r="67">
      <c r="A67" s="1" t="s">
        <v>127</v>
      </c>
      <c r="B67" s="1" t="s">
        <v>89</v>
      </c>
      <c r="C67" s="197">
        <v>329.0</v>
      </c>
      <c r="D67" s="1">
        <v>0.0</v>
      </c>
      <c r="E67" s="196"/>
      <c r="F67" s="1" t="s">
        <v>91</v>
      </c>
      <c r="G67" s="1" t="s">
        <v>92</v>
      </c>
      <c r="H67" s="1" t="s">
        <v>1762</v>
      </c>
      <c r="I67" s="1" t="s">
        <v>1763</v>
      </c>
      <c r="J67" s="1" t="s">
        <v>1763</v>
      </c>
      <c r="K67" s="196"/>
      <c r="L67" s="1">
        <v>-7.0</v>
      </c>
      <c r="M67" s="1"/>
      <c r="N67" s="1">
        <v>7.5927</v>
      </c>
      <c r="O67" s="1" t="s">
        <v>1599</v>
      </c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  <c r="AA67" s="196"/>
      <c r="AB67" s="196"/>
      <c r="AC67" s="196"/>
      <c r="AD67" s="196"/>
      <c r="AE67" s="196"/>
    </row>
    <row r="68">
      <c r="A68" s="1" t="s">
        <v>127</v>
      </c>
      <c r="B68" s="1" t="s">
        <v>89</v>
      </c>
      <c r="C68" s="197">
        <v>329.0</v>
      </c>
      <c r="D68" s="1">
        <v>0.0</v>
      </c>
      <c r="E68" s="196"/>
      <c r="F68" s="1" t="s">
        <v>91</v>
      </c>
      <c r="G68" s="1" t="s">
        <v>92</v>
      </c>
      <c r="H68" s="1" t="s">
        <v>1764</v>
      </c>
      <c r="I68" s="1" t="s">
        <v>1765</v>
      </c>
      <c r="J68" s="1" t="s">
        <v>1765</v>
      </c>
      <c r="K68" s="196"/>
      <c r="L68" s="1">
        <v>-8.0</v>
      </c>
      <c r="M68" s="1"/>
      <c r="N68" s="1">
        <v>6.225233333333334</v>
      </c>
      <c r="O68" s="1" t="s">
        <v>1599</v>
      </c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  <c r="AA68" s="196"/>
      <c r="AB68" s="196"/>
      <c r="AC68" s="196"/>
      <c r="AD68" s="196"/>
      <c r="AE68" s="196"/>
    </row>
    <row r="69">
      <c r="A69" s="1" t="s">
        <v>127</v>
      </c>
      <c r="B69" s="1" t="s">
        <v>89</v>
      </c>
      <c r="C69" s="197">
        <v>678.0</v>
      </c>
      <c r="D69" s="1">
        <v>0.0</v>
      </c>
      <c r="E69" s="196"/>
      <c r="F69" s="1" t="s">
        <v>91</v>
      </c>
      <c r="G69" s="1" t="s">
        <v>92</v>
      </c>
      <c r="H69" s="1" t="s">
        <v>1766</v>
      </c>
      <c r="I69" s="1" t="s">
        <v>1767</v>
      </c>
      <c r="J69" s="1" t="s">
        <v>1767</v>
      </c>
      <c r="K69" s="196"/>
      <c r="L69" s="1">
        <v>-8.0</v>
      </c>
      <c r="M69" s="1"/>
      <c r="N69" s="1">
        <v>6.318116666666667</v>
      </c>
      <c r="O69" s="1" t="s">
        <v>1599</v>
      </c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  <c r="AA69" s="196"/>
      <c r="AB69" s="196"/>
      <c r="AC69" s="196"/>
      <c r="AD69" s="196"/>
      <c r="AE69" s="196"/>
    </row>
    <row r="70">
      <c r="A70" s="1" t="s">
        <v>95</v>
      </c>
      <c r="B70" s="1" t="s">
        <v>89</v>
      </c>
      <c r="C70" s="197">
        <v>359.0</v>
      </c>
      <c r="D70" s="1">
        <v>0.0</v>
      </c>
      <c r="E70" s="1" t="s">
        <v>1571</v>
      </c>
      <c r="F70" s="1" t="s">
        <v>97</v>
      </c>
      <c r="G70" s="1" t="s">
        <v>92</v>
      </c>
      <c r="H70" s="1" t="s">
        <v>1768</v>
      </c>
      <c r="I70" s="1" t="s">
        <v>1769</v>
      </c>
      <c r="J70" s="1" t="s">
        <v>1770</v>
      </c>
      <c r="K70" s="1" t="s">
        <v>1771</v>
      </c>
      <c r="L70" s="1">
        <v>-6.0</v>
      </c>
      <c r="M70" s="1">
        <v>0.00425</v>
      </c>
      <c r="N70" s="1">
        <v>16.842233333333333</v>
      </c>
      <c r="O70" s="1" t="s">
        <v>1597</v>
      </c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6"/>
      <c r="AB70" s="196"/>
      <c r="AC70" s="196"/>
      <c r="AD70" s="196"/>
      <c r="AE70" s="196"/>
    </row>
    <row r="71">
      <c r="A71" s="1" t="s">
        <v>127</v>
      </c>
      <c r="B71" s="1" t="s">
        <v>89</v>
      </c>
      <c r="C71" s="197">
        <v>658.0</v>
      </c>
      <c r="D71" s="1">
        <v>0.0</v>
      </c>
      <c r="E71" s="196"/>
      <c r="F71" s="1" t="s">
        <v>91</v>
      </c>
      <c r="G71" s="1" t="s">
        <v>92</v>
      </c>
      <c r="H71" s="1" t="s">
        <v>1772</v>
      </c>
      <c r="I71" s="1" t="s">
        <v>1773</v>
      </c>
      <c r="J71" s="1" t="s">
        <v>1773</v>
      </c>
      <c r="K71" s="196"/>
      <c r="L71" s="1">
        <v>7.0</v>
      </c>
      <c r="M71" s="1"/>
      <c r="N71" s="1">
        <v>22.732433333333333</v>
      </c>
      <c r="O71" s="1" t="s">
        <v>1599</v>
      </c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  <c r="AA71" s="196"/>
      <c r="AB71" s="196"/>
      <c r="AC71" s="196"/>
      <c r="AD71" s="196"/>
      <c r="AE71" s="196"/>
    </row>
    <row r="72">
      <c r="A72" s="1" t="s">
        <v>95</v>
      </c>
      <c r="B72" s="1" t="s">
        <v>89</v>
      </c>
      <c r="C72" s="1">
        <v>418.0</v>
      </c>
      <c r="D72" s="1">
        <v>100.0</v>
      </c>
      <c r="E72" s="196"/>
      <c r="F72" s="1" t="s">
        <v>149</v>
      </c>
      <c r="G72" s="1" t="s">
        <v>92</v>
      </c>
      <c r="H72" s="1" t="s">
        <v>1774</v>
      </c>
      <c r="I72" s="1" t="s">
        <v>1775</v>
      </c>
      <c r="J72" s="1" t="s">
        <v>1775</v>
      </c>
      <c r="K72" s="196"/>
      <c r="L72" s="1">
        <v>3.0</v>
      </c>
      <c r="M72" s="1"/>
      <c r="N72" s="1">
        <v>57.22923333333333</v>
      </c>
      <c r="O72" s="1" t="s">
        <v>1597</v>
      </c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  <c r="AA72" s="196"/>
      <c r="AB72" s="196"/>
      <c r="AC72" s="196"/>
      <c r="AD72" s="196"/>
      <c r="AE72" s="196"/>
    </row>
    <row r="73">
      <c r="A73" s="1" t="s">
        <v>95</v>
      </c>
      <c r="B73" s="1" t="s">
        <v>89</v>
      </c>
      <c r="C73" s="197">
        <v>437.0</v>
      </c>
      <c r="D73" s="1">
        <v>0.0</v>
      </c>
      <c r="E73" s="1" t="s">
        <v>1571</v>
      </c>
      <c r="F73" s="1" t="s">
        <v>97</v>
      </c>
      <c r="G73" s="1" t="s">
        <v>92</v>
      </c>
      <c r="H73" s="1" t="s">
        <v>1776</v>
      </c>
      <c r="I73" s="1" t="s">
        <v>1777</v>
      </c>
      <c r="J73" s="1" t="s">
        <v>1778</v>
      </c>
      <c r="K73" s="1" t="s">
        <v>1779</v>
      </c>
      <c r="L73" s="1">
        <v>1.0</v>
      </c>
      <c r="M73" s="1">
        <v>0.004816666666666667</v>
      </c>
      <c r="N73" s="1">
        <v>20.908916666666666</v>
      </c>
      <c r="O73" s="1" t="s">
        <v>1597</v>
      </c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  <c r="AA73" s="196"/>
      <c r="AB73" s="196"/>
      <c r="AC73" s="196"/>
      <c r="AD73" s="196"/>
      <c r="AE73" s="196"/>
    </row>
    <row r="74">
      <c r="A74" s="1" t="s">
        <v>88</v>
      </c>
      <c r="B74" s="1" t="s">
        <v>89</v>
      </c>
      <c r="C74" s="197">
        <v>329.0</v>
      </c>
      <c r="D74" s="1">
        <v>0.0</v>
      </c>
      <c r="E74" s="1" t="s">
        <v>90</v>
      </c>
      <c r="F74" s="1" t="s">
        <v>91</v>
      </c>
      <c r="G74" s="1" t="s">
        <v>92</v>
      </c>
      <c r="H74" s="1" t="s">
        <v>1780</v>
      </c>
      <c r="I74" s="1" t="s">
        <v>1781</v>
      </c>
      <c r="J74" s="1" t="s">
        <v>1781</v>
      </c>
      <c r="K74" s="196"/>
      <c r="L74" s="1">
        <v>1.0</v>
      </c>
      <c r="M74" s="1"/>
      <c r="N74" s="1">
        <v>16.672166666666666</v>
      </c>
      <c r="O74" s="1" t="s">
        <v>1599</v>
      </c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  <c r="AA74" s="196"/>
      <c r="AB74" s="196"/>
      <c r="AC74" s="196"/>
      <c r="AD74" s="196"/>
      <c r="AE74" s="196"/>
    </row>
    <row r="75">
      <c r="A75" s="1" t="s">
        <v>95</v>
      </c>
      <c r="B75" s="1" t="s">
        <v>89</v>
      </c>
      <c r="C75" s="1">
        <v>1425.0</v>
      </c>
      <c r="D75" s="1">
        <v>0.0</v>
      </c>
      <c r="E75" s="1" t="s">
        <v>1570</v>
      </c>
      <c r="F75" s="1" t="s">
        <v>97</v>
      </c>
      <c r="G75" s="1" t="s">
        <v>92</v>
      </c>
      <c r="H75" s="1" t="s">
        <v>1782</v>
      </c>
      <c r="I75" s="1" t="s">
        <v>1783</v>
      </c>
      <c r="J75" s="1" t="s">
        <v>1784</v>
      </c>
      <c r="K75" s="1" t="s">
        <v>1785</v>
      </c>
      <c r="L75" s="1">
        <v>-1.0</v>
      </c>
      <c r="M75" s="1">
        <v>0.005733333333333333</v>
      </c>
      <c r="N75" s="1">
        <v>18.95625</v>
      </c>
      <c r="O75" s="1" t="s">
        <v>1597</v>
      </c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  <c r="AA75" s="196"/>
      <c r="AB75" s="196"/>
      <c r="AC75" s="196"/>
      <c r="AD75" s="196"/>
      <c r="AE75" s="196"/>
    </row>
    <row r="76">
      <c r="A76" s="1" t="s">
        <v>127</v>
      </c>
      <c r="B76" s="1" t="s">
        <v>89</v>
      </c>
      <c r="C76" s="1">
        <v>329.0</v>
      </c>
      <c r="D76" s="1">
        <v>0.0</v>
      </c>
      <c r="E76" s="196"/>
      <c r="F76" s="1" t="s">
        <v>91</v>
      </c>
      <c r="G76" s="1" t="s">
        <v>92</v>
      </c>
      <c r="H76" s="1" t="s">
        <v>1786</v>
      </c>
      <c r="I76" s="1" t="s">
        <v>1787</v>
      </c>
      <c r="J76" s="1" t="s">
        <v>1787</v>
      </c>
      <c r="K76" s="196"/>
      <c r="L76" s="1">
        <v>-9.0</v>
      </c>
      <c r="M76" s="1"/>
      <c r="N76" s="1">
        <v>5.983116666666667</v>
      </c>
      <c r="O76" s="1" t="s">
        <v>1599</v>
      </c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  <c r="AA76" s="196"/>
      <c r="AB76" s="196"/>
      <c r="AC76" s="196"/>
      <c r="AD76" s="196"/>
      <c r="AE76" s="196"/>
    </row>
    <row r="77">
      <c r="A77" s="1" t="s">
        <v>95</v>
      </c>
      <c r="B77" s="1" t="s">
        <v>89</v>
      </c>
      <c r="C77" s="1">
        <v>472.0</v>
      </c>
      <c r="D77" s="1">
        <v>0.0</v>
      </c>
      <c r="E77" s="1" t="s">
        <v>1570</v>
      </c>
      <c r="F77" s="1" t="s">
        <v>97</v>
      </c>
      <c r="G77" s="1" t="s">
        <v>92</v>
      </c>
      <c r="H77" s="1" t="s">
        <v>1788</v>
      </c>
      <c r="I77" s="1" t="s">
        <v>1789</v>
      </c>
      <c r="J77" s="1" t="s">
        <v>1790</v>
      </c>
      <c r="K77" s="1" t="s">
        <v>1791</v>
      </c>
      <c r="L77" s="1">
        <v>-18.0</v>
      </c>
      <c r="M77" s="1">
        <v>0.007716666666666667</v>
      </c>
      <c r="N77" s="1">
        <v>5.9675</v>
      </c>
      <c r="O77" s="1" t="s">
        <v>1597</v>
      </c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  <c r="AA77" s="196"/>
      <c r="AB77" s="196"/>
      <c r="AC77" s="196"/>
      <c r="AD77" s="196"/>
      <c r="AE77" s="196"/>
    </row>
    <row r="78">
      <c r="A78" s="1" t="s">
        <v>95</v>
      </c>
      <c r="B78" s="1" t="s">
        <v>89</v>
      </c>
      <c r="C78" s="197">
        <v>602.0</v>
      </c>
      <c r="D78" s="1">
        <v>0.0</v>
      </c>
      <c r="E78" s="1" t="s">
        <v>1571</v>
      </c>
      <c r="F78" s="1" t="s">
        <v>97</v>
      </c>
      <c r="G78" s="1" t="s">
        <v>92</v>
      </c>
      <c r="H78" s="1" t="s">
        <v>1792</v>
      </c>
      <c r="I78" s="1" t="s">
        <v>1793</v>
      </c>
      <c r="J78" s="1" t="s">
        <v>1794</v>
      </c>
      <c r="K78" s="1" t="s">
        <v>1795</v>
      </c>
      <c r="L78" s="1">
        <v>-3.0</v>
      </c>
      <c r="M78" s="1">
        <v>0.006983333333333334</v>
      </c>
      <c r="N78" s="1">
        <v>12.727316666666667</v>
      </c>
      <c r="O78" s="1" t="s">
        <v>1597</v>
      </c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  <c r="AA78" s="196"/>
      <c r="AB78" s="196"/>
      <c r="AC78" s="196"/>
      <c r="AD78" s="196"/>
      <c r="AE78" s="196"/>
    </row>
    <row r="79">
      <c r="A79" s="1" t="s">
        <v>95</v>
      </c>
      <c r="B79" s="1" t="s">
        <v>89</v>
      </c>
      <c r="C79" s="197">
        <v>333.0</v>
      </c>
      <c r="D79" s="1">
        <v>16.0</v>
      </c>
      <c r="E79" s="1" t="s">
        <v>1571</v>
      </c>
      <c r="F79" s="1" t="s">
        <v>97</v>
      </c>
      <c r="G79" s="1" t="s">
        <v>92</v>
      </c>
      <c r="H79" s="1" t="s">
        <v>1796</v>
      </c>
      <c r="I79" s="1" t="s">
        <v>1797</v>
      </c>
      <c r="J79" s="1" t="s">
        <v>1798</v>
      </c>
      <c r="K79" s="1" t="s">
        <v>1799</v>
      </c>
      <c r="L79" s="1">
        <v>-1.0</v>
      </c>
      <c r="M79" s="1">
        <v>0.00955</v>
      </c>
      <c r="N79" s="1">
        <v>16.99665</v>
      </c>
      <c r="O79" s="1" t="s">
        <v>1597</v>
      </c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</row>
    <row r="80">
      <c r="A80" s="196"/>
      <c r="B80" s="196"/>
      <c r="C80" s="198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  <c r="AA80" s="196"/>
      <c r="AB80" s="196"/>
      <c r="AC80" s="196"/>
      <c r="AD80" s="196"/>
      <c r="AE80" s="196"/>
    </row>
    <row r="8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</row>
    <row r="82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  <c r="AA82" s="196"/>
      <c r="AB82" s="196"/>
      <c r="AC82" s="196"/>
      <c r="AD82" s="196"/>
      <c r="AE82" s="196"/>
    </row>
    <row r="83">
      <c r="A83" s="196"/>
      <c r="B83" s="196"/>
      <c r="C83" s="198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</row>
    <row r="84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  <c r="AA84" s="196"/>
      <c r="AB84" s="196"/>
      <c r="AC84" s="196"/>
      <c r="AD84" s="196"/>
      <c r="AE84" s="196"/>
    </row>
    <row r="85">
      <c r="A85" s="196"/>
      <c r="B85" s="198"/>
      <c r="C85" s="198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  <c r="AA85" s="196"/>
      <c r="AB85" s="196"/>
      <c r="AC85" s="196"/>
      <c r="AD85" s="196"/>
      <c r="AE85" s="196"/>
    </row>
    <row r="86">
      <c r="A86" s="196"/>
      <c r="B86" s="196"/>
      <c r="C86" s="198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96"/>
      <c r="AB86" s="196"/>
      <c r="AC86" s="196"/>
      <c r="AD86" s="196"/>
      <c r="AE86" s="196"/>
    </row>
    <row r="87">
      <c r="A87" s="196"/>
      <c r="B87" s="196"/>
      <c r="C87" s="198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96"/>
      <c r="AB87" s="196"/>
      <c r="AC87" s="196"/>
      <c r="AD87" s="196"/>
      <c r="AE87" s="196"/>
    </row>
    <row r="88">
      <c r="A88" s="196"/>
      <c r="B88" s="196"/>
      <c r="C88" s="198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96"/>
      <c r="AB88" s="196"/>
      <c r="AC88" s="196"/>
      <c r="AD88" s="196"/>
      <c r="AE88" s="196"/>
    </row>
    <row r="89">
      <c r="A89" s="196"/>
      <c r="B89" s="196"/>
      <c r="C89" s="198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96"/>
      <c r="AB89" s="196"/>
      <c r="AC89" s="196"/>
      <c r="AD89" s="196"/>
      <c r="AE89" s="196"/>
    </row>
    <row r="90">
      <c r="A90" s="196"/>
      <c r="B90" s="196"/>
      <c r="C90" s="198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6"/>
      <c r="AC90" s="196"/>
      <c r="AD90" s="196"/>
      <c r="AE90" s="196"/>
    </row>
    <row r="91">
      <c r="A91" s="196"/>
      <c r="B91" s="196"/>
      <c r="C91" s="198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  <c r="AA91" s="196"/>
      <c r="AB91" s="196"/>
      <c r="AC91" s="196"/>
      <c r="AD91" s="196"/>
      <c r="AE91" s="196"/>
    </row>
    <row r="92">
      <c r="A92" s="196"/>
      <c r="B92" s="196"/>
      <c r="C92" s="198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96"/>
      <c r="AB92" s="196"/>
      <c r="AC92" s="196"/>
      <c r="AD92" s="196"/>
      <c r="AE92" s="196"/>
    </row>
    <row r="93">
      <c r="A93" s="196"/>
      <c r="B93" s="196"/>
      <c r="C93" s="198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  <c r="AA93" s="196"/>
      <c r="AB93" s="196"/>
      <c r="AC93" s="196"/>
      <c r="AD93" s="196"/>
      <c r="AE93" s="196"/>
    </row>
    <row r="94">
      <c r="A94" s="196"/>
      <c r="B94" s="196"/>
      <c r="C94" s="198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  <c r="AA94" s="196"/>
      <c r="AB94" s="196"/>
      <c r="AC94" s="196"/>
      <c r="AD94" s="196"/>
      <c r="AE94" s="196"/>
    </row>
    <row r="95">
      <c r="A95" s="196"/>
      <c r="B95" s="198"/>
      <c r="C95" s="198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  <c r="AA95" s="196"/>
      <c r="AB95" s="196"/>
      <c r="AC95" s="196"/>
      <c r="AD95" s="196"/>
      <c r="AE95" s="196"/>
    </row>
    <row r="96">
      <c r="A96" s="196"/>
      <c r="B96" s="196"/>
      <c r="C96" s="198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  <c r="AA96" s="196"/>
      <c r="AB96" s="196"/>
      <c r="AC96" s="196"/>
      <c r="AD96" s="196"/>
      <c r="AE96" s="196"/>
    </row>
    <row r="97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  <c r="AA97" s="196"/>
      <c r="AB97" s="196"/>
      <c r="AC97" s="196"/>
      <c r="AD97" s="196"/>
      <c r="AE97" s="196"/>
    </row>
    <row r="98">
      <c r="A98" s="196"/>
      <c r="B98" s="196"/>
      <c r="C98" s="198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  <c r="AA98" s="196"/>
      <c r="AB98" s="196"/>
      <c r="AC98" s="196"/>
      <c r="AD98" s="196"/>
      <c r="AE98" s="196"/>
    </row>
    <row r="99">
      <c r="A99" s="196"/>
      <c r="B99" s="196"/>
      <c r="C99" s="198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  <c r="AA99" s="196"/>
      <c r="AB99" s="196"/>
      <c r="AC99" s="196"/>
      <c r="AD99" s="196"/>
      <c r="AE99" s="196"/>
    </row>
    <row r="100">
      <c r="A100" s="196"/>
      <c r="B100" s="196"/>
      <c r="C100" s="198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  <c r="AA100" s="196"/>
      <c r="AB100" s="196"/>
      <c r="AC100" s="196"/>
      <c r="AD100" s="196"/>
      <c r="AE100" s="196"/>
    </row>
    <row r="101">
      <c r="A101" s="196"/>
      <c r="B101" s="196"/>
      <c r="C101" s="198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96"/>
      <c r="AB101" s="196"/>
      <c r="AC101" s="196"/>
      <c r="AD101" s="196"/>
      <c r="AE101" s="196"/>
    </row>
    <row r="102">
      <c r="A102" s="196"/>
      <c r="B102" s="196"/>
      <c r="C102" s="198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96"/>
      <c r="AB102" s="196"/>
      <c r="AC102" s="196"/>
      <c r="AD102" s="196"/>
      <c r="AE102" s="196"/>
    </row>
    <row r="103">
      <c r="A103" s="196"/>
      <c r="B103" s="196"/>
      <c r="C103" s="198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6"/>
      <c r="AC103" s="196"/>
      <c r="AD103" s="196"/>
      <c r="AE103" s="196"/>
    </row>
    <row r="104">
      <c r="A104" s="196"/>
      <c r="B104" s="196"/>
      <c r="C104" s="198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  <c r="AA104" s="196"/>
      <c r="AB104" s="196"/>
      <c r="AC104" s="196"/>
      <c r="AD104" s="196"/>
      <c r="AE104" s="196"/>
    </row>
    <row r="105">
      <c r="A105" s="196"/>
      <c r="B105" s="196"/>
      <c r="C105" s="198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96"/>
      <c r="AB105" s="196"/>
      <c r="AC105" s="196"/>
      <c r="AD105" s="196"/>
      <c r="AE105" s="196"/>
    </row>
    <row r="106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  <c r="AA106" s="196"/>
      <c r="AB106" s="196"/>
      <c r="AC106" s="196"/>
      <c r="AD106" s="196"/>
      <c r="AE106" s="196"/>
    </row>
    <row r="107">
      <c r="A107" s="196"/>
      <c r="B107" s="196"/>
      <c r="C107" s="198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96"/>
      <c r="AB107" s="196"/>
      <c r="AC107" s="196"/>
      <c r="AD107" s="196"/>
      <c r="AE107" s="196"/>
    </row>
    <row r="108">
      <c r="A108" s="196"/>
      <c r="B108" s="196"/>
      <c r="C108" s="198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</row>
    <row r="109">
      <c r="A109" s="196"/>
      <c r="B109" s="196"/>
      <c r="C109" s="198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  <c r="AA109" s="196"/>
      <c r="AB109" s="196"/>
      <c r="AC109" s="196"/>
      <c r="AD109" s="196"/>
      <c r="AE109" s="196"/>
    </row>
    <row r="110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96"/>
      <c r="AB110" s="196"/>
      <c r="AC110" s="196"/>
      <c r="AD110" s="196"/>
      <c r="AE110" s="196"/>
    </row>
    <row r="111">
      <c r="A111" s="196"/>
      <c r="B111" s="196"/>
      <c r="C111" s="198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96"/>
      <c r="AB111" s="196"/>
      <c r="AC111" s="196"/>
      <c r="AD111" s="196"/>
      <c r="AE111" s="196"/>
    </row>
    <row r="112">
      <c r="A112" s="196"/>
      <c r="B112" s="196"/>
      <c r="C112" s="198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96"/>
      <c r="AB112" s="196"/>
      <c r="AC112" s="196"/>
      <c r="AD112" s="196"/>
      <c r="AE112" s="196"/>
    </row>
    <row r="113">
      <c r="A113" s="196"/>
      <c r="B113" s="196"/>
      <c r="C113" s="198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  <c r="AA113" s="196"/>
      <c r="AB113" s="196"/>
      <c r="AC113" s="196"/>
      <c r="AD113" s="196"/>
      <c r="AE113" s="196"/>
    </row>
    <row r="114">
      <c r="A114" s="196"/>
      <c r="B114" s="196"/>
      <c r="C114" s="198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96"/>
      <c r="AB114" s="196"/>
      <c r="AC114" s="196"/>
      <c r="AD114" s="196"/>
      <c r="AE114" s="196"/>
    </row>
    <row r="115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  <c r="AA115" s="196"/>
      <c r="AB115" s="196"/>
      <c r="AC115" s="196"/>
      <c r="AD115" s="196"/>
      <c r="AE115" s="196"/>
    </row>
    <row r="116">
      <c r="A116" s="196"/>
      <c r="B116" s="198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  <c r="AA116" s="196"/>
      <c r="AB116" s="196"/>
      <c r="AC116" s="196"/>
      <c r="AD116" s="196"/>
      <c r="AE116" s="196"/>
    </row>
    <row r="117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96"/>
      <c r="AB117" s="196"/>
      <c r="AC117" s="196"/>
      <c r="AD117" s="196"/>
      <c r="AE117" s="196"/>
    </row>
    <row r="118">
      <c r="A118" s="196"/>
      <c r="B118" s="196"/>
      <c r="C118" s="198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  <c r="AA118" s="196"/>
      <c r="AB118" s="196"/>
      <c r="AC118" s="196"/>
      <c r="AD118" s="196"/>
      <c r="AE118" s="196"/>
    </row>
    <row r="119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96"/>
      <c r="AB119" s="196"/>
      <c r="AC119" s="196"/>
      <c r="AD119" s="196"/>
      <c r="AE119" s="196"/>
    </row>
    <row r="120">
      <c r="A120" s="196"/>
      <c r="B120" s="196"/>
      <c r="C120" s="198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  <c r="AA120" s="196"/>
      <c r="AB120" s="196"/>
      <c r="AC120" s="196"/>
      <c r="AD120" s="196"/>
      <c r="AE120" s="196"/>
    </row>
    <row r="121">
      <c r="A121" s="196"/>
      <c r="B121" s="196"/>
      <c r="C121" s="198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  <c r="AA121" s="196"/>
      <c r="AB121" s="196"/>
      <c r="AC121" s="196"/>
      <c r="AD121" s="196"/>
      <c r="AE121" s="196"/>
    </row>
    <row r="12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  <c r="AA122" s="196"/>
      <c r="AB122" s="196"/>
      <c r="AC122" s="196"/>
      <c r="AD122" s="196"/>
      <c r="AE122" s="196"/>
    </row>
    <row r="123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96"/>
      <c r="AB123" s="196"/>
      <c r="AC123" s="196"/>
      <c r="AD123" s="196"/>
      <c r="AE123" s="196"/>
    </row>
    <row r="124">
      <c r="A124" s="196"/>
      <c r="B124" s="196"/>
      <c r="C124" s="198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  <c r="AA124" s="196"/>
      <c r="AB124" s="196"/>
      <c r="AC124" s="196"/>
      <c r="AD124" s="196"/>
      <c r="AE124" s="196"/>
    </row>
    <row r="125">
      <c r="A125" s="196"/>
      <c r="B125" s="196"/>
      <c r="C125" s="198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  <c r="AA125" s="196"/>
      <c r="AB125" s="196"/>
      <c r="AC125" s="196"/>
      <c r="AD125" s="196"/>
      <c r="AE125" s="196"/>
    </row>
    <row r="126">
      <c r="A126" s="196"/>
      <c r="B126" s="196"/>
      <c r="C126" s="198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  <c r="AA126" s="196"/>
      <c r="AB126" s="196"/>
      <c r="AC126" s="196"/>
      <c r="AD126" s="196"/>
      <c r="AE126" s="196"/>
    </row>
    <row r="127">
      <c r="A127" s="196"/>
      <c r="B127" s="196"/>
      <c r="C127" s="198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  <c r="AA127" s="196"/>
      <c r="AB127" s="196"/>
      <c r="AC127" s="196"/>
      <c r="AD127" s="196"/>
      <c r="AE127" s="196"/>
    </row>
    <row r="128">
      <c r="A128" s="196"/>
      <c r="B128" s="196"/>
      <c r="C128" s="198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96"/>
      <c r="AB128" s="196"/>
      <c r="AC128" s="196"/>
      <c r="AD128" s="196"/>
      <c r="AE128" s="196"/>
    </row>
    <row r="129">
      <c r="A129" s="196"/>
      <c r="B129" s="196"/>
      <c r="C129" s="198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  <c r="AA129" s="196"/>
      <c r="AB129" s="196"/>
      <c r="AC129" s="196"/>
      <c r="AD129" s="196"/>
      <c r="AE129" s="196"/>
    </row>
    <row r="130">
      <c r="A130" s="196"/>
      <c r="B130" s="196"/>
      <c r="C130" s="198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  <c r="AA130" s="196"/>
      <c r="AB130" s="196"/>
      <c r="AC130" s="196"/>
      <c r="AD130" s="196"/>
      <c r="AE130" s="196"/>
    </row>
    <row r="13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  <c r="AA131" s="196"/>
      <c r="AB131" s="196"/>
      <c r="AC131" s="196"/>
      <c r="AD131" s="196"/>
      <c r="AE131" s="196"/>
    </row>
    <row r="132">
      <c r="A132" s="196"/>
      <c r="B132" s="196"/>
      <c r="C132" s="198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  <c r="AA132" s="196"/>
      <c r="AB132" s="196"/>
      <c r="AC132" s="196"/>
      <c r="AD132" s="196"/>
      <c r="AE132" s="196"/>
    </row>
    <row r="133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  <c r="AA133" s="196"/>
      <c r="AB133" s="196"/>
      <c r="AC133" s="196"/>
      <c r="AD133" s="196"/>
      <c r="AE133" s="196"/>
    </row>
    <row r="134">
      <c r="A134" s="196"/>
      <c r="B134" s="196"/>
      <c r="C134" s="198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  <c r="AA134" s="196"/>
      <c r="AB134" s="196"/>
      <c r="AC134" s="196"/>
      <c r="AD134" s="196"/>
      <c r="AE134" s="196"/>
    </row>
    <row r="135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  <c r="AA135" s="196"/>
      <c r="AB135" s="196"/>
      <c r="AC135" s="196"/>
      <c r="AD135" s="196"/>
      <c r="AE135" s="196"/>
    </row>
    <row r="136">
      <c r="A136" s="196"/>
      <c r="B136" s="196"/>
      <c r="C136" s="198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  <c r="AA136" s="196"/>
      <c r="AB136" s="196"/>
      <c r="AC136" s="196"/>
      <c r="AD136" s="196"/>
      <c r="AE136" s="196"/>
    </row>
    <row r="137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  <c r="AA137" s="196"/>
      <c r="AB137" s="196"/>
      <c r="AC137" s="196"/>
      <c r="AD137" s="196"/>
      <c r="AE137" s="196"/>
    </row>
    <row r="138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  <c r="AA138" s="196"/>
      <c r="AB138" s="196"/>
      <c r="AC138" s="196"/>
      <c r="AD138" s="196"/>
      <c r="AE138" s="196"/>
    </row>
    <row r="139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  <c r="AA139" s="196"/>
      <c r="AB139" s="196"/>
      <c r="AC139" s="196"/>
      <c r="AD139" s="196"/>
      <c r="AE139" s="196"/>
    </row>
    <row r="140">
      <c r="A140" s="196"/>
      <c r="B140" s="196"/>
      <c r="C140" s="198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  <c r="AA140" s="196"/>
      <c r="AB140" s="196"/>
      <c r="AC140" s="196"/>
      <c r="AE140" s="196"/>
    </row>
    <row r="14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96"/>
      <c r="AB141" s="196"/>
      <c r="AC141" s="196"/>
      <c r="AD141" s="196"/>
      <c r="AE141" s="196"/>
    </row>
    <row r="14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  <c r="AA142" s="196"/>
      <c r="AB142" s="196"/>
      <c r="AC142" s="196"/>
      <c r="AD142" s="196"/>
      <c r="AE142" s="196"/>
    </row>
    <row r="143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  <c r="AA143" s="196"/>
      <c r="AB143" s="196"/>
      <c r="AC143" s="196"/>
      <c r="AD143" s="196"/>
      <c r="AE143" s="196"/>
    </row>
    <row r="144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  <c r="AA144" s="196"/>
      <c r="AB144" s="196"/>
      <c r="AC144" s="196"/>
      <c r="AD144" s="196"/>
      <c r="AE144" s="196"/>
    </row>
    <row r="145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  <c r="AA145" s="196"/>
      <c r="AB145" s="196"/>
      <c r="AC145" s="196"/>
      <c r="AD145" s="196"/>
      <c r="AE145" s="196"/>
    </row>
    <row r="146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  <c r="AA146" s="196"/>
      <c r="AB146" s="196"/>
      <c r="AC146" s="196"/>
      <c r="AD146" s="196"/>
      <c r="AE146" s="196"/>
    </row>
    <row r="147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  <c r="AA147" s="196"/>
      <c r="AB147" s="196"/>
      <c r="AC147" s="196"/>
      <c r="AD147" s="196"/>
      <c r="AE147" s="196"/>
    </row>
    <row r="148">
      <c r="A148" s="196"/>
      <c r="B148" s="198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  <c r="AA148" s="196"/>
      <c r="AB148" s="196"/>
      <c r="AC148" s="196"/>
      <c r="AE148" s="196"/>
    </row>
    <row r="149">
      <c r="A149" s="196"/>
      <c r="B149" s="196"/>
      <c r="C149" s="198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</row>
    <row r="150">
      <c r="A150" s="196"/>
      <c r="B150" s="196"/>
      <c r="C150" s="198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</row>
    <row r="15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</row>
    <row r="152">
      <c r="A152" s="196"/>
      <c r="B152" s="196"/>
      <c r="C152" s="198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</row>
    <row r="153">
      <c r="A153" s="196"/>
      <c r="B153" s="196"/>
      <c r="C153" s="198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</row>
    <row r="154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E154" s="196"/>
    </row>
    <row r="155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</row>
    <row r="156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</row>
    <row r="157">
      <c r="A157" s="196"/>
      <c r="B157" s="196"/>
      <c r="C157" s="198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E157" s="196"/>
    </row>
    <row r="158">
      <c r="A158" s="196"/>
      <c r="B158" s="196"/>
      <c r="C158" s="198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</row>
    <row r="159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</row>
    <row r="160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E160" s="196"/>
    </row>
    <row r="161">
      <c r="A161" s="196"/>
      <c r="B161" s="196"/>
      <c r="C161" s="198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  <c r="AA161" s="196"/>
      <c r="AB161" s="196"/>
      <c r="AC161" s="196"/>
      <c r="AD161" s="196"/>
      <c r="AE161" s="196"/>
    </row>
    <row r="16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  <c r="AA162" s="196"/>
      <c r="AB162" s="196"/>
      <c r="AC162" s="196"/>
      <c r="AD162" s="196"/>
      <c r="AE162" s="196"/>
    </row>
    <row r="163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  <c r="AA163" s="196"/>
      <c r="AB163" s="196"/>
      <c r="AC163" s="196"/>
      <c r="AD163" s="196"/>
      <c r="AE163" s="196"/>
    </row>
    <row r="164">
      <c r="A164" s="196"/>
      <c r="B164" s="196"/>
      <c r="C164" s="198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  <c r="AA164" s="196"/>
      <c r="AB164" s="196"/>
      <c r="AC164" s="196"/>
      <c r="AD164" s="196"/>
      <c r="AE164" s="196"/>
    </row>
    <row r="165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  <c r="AA165" s="196"/>
      <c r="AB165" s="196"/>
      <c r="AC165" s="196"/>
      <c r="AD165" s="196"/>
      <c r="AE165" s="196"/>
    </row>
    <row r="166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  <c r="AA166" s="196"/>
      <c r="AB166" s="196"/>
      <c r="AC166" s="196"/>
      <c r="AD166" s="196"/>
      <c r="AE166" s="196"/>
    </row>
    <row r="167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  <c r="AA167" s="196"/>
      <c r="AB167" s="196"/>
      <c r="AC167" s="196"/>
      <c r="AE167" s="196"/>
    </row>
    <row r="168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  <c r="AA168" s="196"/>
      <c r="AB168" s="196"/>
      <c r="AC168" s="196"/>
      <c r="AE168" s="196"/>
    </row>
    <row r="169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  <c r="AA169" s="196"/>
      <c r="AB169" s="196"/>
      <c r="AC169" s="196"/>
      <c r="AD169" s="196"/>
      <c r="AE169" s="196"/>
    </row>
    <row r="170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  <c r="AA170" s="196"/>
      <c r="AB170" s="196"/>
      <c r="AC170" s="196"/>
      <c r="AD170" s="196"/>
      <c r="AE170" s="196"/>
    </row>
    <row r="17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  <c r="AA171" s="196"/>
      <c r="AB171" s="196"/>
      <c r="AC171" s="196"/>
      <c r="AD171" s="196"/>
      <c r="AE171" s="196"/>
    </row>
    <row r="172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  <c r="AA172" s="196"/>
      <c r="AB172" s="196"/>
      <c r="AC172" s="196"/>
      <c r="AE172" s="196"/>
    </row>
    <row r="173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  <c r="AA173" s="196"/>
      <c r="AB173" s="196"/>
      <c r="AC173" s="196"/>
      <c r="AD173" s="196"/>
      <c r="AE173" s="196"/>
    </row>
    <row r="174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  <c r="AA174" s="196"/>
      <c r="AB174" s="196"/>
      <c r="AC174" s="196"/>
      <c r="AE174" s="196"/>
    </row>
    <row r="175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  <c r="AA175" s="196"/>
      <c r="AB175" s="196"/>
      <c r="AC175" s="196"/>
      <c r="AD175" s="196"/>
      <c r="AE175" s="196"/>
    </row>
    <row r="176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  <c r="AA176" s="196"/>
      <c r="AB176" s="196"/>
      <c r="AC176" s="196"/>
      <c r="AD176" s="196"/>
      <c r="AE176" s="196"/>
    </row>
    <row r="177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  <c r="AA177" s="196"/>
      <c r="AB177" s="196"/>
      <c r="AC177" s="196"/>
      <c r="AE177" s="196"/>
    </row>
    <row r="178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  <c r="AA178" s="196"/>
      <c r="AB178" s="196"/>
      <c r="AC178" s="196"/>
      <c r="AD178" s="196"/>
      <c r="AE178" s="196"/>
    </row>
    <row r="179">
      <c r="A179" s="196"/>
      <c r="B179" s="196"/>
      <c r="C179" s="198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  <c r="AA179" s="196"/>
      <c r="AB179" s="196"/>
      <c r="AC179" s="196"/>
      <c r="AD179" s="196"/>
      <c r="AE179" s="196"/>
    </row>
    <row r="180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  <c r="AA180" s="196"/>
      <c r="AB180" s="196"/>
      <c r="AC180" s="196"/>
      <c r="AD180" s="196"/>
      <c r="AE180" s="196"/>
    </row>
    <row r="181">
      <c r="A181" s="196"/>
      <c r="B181" s="196"/>
      <c r="C181" s="198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  <c r="AA181" s="196"/>
      <c r="AB181" s="196"/>
      <c r="AC181" s="196"/>
      <c r="AD181" s="196"/>
      <c r="AE181" s="196"/>
    </row>
    <row r="18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  <c r="AA182" s="196"/>
      <c r="AB182" s="196"/>
      <c r="AC182" s="196"/>
      <c r="AE182" s="196"/>
    </row>
    <row r="183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  <c r="AA183" s="196"/>
      <c r="AB183" s="196"/>
      <c r="AC183" s="196"/>
      <c r="AE183" s="196"/>
    </row>
    <row r="184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  <c r="AA184" s="196"/>
      <c r="AB184" s="196"/>
      <c r="AC184" s="196"/>
      <c r="AD184" s="196"/>
      <c r="AE184" s="196"/>
    </row>
    <row r="18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  <c r="AA185" s="196"/>
      <c r="AB185" s="196"/>
      <c r="AC185" s="196"/>
      <c r="AE185" s="196"/>
    </row>
    <row r="186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  <c r="AA186" s="196"/>
      <c r="AB186" s="196"/>
      <c r="AC186" s="196"/>
      <c r="AE186" s="196"/>
    </row>
    <row r="187">
      <c r="A187" s="196"/>
      <c r="B187" s="196"/>
      <c r="C187" s="198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  <c r="AA187" s="196"/>
      <c r="AB187" s="196"/>
      <c r="AC187" s="196"/>
      <c r="AD187" s="196"/>
      <c r="AE187" s="196"/>
    </row>
    <row r="188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  <c r="AA188" s="196"/>
      <c r="AB188" s="196"/>
      <c r="AC188" s="196"/>
      <c r="AD188" s="196"/>
      <c r="AE188" s="196"/>
    </row>
    <row r="189">
      <c r="A189" s="196"/>
      <c r="B189" s="196"/>
      <c r="C189" s="198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  <c r="AA189" s="196"/>
      <c r="AB189" s="196"/>
      <c r="AC189" s="196"/>
      <c r="AD189" s="196"/>
      <c r="AE189" s="196"/>
    </row>
    <row r="190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  <c r="AA190" s="196"/>
      <c r="AB190" s="196"/>
      <c r="AC190" s="196"/>
      <c r="AD190" s="196"/>
      <c r="AE190" s="196"/>
    </row>
    <row r="19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  <c r="AA191" s="196"/>
      <c r="AB191" s="196"/>
      <c r="AC191" s="196"/>
      <c r="AE191" s="196"/>
    </row>
    <row r="19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E192" s="196"/>
    </row>
    <row r="193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  <c r="AA193" s="196"/>
      <c r="AB193" s="196"/>
      <c r="AC193" s="196"/>
      <c r="AE193" s="196"/>
    </row>
    <row r="194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E194" s="196"/>
    </row>
    <row r="19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  <c r="AA195" s="196"/>
      <c r="AB195" s="196"/>
      <c r="AC195" s="196"/>
      <c r="AE195" s="196"/>
    </row>
    <row r="196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  <c r="AA196" s="196"/>
      <c r="AB196" s="196"/>
      <c r="AC196" s="196"/>
      <c r="AD196" s="196"/>
      <c r="AE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  <c r="AA197" s="196"/>
      <c r="AB197" s="196"/>
      <c r="AC197" s="196"/>
      <c r="AE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  <c r="AA198" s="196"/>
      <c r="AB198" s="196"/>
      <c r="AC198" s="196"/>
      <c r="AE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  <c r="AA199" s="196"/>
      <c r="AB199" s="196"/>
      <c r="AC199" s="196"/>
      <c r="AE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  <c r="AA200" s="196"/>
      <c r="AB200" s="196"/>
      <c r="AC200" s="196"/>
      <c r="AE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  <c r="AA201" s="196"/>
      <c r="AB201" s="196"/>
      <c r="AC201" s="196"/>
      <c r="AE201" s="196"/>
    </row>
    <row r="202">
      <c r="A202" s="196"/>
      <c r="B202" s="196"/>
      <c r="C202" s="198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  <c r="AA202" s="196"/>
      <c r="AB202" s="196"/>
      <c r="AC202" s="196"/>
      <c r="AE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S203" s="196"/>
      <c r="T203" s="196"/>
      <c r="U203" s="196"/>
      <c r="V203" s="196"/>
      <c r="W203" s="196"/>
      <c r="X203" s="196"/>
      <c r="Y203" s="196"/>
      <c r="Z203" s="196"/>
      <c r="AB203" s="196"/>
      <c r="AC203" s="196"/>
      <c r="AE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  <c r="AA204" s="196"/>
      <c r="AB204" s="196"/>
      <c r="AC204" s="196"/>
      <c r="AE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  <c r="AA205" s="196"/>
      <c r="AB205" s="196"/>
      <c r="AC205" s="196"/>
      <c r="AE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O206" s="196"/>
      <c r="P206" s="196"/>
      <c r="Q206" s="196"/>
      <c r="S206" s="196"/>
      <c r="T206" s="196"/>
      <c r="U206" s="196"/>
      <c r="V206" s="196"/>
      <c r="W206" s="196"/>
      <c r="X206" s="196"/>
      <c r="Y206" s="196"/>
      <c r="Z206" s="196"/>
      <c r="AB206" s="196"/>
      <c r="AC206" s="196"/>
      <c r="AE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  <c r="AA207" s="196"/>
      <c r="AB207" s="196"/>
      <c r="AC207" s="196"/>
      <c r="AD207" s="196"/>
      <c r="AE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S208" s="196"/>
      <c r="T208" s="196"/>
      <c r="U208" s="196"/>
      <c r="V208" s="196"/>
      <c r="W208" s="196"/>
      <c r="X208" s="196"/>
      <c r="Y208" s="196"/>
      <c r="Z208" s="196"/>
      <c r="AB208" s="196"/>
      <c r="AC208" s="196"/>
      <c r="AE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S209" s="196"/>
      <c r="T209" s="196"/>
      <c r="U209" s="196"/>
      <c r="V209" s="196"/>
      <c r="W209" s="196"/>
      <c r="X209" s="196"/>
      <c r="Y209" s="196"/>
      <c r="Z209" s="196"/>
      <c r="AB209" s="196"/>
      <c r="AC209" s="196"/>
      <c r="AE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O210" s="196"/>
      <c r="P210" s="196"/>
      <c r="Q210" s="196"/>
      <c r="S210" s="196"/>
      <c r="T210" s="196"/>
      <c r="U210" s="196"/>
      <c r="V210" s="196"/>
      <c r="W210" s="196"/>
      <c r="X210" s="196"/>
      <c r="Y210" s="196"/>
      <c r="Z210" s="196"/>
      <c r="AB210" s="196"/>
      <c r="AC210" s="196"/>
      <c r="AE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  <c r="AA211" s="196"/>
      <c r="AB211" s="196"/>
      <c r="AC211" s="196"/>
      <c r="AE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O212" s="196"/>
      <c r="P212" s="196"/>
      <c r="Q212" s="196"/>
      <c r="S212" s="196"/>
      <c r="T212" s="196"/>
      <c r="U212" s="196"/>
      <c r="V212" s="196"/>
      <c r="W212" s="196"/>
      <c r="X212" s="196"/>
      <c r="Y212" s="196"/>
      <c r="Z212" s="196"/>
      <c r="AB212" s="196"/>
      <c r="AC212" s="196"/>
      <c r="AE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S213" s="196"/>
      <c r="T213" s="196"/>
      <c r="U213" s="196"/>
      <c r="V213" s="196"/>
      <c r="W213" s="196"/>
      <c r="X213" s="196"/>
      <c r="Y213" s="196"/>
      <c r="Z213" s="196"/>
      <c r="AB213" s="196"/>
      <c r="AC213" s="196"/>
      <c r="AE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  <c r="AA214" s="196"/>
      <c r="AB214" s="196"/>
      <c r="AC214" s="196"/>
      <c r="AD214" s="196"/>
      <c r="AE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S215" s="196"/>
      <c r="T215" s="196"/>
      <c r="U215" s="196"/>
      <c r="V215" s="196"/>
      <c r="W215" s="196"/>
      <c r="X215" s="196"/>
      <c r="Y215" s="196"/>
      <c r="Z215" s="196"/>
      <c r="AB215" s="196"/>
      <c r="AC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  <c r="AA216" s="196"/>
      <c r="AB216" s="196"/>
      <c r="AC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O217" s="196"/>
      <c r="P217" s="196"/>
      <c r="Q217" s="196"/>
      <c r="S217" s="196"/>
      <c r="T217" s="196"/>
      <c r="U217" s="196"/>
      <c r="V217" s="196"/>
      <c r="W217" s="196"/>
      <c r="X217" s="196"/>
      <c r="Y217" s="196"/>
      <c r="Z217" s="196"/>
      <c r="AB217" s="196"/>
      <c r="AC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O218" s="196"/>
      <c r="P218" s="196"/>
      <c r="Q218" s="196"/>
      <c r="S218" s="196"/>
      <c r="T218" s="196"/>
      <c r="U218" s="196"/>
      <c r="V218" s="196"/>
      <c r="W218" s="196"/>
      <c r="X218" s="196"/>
      <c r="Y218" s="196"/>
      <c r="Z218" s="196"/>
      <c r="AB218" s="196"/>
      <c r="AC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  <c r="AA219" s="196"/>
      <c r="AB219" s="196"/>
      <c r="AC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O220" s="196"/>
      <c r="P220" s="196"/>
      <c r="Q220" s="196"/>
      <c r="S220" s="196"/>
      <c r="T220" s="196"/>
      <c r="U220" s="196"/>
      <c r="V220" s="196"/>
      <c r="W220" s="196"/>
      <c r="X220" s="196"/>
      <c r="Y220" s="196"/>
      <c r="Z220" s="196"/>
      <c r="AB220" s="196"/>
      <c r="AC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O221" s="196"/>
      <c r="P221" s="196"/>
      <c r="Q221" s="196"/>
      <c r="S221" s="196"/>
      <c r="T221" s="196"/>
      <c r="U221" s="196"/>
      <c r="V221" s="196"/>
      <c r="W221" s="196"/>
      <c r="X221" s="196"/>
      <c r="Y221" s="196"/>
      <c r="Z221" s="196"/>
      <c r="AB221" s="196"/>
      <c r="AC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O222" s="196"/>
      <c r="P222" s="196"/>
      <c r="Q222" s="196"/>
      <c r="S222" s="196"/>
      <c r="T222" s="196"/>
      <c r="U222" s="196"/>
      <c r="V222" s="196"/>
      <c r="W222" s="196"/>
      <c r="X222" s="196"/>
      <c r="Y222" s="196"/>
      <c r="Z222" s="196"/>
      <c r="AB222" s="196"/>
      <c r="AC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  <c r="AA223" s="196"/>
      <c r="AB223" s="196"/>
      <c r="AC223" s="196"/>
    </row>
    <row r="224">
      <c r="A224" s="196"/>
      <c r="B224" s="196"/>
      <c r="C224" s="198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  <c r="AA224" s="196"/>
      <c r="AB224" s="196"/>
      <c r="AC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O225" s="196"/>
      <c r="P225" s="196"/>
      <c r="Q225" s="196"/>
      <c r="S225" s="196"/>
      <c r="T225" s="196"/>
      <c r="U225" s="196"/>
      <c r="V225" s="196"/>
      <c r="W225" s="196"/>
      <c r="X225" s="196"/>
      <c r="Y225" s="196"/>
      <c r="Z225" s="196"/>
      <c r="AB225" s="196"/>
      <c r="AC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S226" s="196"/>
      <c r="T226" s="196"/>
      <c r="U226" s="196"/>
      <c r="V226" s="196"/>
      <c r="W226" s="196"/>
      <c r="X226" s="196"/>
      <c r="Y226" s="196"/>
      <c r="Z226" s="196"/>
      <c r="AB226" s="196"/>
      <c r="AC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S227" s="196"/>
      <c r="T227" s="196"/>
      <c r="U227" s="196"/>
      <c r="V227" s="196"/>
      <c r="W227" s="196"/>
      <c r="X227" s="196"/>
      <c r="Y227" s="196"/>
      <c r="Z227" s="196"/>
      <c r="AB227" s="196"/>
      <c r="AC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S228" s="196"/>
      <c r="T228" s="196"/>
      <c r="U228" s="196"/>
      <c r="V228" s="196"/>
      <c r="W228" s="196"/>
      <c r="X228" s="196"/>
      <c r="Y228" s="196"/>
      <c r="Z228" s="196"/>
      <c r="AB228" s="196"/>
      <c r="AC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O229" s="196"/>
      <c r="P229" s="196"/>
      <c r="Q229" s="196"/>
      <c r="S229" s="196"/>
      <c r="T229" s="196"/>
      <c r="U229" s="196"/>
      <c r="V229" s="196"/>
      <c r="W229" s="196"/>
      <c r="X229" s="196"/>
      <c r="Y229" s="196"/>
      <c r="Z229" s="196"/>
      <c r="AB229" s="196"/>
      <c r="AC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S230" s="196"/>
      <c r="T230" s="196"/>
      <c r="U230" s="196"/>
      <c r="V230" s="196"/>
      <c r="W230" s="196"/>
      <c r="X230" s="196"/>
      <c r="Y230" s="196"/>
      <c r="Z230" s="196"/>
      <c r="AB230" s="196"/>
      <c r="AC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O231" s="196"/>
      <c r="P231" s="196"/>
      <c r="Q231" s="196"/>
      <c r="S231" s="196"/>
      <c r="T231" s="196"/>
      <c r="U231" s="196"/>
      <c r="V231" s="196"/>
      <c r="W231" s="196"/>
      <c r="X231" s="196"/>
      <c r="Y231" s="196"/>
      <c r="Z231" s="196"/>
      <c r="AB231" s="196"/>
      <c r="AC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O232" s="196"/>
      <c r="P232" s="196"/>
      <c r="Q232" s="196"/>
      <c r="S232" s="196"/>
      <c r="T232" s="196"/>
      <c r="U232" s="196"/>
      <c r="V232" s="196"/>
      <c r="W232" s="196"/>
      <c r="X232" s="196"/>
      <c r="Y232" s="196"/>
      <c r="Z232" s="196"/>
      <c r="AB232" s="196"/>
      <c r="AC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O233" s="196"/>
      <c r="P233" s="196"/>
      <c r="Q233" s="196"/>
      <c r="S233" s="196"/>
      <c r="T233" s="196"/>
      <c r="U233" s="196"/>
      <c r="V233" s="196"/>
      <c r="W233" s="196"/>
      <c r="X233" s="196"/>
      <c r="Y233" s="196"/>
      <c r="Z233" s="196"/>
      <c r="AB233" s="196"/>
      <c r="AC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  <c r="AA234" s="196"/>
      <c r="AB234" s="196"/>
      <c r="AC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S235" s="196"/>
      <c r="T235" s="196"/>
      <c r="U235" s="196"/>
      <c r="V235" s="196"/>
      <c r="W235" s="196"/>
      <c r="X235" s="196"/>
      <c r="Y235" s="196"/>
      <c r="Z235" s="196"/>
      <c r="AB235" s="196"/>
      <c r="AC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  <c r="AA236" s="196"/>
      <c r="AB236" s="196"/>
      <c r="AC236" s="196"/>
      <c r="AD236" s="196"/>
      <c r="AE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  <c r="AA237" s="196"/>
      <c r="AB237" s="196"/>
      <c r="AC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S238" s="196"/>
      <c r="T238" s="196"/>
      <c r="U238" s="196"/>
      <c r="V238" s="196"/>
      <c r="W238" s="196"/>
      <c r="X238" s="196"/>
      <c r="Y238" s="196"/>
      <c r="Z238" s="196"/>
      <c r="AB238" s="196"/>
      <c r="AC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S239" s="196"/>
      <c r="T239" s="196"/>
      <c r="U239" s="196"/>
      <c r="V239" s="196"/>
      <c r="W239" s="196"/>
      <c r="X239" s="196"/>
      <c r="Y239" s="196"/>
      <c r="Z239" s="196"/>
      <c r="AB239" s="196"/>
      <c r="AC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O240" s="196"/>
      <c r="P240" s="196"/>
      <c r="Q240" s="196"/>
      <c r="S240" s="196"/>
      <c r="T240" s="196"/>
      <c r="U240" s="196"/>
      <c r="V240" s="196"/>
      <c r="W240" s="196"/>
      <c r="X240" s="196"/>
      <c r="Y240" s="196"/>
      <c r="Z240" s="196"/>
      <c r="AB240" s="196"/>
      <c r="AC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  <c r="AA241" s="196"/>
      <c r="AB241" s="196"/>
      <c r="AC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  <c r="AA242" s="196"/>
      <c r="AB242" s="196"/>
      <c r="AC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S243" s="196"/>
      <c r="T243" s="196"/>
      <c r="U243" s="196"/>
      <c r="V243" s="196"/>
      <c r="W243" s="196"/>
      <c r="X243" s="196"/>
      <c r="Y243" s="196"/>
      <c r="Z243" s="196"/>
      <c r="AB243" s="196"/>
      <c r="AC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O244" s="196"/>
      <c r="P244" s="196"/>
      <c r="Q244" s="196"/>
      <c r="S244" s="196"/>
      <c r="T244" s="196"/>
      <c r="U244" s="196"/>
      <c r="V244" s="196"/>
      <c r="W244" s="196"/>
      <c r="X244" s="196"/>
      <c r="Y244" s="196"/>
      <c r="Z244" s="196"/>
      <c r="AB244" s="196"/>
      <c r="AC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S245" s="196"/>
      <c r="T245" s="196"/>
      <c r="U245" s="196"/>
      <c r="V245" s="196"/>
      <c r="W245" s="196"/>
      <c r="X245" s="196"/>
      <c r="Y245" s="196"/>
      <c r="Z245" s="196"/>
      <c r="AB245" s="196"/>
      <c r="AC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  <c r="AA246" s="196"/>
      <c r="AB246" s="196"/>
      <c r="AC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O247" s="196"/>
      <c r="P247" s="196"/>
      <c r="Q247" s="196"/>
      <c r="S247" s="196"/>
      <c r="T247" s="196"/>
      <c r="U247" s="196"/>
      <c r="V247" s="196"/>
      <c r="W247" s="196"/>
      <c r="X247" s="196"/>
      <c r="Y247" s="196"/>
      <c r="Z247" s="196"/>
      <c r="AB247" s="196"/>
      <c r="AC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O248" s="196"/>
      <c r="P248" s="196"/>
      <c r="Q248" s="196"/>
      <c r="S248" s="196"/>
      <c r="T248" s="196"/>
      <c r="U248" s="196"/>
      <c r="V248" s="196"/>
      <c r="W248" s="196"/>
      <c r="X248" s="196"/>
      <c r="Y248" s="196"/>
      <c r="Z248" s="196"/>
      <c r="AB248" s="196"/>
      <c r="AC248" s="196"/>
      <c r="AD248" s="196"/>
      <c r="AE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O249" s="196"/>
      <c r="P249" s="196"/>
      <c r="Q249" s="196"/>
      <c r="S249" s="196"/>
      <c r="T249" s="196"/>
      <c r="U249" s="196"/>
      <c r="V249" s="196"/>
      <c r="W249" s="196"/>
      <c r="X249" s="196"/>
      <c r="Y249" s="196"/>
      <c r="Z249" s="196"/>
      <c r="AB249" s="196"/>
      <c r="AC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O250" s="196"/>
      <c r="P250" s="196"/>
      <c r="Q250" s="196"/>
      <c r="S250" s="196"/>
      <c r="T250" s="196"/>
      <c r="U250" s="196"/>
      <c r="V250" s="196"/>
      <c r="W250" s="196"/>
      <c r="X250" s="196"/>
      <c r="Y250" s="196"/>
      <c r="Z250" s="196"/>
      <c r="AB250" s="196"/>
      <c r="AC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O251" s="196"/>
      <c r="P251" s="196"/>
      <c r="Q251" s="196"/>
      <c r="S251" s="196"/>
      <c r="T251" s="196"/>
      <c r="U251" s="196"/>
      <c r="V251" s="196"/>
      <c r="W251" s="196"/>
      <c r="X251" s="196"/>
      <c r="Y251" s="196"/>
      <c r="Z251" s="196"/>
      <c r="AB251" s="196"/>
      <c r="AC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S252" s="196"/>
      <c r="T252" s="196"/>
      <c r="U252" s="196"/>
      <c r="V252" s="196"/>
      <c r="W252" s="196"/>
      <c r="X252" s="196"/>
      <c r="Y252" s="196"/>
      <c r="Z252" s="196"/>
      <c r="AB252" s="196"/>
      <c r="AC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O253" s="196"/>
      <c r="P253" s="196"/>
      <c r="Q253" s="196"/>
      <c r="S253" s="196"/>
      <c r="T253" s="196"/>
      <c r="U253" s="196"/>
      <c r="V253" s="196"/>
      <c r="W253" s="196"/>
      <c r="X253" s="196"/>
      <c r="Y253" s="196"/>
      <c r="Z253" s="196"/>
      <c r="AB253" s="196"/>
      <c r="AC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  <c r="AA254" s="196"/>
      <c r="AB254" s="196"/>
      <c r="AC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S255" s="196"/>
      <c r="T255" s="196"/>
      <c r="U255" s="196"/>
      <c r="V255" s="196"/>
      <c r="W255" s="196"/>
      <c r="X255" s="196"/>
      <c r="Y255" s="196"/>
      <c r="Z255" s="196"/>
      <c r="AB255" s="196"/>
      <c r="AC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O256" s="196"/>
      <c r="P256" s="196"/>
      <c r="Q256" s="196"/>
      <c r="S256" s="196"/>
      <c r="T256" s="196"/>
      <c r="U256" s="196"/>
      <c r="V256" s="196"/>
      <c r="W256" s="196"/>
      <c r="X256" s="196"/>
      <c r="Y256" s="196"/>
      <c r="Z256" s="196"/>
      <c r="AB256" s="196"/>
      <c r="AC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  <c r="AA257" s="196"/>
      <c r="AB257" s="196"/>
      <c r="AC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O258" s="196"/>
      <c r="P258" s="196"/>
      <c r="Q258" s="196"/>
      <c r="S258" s="196"/>
      <c r="T258" s="196"/>
      <c r="U258" s="196"/>
      <c r="V258" s="196"/>
      <c r="W258" s="196"/>
      <c r="X258" s="196"/>
      <c r="Y258" s="196"/>
      <c r="Z258" s="196"/>
      <c r="AB258" s="196"/>
      <c r="AC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S259" s="196"/>
      <c r="T259" s="196"/>
      <c r="U259" s="196"/>
      <c r="V259" s="196"/>
      <c r="W259" s="196"/>
      <c r="X259" s="196"/>
      <c r="Y259" s="196"/>
      <c r="Z259" s="196"/>
      <c r="AB259" s="196"/>
      <c r="AC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O260" s="196"/>
      <c r="P260" s="196"/>
      <c r="Q260" s="196"/>
      <c r="S260" s="196"/>
      <c r="T260" s="196"/>
      <c r="U260" s="196"/>
      <c r="V260" s="196"/>
      <c r="W260" s="196"/>
      <c r="X260" s="196"/>
      <c r="Y260" s="196"/>
      <c r="Z260" s="196"/>
      <c r="AB260" s="196"/>
      <c r="AC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O261" s="196"/>
      <c r="P261" s="196"/>
      <c r="Q261" s="196"/>
      <c r="S261" s="196"/>
      <c r="T261" s="196"/>
      <c r="U261" s="196"/>
      <c r="V261" s="196"/>
      <c r="W261" s="196"/>
      <c r="X261" s="196"/>
      <c r="Y261" s="196"/>
      <c r="Z261" s="196"/>
      <c r="AB261" s="196"/>
      <c r="AC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O262" s="196"/>
      <c r="P262" s="196"/>
      <c r="Q262" s="196"/>
      <c r="S262" s="196"/>
      <c r="T262" s="196"/>
      <c r="U262" s="196"/>
      <c r="V262" s="196"/>
      <c r="W262" s="196"/>
      <c r="X262" s="196"/>
      <c r="Y262" s="196"/>
      <c r="Z262" s="196"/>
      <c r="AB262" s="196"/>
      <c r="AC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  <c r="AA263" s="196"/>
      <c r="AB263" s="196"/>
      <c r="AC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O264" s="196"/>
      <c r="P264" s="196"/>
      <c r="Q264" s="196"/>
      <c r="S264" s="196"/>
      <c r="T264" s="196"/>
      <c r="U264" s="196"/>
      <c r="V264" s="196"/>
      <c r="W264" s="196"/>
      <c r="X264" s="196"/>
      <c r="Y264" s="196"/>
      <c r="Z264" s="196"/>
      <c r="AB264" s="196"/>
      <c r="AC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O265" s="196"/>
      <c r="P265" s="196"/>
      <c r="Q265" s="196"/>
      <c r="S265" s="196"/>
      <c r="T265" s="196"/>
      <c r="U265" s="196"/>
      <c r="V265" s="196"/>
      <c r="W265" s="196"/>
      <c r="X265" s="196"/>
      <c r="Y265" s="196"/>
      <c r="Z265" s="196"/>
      <c r="AB265" s="196"/>
      <c r="AC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  <c r="AA266" s="196"/>
      <c r="AB266" s="196"/>
      <c r="AC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O267" s="196"/>
      <c r="P267" s="196"/>
      <c r="Q267" s="196"/>
      <c r="S267" s="196"/>
      <c r="T267" s="196"/>
      <c r="U267" s="196"/>
      <c r="V267" s="196"/>
      <c r="W267" s="196"/>
      <c r="X267" s="196"/>
      <c r="Y267" s="196"/>
      <c r="Z267" s="196"/>
      <c r="AB267" s="196"/>
      <c r="AC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  <c r="AA268" s="196"/>
      <c r="AB268" s="196"/>
      <c r="AC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S269" s="196"/>
      <c r="T269" s="196"/>
      <c r="U269" s="196"/>
      <c r="V269" s="196"/>
      <c r="W269" s="196"/>
      <c r="X269" s="196"/>
      <c r="Y269" s="196"/>
      <c r="Z269" s="196"/>
      <c r="AB269" s="196"/>
      <c r="AC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O270" s="196"/>
      <c r="P270" s="196"/>
      <c r="Q270" s="196"/>
      <c r="S270" s="196"/>
      <c r="T270" s="196"/>
      <c r="U270" s="196"/>
      <c r="V270" s="196"/>
      <c r="W270" s="196"/>
      <c r="X270" s="196"/>
      <c r="Y270" s="196"/>
      <c r="Z270" s="196"/>
      <c r="AB270" s="196"/>
      <c r="AC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S271" s="196"/>
      <c r="T271" s="196"/>
      <c r="U271" s="196"/>
      <c r="V271" s="196"/>
      <c r="W271" s="196"/>
      <c r="X271" s="196"/>
      <c r="Y271" s="196"/>
      <c r="Z271" s="196"/>
      <c r="AB271" s="196"/>
      <c r="AC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O272" s="196"/>
      <c r="P272" s="196"/>
      <c r="Q272" s="196"/>
      <c r="S272" s="196"/>
      <c r="T272" s="196"/>
      <c r="U272" s="196"/>
      <c r="V272" s="196"/>
      <c r="W272" s="196"/>
      <c r="X272" s="196"/>
      <c r="Y272" s="196"/>
      <c r="Z272" s="196"/>
      <c r="AB272" s="196"/>
      <c r="AC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  <c r="AA273" s="196"/>
      <c r="AB273" s="196"/>
      <c r="AC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  <c r="AA274" s="196"/>
      <c r="AB274" s="196"/>
      <c r="AC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O275" s="196"/>
      <c r="P275" s="196"/>
      <c r="Q275" s="196"/>
      <c r="S275" s="196"/>
      <c r="T275" s="196"/>
      <c r="U275" s="196"/>
      <c r="V275" s="196"/>
      <c r="W275" s="196"/>
      <c r="X275" s="196"/>
      <c r="Y275" s="196"/>
      <c r="Z275" s="196"/>
      <c r="AB275" s="196"/>
      <c r="AC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O276" s="196"/>
      <c r="P276" s="196"/>
      <c r="Q276" s="196"/>
      <c r="S276" s="196"/>
      <c r="T276" s="196"/>
      <c r="U276" s="196"/>
      <c r="V276" s="196"/>
      <c r="W276" s="196"/>
      <c r="X276" s="196"/>
      <c r="Y276" s="196"/>
      <c r="Z276" s="196"/>
      <c r="AB276" s="196"/>
      <c r="AC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O277" s="196"/>
      <c r="P277" s="196"/>
      <c r="Q277" s="196"/>
      <c r="S277" s="196"/>
      <c r="T277" s="196"/>
      <c r="U277" s="196"/>
      <c r="V277" s="196"/>
      <c r="W277" s="196"/>
      <c r="X277" s="196"/>
      <c r="Y277" s="196"/>
      <c r="Z277" s="196"/>
      <c r="AB277" s="196"/>
      <c r="AC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  <c r="AA278" s="196"/>
      <c r="AB278" s="196"/>
      <c r="AC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O279" s="196"/>
      <c r="P279" s="196"/>
      <c r="Q279" s="196"/>
      <c r="S279" s="196"/>
      <c r="T279" s="196"/>
      <c r="U279" s="196"/>
      <c r="V279" s="196"/>
      <c r="W279" s="196"/>
      <c r="X279" s="196"/>
      <c r="Y279" s="196"/>
      <c r="Z279" s="196"/>
      <c r="AB279" s="196"/>
      <c r="AC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O280" s="196"/>
      <c r="P280" s="196"/>
      <c r="Q280" s="196"/>
      <c r="S280" s="196"/>
      <c r="T280" s="196"/>
      <c r="U280" s="196"/>
      <c r="V280" s="196"/>
      <c r="W280" s="196"/>
      <c r="X280" s="196"/>
      <c r="Y280" s="196"/>
      <c r="Z280" s="196"/>
      <c r="AB280" s="196"/>
      <c r="AC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S281" s="196"/>
      <c r="T281" s="196"/>
      <c r="U281" s="196"/>
      <c r="V281" s="196"/>
      <c r="W281" s="196"/>
      <c r="X281" s="196"/>
      <c r="Y281" s="196"/>
      <c r="Z281" s="196"/>
      <c r="AB281" s="196"/>
      <c r="AC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S282" s="196"/>
      <c r="T282" s="196"/>
      <c r="U282" s="196"/>
      <c r="V282" s="196"/>
      <c r="W282" s="196"/>
      <c r="X282" s="196"/>
      <c r="Y282" s="196"/>
      <c r="Z282" s="196"/>
      <c r="AB282" s="196"/>
      <c r="AC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S283" s="196"/>
      <c r="T283" s="196"/>
      <c r="U283" s="196"/>
      <c r="V283" s="196"/>
      <c r="W283" s="196"/>
      <c r="X283" s="196"/>
      <c r="Y283" s="196"/>
      <c r="Z283" s="196"/>
      <c r="AB283" s="196"/>
      <c r="AC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S284" s="196"/>
      <c r="T284" s="196"/>
      <c r="U284" s="196"/>
      <c r="V284" s="196"/>
      <c r="W284" s="196"/>
      <c r="X284" s="196"/>
      <c r="Y284" s="196"/>
      <c r="Z284" s="196"/>
      <c r="AB284" s="196"/>
      <c r="AC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S285" s="196"/>
      <c r="T285" s="196"/>
      <c r="U285" s="196"/>
      <c r="V285" s="196"/>
      <c r="W285" s="196"/>
      <c r="X285" s="196"/>
      <c r="Y285" s="196"/>
      <c r="Z285" s="196"/>
      <c r="AB285" s="196"/>
      <c r="AC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S286" s="196"/>
      <c r="T286" s="196"/>
      <c r="U286" s="196"/>
      <c r="V286" s="196"/>
      <c r="W286" s="196"/>
      <c r="X286" s="196"/>
      <c r="Y286" s="196"/>
      <c r="Z286" s="196"/>
      <c r="AB286" s="196"/>
      <c r="AC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  <c r="AA287" s="196"/>
      <c r="AB287" s="196"/>
      <c r="AC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O288" s="196"/>
      <c r="P288" s="196"/>
      <c r="Q288" s="196"/>
      <c r="S288" s="196"/>
      <c r="T288" s="196"/>
      <c r="U288" s="196"/>
      <c r="V288" s="196"/>
      <c r="W288" s="196"/>
      <c r="X288" s="196"/>
      <c r="Y288" s="196"/>
      <c r="Z288" s="196"/>
      <c r="AB288" s="196"/>
      <c r="AC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  <c r="AA289" s="196"/>
      <c r="AB289" s="196"/>
      <c r="AC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O290" s="196"/>
      <c r="P290" s="196"/>
      <c r="Q290" s="196"/>
      <c r="S290" s="196"/>
      <c r="T290" s="196"/>
      <c r="U290" s="196"/>
      <c r="V290" s="196"/>
      <c r="W290" s="196"/>
      <c r="X290" s="196"/>
      <c r="Y290" s="196"/>
      <c r="Z290" s="196"/>
      <c r="AB290" s="196"/>
      <c r="AC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  <c r="AA291" s="196"/>
      <c r="AB291" s="196"/>
      <c r="AC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O292" s="196"/>
      <c r="P292" s="196"/>
      <c r="Q292" s="196"/>
      <c r="S292" s="196"/>
      <c r="T292" s="196"/>
      <c r="U292" s="196"/>
      <c r="V292" s="196"/>
      <c r="W292" s="196"/>
      <c r="X292" s="196"/>
      <c r="Y292" s="196"/>
      <c r="Z292" s="196"/>
      <c r="AB292" s="196"/>
      <c r="AC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S293" s="196"/>
      <c r="T293" s="196"/>
      <c r="U293" s="196"/>
      <c r="V293" s="196"/>
      <c r="W293" s="196"/>
      <c r="X293" s="196"/>
      <c r="Y293" s="196"/>
      <c r="Z293" s="196"/>
      <c r="AB293" s="196"/>
      <c r="AC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O294" s="196"/>
      <c r="P294" s="196"/>
      <c r="Q294" s="196"/>
      <c r="S294" s="196"/>
      <c r="T294" s="196"/>
      <c r="U294" s="196"/>
      <c r="V294" s="196"/>
      <c r="W294" s="196"/>
      <c r="X294" s="196"/>
      <c r="Y294" s="196"/>
      <c r="Z294" s="196"/>
      <c r="AB294" s="196"/>
      <c r="AC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O295" s="196"/>
      <c r="P295" s="196"/>
      <c r="Q295" s="196"/>
      <c r="S295" s="196"/>
      <c r="T295" s="196"/>
      <c r="U295" s="196"/>
      <c r="V295" s="196"/>
      <c r="W295" s="196"/>
      <c r="X295" s="196"/>
      <c r="Y295" s="196"/>
      <c r="Z295" s="196"/>
      <c r="AB295" s="196"/>
      <c r="AC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  <c r="AA296" s="196"/>
      <c r="AB296" s="196"/>
      <c r="AC296" s="196"/>
      <c r="AD296" s="196"/>
      <c r="AE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O297" s="196"/>
      <c r="P297" s="196"/>
      <c r="Q297" s="196"/>
      <c r="S297" s="196"/>
      <c r="T297" s="196"/>
      <c r="U297" s="196"/>
      <c r="V297" s="196"/>
      <c r="W297" s="196"/>
      <c r="X297" s="196"/>
      <c r="Y297" s="196"/>
      <c r="Z297" s="196"/>
      <c r="AB297" s="196"/>
      <c r="AC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O298" s="196"/>
      <c r="P298" s="196"/>
      <c r="Q298" s="196"/>
      <c r="S298" s="196"/>
      <c r="T298" s="196"/>
      <c r="U298" s="196"/>
      <c r="V298" s="196"/>
      <c r="W298" s="196"/>
      <c r="X298" s="196"/>
      <c r="Y298" s="196"/>
      <c r="Z298" s="196"/>
      <c r="AB298" s="196"/>
      <c r="AC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O299" s="196"/>
      <c r="P299" s="196"/>
      <c r="Q299" s="196"/>
      <c r="S299" s="196"/>
      <c r="T299" s="196"/>
      <c r="U299" s="196"/>
      <c r="V299" s="196"/>
      <c r="W299" s="196"/>
      <c r="X299" s="196"/>
      <c r="Y299" s="196"/>
      <c r="Z299" s="196"/>
      <c r="AB299" s="196"/>
      <c r="AC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O300" s="196"/>
      <c r="P300" s="196"/>
      <c r="Q300" s="196"/>
      <c r="S300" s="196"/>
      <c r="T300" s="196"/>
      <c r="U300" s="196"/>
      <c r="V300" s="196"/>
      <c r="W300" s="196"/>
      <c r="X300" s="196"/>
      <c r="Y300" s="196"/>
      <c r="Z300" s="196"/>
      <c r="AB300" s="196"/>
      <c r="AC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O301" s="196"/>
      <c r="P301" s="196"/>
      <c r="Q301" s="196"/>
      <c r="S301" s="196"/>
      <c r="T301" s="196"/>
      <c r="U301" s="196"/>
      <c r="V301" s="196"/>
      <c r="W301" s="196"/>
      <c r="X301" s="196"/>
      <c r="Y301" s="196"/>
      <c r="Z301" s="196"/>
      <c r="AB301" s="196"/>
      <c r="AC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S302" s="196"/>
      <c r="T302" s="196"/>
      <c r="U302" s="196"/>
      <c r="V302" s="196"/>
      <c r="W302" s="196"/>
      <c r="X302" s="196"/>
      <c r="Y302" s="196"/>
      <c r="Z302" s="196"/>
      <c r="AB302" s="196"/>
      <c r="AC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O303" s="196"/>
      <c r="P303" s="196"/>
      <c r="Q303" s="196"/>
      <c r="S303" s="196"/>
      <c r="T303" s="196"/>
      <c r="U303" s="196"/>
      <c r="V303" s="196"/>
      <c r="W303" s="196"/>
      <c r="X303" s="196"/>
      <c r="Y303" s="196"/>
      <c r="Z303" s="196"/>
      <c r="AB303" s="196"/>
      <c r="AC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O304" s="196"/>
      <c r="P304" s="196"/>
      <c r="Q304" s="196"/>
      <c r="S304" s="196"/>
      <c r="T304" s="196"/>
      <c r="U304" s="196"/>
      <c r="V304" s="196"/>
      <c r="W304" s="196"/>
      <c r="X304" s="196"/>
      <c r="Y304" s="196"/>
      <c r="Z304" s="196"/>
      <c r="AB304" s="196"/>
      <c r="AC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  <c r="AA305" s="196"/>
      <c r="AB305" s="196"/>
      <c r="AC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  <c r="AA306" s="196"/>
      <c r="AB306" s="196"/>
      <c r="AC306" s="196"/>
      <c r="AD306" s="196"/>
      <c r="AE306" s="196"/>
    </row>
    <row r="414">
      <c r="C414" s="198"/>
    </row>
  </sheetData>
  <autoFilter ref="$A$1:$M$48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/>
      <c r="B1" s="6"/>
      <c r="C1" s="199" t="str">
        <f>IFERROR(__xludf.DUMMYFUNCTION("IMPORTRANGE(""1TpIiNTfR1pnpn85VWQTTdvQ2Xcr0GStmWJ2UvfKxG_A"", ""Mzdy!A1:F200"")"),"#REF!")</f>
        <v>#REF!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5"/>
      <c r="V1" s="200" t="str">
        <f>IFERROR(__xludf.DUMMYFUNCTION("IMPORTRANGE(""1TpIiNTfR1pnpn85VWQTTdvQ2Xcr0GStmWJ2UvfKxG_A"", ""Mzdy!ac1:ad200"")"),"#REF!")</f>
        <v>#REF!</v>
      </c>
      <c r="W1" s="201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202"/>
      <c r="B2" s="202"/>
      <c r="C2" s="202"/>
      <c r="D2" s="202"/>
      <c r="E2" s="202"/>
      <c r="F2" s="202"/>
      <c r="G2" s="202"/>
      <c r="H2" s="202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203"/>
      <c r="W2" s="204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202"/>
      <c r="B3" s="202"/>
      <c r="C3" s="202"/>
      <c r="D3" s="202"/>
      <c r="E3" s="202"/>
      <c r="F3" s="202"/>
      <c r="G3" s="202"/>
      <c r="H3" s="20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203"/>
      <c r="W3" s="204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202" t="s">
        <v>1800</v>
      </c>
      <c r="B4" s="202" t="s">
        <v>1801</v>
      </c>
      <c r="C4" s="202"/>
      <c r="D4" s="202"/>
      <c r="E4" s="202"/>
      <c r="F4" s="202"/>
      <c r="G4" s="202"/>
      <c r="H4" s="20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203"/>
      <c r="W4" s="204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202" t="str">
        <f>IF(AND(B5&lt;&gt;"", C5=TRUE, E5=Report!$B$1), B5, "")</f>
        <v/>
      </c>
      <c r="B5" s="205" t="str">
        <f>IF(OR(E5=Report!$B$1, F5=Report!$B$1, G5=Report!$B$1, H5=Report!$B$1), D5, "")</f>
        <v/>
      </c>
      <c r="C5" s="202"/>
      <c r="D5" s="202"/>
      <c r="E5" s="202"/>
      <c r="F5" s="202"/>
      <c r="G5" s="202"/>
      <c r="H5" s="202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203"/>
      <c r="W5" s="204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202" t="str">
        <f>IF(AND(B6&lt;&gt;"", C6=TRUE, E6=Report!$B$1), B6, "")</f>
        <v/>
      </c>
      <c r="B6" s="205" t="str">
        <f>IF(OR(E6=Report!$B$1, F6=Report!$B$1, G6=Report!$B$1, H6=Report!$B$1), D6, "")</f>
        <v/>
      </c>
      <c r="C6" s="202"/>
      <c r="D6" s="202"/>
      <c r="E6" s="202"/>
      <c r="F6" s="202"/>
      <c r="G6" s="202"/>
      <c r="H6" s="202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203"/>
      <c r="W6" s="204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202" t="str">
        <f>IF(AND(B7&lt;&gt;"", C7=TRUE, E7=Report!$B$1), B7, "")</f>
        <v/>
      </c>
      <c r="B7" s="205" t="str">
        <f>IF(OR(E7=Report!$B$1, F7=Report!$B$1, G7=Report!$B$1, H7=Report!$B$1), D7, "")</f>
        <v/>
      </c>
      <c r="C7" s="202"/>
      <c r="D7" s="202"/>
      <c r="E7" s="202"/>
      <c r="F7" s="202"/>
      <c r="G7" s="202"/>
      <c r="H7" s="202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203"/>
      <c r="W7" s="204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202" t="str">
        <f>IF(AND(B8&lt;&gt;"", C8=TRUE, E8=Report!$B$1), B8, "")</f>
        <v/>
      </c>
      <c r="B8" s="205" t="str">
        <f>IF(OR(E8=Report!$B$1, F8=Report!$B$1, G8=Report!$B$1, H8=Report!$B$1), D8, "")</f>
        <v/>
      </c>
      <c r="C8" s="202"/>
      <c r="D8" s="202"/>
      <c r="E8" s="202"/>
      <c r="F8" s="202"/>
      <c r="G8" s="202"/>
      <c r="H8" s="202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03"/>
      <c r="W8" s="204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202" t="str">
        <f>IF(AND(B9&lt;&gt;"", C9=TRUE, E9=Report!$B$1), B9, "")</f>
        <v/>
      </c>
      <c r="B9" s="205" t="str">
        <f>IF(OR(E9=Report!$B$1, F9=Report!$B$1, G9=Report!$B$1, H9=Report!$B$1), D9, "")</f>
        <v/>
      </c>
      <c r="C9" s="202"/>
      <c r="D9" s="202"/>
      <c r="E9" s="202"/>
      <c r="F9" s="202"/>
      <c r="G9" s="202"/>
      <c r="H9" s="202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203"/>
      <c r="W9" s="204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202" t="str">
        <f>IF(AND(B10&lt;&gt;"", C10=TRUE, E10=Report!$B$1), B10, "")</f>
        <v/>
      </c>
      <c r="B10" s="205" t="str">
        <f>IF(OR(E10=Report!$B$1, F10=Report!$B$1, G10=Report!$B$1, H10=Report!$B$1), D10, "")</f>
        <v/>
      </c>
      <c r="C10" s="202"/>
      <c r="D10" s="202"/>
      <c r="E10" s="202"/>
      <c r="F10" s="202"/>
      <c r="G10" s="202"/>
      <c r="H10" s="202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203"/>
      <c r="W10" s="204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202" t="str">
        <f>IF(AND(B11&lt;&gt;"", C11=TRUE, E11=Report!$B$1), B11, "")</f>
        <v/>
      </c>
      <c r="B11" s="205" t="str">
        <f>IF(OR(E11=Report!$B$1, F11=Report!$B$1, G11=Report!$B$1, H11=Report!$B$1), D11, "")</f>
        <v/>
      </c>
      <c r="C11" s="202"/>
      <c r="D11" s="202"/>
      <c r="E11" s="202"/>
      <c r="F11" s="202"/>
      <c r="G11" s="202"/>
      <c r="H11" s="20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203"/>
      <c r="W11" s="204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202" t="str">
        <f>IF(AND(B12&lt;&gt;"", C12=TRUE, E12=Report!$B$1), B12, "")</f>
        <v/>
      </c>
      <c r="B12" s="205" t="str">
        <f>IF(OR(E12=Report!$B$1, F12=Report!$B$1, G12=Report!$B$1, H12=Report!$B$1), D12, "")</f>
        <v/>
      </c>
      <c r="C12" s="202"/>
      <c r="D12" s="202"/>
      <c r="E12" s="202"/>
      <c r="F12" s="202"/>
      <c r="G12" s="202"/>
      <c r="H12" s="202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203"/>
      <c r="W12" s="204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202" t="str">
        <f>IF(AND(B13&lt;&gt;"", C13=TRUE, E13=Report!$B$1), B13, "")</f>
        <v/>
      </c>
      <c r="B13" s="205" t="str">
        <f>IF(OR(E13=Report!$B$1, F13=Report!$B$1, G13=Report!$B$1, H13=Report!$B$1), D13, "")</f>
        <v/>
      </c>
      <c r="C13" s="202"/>
      <c r="D13" s="202"/>
      <c r="E13" s="202"/>
      <c r="F13" s="202"/>
      <c r="G13" s="202"/>
      <c r="H13" s="202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203"/>
      <c r="W13" s="204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202" t="str">
        <f>IF(AND(B14&lt;&gt;"", C14=TRUE, E14=Report!$B$1), B14, "")</f>
        <v/>
      </c>
      <c r="B14" s="205" t="str">
        <f>IF(OR(E14=Report!$B$1, F14=Report!$B$1, G14=Report!$B$1, H14=Report!$B$1), D14, "")</f>
        <v/>
      </c>
      <c r="C14" s="202"/>
      <c r="D14" s="202"/>
      <c r="E14" s="202"/>
      <c r="F14" s="202"/>
      <c r="G14" s="202"/>
      <c r="H14" s="202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203"/>
      <c r="W14" s="204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202" t="str">
        <f>IF(AND(B15&lt;&gt;"", C15=TRUE, E15=Report!$B$1), B15, "")</f>
        <v/>
      </c>
      <c r="B15" s="205" t="str">
        <f>IF(OR(E15=Report!$B$1, F15=Report!$B$1, G15=Report!$B$1, H15=Report!$B$1), D15, "")</f>
        <v/>
      </c>
      <c r="C15" s="202"/>
      <c r="D15" s="202"/>
      <c r="E15" s="202"/>
      <c r="F15" s="202"/>
      <c r="G15" s="202"/>
      <c r="H15" s="202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203"/>
      <c r="W15" s="204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202" t="str">
        <f>IF(AND(B16&lt;&gt;"", C16=TRUE, E16=Report!$B$1), B16, "")</f>
        <v/>
      </c>
      <c r="B16" s="205" t="str">
        <f>IF(OR(E16=Report!$B$1, F16=Report!$B$1, G16=Report!$B$1, H16=Report!$B$1), D16, "")</f>
        <v/>
      </c>
      <c r="C16" s="202"/>
      <c r="D16" s="202"/>
      <c r="E16" s="202"/>
      <c r="F16" s="202"/>
      <c r="G16" s="202"/>
      <c r="H16" s="202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203"/>
      <c r="W16" s="204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202" t="str">
        <f>IF(AND(B17&lt;&gt;"", C17=TRUE, E17=Report!$B$1), B17, "")</f>
        <v/>
      </c>
      <c r="B17" s="205" t="str">
        <f>IF(OR(E17=Report!$B$1, F17=Report!$B$1, G17=Report!$B$1, H17=Report!$B$1), D17, "")</f>
        <v/>
      </c>
      <c r="C17" s="202"/>
      <c r="D17" s="202"/>
      <c r="E17" s="202"/>
      <c r="F17" s="202"/>
      <c r="G17" s="202"/>
      <c r="H17" s="20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203"/>
      <c r="W17" s="204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202" t="str">
        <f>IF(AND(B18&lt;&gt;"", C18=TRUE, E18=Report!$B$1), B18, "")</f>
        <v/>
      </c>
      <c r="B18" s="205" t="str">
        <f>IF(OR(E18=Report!$B$1, F18=Report!$B$1, G18=Report!$B$1, H18=Report!$B$1), D18, "")</f>
        <v/>
      </c>
      <c r="C18" s="202"/>
      <c r="D18" s="202"/>
      <c r="E18" s="202"/>
      <c r="F18" s="202"/>
      <c r="G18" s="202"/>
      <c r="H18" s="20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203"/>
      <c r="W18" s="204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202" t="str">
        <f>IF(AND(B19&lt;&gt;"", C19=TRUE, E19=Report!$B$1), B19, "")</f>
        <v/>
      </c>
      <c r="B19" s="205" t="str">
        <f>IF(OR(E19=Report!$B$1, F19=Report!$B$1, G19=Report!$B$1, H19=Report!$B$1), D19, "")</f>
        <v/>
      </c>
      <c r="C19" s="202"/>
      <c r="D19" s="202"/>
      <c r="E19" s="202"/>
      <c r="F19" s="202"/>
      <c r="G19" s="202"/>
      <c r="H19" s="202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203"/>
      <c r="W19" s="204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202" t="str">
        <f>IF(AND(B20&lt;&gt;"", C20=TRUE, E20=Report!$B$1), B20, "")</f>
        <v/>
      </c>
      <c r="B20" s="205" t="str">
        <f>IF(OR(E20=Report!$B$1, F20=Report!$B$1, G20=Report!$B$1, H20=Report!$B$1), D20, "")</f>
        <v/>
      </c>
      <c r="C20" s="202"/>
      <c r="D20" s="202"/>
      <c r="E20" s="202"/>
      <c r="F20" s="202"/>
      <c r="G20" s="202"/>
      <c r="H20" s="202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203"/>
      <c r="W20" s="204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202" t="str">
        <f>IF(AND(B21&lt;&gt;"", C21=TRUE, E21=Report!$B$1), B21, "")</f>
        <v/>
      </c>
      <c r="B21" s="205" t="str">
        <f>IF(OR(E21=Report!$B$1, F21=Report!$B$1, G21=Report!$B$1, H21=Report!$B$1), D21, "")</f>
        <v/>
      </c>
      <c r="C21" s="202"/>
      <c r="D21" s="202"/>
      <c r="E21" s="202"/>
      <c r="F21" s="202"/>
      <c r="G21" s="202"/>
      <c r="H21" s="202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203"/>
      <c r="W21" s="204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202" t="str">
        <f>IF(AND(B22&lt;&gt;"", C22=TRUE, E22=Report!$B$1), B22, "")</f>
        <v/>
      </c>
      <c r="B22" s="205" t="str">
        <f>IF(OR(E22=Report!$B$1, F22=Report!$B$1, G22=Report!$B$1, H22=Report!$B$1), D22, "")</f>
        <v/>
      </c>
      <c r="C22" s="202"/>
      <c r="D22" s="202"/>
      <c r="E22" s="202"/>
      <c r="F22" s="202"/>
      <c r="G22" s="202"/>
      <c r="H22" s="202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203"/>
      <c r="W22" s="204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202" t="str">
        <f>IF(AND(B23&lt;&gt;"", C23=TRUE, E23=Report!$B$1), B23, "")</f>
        <v/>
      </c>
      <c r="B23" s="205" t="str">
        <f>IF(OR(E23=Report!$B$1, F23=Report!$B$1, G23=Report!$B$1, H23=Report!$B$1), D23, "")</f>
        <v/>
      </c>
      <c r="C23" s="202"/>
      <c r="D23" s="202"/>
      <c r="E23" s="202"/>
      <c r="F23" s="202"/>
      <c r="G23" s="202"/>
      <c r="H23" s="202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203"/>
      <c r="W23" s="204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202" t="str">
        <f>IF(AND(B24&lt;&gt;"", C24=TRUE, E24=Report!$B$1), B24, "")</f>
        <v/>
      </c>
      <c r="B24" s="205" t="str">
        <f>IF(OR(E24=Report!$B$1, F24=Report!$B$1, G24=Report!$B$1, H24=Report!$B$1), D24, "")</f>
        <v/>
      </c>
      <c r="C24" s="202"/>
      <c r="D24" s="202"/>
      <c r="E24" s="202"/>
      <c r="F24" s="202"/>
      <c r="G24" s="202"/>
      <c r="H24" s="202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203"/>
      <c r="W24" s="204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202" t="str">
        <f>IF(AND(B25&lt;&gt;"", C25=TRUE, E25=Report!$B$1), B25, "")</f>
        <v/>
      </c>
      <c r="B25" s="205" t="str">
        <f>IF(OR(E25=Report!$B$1, F25=Report!$B$1, G25=Report!$B$1, H25=Report!$B$1), D25, "")</f>
        <v/>
      </c>
      <c r="C25" s="202"/>
      <c r="D25" s="202"/>
      <c r="E25" s="202"/>
      <c r="F25" s="202"/>
      <c r="G25" s="202"/>
      <c r="H25" s="202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203"/>
      <c r="W25" s="204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202" t="str">
        <f>IF(AND(B26&lt;&gt;"", C26=TRUE, E26=Report!$B$1), B26, "")</f>
        <v/>
      </c>
      <c r="B26" s="205" t="str">
        <f>IF(OR(E26=Report!$B$1, F26=Report!$B$1, G26=Report!$B$1, H26=Report!$B$1), D26, "")</f>
        <v/>
      </c>
      <c r="C26" s="202"/>
      <c r="D26" s="202"/>
      <c r="E26" s="202"/>
      <c r="F26" s="202"/>
      <c r="G26" s="202"/>
      <c r="H26" s="202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203"/>
      <c r="W26" s="204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202" t="str">
        <f>IF(AND(B27&lt;&gt;"", C27=TRUE, E27=Report!$B$1), B27, "")</f>
        <v/>
      </c>
      <c r="B27" s="205" t="str">
        <f>IF(OR(E27=Report!$B$1, F27=Report!$B$1, G27=Report!$B$1, H27=Report!$B$1), D27, "")</f>
        <v/>
      </c>
      <c r="C27" s="202"/>
      <c r="D27" s="202"/>
      <c r="E27" s="202"/>
      <c r="F27" s="202"/>
      <c r="G27" s="202"/>
      <c r="H27" s="202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203"/>
      <c r="W27" s="204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202" t="str">
        <f>IF(AND(B28&lt;&gt;"", C28=TRUE, E28=Report!$B$1), B28, "")</f>
        <v/>
      </c>
      <c r="B28" s="205" t="str">
        <f>IF(OR(E28=Report!$B$1, F28=Report!$B$1, G28=Report!$B$1, H28=Report!$B$1), D28, "")</f>
        <v/>
      </c>
      <c r="C28" s="202"/>
      <c r="D28" s="202"/>
      <c r="E28" s="202"/>
      <c r="F28" s="202"/>
      <c r="G28" s="202"/>
      <c r="H28" s="202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203"/>
      <c r="W28" s="204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202" t="str">
        <f>IF(AND(B29&lt;&gt;"", C29=TRUE, E29=Report!$B$1), B29, "")</f>
        <v/>
      </c>
      <c r="B29" s="205" t="str">
        <f>IF(OR(E29=Report!$B$1, F29=Report!$B$1, G29=Report!$B$1, H29=Report!$B$1), D29, "")</f>
        <v/>
      </c>
      <c r="C29" s="202"/>
      <c r="D29" s="202"/>
      <c r="E29" s="202"/>
      <c r="F29" s="202"/>
      <c r="G29" s="202"/>
      <c r="H29" s="202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203"/>
      <c r="W29" s="204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202" t="str">
        <f>IF(AND(B30&lt;&gt;"", C30=TRUE, E30=Report!$B$1), B30, "")</f>
        <v/>
      </c>
      <c r="B30" s="205" t="str">
        <f>IF(OR(E30=Report!$B$1, F30=Report!$B$1, G30=Report!$B$1, H30=Report!$B$1), D30, "")</f>
        <v/>
      </c>
      <c r="C30" s="202"/>
      <c r="D30" s="202"/>
      <c r="E30" s="202"/>
      <c r="F30" s="202"/>
      <c r="G30" s="202"/>
      <c r="H30" s="202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203"/>
      <c r="W30" s="204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202" t="str">
        <f>IF(AND(B31&lt;&gt;"", C31=TRUE, E31=Report!$B$1), B31, "")</f>
        <v/>
      </c>
      <c r="B31" s="205" t="str">
        <f>IF(OR(E31=Report!$B$1, F31=Report!$B$1, G31=Report!$B$1, H31=Report!$B$1), D31, "")</f>
        <v/>
      </c>
      <c r="C31" s="202"/>
      <c r="D31" s="202"/>
      <c r="E31" s="202"/>
      <c r="F31" s="202"/>
      <c r="G31" s="202"/>
      <c r="H31" s="202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203"/>
      <c r="W31" s="204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202" t="str">
        <f>IF(AND(B32&lt;&gt;"", C32=TRUE, E32=Report!$B$1), B32, "")</f>
        <v/>
      </c>
      <c r="B32" s="205" t="str">
        <f>IF(OR(E32=Report!$B$1, F32=Report!$B$1, G32=Report!$B$1, H32=Report!$B$1), D32, "")</f>
        <v/>
      </c>
      <c r="C32" s="202"/>
      <c r="D32" s="202"/>
      <c r="E32" s="202"/>
      <c r="F32" s="202"/>
      <c r="G32" s="202"/>
      <c r="H32" s="202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203"/>
      <c r="W32" s="204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202" t="str">
        <f>IF(AND(B33&lt;&gt;"", C33=TRUE, E33=Report!$B$1), B33, "")</f>
        <v/>
      </c>
      <c r="B33" s="205" t="str">
        <f>IF(OR(E33=Report!$B$1, F33=Report!$B$1, G33=Report!$B$1, H33=Report!$B$1), D33, "")</f>
        <v/>
      </c>
      <c r="C33" s="202"/>
      <c r="D33" s="202"/>
      <c r="E33" s="202"/>
      <c r="F33" s="202"/>
      <c r="G33" s="202"/>
      <c r="H33" s="202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203"/>
      <c r="W33" s="204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202" t="str">
        <f>IF(AND(B34&lt;&gt;"", C34=TRUE, E34=Report!$B$1), B34, "")</f>
        <v/>
      </c>
      <c r="B34" s="205" t="str">
        <f>IF(OR(E34=Report!$B$1, F34=Report!$B$1, G34=Report!$B$1, H34=Report!$B$1), D34, "")</f>
        <v/>
      </c>
      <c r="C34" s="202"/>
      <c r="D34" s="202"/>
      <c r="E34" s="202"/>
      <c r="F34" s="202"/>
      <c r="G34" s="202"/>
      <c r="H34" s="202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203"/>
      <c r="W34" s="204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202" t="str">
        <f>IF(AND(B35&lt;&gt;"", C35=TRUE, E35=Report!$B$1), B35, "")</f>
        <v/>
      </c>
      <c r="B35" s="205" t="str">
        <f>IF(OR(E35=Report!$B$1, F35=Report!$B$1, G35=Report!$B$1, H35=Report!$B$1), D35, "")</f>
        <v/>
      </c>
      <c r="C35" s="202"/>
      <c r="D35" s="202"/>
      <c r="E35" s="202"/>
      <c r="F35" s="202"/>
      <c r="G35" s="202"/>
      <c r="H35" s="202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203"/>
      <c r="W35" s="204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202" t="str">
        <f>IF(AND(B36&lt;&gt;"", C36=TRUE, E36=Report!$B$1), B36, "")</f>
        <v/>
      </c>
      <c r="B36" s="205" t="str">
        <f>IF(OR(E36=Report!$B$1, F36=Report!$B$1, G36=Report!$B$1, H36=Report!$B$1), D36, "")</f>
        <v/>
      </c>
      <c r="C36" s="202"/>
      <c r="D36" s="202"/>
      <c r="E36" s="202"/>
      <c r="F36" s="202"/>
      <c r="G36" s="202"/>
      <c r="H36" s="202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203"/>
      <c r="W36" s="204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202" t="str">
        <f>IF(AND(B37&lt;&gt;"", C37=TRUE, E37=Report!$B$1), B37, "")</f>
        <v/>
      </c>
      <c r="B37" s="205" t="str">
        <f>IF(OR(E37=Report!$B$1, F37=Report!$B$1, G37=Report!$B$1, H37=Report!$B$1), D37, "")</f>
        <v/>
      </c>
      <c r="C37" s="202"/>
      <c r="D37" s="202"/>
      <c r="E37" s="202"/>
      <c r="F37" s="202"/>
      <c r="G37" s="202"/>
      <c r="H37" s="202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203"/>
      <c r="W37" s="204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202" t="str">
        <f>IF(AND(B38&lt;&gt;"", C38=TRUE, E38=Report!$B$1), B38, "")</f>
        <v/>
      </c>
      <c r="B38" s="205" t="str">
        <f>IF(OR(E38=Report!$B$1, F38=Report!$B$1, G38=Report!$B$1, H38=Report!$B$1), D38, "")</f>
        <v/>
      </c>
      <c r="C38" s="202"/>
      <c r="D38" s="202"/>
      <c r="E38" s="202"/>
      <c r="F38" s="202"/>
      <c r="G38" s="202"/>
      <c r="H38" s="202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203"/>
      <c r="W38" s="204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202" t="str">
        <f>IF(AND(B39&lt;&gt;"", C39=TRUE, E39=Report!$B$1), B39, "")</f>
        <v/>
      </c>
      <c r="B39" s="205" t="str">
        <f>IF(OR(E39=Report!$B$1, F39=Report!$B$1, G39=Report!$B$1, H39=Report!$B$1), D39, "")</f>
        <v/>
      </c>
      <c r="C39" s="202"/>
      <c r="D39" s="202"/>
      <c r="E39" s="202"/>
      <c r="F39" s="202"/>
      <c r="G39" s="202"/>
      <c r="H39" s="202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203"/>
      <c r="W39" s="204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202" t="str">
        <f>IF(AND(B40&lt;&gt;"", C40=TRUE, E40=Report!$B$1), B40, "")</f>
        <v/>
      </c>
      <c r="B40" s="205" t="str">
        <f>IF(OR(E40=Report!$B$1, F40=Report!$B$1, G40=Report!$B$1, H40=Report!$B$1), D40, "")</f>
        <v/>
      </c>
      <c r="C40" s="202"/>
      <c r="D40" s="202"/>
      <c r="E40" s="202"/>
      <c r="F40" s="202"/>
      <c r="G40" s="202"/>
      <c r="H40" s="202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203"/>
      <c r="W40" s="204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202" t="str">
        <f>IF(AND(B41&lt;&gt;"", C41=TRUE, E41=Report!$B$1), B41, "")</f>
        <v/>
      </c>
      <c r="B41" s="205" t="str">
        <f>IF(OR(E41=Report!$B$1, F41=Report!$B$1, G41=Report!$B$1, H41=Report!$B$1), D41, "")</f>
        <v/>
      </c>
      <c r="C41" s="202"/>
      <c r="D41" s="202"/>
      <c r="E41" s="202"/>
      <c r="F41" s="202"/>
      <c r="G41" s="202"/>
      <c r="H41" s="202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203"/>
      <c r="W41" s="204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202" t="str">
        <f>IF(AND(B42&lt;&gt;"", C42=TRUE, E42=Report!$B$1), B42, "")</f>
        <v/>
      </c>
      <c r="B42" s="205" t="str">
        <f>IF(OR(E42=Report!$B$1, F42=Report!$B$1, G42=Report!$B$1, H42=Report!$B$1), D42, "")</f>
        <v/>
      </c>
      <c r="C42" s="202"/>
      <c r="D42" s="202"/>
      <c r="E42" s="202"/>
      <c r="F42" s="202"/>
      <c r="G42" s="202"/>
      <c r="H42" s="20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203"/>
      <c r="W42" s="204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202" t="str">
        <f>IF(AND(B43&lt;&gt;"", C43=TRUE, E43=Report!$B$1), B43, "")</f>
        <v/>
      </c>
      <c r="B43" s="205" t="str">
        <f>IF(OR(E43=Report!$B$1, F43=Report!$B$1, G43=Report!$B$1, H43=Report!$B$1), D43, "")</f>
        <v/>
      </c>
      <c r="C43" s="202"/>
      <c r="D43" s="202"/>
      <c r="E43" s="202"/>
      <c r="F43" s="202"/>
      <c r="G43" s="202"/>
      <c r="H43" s="20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203"/>
      <c r="W43" s="204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202"/>
      <c r="B44" s="202" t="str">
        <f>IF(OR(E44=Report!$B$1, F44=Report!$B$1, G44=Report!$B$1, H44=Report!$B$1), D44, "")</f>
        <v/>
      </c>
      <c r="C44" s="202"/>
      <c r="D44" s="202"/>
      <c r="E44" s="202"/>
      <c r="F44" s="202"/>
      <c r="G44" s="202"/>
      <c r="H44" s="20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203"/>
      <c r="W44" s="204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202"/>
      <c r="B45" s="202" t="str">
        <f>IF(OR(E45=Report!$B$1, F45=Report!$B$1, G45=Report!$B$1, H45=Report!$B$1), D45, "")</f>
        <v/>
      </c>
      <c r="C45" s="202"/>
      <c r="D45" s="202"/>
      <c r="E45" s="202"/>
      <c r="F45" s="202"/>
      <c r="G45" s="202"/>
      <c r="H45" s="20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203"/>
      <c r="W45" s="204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202"/>
      <c r="B46" s="202" t="str">
        <f>IF(OR(E46=Report!$B$1, F46=Report!$B$1, G46=Report!$B$1, H46=Report!$B$1), D46, "")</f>
        <v/>
      </c>
      <c r="C46" s="202"/>
      <c r="D46" s="202"/>
      <c r="E46" s="202"/>
      <c r="F46" s="202"/>
      <c r="G46" s="202"/>
      <c r="H46" s="20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203"/>
      <c r="W46" s="204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202"/>
      <c r="B47" s="202" t="str">
        <f>IF(OR(E47=Report!$B$1, F47=Report!$B$1, G47=Report!$B$1, H47=Report!$B$1), D47, "")</f>
        <v/>
      </c>
      <c r="C47" s="202"/>
      <c r="D47" s="202"/>
      <c r="E47" s="202"/>
      <c r="F47" s="202"/>
      <c r="G47" s="202"/>
      <c r="H47" s="20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203"/>
      <c r="W47" s="204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202"/>
      <c r="B48" s="202" t="str">
        <f>IF(OR(E48=Report!$B$1, F48=Report!$B$1, G48=Report!$B$1, H48=Report!$B$1), D48, "")</f>
        <v/>
      </c>
      <c r="C48" s="202"/>
      <c r="D48" s="202"/>
      <c r="E48" s="202"/>
      <c r="F48" s="202"/>
      <c r="G48" s="202"/>
      <c r="H48" s="20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203"/>
      <c r="W48" s="204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202"/>
      <c r="B49" s="202" t="str">
        <f>IF(OR(E49=Report!$B$1, F49=Report!$B$1, G49=Report!$B$1, H49=Report!$B$1), D49, "")</f>
        <v/>
      </c>
      <c r="C49" s="202"/>
      <c r="D49" s="202"/>
      <c r="E49" s="202"/>
      <c r="F49" s="202"/>
      <c r="G49" s="202"/>
      <c r="H49" s="20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203"/>
      <c r="W49" s="204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202"/>
      <c r="B50" s="202" t="str">
        <f>IF(OR(E50=Report!$B$1, F50=Report!$B$1, G50=Report!$B$1, H50=Report!$B$1), D50, "")</f>
        <v/>
      </c>
      <c r="C50" s="202"/>
      <c r="D50" s="202"/>
      <c r="E50" s="202"/>
      <c r="F50" s="202"/>
      <c r="G50" s="202"/>
      <c r="H50" s="20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203"/>
      <c r="W50" s="204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202"/>
      <c r="B51" s="202" t="str">
        <f>IF(OR(E51=Report!$B$1, F51=Report!$B$1, G51=Report!$B$1, H51=Report!$B$1), D51, "")</f>
        <v/>
      </c>
      <c r="C51" s="202"/>
      <c r="D51" s="202"/>
      <c r="E51" s="202"/>
      <c r="F51" s="202"/>
      <c r="G51" s="202"/>
      <c r="H51" s="20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203"/>
      <c r="W51" s="204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202"/>
      <c r="B52" s="202" t="str">
        <f>IF(OR(E52=Report!$B$1, F52=Report!$B$1, G52=Report!$B$1, H52=Report!$B$1), D52, "")</f>
        <v/>
      </c>
      <c r="C52" s="202"/>
      <c r="D52" s="202"/>
      <c r="E52" s="202"/>
      <c r="F52" s="202"/>
      <c r="G52" s="202"/>
      <c r="H52" s="20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203"/>
      <c r="W52" s="204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202"/>
      <c r="B53" s="202" t="str">
        <f>IF(OR(E53=Report!$B$1, F53=Report!$B$1, G53=Report!$B$1, H53=Report!$B$1), D53, "")</f>
        <v/>
      </c>
      <c r="C53" s="202"/>
      <c r="D53" s="202"/>
      <c r="E53" s="202"/>
      <c r="F53" s="202"/>
      <c r="G53" s="202"/>
      <c r="H53" s="20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203"/>
      <c r="W53" s="204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202"/>
      <c r="B54" s="202" t="str">
        <f>IF(OR(E54=Report!$B$1, F54=Report!$B$1, G54=Report!$B$1, H54=Report!$B$1), D54, "")</f>
        <v/>
      </c>
      <c r="C54" s="202"/>
      <c r="D54" s="202"/>
      <c r="E54" s="202"/>
      <c r="F54" s="202"/>
      <c r="G54" s="202"/>
      <c r="H54" s="20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203"/>
      <c r="W54" s="204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202"/>
      <c r="B55" s="202" t="str">
        <f>IF(OR(E55=Report!$B$1, F55=Report!$B$1, G55=Report!$B$1, H55=Report!$B$1), D55, "")</f>
        <v/>
      </c>
      <c r="C55" s="202"/>
      <c r="D55" s="202"/>
      <c r="E55" s="202"/>
      <c r="F55" s="202"/>
      <c r="G55" s="202"/>
      <c r="H55" s="20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203"/>
      <c r="W55" s="204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202"/>
      <c r="B56" s="202" t="str">
        <f>IF(OR(E56=Report!$B$1, F56=Report!$B$1, G56=Report!$B$1, H56=Report!$B$1), D56, "")</f>
        <v/>
      </c>
      <c r="C56" s="202"/>
      <c r="D56" s="202"/>
      <c r="E56" s="202"/>
      <c r="F56" s="202"/>
      <c r="G56" s="202"/>
      <c r="H56" s="20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203"/>
      <c r="W56" s="204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202"/>
      <c r="B57" s="202" t="str">
        <f>IF(OR(E57=Report!$B$1, F57=Report!$B$1, G57=Report!$B$1, H57=Report!$B$1), D57, "")</f>
        <v/>
      </c>
      <c r="C57" s="202"/>
      <c r="D57" s="202"/>
      <c r="E57" s="202"/>
      <c r="F57" s="202"/>
      <c r="G57" s="202"/>
      <c r="H57" s="20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203"/>
      <c r="W57" s="204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202"/>
      <c r="B58" s="202" t="str">
        <f>IF(OR(E58=Report!$B$1, F58=Report!$B$1, G58=Report!$B$1, H58=Report!$B$1), D58, "")</f>
        <v/>
      </c>
      <c r="C58" s="202"/>
      <c r="D58" s="202"/>
      <c r="E58" s="202"/>
      <c r="F58" s="202"/>
      <c r="G58" s="202"/>
      <c r="H58" s="20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203"/>
      <c r="W58" s="204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202"/>
      <c r="B59" s="202" t="str">
        <f>IF(OR(E59=Report!$B$1, F59=Report!$B$1, G59=Report!$B$1, H59=Report!$B$1), D59, "")</f>
        <v/>
      </c>
      <c r="C59" s="202"/>
      <c r="D59" s="202"/>
      <c r="E59" s="202"/>
      <c r="F59" s="202"/>
      <c r="G59" s="202"/>
      <c r="H59" s="20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203"/>
      <c r="W59" s="204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202"/>
      <c r="B60" s="202" t="str">
        <f>IF(OR(E60=Report!$B$1, F60=Report!$B$1, G60=Report!$B$1, H60=Report!$B$1), D60, "")</f>
        <v/>
      </c>
      <c r="C60" s="202"/>
      <c r="D60" s="202"/>
      <c r="E60" s="202"/>
      <c r="F60" s="202"/>
      <c r="G60" s="202"/>
      <c r="H60" s="20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203"/>
      <c r="W60" s="204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202"/>
      <c r="B61" s="205" t="str">
        <f>IF(OR(E61=Report!$B$1, F61=Report!$B$1, G61=Report!$B$1, H61=Report!$B$1), D61, "")</f>
        <v/>
      </c>
      <c r="C61" s="202"/>
      <c r="D61" s="202"/>
      <c r="E61" s="202"/>
      <c r="F61" s="202"/>
      <c r="G61" s="202"/>
      <c r="H61" s="20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203"/>
      <c r="W61" s="204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202"/>
      <c r="B62" s="205" t="str">
        <f>IF(OR(E62=Report!$B$1, F62=Report!$B$1, G62=Report!$B$1, H62=Report!$B$1), D62, "")</f>
        <v/>
      </c>
      <c r="C62" s="202"/>
      <c r="D62" s="202"/>
      <c r="E62" s="202"/>
      <c r="F62" s="202"/>
      <c r="G62" s="202"/>
      <c r="H62" s="20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203"/>
      <c r="W62" s="204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202"/>
      <c r="B63" s="205" t="str">
        <f>IF(OR(E63=Report!$B$1, F63=Report!$B$1, G63=Report!$B$1, H63=Report!$B$1), D63, "")</f>
        <v/>
      </c>
      <c r="C63" s="202"/>
      <c r="D63" s="202"/>
      <c r="E63" s="202"/>
      <c r="F63" s="202"/>
      <c r="G63" s="202"/>
      <c r="H63" s="20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203"/>
      <c r="W63" s="204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202"/>
      <c r="B64" s="205" t="str">
        <f>IF(OR(E64=Report!$B$1, F64=Report!$B$1, G64=Report!$B$1, H64=Report!$B$1), D64, "")</f>
        <v/>
      </c>
      <c r="C64" s="202"/>
      <c r="D64" s="202"/>
      <c r="E64" s="202"/>
      <c r="F64" s="202"/>
      <c r="G64" s="202"/>
      <c r="H64" s="20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203"/>
      <c r="W64" s="204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202"/>
      <c r="B65" s="205" t="str">
        <f>IF(OR(E65=Report!$B$1, F65=Report!$B$1, G65=Report!$B$1, H65=Report!$B$1), D65, "")</f>
        <v/>
      </c>
      <c r="C65" s="202"/>
      <c r="D65" s="202"/>
      <c r="E65" s="202"/>
      <c r="F65" s="202"/>
      <c r="G65" s="202"/>
      <c r="H65" s="20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203"/>
      <c r="W65" s="204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202"/>
      <c r="B66" s="205" t="str">
        <f>IF(OR(E66=Report!$B$1, F66=Report!$B$1, G66=Report!$B$1, H66=Report!$B$1), D66, "")</f>
        <v/>
      </c>
      <c r="C66" s="202"/>
      <c r="D66" s="202"/>
      <c r="E66" s="202"/>
      <c r="F66" s="202"/>
      <c r="G66" s="202"/>
      <c r="H66" s="20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203"/>
      <c r="W66" s="204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202"/>
      <c r="B67" s="205" t="str">
        <f>IF(OR(E67=Report!$B$1, F67=Report!$B$1, G67=Report!$B$1, H67=Report!$B$1), D67, "")</f>
        <v/>
      </c>
      <c r="C67" s="202"/>
      <c r="D67" s="202"/>
      <c r="E67" s="202"/>
      <c r="F67" s="202"/>
      <c r="G67" s="202"/>
      <c r="H67" s="20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203"/>
      <c r="W67" s="204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202"/>
      <c r="B68" s="205" t="str">
        <f>IF(OR(E68=Report!$B$1, F68=Report!$B$1, G68=Report!$B$1, H68=Report!$B$1), D68, "")</f>
        <v/>
      </c>
      <c r="C68" s="202"/>
      <c r="D68" s="202"/>
      <c r="E68" s="202"/>
      <c r="F68" s="202"/>
      <c r="G68" s="202"/>
      <c r="H68" s="20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203"/>
      <c r="W68" s="204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202"/>
      <c r="B69" s="205" t="str">
        <f>IF(OR(E69=Report!$B$1, F69=Report!$B$1, G69=Report!$B$1, H69=Report!$B$1), D69, "")</f>
        <v/>
      </c>
      <c r="C69" s="202"/>
      <c r="D69" s="202"/>
      <c r="E69" s="202"/>
      <c r="F69" s="202"/>
      <c r="G69" s="202"/>
      <c r="H69" s="20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203"/>
      <c r="W69" s="204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202"/>
      <c r="B70" s="205" t="str">
        <f>IF(OR(E70=Report!$B$1, F70=Report!$B$1, G70=Report!$B$1, H70=Report!$B$1), D70, "")</f>
        <v/>
      </c>
      <c r="C70" s="202"/>
      <c r="D70" s="202"/>
      <c r="E70" s="202"/>
      <c r="F70" s="202"/>
      <c r="G70" s="202"/>
      <c r="H70" s="20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203"/>
      <c r="W70" s="204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202"/>
      <c r="B71" s="205" t="str">
        <f>IF(OR(E71=Report!$B$1, F71=Report!$B$1, G71=Report!$B$1, H71=Report!$B$1), D71, "")</f>
        <v/>
      </c>
      <c r="C71" s="202"/>
      <c r="D71" s="202"/>
      <c r="E71" s="202"/>
      <c r="F71" s="202"/>
      <c r="G71" s="202"/>
      <c r="H71" s="20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203"/>
      <c r="W71" s="204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202"/>
      <c r="B72" s="205" t="str">
        <f>IF(OR(E72=Report!$B$1, F72=Report!$B$1, G72=Report!$B$1, H72=Report!$B$1), D72, "")</f>
        <v/>
      </c>
      <c r="C72" s="202"/>
      <c r="D72" s="202"/>
      <c r="E72" s="202"/>
      <c r="F72" s="202"/>
      <c r="G72" s="202"/>
      <c r="H72" s="20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203"/>
      <c r="W72" s="204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202"/>
      <c r="B73" s="205" t="str">
        <f>IF(OR(E73=Report!$B$1, F73=Report!$B$1, G73=Report!$B$1, H73=Report!$B$1), D73, "")</f>
        <v/>
      </c>
      <c r="C73" s="202"/>
      <c r="D73" s="202"/>
      <c r="E73" s="202"/>
      <c r="F73" s="202"/>
      <c r="G73" s="202"/>
      <c r="H73" s="20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203"/>
      <c r="W73" s="204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202"/>
      <c r="B74" s="205" t="str">
        <f>IF(OR(E74=Report!$B$1, F74=Report!$B$1, G74=Report!$B$1, H74=Report!$B$1), D74, "")</f>
        <v/>
      </c>
      <c r="C74" s="202"/>
      <c r="D74" s="202"/>
      <c r="E74" s="202"/>
      <c r="F74" s="202"/>
      <c r="G74" s="202"/>
      <c r="H74" s="20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203"/>
      <c r="W74" s="204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202"/>
      <c r="B75" s="205" t="str">
        <f>IF(OR(E75=Report!$B$1, F75=Report!$B$1, G75=Report!$B$1, H75=Report!$B$1), D75, "")</f>
        <v/>
      </c>
      <c r="C75" s="202"/>
      <c r="D75" s="202"/>
      <c r="E75" s="202"/>
      <c r="F75" s="202"/>
      <c r="G75" s="202"/>
      <c r="H75" s="20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203"/>
      <c r="W75" s="204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202"/>
      <c r="B76" s="205" t="str">
        <f>IF(OR(E76=Report!$B$1, F76=Report!$B$1, G76=Report!$B$1, H76=Report!$B$1), D76, "")</f>
        <v/>
      </c>
      <c r="C76" s="202"/>
      <c r="D76" s="202"/>
      <c r="E76" s="202"/>
      <c r="F76" s="202"/>
      <c r="G76" s="202"/>
      <c r="H76" s="20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203"/>
      <c r="W76" s="204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202"/>
      <c r="B77" s="205" t="str">
        <f>IF(OR(E77=Report!$B$1, F77=Report!$B$1, G77=Report!$B$1, H77=Report!$B$1), D77, "")</f>
        <v/>
      </c>
      <c r="C77" s="202"/>
      <c r="D77" s="202"/>
      <c r="E77" s="202"/>
      <c r="F77" s="202"/>
      <c r="G77" s="202"/>
      <c r="H77" s="20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203"/>
      <c r="W77" s="204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202"/>
      <c r="B78" s="205" t="str">
        <f>IF(OR(E78=Report!$B$1, F78=Report!$B$1, G78=Report!$B$1, H78=Report!$B$1), D78, "")</f>
        <v/>
      </c>
      <c r="C78" s="202"/>
      <c r="D78" s="202"/>
      <c r="E78" s="202"/>
      <c r="F78" s="202"/>
      <c r="G78" s="202"/>
      <c r="H78" s="20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203"/>
      <c r="W78" s="204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202"/>
      <c r="B79" s="205" t="str">
        <f>IF(OR(E79=Report!$B$1, F79=Report!$B$1, G79=Report!$B$1, H79=Report!$B$1), D79, "")</f>
        <v/>
      </c>
      <c r="C79" s="202"/>
      <c r="D79" s="202"/>
      <c r="E79" s="202"/>
      <c r="F79" s="202"/>
      <c r="G79" s="202"/>
      <c r="H79" s="20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203"/>
      <c r="W79" s="204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202"/>
      <c r="B80" s="205" t="str">
        <f>IF(OR(E80=Report!$B$1, F80=Report!$B$1, G80=Report!$B$1, H80=Report!$B$1), D80, "")</f>
        <v/>
      </c>
      <c r="C80" s="202"/>
      <c r="D80" s="202"/>
      <c r="E80" s="202"/>
      <c r="F80" s="202"/>
      <c r="G80" s="202"/>
      <c r="H80" s="20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203"/>
      <c r="W80" s="204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202"/>
      <c r="B81" s="205" t="str">
        <f>IF(OR(E81=Report!$B$1, F81=Report!$B$1, G81=Report!$B$1, H81=Report!$B$1), D81, "")</f>
        <v/>
      </c>
      <c r="C81" s="202"/>
      <c r="D81" s="202"/>
      <c r="E81" s="202"/>
      <c r="F81" s="202"/>
      <c r="G81" s="202"/>
      <c r="H81" s="20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203"/>
      <c r="W81" s="204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202"/>
      <c r="B82" s="205" t="str">
        <f>IF(OR(E82=Report!$B$1, F82=Report!$B$1, G82=Report!$B$1, H82=Report!$B$1), D82, "")</f>
        <v/>
      </c>
      <c r="C82" s="202"/>
      <c r="D82" s="202"/>
      <c r="E82" s="202"/>
      <c r="F82" s="202"/>
      <c r="G82" s="202"/>
      <c r="H82" s="20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203"/>
      <c r="W82" s="204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202"/>
      <c r="B83" s="205" t="str">
        <f>IF(OR(E83=Report!$B$1, F83=Report!$B$1, G83=Report!$B$1, H83=Report!$B$1), D83, "")</f>
        <v/>
      </c>
      <c r="C83" s="202"/>
      <c r="D83" s="202"/>
      <c r="E83" s="202"/>
      <c r="F83" s="202"/>
      <c r="G83" s="202"/>
      <c r="H83" s="20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203"/>
      <c r="W83" s="204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202"/>
      <c r="B84" s="205" t="str">
        <f>IF(OR(E84=Report!$B$1, F84=Report!$B$1, G84=Report!$B$1, H84=Report!$B$1), D84, "")</f>
        <v/>
      </c>
      <c r="C84" s="202"/>
      <c r="D84" s="202"/>
      <c r="E84" s="202"/>
      <c r="F84" s="202"/>
      <c r="G84" s="202"/>
      <c r="H84" s="20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203"/>
      <c r="W84" s="204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202"/>
      <c r="B85" s="205" t="str">
        <f>IF(OR(E85=Report!$B$1, F85=Report!$B$1, G85=Report!$B$1, H85=Report!$B$1), D85, "")</f>
        <v/>
      </c>
      <c r="C85" s="202"/>
      <c r="D85" s="202"/>
      <c r="E85" s="202"/>
      <c r="F85" s="202"/>
      <c r="G85" s="202"/>
      <c r="H85" s="20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203"/>
      <c r="W85" s="204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202"/>
      <c r="B86" s="205" t="str">
        <f>IF(OR(E86=Report!$B$1, F86=Report!$B$1, G86=Report!$B$1, H86=Report!$B$1), D86, "")</f>
        <v/>
      </c>
      <c r="C86" s="202"/>
      <c r="D86" s="202"/>
      <c r="E86" s="202"/>
      <c r="F86" s="202"/>
      <c r="G86" s="202"/>
      <c r="H86" s="20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203"/>
      <c r="W86" s="204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202"/>
      <c r="B87" s="205" t="str">
        <f>IF(OR(E87=Report!$B$1, F87=Report!$B$1, G87=Report!$B$1, H87=Report!$B$1), D87, "")</f>
        <v/>
      </c>
      <c r="C87" s="202"/>
      <c r="D87" s="202"/>
      <c r="E87" s="202"/>
      <c r="F87" s="202"/>
      <c r="G87" s="202"/>
      <c r="H87" s="20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203"/>
      <c r="W87" s="204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202"/>
      <c r="B88" s="205" t="str">
        <f>IF(OR(E88=Report!$B$1, F88=Report!$B$1, G88=Report!$B$1, H88=Report!$B$1), D88, "")</f>
        <v/>
      </c>
      <c r="C88" s="202"/>
      <c r="D88" s="202"/>
      <c r="E88" s="202"/>
      <c r="F88" s="202"/>
      <c r="G88" s="202"/>
      <c r="H88" s="20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203"/>
      <c r="W88" s="204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202"/>
      <c r="B89" s="205" t="str">
        <f>IF(OR(E89=Report!$B$1, F89=Report!$B$1, G89=Report!$B$1, H89=Report!$B$1), D89, "")</f>
        <v/>
      </c>
      <c r="C89" s="202"/>
      <c r="D89" s="202"/>
      <c r="E89" s="202"/>
      <c r="F89" s="202"/>
      <c r="G89" s="202"/>
      <c r="H89" s="20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203"/>
      <c r="W89" s="204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202"/>
      <c r="B90" s="205" t="str">
        <f>IF(OR(E90=Report!$B$1, F90=Report!$B$1, G90=Report!$B$1, H90=Report!$B$1), D90, "")</f>
        <v/>
      </c>
      <c r="C90" s="202"/>
      <c r="D90" s="202"/>
      <c r="E90" s="202"/>
      <c r="F90" s="202"/>
      <c r="G90" s="202"/>
      <c r="H90" s="20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203"/>
      <c r="W90" s="204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202"/>
      <c r="B91" s="205" t="str">
        <f>IF(OR(E91=Report!$B$1, F91=Report!$B$1, G91=Report!$B$1, H91=Report!$B$1), D91, "")</f>
        <v/>
      </c>
      <c r="C91" s="202"/>
      <c r="D91" s="202"/>
      <c r="E91" s="202"/>
      <c r="F91" s="202"/>
      <c r="G91" s="202"/>
      <c r="H91" s="20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203"/>
      <c r="W91" s="204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202"/>
      <c r="B92" s="205" t="str">
        <f>IF(OR(E92=Report!$B$1, F92=Report!$B$1, G92=Report!$B$1, H92=Report!$B$1), D92, "")</f>
        <v/>
      </c>
      <c r="C92" s="202"/>
      <c r="D92" s="202"/>
      <c r="E92" s="202"/>
      <c r="F92" s="202"/>
      <c r="G92" s="202"/>
      <c r="H92" s="20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203"/>
      <c r="W92" s="204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202"/>
      <c r="B93" s="205" t="str">
        <f>IF(OR(E93=Report!$B$1, F93=Report!$B$1, G93=Report!$B$1, H93=Report!$B$1), D93, "")</f>
        <v/>
      </c>
      <c r="C93" s="202"/>
      <c r="D93" s="202"/>
      <c r="E93" s="202"/>
      <c r="F93" s="202"/>
      <c r="G93" s="202"/>
      <c r="H93" s="20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203"/>
      <c r="W93" s="204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202"/>
      <c r="B94" s="205" t="str">
        <f>IF(OR(E94=Report!$B$1, F94=Report!$B$1, G94=Report!$B$1, H94=Report!$B$1), D94, "")</f>
        <v/>
      </c>
      <c r="C94" s="202"/>
      <c r="D94" s="202"/>
      <c r="E94" s="202"/>
      <c r="F94" s="202"/>
      <c r="G94" s="202"/>
      <c r="H94" s="20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203"/>
      <c r="W94" s="204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202"/>
      <c r="B95" s="205" t="str">
        <f>IF(OR(E95=Report!$B$1, F95=Report!$B$1, G95=Report!$B$1, H95=Report!$B$1), D95, "")</f>
        <v/>
      </c>
      <c r="C95" s="202"/>
      <c r="D95" s="202"/>
      <c r="E95" s="202"/>
      <c r="F95" s="202"/>
      <c r="G95" s="202"/>
      <c r="H95" s="20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203"/>
      <c r="W95" s="204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202"/>
      <c r="B96" s="205" t="str">
        <f>IF(OR(E96=Report!$B$1, F96=Report!$B$1, G96=Report!$B$1, H96=Report!$B$1), D96, "")</f>
        <v/>
      </c>
      <c r="C96" s="202"/>
      <c r="D96" s="202"/>
      <c r="E96" s="202"/>
      <c r="F96" s="202"/>
      <c r="G96" s="202"/>
      <c r="H96" s="20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203"/>
      <c r="W96" s="204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202"/>
      <c r="B97" s="205" t="str">
        <f>IF(OR(E97=Report!$B$1, F97=Report!$B$1, G97=Report!$B$1, H97=Report!$B$1), D97, "")</f>
        <v/>
      </c>
      <c r="C97" s="202"/>
      <c r="D97" s="202"/>
      <c r="E97" s="202"/>
      <c r="F97" s="202"/>
      <c r="G97" s="202"/>
      <c r="H97" s="20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203"/>
      <c r="W97" s="204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202"/>
      <c r="B98" s="205" t="str">
        <f>IF(OR(E98=Report!$B$1, F98=Report!$B$1, G98=Report!$B$1, H98=Report!$B$1), D98, "")</f>
        <v/>
      </c>
      <c r="C98" s="202"/>
      <c r="D98" s="202"/>
      <c r="E98" s="202"/>
      <c r="F98" s="202"/>
      <c r="G98" s="202"/>
      <c r="H98" s="20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203"/>
      <c r="W98" s="204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202"/>
      <c r="B99" s="205" t="str">
        <f>IF(OR(E99=Report!$B$1, F99=Report!$B$1, G99=Report!$B$1, H99=Report!$B$1), D99, "")</f>
        <v/>
      </c>
      <c r="C99" s="202"/>
      <c r="D99" s="202"/>
      <c r="E99" s="202"/>
      <c r="F99" s="202"/>
      <c r="G99" s="202"/>
      <c r="H99" s="20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203"/>
      <c r="W99" s="204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202"/>
      <c r="B100" s="205" t="str">
        <f>IF(OR(E100=Report!$B$1, F100=Report!$B$1, G100=Report!$B$1, H100=Report!$B$1), D100, "")</f>
        <v/>
      </c>
      <c r="C100" s="202"/>
      <c r="D100" s="202"/>
      <c r="E100" s="202"/>
      <c r="F100" s="202"/>
      <c r="G100" s="202"/>
      <c r="H100" s="20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203"/>
      <c r="W100" s="204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202"/>
      <c r="B101" s="205" t="str">
        <f>IF(OR(E101=Report!$B$1, F101=Report!$B$1, G101=Report!$B$1, H101=Report!$B$1), D101, "")</f>
        <v/>
      </c>
      <c r="C101" s="202"/>
      <c r="D101" s="202"/>
      <c r="E101" s="202"/>
      <c r="F101" s="202"/>
      <c r="G101" s="202"/>
      <c r="H101" s="20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203"/>
      <c r="W101" s="204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202"/>
      <c r="B102" s="205" t="str">
        <f>IF(OR(E102=Report!$B$1, F102=Report!$B$1, G102=Report!$B$1, H102=Report!$B$1), D102, "")</f>
        <v/>
      </c>
      <c r="C102" s="202"/>
      <c r="D102" s="202"/>
      <c r="E102" s="202"/>
      <c r="F102" s="202"/>
      <c r="G102" s="202"/>
      <c r="H102" s="20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203"/>
      <c r="W102" s="204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202"/>
      <c r="B103" s="205" t="str">
        <f>IF(OR(E103=Report!$B$1, F103=Report!$B$1, G103=Report!$B$1, H103=Report!$B$1), D103, "")</f>
        <v/>
      </c>
      <c r="C103" s="202"/>
      <c r="D103" s="202"/>
      <c r="E103" s="202"/>
      <c r="F103" s="202"/>
      <c r="G103" s="202"/>
      <c r="H103" s="20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203"/>
      <c r="W103" s="204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202"/>
      <c r="B104" s="205" t="str">
        <f>IF(OR(E104=Report!$B$1, F104=Report!$B$1, G104=Report!$B$1, H104=Report!$B$1), D104, "")</f>
        <v/>
      </c>
      <c r="C104" s="202"/>
      <c r="D104" s="202"/>
      <c r="E104" s="202"/>
      <c r="F104" s="202"/>
      <c r="G104" s="202"/>
      <c r="H104" s="20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203"/>
      <c r="W104" s="204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202"/>
      <c r="B105" s="205" t="str">
        <f>IF(OR(E105=Report!$B$1, F105=Report!$B$1, G105=Report!$B$1, H105=Report!$B$1), D105, "")</f>
        <v/>
      </c>
      <c r="C105" s="202"/>
      <c r="D105" s="202"/>
      <c r="E105" s="202"/>
      <c r="F105" s="202"/>
      <c r="G105" s="202"/>
      <c r="H105" s="20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203"/>
      <c r="W105" s="204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202"/>
      <c r="B106" s="205" t="str">
        <f>IF(OR(E106=Report!$B$1, F106=Report!$B$1, G106=Report!$B$1, H106=Report!$B$1), D106, "")</f>
        <v/>
      </c>
      <c r="C106" s="202"/>
      <c r="D106" s="202"/>
      <c r="E106" s="202"/>
      <c r="F106" s="202"/>
      <c r="G106" s="202"/>
      <c r="H106" s="20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203"/>
      <c r="W106" s="204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202"/>
      <c r="B107" s="205" t="str">
        <f>IF(OR(E107=Report!$B$1, F107=Report!$B$1, G107=Report!$B$1, H107=Report!$B$1), D107, "")</f>
        <v/>
      </c>
      <c r="C107" s="202"/>
      <c r="D107" s="202"/>
      <c r="E107" s="202"/>
      <c r="F107" s="202"/>
      <c r="G107" s="202"/>
      <c r="H107" s="20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203"/>
      <c r="W107" s="204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202"/>
      <c r="B108" s="205" t="str">
        <f>IF(OR(E108=Report!$B$1, F108=Report!$B$1, G108=Report!$B$1, H108=Report!$B$1), D108, "")</f>
        <v/>
      </c>
      <c r="C108" s="202"/>
      <c r="D108" s="202"/>
      <c r="E108" s="202"/>
      <c r="F108" s="202"/>
      <c r="G108" s="202"/>
      <c r="H108" s="20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203"/>
      <c r="W108" s="204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202"/>
      <c r="B109" s="205" t="str">
        <f>IF(OR(E109=Report!$B$1, F109=Report!$B$1, G109=Report!$B$1, H109=Report!$B$1), D109, "")</f>
        <v/>
      </c>
      <c r="C109" s="202"/>
      <c r="D109" s="202"/>
      <c r="E109" s="202"/>
      <c r="F109" s="202"/>
      <c r="G109" s="202"/>
      <c r="H109" s="20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203"/>
      <c r="W109" s="204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202"/>
      <c r="B110" s="205" t="str">
        <f>IF(OR(E110=Report!$B$1, F110=Report!$B$1, G110=Report!$B$1, H110=Report!$B$1), D110, "")</f>
        <v/>
      </c>
      <c r="C110" s="202"/>
      <c r="D110" s="202"/>
      <c r="E110" s="202"/>
      <c r="F110" s="202"/>
      <c r="G110" s="202"/>
      <c r="H110" s="20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203"/>
      <c r="W110" s="204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202"/>
      <c r="B111" s="205" t="str">
        <f>IF(OR(E111=Report!$B$1, F111=Report!$B$1, G111=Report!$B$1, H111=Report!$B$1), D111, "")</f>
        <v/>
      </c>
      <c r="C111" s="202"/>
      <c r="D111" s="202"/>
      <c r="E111" s="202"/>
      <c r="F111" s="202"/>
      <c r="G111" s="202"/>
      <c r="H111" s="20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203"/>
      <c r="W111" s="204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202"/>
      <c r="B112" s="205" t="str">
        <f>IF(OR(E112=Report!$B$1, F112=Report!$B$1, G112=Report!$B$1, H112=Report!$B$1), D112, "")</f>
        <v/>
      </c>
      <c r="C112" s="202"/>
      <c r="D112" s="202"/>
      <c r="E112" s="202"/>
      <c r="F112" s="202"/>
      <c r="G112" s="202"/>
      <c r="H112" s="20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203"/>
      <c r="W112" s="204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202"/>
      <c r="B113" s="205" t="str">
        <f>IF(OR(E113=Report!$B$1, F113=Report!$B$1, G113=Report!$B$1, H113=Report!$B$1), D113, "")</f>
        <v/>
      </c>
      <c r="C113" s="202"/>
      <c r="D113" s="202"/>
      <c r="E113" s="202"/>
      <c r="F113" s="202"/>
      <c r="G113" s="202"/>
      <c r="H113" s="20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203"/>
      <c r="W113" s="204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202"/>
      <c r="B114" s="205" t="str">
        <f>IF(OR(E114=Report!$B$1, F114=Report!$B$1, G114=Report!$B$1, H114=Report!$B$1), D114, "")</f>
        <v/>
      </c>
      <c r="C114" s="202"/>
      <c r="D114" s="202"/>
      <c r="E114" s="202"/>
      <c r="F114" s="202"/>
      <c r="G114" s="202"/>
      <c r="H114" s="20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203"/>
      <c r="W114" s="204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202"/>
      <c r="B115" s="205" t="str">
        <f>IF(OR(E115=Report!$B$1, F115=Report!$B$1, G115=Report!$B$1, H115=Report!$B$1), D115, "")</f>
        <v/>
      </c>
      <c r="C115" s="202"/>
      <c r="D115" s="202"/>
      <c r="E115" s="202"/>
      <c r="F115" s="202"/>
      <c r="G115" s="202"/>
      <c r="H115" s="20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203"/>
      <c r="W115" s="204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202"/>
      <c r="B116" s="205" t="str">
        <f>IF(OR(E116=Report!$B$1, F116=Report!$B$1, G116=Report!$B$1, H116=Report!$B$1), D116, "")</f>
        <v/>
      </c>
      <c r="C116" s="202"/>
      <c r="D116" s="202"/>
      <c r="E116" s="202"/>
      <c r="F116" s="202"/>
      <c r="G116" s="202"/>
      <c r="H116" s="20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203"/>
      <c r="W116" s="204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202"/>
      <c r="B117" s="205" t="str">
        <f>IF(OR(E117=Report!$B$1, F117=Report!$B$1, G117=Report!$B$1, H117=Report!$B$1), D117, "")</f>
        <v/>
      </c>
      <c r="C117" s="202"/>
      <c r="D117" s="202"/>
      <c r="E117" s="202"/>
      <c r="F117" s="202"/>
      <c r="G117" s="202"/>
      <c r="H117" s="20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203"/>
      <c r="W117" s="204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202"/>
      <c r="B118" s="205" t="str">
        <f>IF(OR(E118=Report!$B$1, F118=Report!$B$1, G118=Report!$B$1, H118=Report!$B$1), D118, "")</f>
        <v/>
      </c>
      <c r="C118" s="202"/>
      <c r="D118" s="202"/>
      <c r="E118" s="202"/>
      <c r="F118" s="202"/>
      <c r="G118" s="202"/>
      <c r="H118" s="20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203"/>
      <c r="W118" s="204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202"/>
      <c r="B119" s="205" t="str">
        <f>IF(OR(E119=Report!$B$1, F119=Report!$B$1, G119=Report!$B$1, H119=Report!$B$1), D119, "")</f>
        <v/>
      </c>
      <c r="C119" s="202"/>
      <c r="D119" s="202"/>
      <c r="E119" s="202"/>
      <c r="F119" s="202"/>
      <c r="G119" s="202"/>
      <c r="H119" s="20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203"/>
      <c r="W119" s="204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202"/>
      <c r="B120" s="205" t="str">
        <f>IF(OR(E120=Report!$B$1, F120=Report!$B$1, G120=Report!$B$1, H120=Report!$B$1), D120, "")</f>
        <v/>
      </c>
      <c r="C120" s="202"/>
      <c r="D120" s="202"/>
      <c r="E120" s="202"/>
      <c r="F120" s="202"/>
      <c r="G120" s="202"/>
      <c r="H120" s="20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203"/>
      <c r="W120" s="204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202"/>
      <c r="B121" s="205" t="str">
        <f>IF(OR(E121=Report!$B$1, F121=Report!$B$1, G121=Report!$B$1, H121=Report!$B$1), D121, "")</f>
        <v/>
      </c>
      <c r="C121" s="202"/>
      <c r="D121" s="202"/>
      <c r="E121" s="202"/>
      <c r="F121" s="202"/>
      <c r="G121" s="202"/>
      <c r="H121" s="20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203"/>
      <c r="W121" s="204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202"/>
      <c r="B122" s="205" t="str">
        <f>IF(OR(E122=Report!$B$1, F122=Report!$B$1, G122=Report!$B$1, H122=Report!$B$1), D122, "")</f>
        <v/>
      </c>
      <c r="C122" s="202"/>
      <c r="D122" s="202"/>
      <c r="E122" s="202"/>
      <c r="F122" s="202"/>
      <c r="G122" s="202"/>
      <c r="H122" s="20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203"/>
      <c r="W122" s="204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202"/>
      <c r="B123" s="205" t="str">
        <f>IF(OR(E123=Report!$B$1, F123=Report!$B$1, G123=Report!$B$1, H123=Report!$B$1), D123, "")</f>
        <v/>
      </c>
      <c r="C123" s="202"/>
      <c r="D123" s="202"/>
      <c r="E123" s="202"/>
      <c r="F123" s="202"/>
      <c r="G123" s="202"/>
      <c r="H123" s="20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203"/>
      <c r="W123" s="204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202"/>
      <c r="B124" s="205" t="str">
        <f>IF(OR(E124=Report!$B$1, F124=Report!$B$1, G124=Report!$B$1, H124=Report!$B$1), D124, "")</f>
        <v/>
      </c>
      <c r="C124" s="202"/>
      <c r="D124" s="202"/>
      <c r="E124" s="202"/>
      <c r="F124" s="202"/>
      <c r="G124" s="202"/>
      <c r="H124" s="20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203"/>
      <c r="W124" s="204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202"/>
      <c r="B125" s="205" t="str">
        <f>IF(OR(E125=Report!$B$1, F125=Report!$B$1, G125=Report!$B$1, H125=Report!$B$1), D125, "")</f>
        <v/>
      </c>
      <c r="C125" s="202"/>
      <c r="D125" s="202"/>
      <c r="E125" s="202"/>
      <c r="F125" s="202"/>
      <c r="G125" s="202"/>
      <c r="H125" s="20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203"/>
      <c r="W125" s="204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202"/>
      <c r="B126" s="205" t="str">
        <f>IF(OR(E126=Report!$B$1, F126=Report!$B$1, G126=Report!$B$1, H126=Report!$B$1), D126, "")</f>
        <v/>
      </c>
      <c r="C126" s="202"/>
      <c r="D126" s="202"/>
      <c r="E126" s="202"/>
      <c r="F126" s="202"/>
      <c r="G126" s="202"/>
      <c r="H126" s="20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203"/>
      <c r="W126" s="204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202"/>
      <c r="B127" s="205" t="str">
        <f>IF(OR(E127=Report!$B$1, F127=Report!$B$1, G127=Report!$B$1, H127=Report!$B$1), D127, "")</f>
        <v/>
      </c>
      <c r="C127" s="202"/>
      <c r="D127" s="202"/>
      <c r="E127" s="202"/>
      <c r="F127" s="202"/>
      <c r="G127" s="202"/>
      <c r="H127" s="20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203"/>
      <c r="W127" s="204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202"/>
      <c r="B128" s="205" t="str">
        <f>IF(OR(E128=Report!$B$1, F128=Report!$B$1, G128=Report!$B$1, H128=Report!$B$1), D128, "")</f>
        <v/>
      </c>
      <c r="C128" s="202"/>
      <c r="D128" s="202"/>
      <c r="E128" s="202"/>
      <c r="F128" s="202"/>
      <c r="G128" s="202"/>
      <c r="H128" s="20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203"/>
      <c r="W128" s="204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202"/>
      <c r="B129" s="205" t="str">
        <f>IF(OR(E129=Report!$B$1, F129=Report!$B$1, G129=Report!$B$1, H129=Report!$B$1), D129, "")</f>
        <v/>
      </c>
      <c r="C129" s="202"/>
      <c r="D129" s="202"/>
      <c r="E129" s="202"/>
      <c r="F129" s="202"/>
      <c r="G129" s="202"/>
      <c r="H129" s="20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203"/>
      <c r="W129" s="204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202"/>
      <c r="B130" s="205" t="str">
        <f>IF(OR(E130=Report!$B$1, F130=Report!$B$1, G130=Report!$B$1, H130=Report!$B$1), D130, "")</f>
        <v/>
      </c>
      <c r="C130" s="202"/>
      <c r="D130" s="202"/>
      <c r="E130" s="202"/>
      <c r="F130" s="202"/>
      <c r="G130" s="202"/>
      <c r="H130" s="20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203"/>
      <c r="W130" s="204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202"/>
      <c r="B131" s="205" t="str">
        <f>IF(OR(E131=Report!$B$1, F131=Report!$B$1, G131=Report!$B$1, H131=Report!$B$1), D131, "")</f>
        <v/>
      </c>
      <c r="C131" s="202"/>
      <c r="D131" s="202"/>
      <c r="E131" s="202"/>
      <c r="F131" s="202"/>
      <c r="G131" s="202"/>
      <c r="H131" s="20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203"/>
      <c r="W131" s="204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202"/>
      <c r="B132" s="205" t="str">
        <f>IF(OR(E132=Report!$B$1, F132=Report!$B$1, G132=Report!$B$1, H132=Report!$B$1), D132, "")</f>
        <v/>
      </c>
      <c r="C132" s="202"/>
      <c r="D132" s="202"/>
      <c r="E132" s="202"/>
      <c r="F132" s="202"/>
      <c r="G132" s="202"/>
      <c r="H132" s="20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203"/>
      <c r="W132" s="204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202"/>
      <c r="B133" s="205" t="str">
        <f>IF(OR(E133=Report!$B$1, F133=Report!$B$1, G133=Report!$B$1, H133=Report!$B$1), D133, "")</f>
        <v/>
      </c>
      <c r="C133" s="202"/>
      <c r="D133" s="202"/>
      <c r="E133" s="202"/>
      <c r="F133" s="202"/>
      <c r="G133" s="202"/>
      <c r="H133" s="20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203"/>
      <c r="W133" s="204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202"/>
      <c r="B134" s="205" t="str">
        <f>IF(OR(E134=Report!$B$1, F134=Report!$B$1, G134=Report!$B$1, H134=Report!$B$1), D134, "")</f>
        <v/>
      </c>
      <c r="C134" s="202"/>
      <c r="D134" s="202"/>
      <c r="E134" s="202"/>
      <c r="F134" s="202"/>
      <c r="G134" s="202"/>
      <c r="H134" s="20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203"/>
      <c r="W134" s="204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202"/>
      <c r="B135" s="205" t="str">
        <f>IF(OR(E135=Report!$B$1, F135=Report!$B$1, G135=Report!$B$1, H135=Report!$B$1), D135, "")</f>
        <v/>
      </c>
      <c r="C135" s="202"/>
      <c r="D135" s="202"/>
      <c r="E135" s="202"/>
      <c r="F135" s="202"/>
      <c r="G135" s="202"/>
      <c r="H135" s="20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203"/>
      <c r="W135" s="204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202"/>
      <c r="B136" s="205" t="str">
        <f>IF(OR(E136=Report!$B$1, F136=Report!$B$1, G136=Report!$B$1, H136=Report!$B$1), D136, "")</f>
        <v/>
      </c>
      <c r="C136" s="202"/>
      <c r="D136" s="202"/>
      <c r="E136" s="202"/>
      <c r="F136" s="202"/>
      <c r="G136" s="202"/>
      <c r="H136" s="20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203"/>
      <c r="W136" s="204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202"/>
      <c r="B137" s="205" t="str">
        <f>IF(OR(E137=Report!$B$1, F137=Report!$B$1, G137=Report!$B$1, H137=Report!$B$1), D137, "")</f>
        <v/>
      </c>
      <c r="C137" s="202"/>
      <c r="D137" s="202"/>
      <c r="E137" s="202"/>
      <c r="F137" s="202"/>
      <c r="G137" s="202"/>
      <c r="H137" s="20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203"/>
      <c r="W137" s="204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202"/>
      <c r="B138" s="205" t="str">
        <f>IF(OR(E138=Report!$B$1, F138=Report!$B$1, G138=Report!$B$1, H138=Report!$B$1), D138, "")</f>
        <v/>
      </c>
      <c r="C138" s="202"/>
      <c r="D138" s="202"/>
      <c r="E138" s="202"/>
      <c r="F138" s="202"/>
      <c r="G138" s="202"/>
      <c r="H138" s="20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203"/>
      <c r="W138" s="204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202"/>
      <c r="B139" s="205" t="str">
        <f>IF(OR(E139=Report!$B$1, F139=Report!$B$1, G139=Report!$B$1, H139=Report!$B$1), D139, "")</f>
        <v/>
      </c>
      <c r="C139" s="202"/>
      <c r="D139" s="202"/>
      <c r="E139" s="202"/>
      <c r="F139" s="202"/>
      <c r="G139" s="202"/>
      <c r="H139" s="20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203"/>
      <c r="W139" s="204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202"/>
      <c r="B140" s="205" t="str">
        <f>IF(OR(E140=Report!$B$1, F140=Report!$B$1, G140=Report!$B$1, H140=Report!$B$1), D140, "")</f>
        <v/>
      </c>
      <c r="C140" s="202"/>
      <c r="D140" s="202"/>
      <c r="E140" s="202"/>
      <c r="F140" s="202"/>
      <c r="G140" s="202"/>
      <c r="H140" s="20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203"/>
      <c r="W140" s="204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202"/>
      <c r="B141" s="205" t="str">
        <f>IF(OR(E141=Report!$B$1, F141=Report!$B$1, G141=Report!$B$1, H141=Report!$B$1), D141, "")</f>
        <v/>
      </c>
      <c r="C141" s="202"/>
      <c r="D141" s="202"/>
      <c r="E141" s="202"/>
      <c r="F141" s="202"/>
      <c r="G141" s="202"/>
      <c r="H141" s="20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203"/>
      <c r="W141" s="204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202"/>
      <c r="B142" s="205" t="str">
        <f>IF(OR(E142=Report!$B$1, F142=Report!$B$1, G142=Report!$B$1, H142=Report!$B$1), D142, "")</f>
        <v/>
      </c>
      <c r="C142" s="202"/>
      <c r="D142" s="202"/>
      <c r="E142" s="202"/>
      <c r="F142" s="202"/>
      <c r="G142" s="202"/>
      <c r="H142" s="20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203"/>
      <c r="W142" s="204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202"/>
      <c r="B143" s="205" t="str">
        <f>IF(OR(E143=Report!$B$1, F143=Report!$B$1, G143=Report!$B$1, H143=Report!$B$1), D143, "")</f>
        <v/>
      </c>
      <c r="C143" s="202"/>
      <c r="D143" s="202"/>
      <c r="E143" s="202"/>
      <c r="F143" s="202"/>
      <c r="G143" s="202"/>
      <c r="H143" s="20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203"/>
      <c r="W143" s="204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202"/>
      <c r="B144" s="205" t="str">
        <f>IF(OR(E144=Report!$B$1, F144=Report!$B$1, G144=Report!$B$1, H144=Report!$B$1), D144, "")</f>
        <v/>
      </c>
      <c r="C144" s="202"/>
      <c r="D144" s="202"/>
      <c r="E144" s="202"/>
      <c r="F144" s="202"/>
      <c r="G144" s="202"/>
      <c r="H144" s="20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203"/>
      <c r="W144" s="204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202"/>
      <c r="B145" s="205" t="str">
        <f>IF(OR(E145=Report!$B$1, F145=Report!$B$1, G145=Report!$B$1, H145=Report!$B$1), D145, "")</f>
        <v/>
      </c>
      <c r="C145" s="202"/>
      <c r="D145" s="202"/>
      <c r="E145" s="202"/>
      <c r="F145" s="202"/>
      <c r="G145" s="202"/>
      <c r="H145" s="20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203"/>
      <c r="W145" s="204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202"/>
      <c r="B146" s="205" t="str">
        <f>IF(OR(E146=Report!$B$1, F146=Report!$B$1, G146=Report!$B$1, H146=Report!$B$1), D146, "")</f>
        <v/>
      </c>
      <c r="C146" s="202"/>
      <c r="D146" s="202"/>
      <c r="E146" s="202"/>
      <c r="F146" s="202"/>
      <c r="G146" s="202"/>
      <c r="H146" s="20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203"/>
      <c r="W146" s="204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202"/>
      <c r="B147" s="205" t="str">
        <f>IF(OR(E147=Report!$B$1, F147=Report!$B$1, G147=Report!$B$1, H147=Report!$B$1), D147, "")</f>
        <v/>
      </c>
      <c r="C147" s="202"/>
      <c r="D147" s="202"/>
      <c r="E147" s="202"/>
      <c r="F147" s="202"/>
      <c r="G147" s="202"/>
      <c r="H147" s="20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203"/>
      <c r="W147" s="204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202"/>
      <c r="B148" s="205" t="str">
        <f>IF(OR(E148=Report!$B$1, F148=Report!$B$1, G148=Report!$B$1, H148=Report!$B$1), D148, "")</f>
        <v/>
      </c>
      <c r="C148" s="202"/>
      <c r="D148" s="202"/>
      <c r="E148" s="202"/>
      <c r="F148" s="202"/>
      <c r="G148" s="202"/>
      <c r="H148" s="20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203"/>
      <c r="W148" s="204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202"/>
      <c r="B149" s="205" t="str">
        <f>IF(OR(E149=Report!$B$1, F149=Report!$B$1, G149=Report!$B$1, H149=Report!$B$1), D149, "")</f>
        <v/>
      </c>
      <c r="C149" s="202"/>
      <c r="D149" s="202"/>
      <c r="E149" s="202"/>
      <c r="F149" s="202"/>
      <c r="G149" s="202"/>
      <c r="H149" s="20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203"/>
      <c r="W149" s="204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202"/>
      <c r="B150" s="205" t="str">
        <f>IF(OR(E150=Report!$B$1, F150=Report!$B$1, G150=Report!$B$1, H150=Report!$B$1), D150, "")</f>
        <v/>
      </c>
      <c r="C150" s="202"/>
      <c r="D150" s="202"/>
      <c r="E150" s="202"/>
      <c r="F150" s="202"/>
      <c r="G150" s="202"/>
      <c r="H150" s="20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203"/>
      <c r="W150" s="204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202"/>
      <c r="B151" s="205" t="str">
        <f>IF(OR(E151=Report!$B$1, F151=Report!$B$1, G151=Report!$B$1, H151=Report!$B$1), D151, "")</f>
        <v/>
      </c>
      <c r="C151" s="202"/>
      <c r="D151" s="202"/>
      <c r="E151" s="202"/>
      <c r="F151" s="202"/>
      <c r="G151" s="202"/>
      <c r="H151" s="20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203"/>
      <c r="W151" s="204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202"/>
      <c r="B152" s="205" t="str">
        <f>IF(OR(E152=Report!$B$1, F152=Report!$B$1, G152=Report!$B$1, H152=Report!$B$1), D152, "")</f>
        <v/>
      </c>
      <c r="C152" s="202"/>
      <c r="D152" s="202"/>
      <c r="E152" s="202"/>
      <c r="F152" s="202"/>
      <c r="G152" s="202"/>
      <c r="H152" s="20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203"/>
      <c r="W152" s="204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202"/>
      <c r="B153" s="205" t="str">
        <f>IF(OR(E153=Report!$B$1, F153=Report!$B$1, G153=Report!$B$1, H153=Report!$B$1), D153, "")</f>
        <v/>
      </c>
      <c r="C153" s="202"/>
      <c r="D153" s="202"/>
      <c r="E153" s="202"/>
      <c r="F153" s="202"/>
      <c r="G153" s="202"/>
      <c r="H153" s="20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203"/>
      <c r="W153" s="204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202"/>
      <c r="B154" s="205" t="str">
        <f>IF(OR(E154=Report!$B$1, F154=Report!$B$1, G154=Report!$B$1, H154=Report!$B$1), D154, "")</f>
        <v/>
      </c>
      <c r="C154" s="202"/>
      <c r="D154" s="202"/>
      <c r="E154" s="202"/>
      <c r="F154" s="202"/>
      <c r="G154" s="202"/>
      <c r="H154" s="20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203"/>
      <c r="W154" s="204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202"/>
      <c r="B155" s="205" t="str">
        <f>IF(OR(E155=Report!$B$1, F155=Report!$B$1, G155=Report!$B$1, H155=Report!$B$1), D155, "")</f>
        <v/>
      </c>
      <c r="C155" s="202"/>
      <c r="D155" s="202"/>
      <c r="E155" s="202"/>
      <c r="F155" s="202"/>
      <c r="G155" s="202"/>
      <c r="H155" s="20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203"/>
      <c r="W155" s="204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202"/>
      <c r="B156" s="205" t="str">
        <f>IF(OR(E156=Report!$B$1, F156=Report!$B$1, G156=Report!$B$1, H156=Report!$B$1), D156, "")</f>
        <v/>
      </c>
      <c r="C156" s="202"/>
      <c r="D156" s="202"/>
      <c r="E156" s="202"/>
      <c r="F156" s="202"/>
      <c r="G156" s="202"/>
      <c r="H156" s="20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203"/>
      <c r="W156" s="204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202"/>
      <c r="B157" s="205" t="str">
        <f>IF(OR(E157=Report!$B$1, F157=Report!$B$1, G157=Report!$B$1, H157=Report!$B$1), D157, "")</f>
        <v/>
      </c>
      <c r="C157" s="202"/>
      <c r="D157" s="202"/>
      <c r="E157" s="202"/>
      <c r="F157" s="202"/>
      <c r="G157" s="202"/>
      <c r="H157" s="20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203"/>
      <c r="W157" s="204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202"/>
      <c r="B158" s="205" t="str">
        <f>IF(OR(E158=Report!$B$1, F158=Report!$B$1, G158=Report!$B$1, H158=Report!$B$1), D158, "")</f>
        <v/>
      </c>
      <c r="C158" s="202"/>
      <c r="D158" s="202"/>
      <c r="E158" s="202"/>
      <c r="F158" s="202"/>
      <c r="G158" s="202"/>
      <c r="H158" s="20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203"/>
      <c r="W158" s="204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202"/>
      <c r="B159" s="205" t="str">
        <f>IF(OR(E159=Report!$B$1, F159=Report!$B$1, G159=Report!$B$1, H159=Report!$B$1), D159, "")</f>
        <v/>
      </c>
      <c r="C159" s="202"/>
      <c r="D159" s="202"/>
      <c r="E159" s="202"/>
      <c r="F159" s="202"/>
      <c r="G159" s="202"/>
      <c r="H159" s="20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203"/>
      <c r="W159" s="204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202"/>
      <c r="B160" s="205" t="str">
        <f>IF(OR(E160=Report!$B$1, F160=Report!$B$1, G160=Report!$B$1, H160=Report!$B$1), D160, "")</f>
        <v/>
      </c>
      <c r="C160" s="202"/>
      <c r="D160" s="202"/>
      <c r="E160" s="202"/>
      <c r="F160" s="202"/>
      <c r="G160" s="202"/>
      <c r="H160" s="20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203"/>
      <c r="W160" s="204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202"/>
      <c r="B161" s="205" t="str">
        <f>IF(OR(E161=Report!$B$1, F161=Report!$B$1, G161=Report!$B$1, H161=Report!$B$1), D161, "")</f>
        <v/>
      </c>
      <c r="C161" s="202"/>
      <c r="D161" s="202"/>
      <c r="E161" s="202"/>
      <c r="F161" s="202"/>
      <c r="G161" s="202"/>
      <c r="H161" s="20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203"/>
      <c r="W161" s="204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202"/>
      <c r="B162" s="205" t="str">
        <f>IF(OR(E162=Report!$B$1, F162=Report!$B$1, G162=Report!$B$1, H162=Report!$B$1), D162, "")</f>
        <v/>
      </c>
      <c r="C162" s="202"/>
      <c r="D162" s="202"/>
      <c r="E162" s="202"/>
      <c r="F162" s="202"/>
      <c r="G162" s="202"/>
      <c r="H162" s="20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203"/>
      <c r="W162" s="204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202"/>
      <c r="B163" s="205" t="str">
        <f>IF(OR(E163=Report!$B$1, F163=Report!$B$1, G163=Report!$B$1, H163=Report!$B$1), D163, "")</f>
        <v/>
      </c>
      <c r="C163" s="202"/>
      <c r="D163" s="202"/>
      <c r="E163" s="202"/>
      <c r="F163" s="202"/>
      <c r="G163" s="202"/>
      <c r="H163" s="20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203"/>
      <c r="W163" s="204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202"/>
      <c r="B164" s="205" t="str">
        <f>IF(OR(E164=Report!$B$1, F164=Report!$B$1, G164=Report!$B$1, H164=Report!$B$1), D164, "")</f>
        <v/>
      </c>
      <c r="C164" s="202"/>
      <c r="D164" s="202"/>
      <c r="E164" s="202"/>
      <c r="F164" s="202"/>
      <c r="G164" s="202"/>
      <c r="H164" s="20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203"/>
      <c r="W164" s="204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202"/>
      <c r="B165" s="205" t="str">
        <f>IF(OR(E165=Report!$B$1, F165=Report!$B$1, G165=Report!$B$1, H165=Report!$B$1), D165, "")</f>
        <v/>
      </c>
      <c r="C165" s="202"/>
      <c r="D165" s="202"/>
      <c r="E165" s="202"/>
      <c r="F165" s="202"/>
      <c r="G165" s="202"/>
      <c r="H165" s="20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203"/>
      <c r="W165" s="204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202"/>
      <c r="B166" s="205" t="str">
        <f>IF(OR(E166=Report!$B$1, F166=Report!$B$1, G166=Report!$B$1, H166=Report!$B$1), D166, "")</f>
        <v/>
      </c>
      <c r="C166" s="202"/>
      <c r="D166" s="202"/>
      <c r="E166" s="202"/>
      <c r="F166" s="202"/>
      <c r="G166" s="202"/>
      <c r="H166" s="20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203"/>
      <c r="W166" s="204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202"/>
      <c r="B167" s="205" t="str">
        <f>IF(OR(E167=Report!$B$1, F167=Report!$B$1, G167=Report!$B$1, H167=Report!$B$1), D167, "")</f>
        <v/>
      </c>
      <c r="C167" s="202"/>
      <c r="D167" s="202"/>
      <c r="E167" s="202"/>
      <c r="F167" s="202"/>
      <c r="G167" s="202"/>
      <c r="H167" s="20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203"/>
      <c r="W167" s="204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202"/>
      <c r="B168" s="205" t="str">
        <f>IF(OR(E168=Report!$B$1, F168=Report!$B$1, G168=Report!$B$1, H168=Report!$B$1), D168, "")</f>
        <v/>
      </c>
      <c r="C168" s="202"/>
      <c r="D168" s="202"/>
      <c r="E168" s="202"/>
      <c r="F168" s="202"/>
      <c r="G168" s="202"/>
      <c r="H168" s="20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203"/>
      <c r="W168" s="204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202"/>
      <c r="B169" s="205" t="str">
        <f>IF(OR(E169=Report!$B$1, F169=Report!$B$1, G169=Report!$B$1, H169=Report!$B$1), D169, "")</f>
        <v/>
      </c>
      <c r="C169" s="202"/>
      <c r="D169" s="202"/>
      <c r="E169" s="202"/>
      <c r="F169" s="202"/>
      <c r="G169" s="202"/>
      <c r="H169" s="20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203"/>
      <c r="W169" s="204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202"/>
      <c r="B170" s="205" t="str">
        <f>IF(OR(E170=Report!$B$1, F170=Report!$B$1, G170=Report!$B$1, H170=Report!$B$1), D170, "")</f>
        <v/>
      </c>
      <c r="C170" s="202"/>
      <c r="D170" s="202"/>
      <c r="E170" s="202"/>
      <c r="F170" s="202"/>
      <c r="G170" s="202"/>
      <c r="H170" s="20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203"/>
      <c r="W170" s="204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202"/>
      <c r="B171" s="205" t="str">
        <f>IF(OR(E171=Report!$B$1, F171=Report!$B$1, G171=Report!$B$1, H171=Report!$B$1), D171, "")</f>
        <v/>
      </c>
      <c r="C171" s="202"/>
      <c r="D171" s="202"/>
      <c r="E171" s="202"/>
      <c r="F171" s="202"/>
      <c r="G171" s="202"/>
      <c r="H171" s="20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203"/>
      <c r="W171" s="204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202"/>
      <c r="B172" s="205" t="str">
        <f>IF(OR(E172=Report!$B$1, F172=Report!$B$1, G172=Report!$B$1, H172=Report!$B$1), D172, "")</f>
        <v/>
      </c>
      <c r="C172" s="202"/>
      <c r="D172" s="202"/>
      <c r="E172" s="202"/>
      <c r="F172" s="202"/>
      <c r="G172" s="202"/>
      <c r="H172" s="20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203"/>
      <c r="W172" s="204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202"/>
      <c r="B173" s="205" t="str">
        <f>IF(OR(E173=Report!$B$1, F173=Report!$B$1, G173=Report!$B$1, H173=Report!$B$1), D173, "")</f>
        <v/>
      </c>
      <c r="C173" s="202"/>
      <c r="D173" s="202"/>
      <c r="E173" s="202"/>
      <c r="F173" s="202"/>
      <c r="G173" s="202"/>
      <c r="H173" s="20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203"/>
      <c r="W173" s="204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202"/>
      <c r="B174" s="205" t="str">
        <f>IF(OR(E174=Report!$B$1, F174=Report!$B$1, G174=Report!$B$1, H174=Report!$B$1), D174, "")</f>
        <v/>
      </c>
      <c r="C174" s="202"/>
      <c r="D174" s="202"/>
      <c r="E174" s="202"/>
      <c r="F174" s="202"/>
      <c r="G174" s="202"/>
      <c r="H174" s="20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203"/>
      <c r="W174" s="204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202"/>
      <c r="B175" s="205" t="str">
        <f>IF(OR(E175=Report!$B$1, F175=Report!$B$1, G175=Report!$B$1, H175=Report!$B$1), D175, "")</f>
        <v/>
      </c>
      <c r="C175" s="202"/>
      <c r="D175" s="202"/>
      <c r="E175" s="202"/>
      <c r="F175" s="202"/>
      <c r="G175" s="202"/>
      <c r="H175" s="20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203"/>
      <c r="W175" s="204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202"/>
      <c r="B176" s="205" t="str">
        <f>IF(OR(E176=Report!$B$1, F176=Report!$B$1, G176=Report!$B$1, H176=Report!$B$1), D176, "")</f>
        <v/>
      </c>
      <c r="C176" s="202"/>
      <c r="D176" s="202"/>
      <c r="E176" s="202"/>
      <c r="F176" s="202"/>
      <c r="G176" s="202"/>
      <c r="H176" s="20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203"/>
      <c r="W176" s="204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202"/>
      <c r="B177" s="205" t="str">
        <f>IF(OR(E177=Report!$B$1, F177=Report!$B$1, G177=Report!$B$1, H177=Report!$B$1), D177, "")</f>
        <v/>
      </c>
      <c r="C177" s="202"/>
      <c r="D177" s="202"/>
      <c r="E177" s="202"/>
      <c r="F177" s="202"/>
      <c r="G177" s="202"/>
      <c r="H177" s="20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203"/>
      <c r="W177" s="204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202"/>
      <c r="B178" s="205" t="str">
        <f>IF(OR(E178=Report!$B$1, F178=Report!$B$1, G178=Report!$B$1, H178=Report!$B$1), D178, "")</f>
        <v/>
      </c>
      <c r="C178" s="202"/>
      <c r="D178" s="202"/>
      <c r="E178" s="202"/>
      <c r="F178" s="202"/>
      <c r="G178" s="202"/>
      <c r="H178" s="20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203"/>
      <c r="W178" s="204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202"/>
      <c r="B179" s="205" t="str">
        <f>IF(OR(E179=Report!$B$1, F179=Report!$B$1, G179=Report!$B$1, H179=Report!$B$1), D179, "")</f>
        <v/>
      </c>
      <c r="C179" s="202"/>
      <c r="D179" s="202"/>
      <c r="E179" s="202"/>
      <c r="F179" s="202"/>
      <c r="G179" s="202"/>
      <c r="H179" s="20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203"/>
      <c r="W179" s="204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202"/>
      <c r="B180" s="202"/>
      <c r="C180" s="202"/>
      <c r="D180" s="202"/>
      <c r="E180" s="202"/>
      <c r="F180" s="202"/>
      <c r="G180" s="202"/>
      <c r="H180" s="20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203"/>
      <c r="W180" s="204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202"/>
      <c r="B181" s="202"/>
      <c r="C181" s="202"/>
      <c r="D181" s="202"/>
      <c r="E181" s="202"/>
      <c r="F181" s="202"/>
      <c r="G181" s="202"/>
      <c r="H181" s="20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203"/>
      <c r="W181" s="204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202"/>
      <c r="B182" s="202"/>
      <c r="C182" s="202"/>
      <c r="D182" s="202"/>
      <c r="E182" s="202"/>
      <c r="F182" s="202"/>
      <c r="G182" s="202"/>
      <c r="H182" s="20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01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01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01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01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01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01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01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01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01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01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01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01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01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01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01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01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01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01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01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01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01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01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01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01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01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01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01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01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01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01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01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01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01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01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01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01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01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01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01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01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01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01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01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01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01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01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01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01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01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01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01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01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01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01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01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01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01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01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01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01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01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01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01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01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01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01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01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01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01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01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01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01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01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01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01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01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01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01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01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01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01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01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01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01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01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01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01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01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01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01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01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01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01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01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01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01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01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01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01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01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01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01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01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01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01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01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01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01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01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01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01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01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01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01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01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01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01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01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01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01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01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01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01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01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01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01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01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01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01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01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01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01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01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01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01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01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01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01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01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01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01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01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01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01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01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01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01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01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01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01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01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01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01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01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01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01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01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01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01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01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01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01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01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01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01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01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01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01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01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01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01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01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01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01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01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01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01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01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01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01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01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01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01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01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01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01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01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01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01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01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01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01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01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01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01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01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01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01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01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01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01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01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01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01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01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01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01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01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01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01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01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01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01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01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01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01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01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01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01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01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01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01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01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01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01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01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01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01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01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01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01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01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01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01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01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01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01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01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01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01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01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01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01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01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01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01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01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01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01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01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01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01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01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01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01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01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01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01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01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01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01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01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01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01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01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01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01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01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01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01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01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01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01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01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01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01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01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01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01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01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01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01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01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01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01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01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01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01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01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01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01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01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01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01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01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01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01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01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01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01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01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01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01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01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01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01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01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01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01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01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01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01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01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01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01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01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01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01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01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01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01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01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01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01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01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01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01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01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01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01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01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01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01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01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01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01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01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01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01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01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01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01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01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01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01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01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01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01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01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01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01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01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01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01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01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01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01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01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01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01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01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01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01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01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01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01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01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01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01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01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01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01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01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01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01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01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01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01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01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01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01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01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01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01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01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01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01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01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01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01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01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01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01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01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01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01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01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01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01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01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01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01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01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01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01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01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01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01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01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01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01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01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01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01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01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01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01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01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01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01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01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01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01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01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01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01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01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01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01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01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01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01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01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01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01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01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01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01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01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01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01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01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01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01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01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01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01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01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01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01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01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01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01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01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01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01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01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01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01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01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01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01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01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01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01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01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01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01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01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01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01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01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01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01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01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01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01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01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01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01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01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01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01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01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01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01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01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01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01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01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01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01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01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01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01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01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01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01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01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01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01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01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01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01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01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01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01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01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01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01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01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01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01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01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01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01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01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01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01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01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01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01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201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201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201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201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201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201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201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201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201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201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201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201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201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201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201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201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201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201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201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201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201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201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201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201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201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201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201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201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201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201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201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201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201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201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201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201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201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201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201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201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201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201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201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201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201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201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201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201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201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201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201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201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201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201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201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201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201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201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201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201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201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201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201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201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201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201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201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201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201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201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201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201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201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201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201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201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201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201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201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201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201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201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201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201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201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201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201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201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201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201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201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201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201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201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201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201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201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201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201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201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201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201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201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201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201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201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201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201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201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201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201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201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201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201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201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201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201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201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01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201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201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201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201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201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201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201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201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201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201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201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201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201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201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201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201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201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201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201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201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201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201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201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201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201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201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201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201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201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201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201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201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201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201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201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201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201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201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201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201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201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201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201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201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201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201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201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201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201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201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201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201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201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201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201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201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201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201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201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201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201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201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201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201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201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201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201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201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01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201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201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201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201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201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201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201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201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201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201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201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201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201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201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201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201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201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201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201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201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201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201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201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201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201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01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201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201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201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201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201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201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201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201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201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201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201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201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201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201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201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201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201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201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201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201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201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201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201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201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201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201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201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201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201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201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201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201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201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201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201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201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201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201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201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201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201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201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201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201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201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201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201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201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201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201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201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201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201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201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201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201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201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201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201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201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201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201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201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201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201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201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201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201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201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201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201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201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201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201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201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201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201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201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201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201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201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201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201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17.13"/>
  </cols>
  <sheetData>
    <row r="1">
      <c r="A1" s="206" t="s">
        <v>1802</v>
      </c>
      <c r="B1" s="14"/>
      <c r="C1" s="14"/>
      <c r="D1" s="14"/>
      <c r="E1" s="14"/>
      <c r="F1" s="14"/>
      <c r="G1" s="14"/>
      <c r="H1" s="15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</row>
    <row r="2">
      <c r="A2" s="1" t="s">
        <v>1803</v>
      </c>
      <c r="B2" s="1" t="s">
        <v>69</v>
      </c>
      <c r="C2" s="1" t="s">
        <v>61</v>
      </c>
      <c r="D2" s="1" t="s">
        <v>73</v>
      </c>
      <c r="E2" s="1" t="s">
        <v>1478</v>
      </c>
      <c r="F2" s="1" t="s">
        <v>39</v>
      </c>
      <c r="G2" s="1" t="s">
        <v>1500</v>
      </c>
      <c r="H2" s="1" t="s">
        <v>67</v>
      </c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" t="s">
        <v>84</v>
      </c>
      <c r="AB2" s="1" t="s">
        <v>85</v>
      </c>
    </row>
    <row r="3">
      <c r="A3" s="1" t="s">
        <v>1804</v>
      </c>
      <c r="B3" s="1" t="s">
        <v>1805</v>
      </c>
      <c r="C3" s="1" t="s">
        <v>1806</v>
      </c>
      <c r="D3" s="1" t="s">
        <v>1807</v>
      </c>
      <c r="E3" s="1" t="s">
        <v>1807</v>
      </c>
      <c r="F3" s="1" t="s">
        <v>1805</v>
      </c>
      <c r="G3" s="196"/>
      <c r="H3" s="196"/>
    </row>
    <row r="4">
      <c r="A4" s="1" t="s">
        <v>1808</v>
      </c>
      <c r="B4" s="1" t="s">
        <v>1807</v>
      </c>
      <c r="C4" s="196"/>
      <c r="D4" s="1" t="s">
        <v>1806</v>
      </c>
      <c r="E4" s="196"/>
      <c r="F4" s="1" t="s">
        <v>1807</v>
      </c>
      <c r="G4" s="1" t="s">
        <v>1806</v>
      </c>
      <c r="H4" s="1" t="s">
        <v>1809</v>
      </c>
    </row>
    <row r="5">
      <c r="A5" s="1" t="s">
        <v>1095</v>
      </c>
      <c r="B5" s="1" t="s">
        <v>1810</v>
      </c>
      <c r="D5" s="196"/>
      <c r="E5" s="196"/>
    </row>
    <row r="6">
      <c r="A6" s="1" t="s">
        <v>1811</v>
      </c>
      <c r="B6" s="1" t="s">
        <v>1812</v>
      </c>
      <c r="C6" s="196"/>
      <c r="D6" s="1" t="s">
        <v>1812</v>
      </c>
      <c r="E6" s="196"/>
      <c r="F6" s="1" t="s">
        <v>1813</v>
      </c>
      <c r="G6" s="1" t="s">
        <v>1813</v>
      </c>
      <c r="H6" s="1" t="s">
        <v>1814</v>
      </c>
    </row>
    <row r="7">
      <c r="A7" s="1" t="s">
        <v>1503</v>
      </c>
      <c r="B7" s="1" t="s">
        <v>1815</v>
      </c>
      <c r="C7" s="1" t="s">
        <v>1815</v>
      </c>
      <c r="E7" s="196"/>
      <c r="F7" s="1" t="s">
        <v>1815</v>
      </c>
      <c r="G7" s="196"/>
      <c r="H7" s="196"/>
    </row>
    <row r="8">
      <c r="A8" s="1" t="s">
        <v>1816</v>
      </c>
      <c r="B8" s="1" t="s">
        <v>1817</v>
      </c>
      <c r="C8" s="196"/>
      <c r="D8" s="196"/>
      <c r="E8" s="1" t="s">
        <v>1818</v>
      </c>
      <c r="F8" s="196"/>
      <c r="G8" s="1" t="s">
        <v>1819</v>
      </c>
      <c r="H8" s="196"/>
    </row>
    <row r="9">
      <c r="A9" s="1" t="s">
        <v>438</v>
      </c>
      <c r="C9" s="1" t="s">
        <v>1807</v>
      </c>
      <c r="D9" s="196"/>
      <c r="E9" s="1" t="s">
        <v>1806</v>
      </c>
      <c r="F9" s="1" t="s">
        <v>1820</v>
      </c>
      <c r="G9" s="1" t="s">
        <v>1820</v>
      </c>
      <c r="H9" s="1" t="s">
        <v>1821</v>
      </c>
    </row>
    <row r="10">
      <c r="A10" s="1" t="s">
        <v>1822</v>
      </c>
      <c r="C10" s="1" t="s">
        <v>1812</v>
      </c>
      <c r="D10" s="196"/>
      <c r="E10" s="196"/>
      <c r="F10" s="196"/>
      <c r="H10" s="196"/>
    </row>
    <row r="11">
      <c r="A11" s="1" t="s">
        <v>1823</v>
      </c>
      <c r="C11" s="1" t="s">
        <v>1824</v>
      </c>
      <c r="D11" s="196"/>
      <c r="E11" s="196"/>
      <c r="F11" s="196"/>
    </row>
    <row r="12">
      <c r="A12" s="1" t="s">
        <v>1495</v>
      </c>
      <c r="D12" s="1" t="s">
        <v>1825</v>
      </c>
      <c r="E12" s="196"/>
      <c r="F12" s="196"/>
      <c r="G12" s="196"/>
      <c r="H12" s="196"/>
    </row>
    <row r="13">
      <c r="A13" s="1" t="s">
        <v>466</v>
      </c>
      <c r="D13" s="1" t="s">
        <v>1815</v>
      </c>
      <c r="E13" s="196"/>
      <c r="F13" s="1" t="s">
        <v>1815</v>
      </c>
      <c r="G13" s="196"/>
    </row>
    <row r="14">
      <c r="A14" s="1" t="s">
        <v>298</v>
      </c>
      <c r="E14" s="1" t="s">
        <v>1819</v>
      </c>
      <c r="F14" s="1" t="s">
        <v>1812</v>
      </c>
      <c r="G14" s="1" t="s">
        <v>1812</v>
      </c>
      <c r="H14" s="1" t="s">
        <v>1812</v>
      </c>
    </row>
    <row r="15">
      <c r="A15" s="1" t="s">
        <v>1493</v>
      </c>
      <c r="E15" s="1" t="s">
        <v>1824</v>
      </c>
      <c r="G15" s="1" t="s">
        <v>1824</v>
      </c>
      <c r="H15" s="196"/>
    </row>
    <row r="16">
      <c r="A16" s="1" t="s">
        <v>1826</v>
      </c>
      <c r="F16" s="1" t="s">
        <v>1812</v>
      </c>
      <c r="G16" s="196"/>
      <c r="H16" s="1" t="s">
        <v>1827</v>
      </c>
    </row>
    <row r="17">
      <c r="A17" s="1" t="s">
        <v>1828</v>
      </c>
      <c r="G17" s="1" t="s">
        <v>1805</v>
      </c>
      <c r="H17" s="1" t="s">
        <v>1805</v>
      </c>
    </row>
    <row r="18">
      <c r="A18" s="1" t="s">
        <v>1829</v>
      </c>
      <c r="G18" s="1" t="s">
        <v>1830</v>
      </c>
      <c r="H18" s="1" t="s">
        <v>1821</v>
      </c>
    </row>
    <row r="22">
      <c r="K22" s="196"/>
      <c r="L22" s="196"/>
      <c r="M22" s="196"/>
      <c r="N22" s="196"/>
      <c r="O22" s="196"/>
      <c r="P22" s="196"/>
      <c r="Q22" s="196"/>
      <c r="T22" s="196"/>
      <c r="U22" s="196"/>
      <c r="V22" s="196"/>
      <c r="W22" s="196"/>
      <c r="X22" s="196"/>
      <c r="Y22" s="196"/>
      <c r="Z22" s="196"/>
      <c r="AB22" s="1"/>
    </row>
    <row r="23">
      <c r="K23" s="196"/>
      <c r="L23" s="196"/>
      <c r="M23" s="196"/>
      <c r="O23" s="196"/>
      <c r="P23" s="196"/>
      <c r="Q23" s="196"/>
      <c r="S23" s="196"/>
      <c r="T23" s="196"/>
      <c r="U23" s="196"/>
      <c r="V23" s="196"/>
      <c r="W23" s="196"/>
      <c r="X23" s="196"/>
      <c r="Y23" s="196"/>
      <c r="Z23" s="196"/>
      <c r="AB23" s="1"/>
    </row>
    <row r="24">
      <c r="K24" s="196"/>
      <c r="L24" s="196"/>
      <c r="M24" s="196"/>
      <c r="O24" s="196"/>
      <c r="P24" s="196"/>
      <c r="Q24" s="196"/>
      <c r="S24" s="196"/>
      <c r="T24" s="196"/>
      <c r="U24" s="196"/>
      <c r="V24" s="196"/>
      <c r="W24" s="196"/>
      <c r="X24" s="196"/>
      <c r="Y24" s="196"/>
      <c r="Z24" s="196"/>
      <c r="AB24" s="1"/>
    </row>
    <row r="25">
      <c r="A25" s="196"/>
      <c r="B25" s="196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O25" s="196"/>
      <c r="P25" s="196"/>
      <c r="Q25" s="196"/>
      <c r="S25" s="196"/>
      <c r="T25" s="196"/>
      <c r="U25" s="196"/>
      <c r="V25" s="196"/>
      <c r="W25" s="196"/>
      <c r="X25" s="196"/>
      <c r="Y25" s="196"/>
      <c r="Z25" s="196"/>
      <c r="AB25" s="1"/>
    </row>
    <row r="26">
      <c r="A26" s="196"/>
      <c r="B26" s="196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O26" s="196"/>
      <c r="P26" s="196"/>
      <c r="Q26" s="196"/>
      <c r="S26" s="196"/>
      <c r="T26" s="196"/>
      <c r="U26" s="196"/>
      <c r="V26" s="196"/>
      <c r="W26" s="196"/>
      <c r="X26" s="196"/>
      <c r="Y26" s="196"/>
      <c r="Z26" s="196"/>
      <c r="AB26" s="1">
        <v>0.0</v>
      </c>
    </row>
    <row r="27">
      <c r="A27" s="196"/>
      <c r="B27" s="196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S27" s="196"/>
      <c r="T27" s="196"/>
      <c r="U27" s="196"/>
      <c r="V27" s="196"/>
      <c r="W27" s="196"/>
      <c r="X27" s="196"/>
      <c r="Y27" s="196"/>
      <c r="Z27" s="196"/>
      <c r="AB27" s="1"/>
    </row>
    <row r="28">
      <c r="A28" s="196"/>
      <c r="B28" s="196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O28" s="196"/>
      <c r="P28" s="196"/>
      <c r="Q28" s="196"/>
      <c r="S28" s="196"/>
      <c r="T28" s="196"/>
      <c r="U28" s="196"/>
      <c r="V28" s="196"/>
      <c r="W28" s="196"/>
      <c r="X28" s="196"/>
      <c r="Y28" s="196"/>
      <c r="Z28" s="196"/>
      <c r="AB28" s="1"/>
    </row>
    <row r="29">
      <c r="A29" s="196"/>
      <c r="B29" s="196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O29" s="196"/>
      <c r="P29" s="196"/>
      <c r="Q29" s="196"/>
      <c r="S29" s="196"/>
      <c r="T29" s="196"/>
      <c r="U29" s="196"/>
      <c r="V29" s="196"/>
      <c r="W29" s="196"/>
      <c r="X29" s="196"/>
      <c r="Y29" s="196"/>
      <c r="Z29" s="196"/>
      <c r="AB29" s="1">
        <v>0.0</v>
      </c>
    </row>
    <row r="30">
      <c r="A30" s="196"/>
      <c r="B30" s="196"/>
      <c r="C30" s="196"/>
      <c r="D30" s="196"/>
      <c r="E30" s="196"/>
      <c r="F30" s="196"/>
      <c r="G30" s="196"/>
      <c r="H30" s="196"/>
      <c r="I30" s="196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"/>
      <c r="AB30" s="1"/>
    </row>
    <row r="31">
      <c r="A31" s="196"/>
      <c r="B31" s="196"/>
      <c r="C31" s="196"/>
      <c r="D31" s="196"/>
      <c r="E31" s="196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T31" s="196"/>
      <c r="U31" s="196"/>
      <c r="V31" s="196"/>
      <c r="W31" s="196"/>
      <c r="X31" s="196"/>
      <c r="Y31" s="196"/>
      <c r="Z31" s="196"/>
      <c r="AB31" s="1"/>
    </row>
    <row r="32">
      <c r="A32" s="196"/>
      <c r="B32" s="196"/>
      <c r="C32" s="196"/>
      <c r="D32" s="196"/>
      <c r="E32" s="196"/>
      <c r="F32" s="196"/>
      <c r="G32" s="196"/>
      <c r="H32" s="196"/>
      <c r="I32" s="196"/>
      <c r="J32" s="196"/>
      <c r="K32" s="196"/>
      <c r="L32" s="196"/>
      <c r="M32" s="196"/>
      <c r="O32" s="196"/>
      <c r="P32" s="196"/>
      <c r="Q32" s="196"/>
      <c r="S32" s="196"/>
      <c r="T32" s="196"/>
      <c r="U32" s="196"/>
      <c r="V32" s="196"/>
      <c r="W32" s="196"/>
      <c r="X32" s="196"/>
      <c r="Y32" s="196"/>
      <c r="Z32" s="196"/>
      <c r="AB32" s="1"/>
    </row>
    <row r="33">
      <c r="A33" s="196"/>
      <c r="B33" s="196"/>
      <c r="C33" s="196"/>
      <c r="D33" s="196"/>
      <c r="E33" s="196"/>
      <c r="F33" s="196"/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T33" s="196"/>
      <c r="U33" s="196"/>
      <c r="V33" s="196"/>
      <c r="W33" s="196"/>
      <c r="X33" s="196"/>
      <c r="Y33" s="196"/>
      <c r="Z33" s="196"/>
      <c r="AB33" s="1"/>
    </row>
    <row r="34">
      <c r="A34" s="196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  <c r="AA34" s="1"/>
      <c r="AB34" s="1"/>
    </row>
    <row r="35">
      <c r="A35" s="196"/>
      <c r="B35" s="196"/>
      <c r="C35" s="196"/>
      <c r="D35" s="196"/>
      <c r="E35" s="196"/>
      <c r="F35" s="196"/>
      <c r="G35" s="196"/>
      <c r="H35" s="196"/>
      <c r="I35" s="196"/>
      <c r="J35" s="196"/>
      <c r="K35" s="196"/>
      <c r="L35" s="196"/>
      <c r="M35" s="196"/>
      <c r="O35" s="196"/>
      <c r="P35" s="196"/>
      <c r="Q35" s="196"/>
      <c r="S35" s="196"/>
      <c r="T35" s="196"/>
      <c r="U35" s="196"/>
      <c r="V35" s="196"/>
      <c r="W35" s="196"/>
      <c r="X35" s="196"/>
      <c r="Y35" s="196"/>
      <c r="Z35" s="196"/>
      <c r="AB35" s="1"/>
    </row>
    <row r="36">
      <c r="A36" s="19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 s="196"/>
      <c r="O36" s="196"/>
      <c r="P36" s="196"/>
      <c r="Q36" s="196"/>
      <c r="S36" s="196"/>
      <c r="T36" s="196"/>
      <c r="U36" s="196"/>
      <c r="V36" s="196"/>
      <c r="Y36" s="196"/>
      <c r="Z36" s="196"/>
      <c r="AB36" s="1">
        <v>0.0</v>
      </c>
    </row>
    <row r="37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O37" s="196"/>
      <c r="P37" s="196"/>
      <c r="Q37" s="196"/>
      <c r="S37" s="196"/>
      <c r="T37" s="196"/>
      <c r="U37" s="196"/>
      <c r="V37" s="196"/>
      <c r="W37" s="196"/>
      <c r="X37" s="196"/>
      <c r="Y37" s="196"/>
      <c r="Z37" s="196"/>
      <c r="AB37" s="1"/>
    </row>
    <row r="38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  <c r="AA38" s="1"/>
      <c r="AB38" s="1"/>
    </row>
    <row r="39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"/>
      <c r="AB39" s="1"/>
    </row>
    <row r="40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O40" s="196"/>
      <c r="P40" s="196"/>
      <c r="Q40" s="196"/>
      <c r="S40" s="196"/>
      <c r="T40" s="196"/>
      <c r="U40" s="196"/>
      <c r="V40" s="196"/>
      <c r="W40" s="196"/>
      <c r="X40" s="196"/>
      <c r="Y40" s="196"/>
      <c r="Z40" s="196"/>
      <c r="AB40" s="1"/>
    </row>
    <row r="4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O41" s="196"/>
      <c r="P41" s="196"/>
      <c r="Q41" s="196"/>
      <c r="S41" s="196"/>
      <c r="T41" s="196"/>
      <c r="U41" s="196"/>
      <c r="V41" s="196"/>
      <c r="W41" s="196"/>
      <c r="X41" s="196"/>
      <c r="Y41" s="196"/>
      <c r="Z41" s="196"/>
      <c r="AB41" s="1"/>
    </row>
    <row r="42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"/>
      <c r="AB42" s="1"/>
    </row>
    <row r="43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T43" s="196"/>
      <c r="U43" s="196"/>
      <c r="V43" s="196"/>
      <c r="W43" s="196"/>
      <c r="X43" s="196"/>
      <c r="Y43" s="196"/>
      <c r="Z43" s="196"/>
      <c r="AB43" s="1"/>
    </row>
    <row r="44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O44" s="196"/>
      <c r="P44" s="196"/>
      <c r="Q44" s="196"/>
      <c r="S44" s="196"/>
      <c r="T44" s="196"/>
      <c r="U44" s="196"/>
      <c r="V44" s="196"/>
      <c r="W44" s="196"/>
      <c r="X44" s="196"/>
      <c r="Y44" s="196"/>
      <c r="Z44" s="196"/>
      <c r="AB44" s="1"/>
    </row>
    <row r="45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O45" s="196"/>
      <c r="P45" s="196"/>
      <c r="Q45" s="196"/>
      <c r="S45" s="196"/>
      <c r="T45" s="196"/>
      <c r="U45" s="196"/>
      <c r="V45" s="196"/>
      <c r="W45" s="196"/>
      <c r="X45" s="196"/>
      <c r="Y45" s="196"/>
      <c r="Z45" s="196"/>
      <c r="AB45" s="1">
        <v>0.0</v>
      </c>
    </row>
    <row r="46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T46" s="196"/>
      <c r="U46" s="196"/>
      <c r="V46" s="196"/>
      <c r="W46" s="196"/>
      <c r="X46" s="196"/>
      <c r="Y46" s="196"/>
      <c r="Z46" s="196"/>
      <c r="AB46" s="1"/>
    </row>
    <row r="47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O47" s="196"/>
      <c r="P47" s="196"/>
      <c r="Q47" s="196"/>
      <c r="S47" s="196"/>
      <c r="T47" s="196"/>
      <c r="U47" s="196"/>
      <c r="V47" s="196"/>
      <c r="W47" s="196"/>
      <c r="X47" s="196"/>
      <c r="Y47" s="196"/>
      <c r="Z47" s="196"/>
      <c r="AB47" s="1">
        <v>0.0</v>
      </c>
    </row>
    <row r="48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"/>
      <c r="AB48" s="1"/>
    </row>
    <row r="49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T49" s="196"/>
      <c r="U49" s="196"/>
      <c r="V49" s="196"/>
      <c r="W49" s="196"/>
      <c r="X49" s="196"/>
      <c r="Y49" s="196"/>
      <c r="Z49" s="196"/>
      <c r="AB49" s="1"/>
    </row>
    <row r="50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O50" s="196"/>
      <c r="P50" s="196"/>
      <c r="Q50" s="196"/>
      <c r="S50" s="196"/>
      <c r="T50" s="196"/>
      <c r="U50" s="196"/>
      <c r="V50" s="196"/>
      <c r="W50" s="196"/>
      <c r="X50" s="196"/>
      <c r="Y50" s="196"/>
      <c r="Z50" s="196"/>
      <c r="AB50" s="1">
        <v>0.0</v>
      </c>
    </row>
    <row r="5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O51" s="196"/>
      <c r="P51" s="196"/>
      <c r="Q51" s="196"/>
      <c r="S51" s="196"/>
      <c r="T51" s="196"/>
      <c r="U51" s="196"/>
      <c r="V51" s="196"/>
      <c r="W51" s="196"/>
      <c r="X51" s="196"/>
      <c r="Y51" s="196"/>
      <c r="Z51" s="196"/>
      <c r="AB51" s="1"/>
    </row>
    <row r="5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  <c r="AA52" s="1"/>
      <c r="AB52" s="1"/>
    </row>
    <row r="53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O53" s="196"/>
      <c r="P53" s="196"/>
      <c r="Q53" s="196"/>
      <c r="S53" s="196"/>
      <c r="T53" s="196"/>
      <c r="U53" s="196"/>
      <c r="V53" s="196"/>
      <c r="W53" s="196"/>
      <c r="X53" s="196"/>
      <c r="Y53" s="196"/>
      <c r="Z53" s="196"/>
      <c r="AB53" s="1">
        <v>0.0</v>
      </c>
    </row>
    <row r="54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O54" s="196"/>
      <c r="P54" s="196"/>
      <c r="Q54" s="196"/>
      <c r="S54" s="196"/>
      <c r="T54" s="196"/>
      <c r="U54" s="196"/>
      <c r="V54" s="196"/>
      <c r="W54" s="196"/>
      <c r="X54" s="196"/>
      <c r="Y54" s="196"/>
      <c r="Z54" s="196"/>
      <c r="AB54" s="1">
        <v>0.0</v>
      </c>
    </row>
    <row r="55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T55" s="196"/>
      <c r="U55" s="196"/>
      <c r="V55" s="196"/>
      <c r="W55" s="196"/>
      <c r="X55" s="196"/>
      <c r="Y55" s="196"/>
      <c r="Z55" s="196"/>
      <c r="AB55" s="1"/>
    </row>
    <row r="56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T56" s="196"/>
      <c r="U56" s="196"/>
      <c r="V56" s="196"/>
      <c r="W56" s="196"/>
      <c r="X56" s="196"/>
      <c r="Y56" s="196"/>
      <c r="Z56" s="196"/>
      <c r="AB56" s="1"/>
    </row>
    <row r="57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T57" s="196"/>
      <c r="U57" s="196"/>
      <c r="V57" s="196"/>
      <c r="W57" s="196"/>
      <c r="X57" s="196"/>
      <c r="Y57" s="196"/>
      <c r="Z57" s="196"/>
      <c r="AB57" s="1"/>
    </row>
    <row r="58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O58" s="196"/>
      <c r="P58" s="196"/>
      <c r="Q58" s="196"/>
      <c r="S58" s="196"/>
      <c r="T58" s="196"/>
      <c r="U58" s="196"/>
      <c r="V58" s="196"/>
      <c r="W58" s="196"/>
      <c r="X58" s="196"/>
      <c r="Y58" s="196"/>
      <c r="Z58" s="196"/>
      <c r="AB58" s="1"/>
    </row>
    <row r="59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  <c r="AA59" s="1"/>
      <c r="AB59" s="1"/>
    </row>
    <row r="60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T60" s="196"/>
      <c r="U60" s="196"/>
      <c r="V60" s="196"/>
      <c r="W60" s="196"/>
      <c r="X60" s="196"/>
      <c r="Y60" s="196"/>
      <c r="Z60" s="196"/>
      <c r="AB60" s="1"/>
    </row>
    <row r="6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O61" s="196"/>
      <c r="P61" s="196"/>
      <c r="Q61" s="196"/>
      <c r="S61" s="196"/>
      <c r="T61" s="196"/>
      <c r="U61" s="196"/>
      <c r="V61" s="196"/>
      <c r="W61" s="196"/>
      <c r="X61" s="196"/>
      <c r="Y61" s="196"/>
      <c r="Z61" s="196"/>
      <c r="AB61" s="1"/>
    </row>
    <row r="6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T62" s="196"/>
      <c r="U62" s="196"/>
      <c r="V62" s="196"/>
      <c r="W62" s="196"/>
      <c r="X62" s="196"/>
      <c r="Y62" s="196"/>
      <c r="Z62" s="196"/>
      <c r="AB62" s="1"/>
    </row>
    <row r="63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"/>
      <c r="AB63" s="1"/>
    </row>
    <row r="64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O64" s="196"/>
      <c r="P64" s="196"/>
      <c r="Q64" s="196"/>
      <c r="S64" s="196"/>
      <c r="T64" s="196"/>
      <c r="U64" s="196"/>
      <c r="V64" s="196"/>
      <c r="W64" s="196"/>
      <c r="X64" s="196"/>
      <c r="Y64" s="196"/>
      <c r="Z64" s="196"/>
      <c r="AB64" s="1"/>
    </row>
    <row r="6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T65" s="196"/>
      <c r="U65" s="196"/>
      <c r="V65" s="196"/>
      <c r="W65" s="196"/>
      <c r="X65" s="196"/>
      <c r="Y65" s="196"/>
      <c r="Z65" s="196"/>
      <c r="AB65" s="1"/>
    </row>
    <row r="66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T66" s="196"/>
      <c r="U66" s="196"/>
      <c r="V66" s="196"/>
      <c r="W66" s="196"/>
      <c r="X66" s="196"/>
      <c r="Y66" s="196"/>
      <c r="Z66" s="196"/>
      <c r="AB66" s="1"/>
    </row>
    <row r="67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O67" s="196"/>
      <c r="P67" s="196"/>
      <c r="Q67" s="196"/>
      <c r="S67" s="196"/>
      <c r="T67" s="196"/>
      <c r="U67" s="196"/>
      <c r="V67" s="196"/>
      <c r="W67" s="196"/>
      <c r="X67" s="196"/>
      <c r="Y67" s="196"/>
      <c r="Z67" s="196"/>
      <c r="AB67" s="1"/>
    </row>
    <row r="68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O68" s="196"/>
      <c r="P68" s="196"/>
      <c r="Q68" s="196"/>
      <c r="S68" s="196"/>
      <c r="T68" s="196"/>
      <c r="U68" s="196"/>
      <c r="V68" s="196"/>
      <c r="W68" s="196"/>
      <c r="X68" s="196"/>
      <c r="Y68" s="196"/>
      <c r="Z68" s="196"/>
      <c r="AB68" s="1"/>
    </row>
    <row r="69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O69" s="196"/>
      <c r="P69" s="196"/>
      <c r="Q69" s="196"/>
      <c r="S69" s="196"/>
      <c r="T69" s="196"/>
      <c r="U69" s="196"/>
      <c r="V69" s="196"/>
      <c r="W69" s="196"/>
      <c r="X69" s="196"/>
      <c r="Y69" s="196"/>
      <c r="Z69" s="196"/>
      <c r="AB69" s="1"/>
    </row>
    <row r="70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"/>
      <c r="AB70" s="1"/>
    </row>
    <row r="7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O71" s="196"/>
      <c r="P71" s="196"/>
      <c r="Q71" s="196"/>
      <c r="S71" s="196"/>
      <c r="T71" s="196"/>
      <c r="U71" s="196"/>
      <c r="V71" s="196"/>
      <c r="W71" s="196"/>
      <c r="X71" s="196"/>
      <c r="Y71" s="196"/>
      <c r="Z71" s="196"/>
      <c r="AB71" s="1"/>
    </row>
    <row r="72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O72" s="196"/>
      <c r="P72" s="196"/>
      <c r="Q72" s="196"/>
      <c r="S72" s="196"/>
      <c r="T72" s="196"/>
      <c r="U72" s="196"/>
      <c r="V72" s="196"/>
      <c r="W72" s="196"/>
      <c r="X72" s="196"/>
      <c r="Y72" s="196"/>
      <c r="Z72" s="196"/>
      <c r="AB72" s="1"/>
    </row>
    <row r="73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O73" s="196"/>
      <c r="P73" s="196"/>
      <c r="Q73" s="196"/>
      <c r="S73" s="196"/>
      <c r="T73" s="196"/>
      <c r="U73" s="196"/>
      <c r="V73" s="196"/>
      <c r="W73" s="196"/>
      <c r="X73" s="196"/>
      <c r="Y73" s="196"/>
      <c r="Z73" s="196"/>
      <c r="AB73" s="1"/>
    </row>
    <row r="74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O74" s="196"/>
      <c r="P74" s="196"/>
      <c r="Q74" s="196"/>
      <c r="S74" s="196"/>
      <c r="T74" s="196"/>
      <c r="U74" s="196"/>
      <c r="V74" s="196"/>
      <c r="W74" s="196"/>
      <c r="X74" s="196"/>
      <c r="Y74" s="196"/>
      <c r="Z74" s="196"/>
      <c r="AB74" s="1"/>
    </row>
    <row r="75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T75" s="196"/>
      <c r="U75" s="196"/>
      <c r="V75" s="196"/>
      <c r="W75" s="196"/>
      <c r="X75" s="196"/>
      <c r="Y75" s="196"/>
      <c r="Z75" s="196"/>
      <c r="AB75" s="1"/>
    </row>
    <row r="76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O76" s="196"/>
      <c r="P76" s="196"/>
      <c r="Q76" s="196"/>
      <c r="S76" s="196"/>
      <c r="T76" s="196"/>
      <c r="U76" s="196"/>
      <c r="V76" s="196"/>
      <c r="W76" s="196"/>
      <c r="X76" s="196"/>
      <c r="Y76" s="196"/>
      <c r="Z76" s="196"/>
      <c r="AB76" s="1">
        <v>0.0</v>
      </c>
    </row>
    <row r="77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T77" s="196"/>
      <c r="U77" s="196"/>
      <c r="V77" s="196"/>
      <c r="W77" s="196"/>
      <c r="X77" s="196"/>
      <c r="Y77" s="196"/>
      <c r="Z77" s="196"/>
      <c r="AB77" s="1"/>
    </row>
    <row r="78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O78" s="196"/>
      <c r="P78" s="196"/>
      <c r="Q78" s="196"/>
      <c r="S78" s="196"/>
      <c r="T78" s="196"/>
      <c r="U78" s="196"/>
      <c r="V78" s="196"/>
      <c r="W78" s="196"/>
      <c r="X78" s="196"/>
      <c r="Y78" s="196"/>
      <c r="Z78" s="196"/>
      <c r="AB78" s="1">
        <v>0.0</v>
      </c>
    </row>
    <row r="79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T79" s="196"/>
      <c r="U79" s="196"/>
      <c r="V79" s="196"/>
      <c r="W79" s="196"/>
      <c r="X79" s="196"/>
      <c r="Y79" s="196"/>
      <c r="Z79" s="196"/>
      <c r="AB79" s="1"/>
    </row>
    <row r="80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O80" s="196"/>
      <c r="P80" s="196"/>
      <c r="Q80" s="196"/>
      <c r="S80" s="196"/>
      <c r="T80" s="196"/>
      <c r="U80" s="196"/>
      <c r="V80" s="196"/>
      <c r="W80" s="196"/>
      <c r="X80" s="196"/>
      <c r="Y80" s="196"/>
      <c r="Z80" s="196"/>
      <c r="AB80" s="1">
        <v>0.0</v>
      </c>
    </row>
    <row r="8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O81" s="196"/>
      <c r="P81" s="196"/>
      <c r="Q81" s="196"/>
      <c r="S81" s="196"/>
      <c r="T81" s="196"/>
      <c r="U81" s="196"/>
      <c r="V81" s="196"/>
      <c r="W81" s="196"/>
      <c r="X81" s="196"/>
      <c r="Y81" s="196"/>
      <c r="Z81" s="196"/>
      <c r="AB81" s="1"/>
    </row>
    <row r="82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T82" s="196"/>
      <c r="U82" s="196"/>
      <c r="V82" s="196"/>
      <c r="W82" s="196"/>
      <c r="X82" s="196"/>
      <c r="Y82" s="196"/>
      <c r="Z82" s="196"/>
      <c r="AB82" s="1"/>
    </row>
    <row r="83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O83" s="196"/>
      <c r="P83" s="196"/>
      <c r="Q83" s="196"/>
      <c r="S83" s="196"/>
      <c r="T83" s="196"/>
      <c r="U83" s="196"/>
      <c r="V83" s="196"/>
      <c r="W83" s="196"/>
      <c r="X83" s="196"/>
      <c r="Y83" s="196"/>
      <c r="Z83" s="196"/>
      <c r="AB83" s="1">
        <v>0.0</v>
      </c>
    </row>
    <row r="84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O84" s="196"/>
      <c r="P84" s="196"/>
      <c r="Q84" s="196"/>
      <c r="S84" s="196"/>
      <c r="T84" s="196"/>
      <c r="U84" s="196"/>
      <c r="V84" s="196"/>
      <c r="W84" s="196"/>
      <c r="X84" s="196"/>
      <c r="Y84" s="196"/>
      <c r="Z84" s="196"/>
      <c r="AB84" s="1"/>
    </row>
    <row r="85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O85" s="196"/>
      <c r="P85" s="196"/>
      <c r="Q85" s="196"/>
      <c r="S85" s="196"/>
      <c r="T85" s="196"/>
      <c r="U85" s="196"/>
      <c r="V85" s="196"/>
      <c r="W85" s="196"/>
      <c r="X85" s="196"/>
      <c r="Y85" s="196"/>
      <c r="Z85" s="196"/>
      <c r="AB85" s="1"/>
    </row>
    <row r="86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  <c r="AA86" s="1"/>
      <c r="AB86" s="1"/>
    </row>
    <row r="87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  <c r="AA87" s="1"/>
      <c r="AB87" s="1"/>
    </row>
    <row r="88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  <c r="AA88" s="1"/>
      <c r="AB88" s="1"/>
    </row>
    <row r="89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  <c r="AA89" s="1"/>
      <c r="AB89" s="1"/>
    </row>
    <row r="90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S90" s="196"/>
      <c r="T90" s="196"/>
      <c r="U90" s="196"/>
      <c r="V90" s="196"/>
      <c r="W90" s="196"/>
      <c r="X90" s="196"/>
      <c r="Y90" s="196"/>
      <c r="Z90" s="196"/>
      <c r="AB90" s="1"/>
    </row>
    <row r="9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O91" s="196"/>
      <c r="P91" s="196"/>
      <c r="Q91" s="196"/>
      <c r="S91" s="196"/>
      <c r="T91" s="196"/>
      <c r="U91" s="196"/>
      <c r="V91" s="196"/>
      <c r="W91" s="196"/>
      <c r="X91" s="196"/>
      <c r="Y91" s="196"/>
      <c r="Z91" s="196"/>
      <c r="AB91" s="1"/>
    </row>
    <row r="92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  <c r="AA92" s="1"/>
      <c r="AB92" s="1"/>
    </row>
    <row r="93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O93" s="196"/>
      <c r="P93" s="196"/>
      <c r="Q93" s="196"/>
      <c r="S93" s="196"/>
      <c r="T93" s="196"/>
      <c r="U93" s="196"/>
      <c r="V93" s="196"/>
      <c r="W93" s="196"/>
      <c r="X93" s="196"/>
      <c r="Y93" s="196"/>
      <c r="Z93" s="196"/>
      <c r="AB93" s="1"/>
    </row>
    <row r="94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T94" s="196"/>
      <c r="U94" s="196"/>
      <c r="V94" s="196"/>
      <c r="W94" s="196"/>
      <c r="X94" s="196"/>
      <c r="Y94" s="196"/>
      <c r="Z94" s="196"/>
      <c r="AB94" s="1"/>
    </row>
    <row r="95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T95" s="196"/>
      <c r="U95" s="196"/>
      <c r="V95" s="196"/>
      <c r="W95" s="196"/>
      <c r="X95" s="196"/>
      <c r="Y95" s="196"/>
      <c r="Z95" s="196"/>
      <c r="AB95" s="1"/>
    </row>
    <row r="96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O96" s="196"/>
      <c r="P96" s="196"/>
      <c r="Q96" s="196"/>
      <c r="S96" s="196"/>
      <c r="T96" s="196"/>
      <c r="U96" s="196"/>
      <c r="V96" s="196"/>
      <c r="W96" s="196"/>
      <c r="X96" s="196"/>
      <c r="Y96" s="196"/>
      <c r="Z96" s="196"/>
      <c r="AB96" s="1"/>
    </row>
    <row r="97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O97" s="196"/>
      <c r="P97" s="196"/>
      <c r="Q97" s="196"/>
      <c r="S97" s="196"/>
      <c r="T97" s="196"/>
      <c r="U97" s="196"/>
      <c r="V97" s="196"/>
      <c r="W97" s="196"/>
      <c r="X97" s="196"/>
      <c r="Y97" s="196"/>
      <c r="Z97" s="196"/>
      <c r="AB97" s="1">
        <v>0.0</v>
      </c>
    </row>
    <row r="98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T98" s="196"/>
      <c r="U98" s="196"/>
      <c r="V98" s="196"/>
      <c r="W98" s="196"/>
      <c r="X98" s="196"/>
      <c r="Y98" s="196"/>
      <c r="Z98" s="196"/>
      <c r="AB98" s="1"/>
    </row>
    <row r="99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O99" s="196"/>
      <c r="P99" s="196"/>
      <c r="Q99" s="196"/>
      <c r="S99" s="196"/>
      <c r="T99" s="196"/>
      <c r="U99" s="196"/>
      <c r="V99" s="196"/>
      <c r="W99" s="196"/>
      <c r="X99" s="196"/>
      <c r="Y99" s="196"/>
      <c r="Z99" s="196"/>
      <c r="AB99" s="1"/>
    </row>
    <row r="100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T100" s="196"/>
      <c r="U100" s="196"/>
      <c r="V100" s="196"/>
      <c r="W100" s="196"/>
      <c r="X100" s="196"/>
      <c r="Y100" s="196"/>
      <c r="Z100" s="196"/>
      <c r="AB100" s="1"/>
    </row>
    <row r="10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  <c r="AA101" s="1"/>
      <c r="AB101" s="1"/>
    </row>
    <row r="102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  <c r="AA102" s="1"/>
      <c r="AB102" s="1"/>
    </row>
    <row r="103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O103" s="196"/>
      <c r="P103" s="196"/>
      <c r="Q103" s="196"/>
      <c r="S103" s="196"/>
      <c r="T103" s="196"/>
      <c r="U103" s="196"/>
      <c r="V103" s="196"/>
      <c r="W103" s="196"/>
      <c r="X103" s="196"/>
      <c r="Y103" s="196"/>
      <c r="Z103" s="196"/>
      <c r="AB103" s="1"/>
    </row>
    <row r="104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T104" s="196"/>
      <c r="U104" s="196"/>
      <c r="V104" s="196"/>
      <c r="W104" s="196"/>
      <c r="X104" s="196"/>
      <c r="Y104" s="196"/>
      <c r="Z104" s="196"/>
      <c r="AB104" s="1"/>
    </row>
    <row r="105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  <c r="AA105" s="1"/>
      <c r="AB105" s="1"/>
    </row>
    <row r="106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O106" s="196"/>
      <c r="P106" s="196"/>
      <c r="Q106" s="196"/>
      <c r="S106" s="196"/>
      <c r="T106" s="196"/>
      <c r="U106" s="196"/>
      <c r="V106" s="196"/>
      <c r="W106" s="196"/>
      <c r="X106" s="196"/>
      <c r="Y106" s="196"/>
      <c r="Z106" s="196"/>
      <c r="AB106" s="1"/>
    </row>
    <row r="107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  <c r="AA107" s="1"/>
      <c r="AB107" s="1"/>
    </row>
    <row r="108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O108" s="196"/>
      <c r="P108" s="196"/>
      <c r="Q108" s="196"/>
      <c r="S108" s="196"/>
      <c r="T108" s="196"/>
      <c r="U108" s="196"/>
      <c r="V108" s="196"/>
      <c r="W108" s="196"/>
      <c r="X108" s="196"/>
      <c r="Y108" s="196"/>
      <c r="Z108" s="196"/>
      <c r="AB108" s="1">
        <v>0.0</v>
      </c>
    </row>
    <row r="109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O109" s="196"/>
      <c r="P109" s="196"/>
      <c r="Q109" s="196"/>
      <c r="S109" s="196"/>
      <c r="T109" s="196"/>
      <c r="U109" s="196"/>
      <c r="V109" s="196"/>
      <c r="W109" s="196"/>
      <c r="X109" s="196"/>
      <c r="Y109" s="196"/>
      <c r="Z109" s="196"/>
      <c r="AB109" s="1"/>
    </row>
    <row r="110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  <c r="AA110" s="1"/>
      <c r="AB110" s="1"/>
    </row>
    <row r="11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  <c r="AA111" s="1"/>
      <c r="AB111" s="1"/>
    </row>
    <row r="112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  <c r="AA112" s="1"/>
      <c r="AB112" s="1"/>
    </row>
    <row r="113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T113" s="196"/>
      <c r="U113" s="196"/>
      <c r="V113" s="196"/>
      <c r="W113" s="196"/>
      <c r="X113" s="196"/>
      <c r="Y113" s="196"/>
      <c r="Z113" s="196"/>
      <c r="AB113" s="1"/>
    </row>
    <row r="114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  <c r="AA114" s="1"/>
      <c r="AB114" s="1"/>
    </row>
    <row r="115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O115" s="196"/>
      <c r="P115" s="196"/>
      <c r="Q115" s="196"/>
      <c r="S115" s="196"/>
      <c r="T115" s="196"/>
      <c r="U115" s="196"/>
      <c r="V115" s="196"/>
      <c r="W115" s="196"/>
      <c r="X115" s="196"/>
      <c r="Y115" s="196"/>
      <c r="Z115" s="196"/>
      <c r="AB115" s="1"/>
    </row>
    <row r="116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O116" s="196"/>
      <c r="P116" s="196"/>
      <c r="Q116" s="196"/>
      <c r="S116" s="196"/>
      <c r="T116" s="196"/>
      <c r="U116" s="196"/>
      <c r="V116" s="196"/>
      <c r="W116" s="196"/>
      <c r="X116" s="196"/>
      <c r="Y116" s="196"/>
      <c r="Z116" s="196"/>
      <c r="AB116" s="1"/>
    </row>
    <row r="117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  <c r="AA117" s="1"/>
      <c r="AB117" s="1"/>
    </row>
    <row r="118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O118" s="196"/>
      <c r="P118" s="196"/>
      <c r="Q118" s="196"/>
      <c r="S118" s="196"/>
      <c r="T118" s="196"/>
      <c r="U118" s="196"/>
      <c r="V118" s="196"/>
      <c r="W118" s="196"/>
      <c r="X118" s="196"/>
      <c r="Y118" s="196"/>
      <c r="Z118" s="196"/>
      <c r="AB118" s="1"/>
    </row>
    <row r="119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  <c r="AA119" s="1"/>
      <c r="AB119" s="1"/>
    </row>
    <row r="120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T120" s="196"/>
      <c r="U120" s="196"/>
      <c r="V120" s="196"/>
      <c r="W120" s="196"/>
      <c r="X120" s="196"/>
      <c r="Y120" s="196"/>
      <c r="Z120" s="196"/>
      <c r="AB120" s="1"/>
    </row>
    <row r="12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T121" s="196"/>
      <c r="U121" s="196"/>
      <c r="V121" s="196"/>
      <c r="W121" s="196"/>
      <c r="X121" s="196"/>
      <c r="Y121" s="196"/>
      <c r="Z121" s="196"/>
      <c r="AB121" s="1"/>
    </row>
    <row r="12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T122" s="196"/>
      <c r="U122" s="196"/>
      <c r="V122" s="196"/>
      <c r="W122" s="196"/>
      <c r="X122" s="196"/>
      <c r="Y122" s="196"/>
      <c r="Z122" s="196"/>
      <c r="AB122" s="1"/>
    </row>
    <row r="123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  <c r="AA123" s="1"/>
      <c r="AB123" s="1"/>
    </row>
    <row r="124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S124" s="196"/>
      <c r="T124" s="196"/>
      <c r="U124" s="196"/>
      <c r="V124" s="196"/>
      <c r="W124" s="196"/>
      <c r="X124" s="196"/>
      <c r="Y124" s="196"/>
      <c r="Z124" s="196"/>
      <c r="AB124" s="1"/>
    </row>
    <row r="125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O125" s="196"/>
      <c r="P125" s="196"/>
      <c r="Q125" s="196"/>
      <c r="S125" s="196"/>
      <c r="T125" s="196"/>
      <c r="U125" s="196"/>
      <c r="V125" s="196"/>
      <c r="W125" s="196"/>
      <c r="X125" s="196"/>
      <c r="Y125" s="196"/>
      <c r="Z125" s="196"/>
      <c r="AB125" s="1">
        <v>0.0</v>
      </c>
    </row>
    <row r="126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O126" s="196"/>
      <c r="P126" s="196"/>
      <c r="Q126" s="196"/>
      <c r="S126" s="196"/>
      <c r="T126" s="196"/>
      <c r="U126" s="196"/>
      <c r="V126" s="196"/>
      <c r="W126" s="196"/>
      <c r="X126" s="196"/>
      <c r="Y126" s="196"/>
      <c r="Z126" s="196"/>
      <c r="AB126" s="1"/>
    </row>
    <row r="127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O127" s="196"/>
      <c r="P127" s="196"/>
      <c r="Q127" s="196"/>
      <c r="S127" s="196"/>
      <c r="T127" s="196"/>
      <c r="U127" s="196"/>
      <c r="V127" s="196"/>
      <c r="W127" s="196"/>
      <c r="X127" s="196"/>
      <c r="Y127" s="196"/>
      <c r="Z127" s="196"/>
      <c r="AB127" s="1"/>
    </row>
    <row r="128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  <c r="AA128" s="1"/>
      <c r="AB128" s="1"/>
    </row>
    <row r="129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T129" s="196"/>
      <c r="U129" s="196"/>
      <c r="V129" s="196"/>
      <c r="W129" s="196"/>
      <c r="X129" s="196"/>
      <c r="Y129" s="196"/>
      <c r="Z129" s="196"/>
      <c r="AB129" s="1"/>
    </row>
    <row r="130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T130" s="196"/>
      <c r="U130" s="196"/>
      <c r="V130" s="196"/>
      <c r="W130" s="196"/>
      <c r="X130" s="196"/>
      <c r="Y130" s="196"/>
      <c r="Z130" s="196"/>
      <c r="AB130" s="1"/>
    </row>
    <row r="13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O131" s="196"/>
      <c r="P131" s="196"/>
      <c r="Q131" s="196"/>
      <c r="S131" s="196"/>
      <c r="T131" s="196"/>
      <c r="U131" s="196"/>
      <c r="V131" s="196"/>
      <c r="W131" s="196"/>
      <c r="X131" s="196"/>
      <c r="Y131" s="196"/>
      <c r="Z131" s="196"/>
      <c r="AB131" s="1">
        <v>0.0</v>
      </c>
    </row>
    <row r="13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O132" s="196"/>
      <c r="P132" s="196"/>
      <c r="Q132" s="196"/>
      <c r="S132" s="196"/>
      <c r="T132" s="196"/>
      <c r="U132" s="196"/>
      <c r="V132" s="196"/>
      <c r="W132" s="196"/>
      <c r="X132" s="196"/>
      <c r="Y132" s="196"/>
      <c r="Z132" s="196"/>
      <c r="AB132" s="1">
        <v>0.0</v>
      </c>
    </row>
    <row r="133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O133" s="196"/>
      <c r="P133" s="196"/>
      <c r="Q133" s="196"/>
      <c r="S133" s="196"/>
      <c r="T133" s="196"/>
      <c r="U133" s="196"/>
      <c r="V133" s="196"/>
      <c r="W133" s="196"/>
      <c r="X133" s="196"/>
      <c r="Y133" s="196"/>
      <c r="Z133" s="196"/>
      <c r="AB133" s="1"/>
    </row>
    <row r="134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S134" s="196"/>
      <c r="T134" s="196"/>
      <c r="U134" s="196"/>
      <c r="V134" s="196"/>
      <c r="W134" s="196"/>
      <c r="X134" s="196"/>
      <c r="Y134" s="196"/>
      <c r="Z134" s="196"/>
      <c r="AB134" s="1"/>
    </row>
    <row r="135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S135" s="196"/>
      <c r="T135" s="196"/>
      <c r="U135" s="196"/>
      <c r="V135" s="196"/>
      <c r="W135" s="196"/>
      <c r="X135" s="196"/>
      <c r="Y135" s="196"/>
      <c r="Z135" s="196"/>
      <c r="AB135" s="1"/>
    </row>
    <row r="136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O136" s="196"/>
      <c r="P136" s="196"/>
      <c r="Q136" s="196"/>
      <c r="S136" s="196"/>
      <c r="T136" s="196"/>
      <c r="U136" s="196"/>
      <c r="V136" s="196"/>
      <c r="W136" s="196"/>
      <c r="X136" s="196"/>
      <c r="Y136" s="196"/>
      <c r="Z136" s="196"/>
      <c r="AB136" s="1">
        <v>0.0</v>
      </c>
    </row>
    <row r="137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T137" s="196"/>
      <c r="U137" s="196"/>
      <c r="V137" s="196"/>
      <c r="W137" s="196"/>
      <c r="X137" s="196"/>
      <c r="Y137" s="196"/>
      <c r="Z137" s="196"/>
      <c r="AB137" s="1"/>
    </row>
    <row r="138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O138" s="196"/>
      <c r="P138" s="196"/>
      <c r="Q138" s="196"/>
      <c r="S138" s="196"/>
      <c r="T138" s="196"/>
      <c r="U138" s="196"/>
      <c r="V138" s="196"/>
      <c r="W138" s="196"/>
      <c r="X138" s="196"/>
      <c r="Y138" s="196"/>
      <c r="Z138" s="196"/>
      <c r="AB138" s="1">
        <v>0.0</v>
      </c>
    </row>
    <row r="139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S139" s="196"/>
      <c r="T139" s="196"/>
      <c r="U139" s="196"/>
      <c r="V139" s="196"/>
      <c r="W139" s="196"/>
      <c r="X139" s="196"/>
      <c r="Y139" s="196"/>
      <c r="Z139" s="196"/>
      <c r="AB139" s="1"/>
    </row>
    <row r="140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O140" s="196"/>
      <c r="P140" s="196"/>
      <c r="Q140" s="196"/>
      <c r="S140" s="196"/>
      <c r="T140" s="196"/>
      <c r="U140" s="196"/>
      <c r="V140" s="196"/>
      <c r="W140" s="196"/>
      <c r="X140" s="196"/>
      <c r="Y140" s="196"/>
      <c r="Z140" s="196"/>
      <c r="AB140" s="1"/>
    </row>
    <row r="14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  <c r="AA141" s="1"/>
      <c r="AB141" s="1"/>
    </row>
  </sheetData>
  <mergeCells count="1">
    <mergeCell ref="A1:H1"/>
  </mergeCells>
  <drawing r:id="rId1"/>
</worksheet>
</file>