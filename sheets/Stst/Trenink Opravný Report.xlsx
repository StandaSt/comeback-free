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visible" name="RestiaCSV" sheetId="3" r:id="rId7"/>
    <sheet state="visible" name="August 2024" sheetId="4" r:id="rId8"/>
    <sheet state="visible" name="HR" sheetId="5" r:id="rId9"/>
  </sheets>
  <definedNames/>
  <calcPr/>
</workbook>
</file>

<file path=xl/sharedStrings.xml><?xml version="1.0" encoding="utf-8"?>
<sst xmlns="http://schemas.openxmlformats.org/spreadsheetml/2006/main" count="726" uniqueCount="275">
  <si>
    <t>Malesice</t>
  </si>
  <si>
    <t>Datum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</si>
  <si>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</si>
  <si>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</si>
  <si>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</si>
  <si>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</si>
  <si>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</si>
  <si>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</si>
  <si>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</si>
  <si>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</si>
  <si>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</si>
  <si>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test, uloží se to správně?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</si>
  <si>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</si>
  <si>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</si>
  <si>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</si>
  <si>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</si>
  <si>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</si>
  <si>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</si>
  <si>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</si>
  <si>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</si>
  <si>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</si>
  <si>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</si>
  <si>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</si>
  <si>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</si>
  <si>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Novák Dalibor</t>
  </si>
  <si>
    <t>10:00</t>
  </si>
  <si>
    <t>17:00</t>
  </si>
  <si>
    <t>Výdaje</t>
  </si>
  <si>
    <t>Hegedüs Erik</t>
  </si>
  <si>
    <t>01:00</t>
  </si>
  <si>
    <t>Benzín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</si>
  <si>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</si>
  <si>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</si>
  <si>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</si>
  <si>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</si>
  <si>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</si>
  <si>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</si>
  <si>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</si>
  <si>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</si>
  <si>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</si>
  <si>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Kurýr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</si>
  <si>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</si>
  <si>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</si>
  <si>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</si>
  <si>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</si>
  <si>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</si>
  <si>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</si>
  <si>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</si>
  <si>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Lažek Jaroslav</t>
  </si>
  <si>
    <t>21:00</t>
  </si>
  <si>
    <t>Reischl Jan</t>
  </si>
  <si>
    <t>11:00</t>
  </si>
  <si>
    <t>23:00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</si>
  <si>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</si>
  <si>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</si>
  <si>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</si>
  <si>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</si>
  <si>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</si>
  <si>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Kurýr</t>
  </si>
  <si>
    <t>Wolt drive</t>
  </si>
  <si>
    <t>Vyber datum    &lt;----------&gt;</t>
  </si>
  <si>
    <t>Celkem hodin Instor</t>
  </si>
  <si>
    <t>Celkem hodin Kurýr</t>
  </si>
  <si>
    <t>Počet dní</t>
  </si>
  <si>
    <t>29:00</t>
  </si>
  <si>
    <t>13:00</t>
  </si>
  <si>
    <t>7:00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</si>
  <si>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</si>
  <si>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</si>
  <si>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</si>
  <si>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</si>
  <si>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</si>
  <si>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</si>
  <si>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</si>
  <si>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</si>
  <si>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</si>
  <si>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</si>
  <si>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</si>
  <si>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</si>
  <si>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</si>
  <si>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</si>
  <si>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damejidlo</t>
  </si>
  <si>
    <t>delivered</t>
  </si>
  <si>
    <t>external-delivery</t>
  </si>
  <si>
    <t>online</t>
  </si>
  <si>
    <t>2025-12-11T00:32:12.340+01:00</t>
  </si>
  <si>
    <t>2025-12-11T00:38:48.115+01:00</t>
  </si>
  <si>
    <t>Pizza Comeback Prosek</t>
  </si>
  <si>
    <t>generic</t>
  </si>
  <si>
    <t>pickup</t>
  </si>
  <si>
    <t>cash</t>
  </si>
  <si>
    <t>2025-12-11T00:26:03.460+01:00</t>
  </si>
  <si>
    <t>2025-12-11T00:32:59.834+01:00</t>
  </si>
  <si>
    <t>Adaptee bridge</t>
  </si>
  <si>
    <t>bolt</t>
  </si>
  <si>
    <t>Kirill</t>
  </si>
  <si>
    <t>2025-12-11T00:08:02.667+01:00</t>
  </si>
  <si>
    <t>2025-12-11T00:17:25.884+01:00</t>
  </si>
  <si>
    <t>2025-12-10T23:58:06.246+01:00</t>
  </si>
  <si>
    <t>2025-12-11T00:04:32.685+01:00</t>
  </si>
  <si>
    <t>wolt</t>
  </si>
  <si>
    <t>2025-12-10T23:55:16.379+01:00</t>
  </si>
  <si>
    <t>2025-12-11T00:12:17.930+01:00</t>
  </si>
  <si>
    <t>2025-12-10T23:53:16.080+01:00</t>
  </si>
  <si>
    <t>2025-12-11T00:07:17.931+01:00</t>
  </si>
  <si>
    <t>2025-12-10T23:50:15.930+01:00</t>
  </si>
  <si>
    <t>2025-12-10T23:56:49.890+01:00</t>
  </si>
  <si>
    <t>2025-12-10T23:47:15.346+01:00</t>
  </si>
  <si>
    <t>2025-12-11T00:02:02.913+01:00</t>
  </si>
  <si>
    <t>2025-12-10T23:45:11.671+01:00</t>
  </si>
  <si>
    <t>2025-12-10T23:58:20.775+01:00</t>
  </si>
  <si>
    <t>2025-12-10T23:40:39.504+01:00</t>
  </si>
  <si>
    <t>2025-12-10T23:49:48.773+01:00</t>
  </si>
  <si>
    <t>delivery</t>
  </si>
  <si>
    <t>2025-12-10T23:39:03.718+01:00</t>
  </si>
  <si>
    <t>2025-12-10T23:45:56.662+01:00</t>
  </si>
  <si>
    <t>2025-12-11T00:01:40.024+01:00</t>
  </si>
  <si>
    <t>2025-12-10T23:39:04.266+01:00</t>
  </si>
  <si>
    <t>2025-12-10T23:30:03.152+01:00</t>
  </si>
  <si>
    <t>2025-12-10T23:39:10.847+01:00</t>
  </si>
  <si>
    <t>2025-12-10T23:16:58.844+01:00</t>
  </si>
  <si>
    <t>2025-12-10T23:21:20.864+01:00</t>
  </si>
  <si>
    <t>2025-12-10T23:03:52.305+01:00</t>
  </si>
  <si>
    <t>2025-12-10T23:12:06.596+01:00</t>
  </si>
  <si>
    <t>2025-12-10T23:01:22.529+01:00</t>
  </si>
  <si>
    <t>2025-12-10T23:12:09.608+01:00</t>
  </si>
  <si>
    <t>2025-12-10T22:58:22.753+01:00</t>
  </si>
  <si>
    <t>2025-12-10T23:09:14.683+01:00</t>
  </si>
  <si>
    <t>Abdurakhmon</t>
  </si>
  <si>
    <t>2025-12-10T22:56:04.730+01:00</t>
  </si>
  <si>
    <t>2025-12-10T23:03:32.580+01:00</t>
  </si>
  <si>
    <t>manual</t>
  </si>
  <si>
    <t>2025-12-10T22:52:09.024+01:00</t>
  </si>
  <si>
    <t>2025-12-10T22:54:49.426+01:00</t>
  </si>
  <si>
    <t>Ručně zadané obj.</t>
  </si>
  <si>
    <t>2025-12-10T22:31:02.111+01:00</t>
  </si>
  <si>
    <t>2025-12-10T22:36:43.661+01:00</t>
  </si>
  <si>
    <t>Artemii</t>
  </si>
  <si>
    <t>2025-12-10T21:37:52.436+01:00</t>
  </si>
  <si>
    <t>2025-12-10T21:45:47.385+01:00</t>
  </si>
  <si>
    <t>2025-12-10T21:37:36.348+01:00</t>
  </si>
  <si>
    <t>2025-12-10T21:42:43.328+01:00</t>
  </si>
  <si>
    <t>2025-12-10T21:24:04.845+01:00</t>
  </si>
  <si>
    <t>2025-12-10T21:30:15.089+01:00</t>
  </si>
  <si>
    <t>2025-12-10T21:55:00.617+01:00</t>
  </si>
  <si>
    <t>2025-12-10T21:24:05.412+01:00</t>
  </si>
  <si>
    <t>2025-12-10T21:06:13.337+01:00</t>
  </si>
  <si>
    <t>2025-12-10T21:11:43.262+01:00</t>
  </si>
  <si>
    <t>2025-12-10T20:52:03.671+01:00</t>
  </si>
  <si>
    <t>2025-12-10T21:00:27.990+01:00</t>
  </si>
  <si>
    <t>2025-12-10T21:21:04.986+01:00</t>
  </si>
  <si>
    <t>2025-12-10T20:52:03.931+01:00</t>
  </si>
  <si>
    <t>2025-12-10T20:48:56.718+01:00</t>
  </si>
  <si>
    <t>2025-12-10T21:00:27.304+01:00</t>
  </si>
  <si>
    <t>Muhammadamin</t>
  </si>
  <si>
    <t>2025-12-10T20:30:44.586+01:00</t>
  </si>
  <si>
    <t>2025-12-10T20:37:17.712+01:00</t>
  </si>
  <si>
    <t>2025-12-10T20:18:10.377+01:00</t>
  </si>
  <si>
    <t>2025-12-10T20:34:09.042+01:00</t>
  </si>
  <si>
    <t>2025-12-10T20:17:03.109+01:00</t>
  </si>
  <si>
    <t>2025-12-10T20:30:04.874+01:00</t>
  </si>
  <si>
    <t>2025-12-10T20:42:26.546+01:00</t>
  </si>
  <si>
    <t>2025-12-10T20:17:03.349+01:00</t>
  </si>
  <si>
    <t>2025-12-10T20:01:26.910+01:00</t>
  </si>
  <si>
    <t>2025-12-10T20:13:53.064+01:00</t>
  </si>
  <si>
    <t>2025-12-10T19:48:59.003+01:00</t>
  </si>
  <si>
    <t>2025-12-10T19:57:53.962+01:00</t>
  </si>
  <si>
    <t>2025-12-10T19:47:28.849+01:00</t>
  </si>
  <si>
    <t>2025-12-10T19:55:00.054+01:00</t>
  </si>
  <si>
    <t>2025-12-10T19:37:31.444+01:00</t>
  </si>
  <si>
    <t>2025-12-10T19:41:11.974+01:00</t>
  </si>
  <si>
    <t>2025-12-10T19:04:42.289+01:00</t>
  </si>
  <si>
    <t>2025-12-10T19:12:54.540+01:00</t>
  </si>
  <si>
    <t>2025-12-10T19:00:46.415+01:00</t>
  </si>
  <si>
    <t>2025-12-10T19:05:11.140+01:00</t>
  </si>
  <si>
    <t>2025-12-10T18:50:37.925+01:00</t>
  </si>
  <si>
    <t>2025-12-10T18:58:43.264+01:00</t>
  </si>
  <si>
    <t>2025-12-10T18:03:52.405+01:00</t>
  </si>
  <si>
    <t>2025-12-10T18:15:17.332+01:00</t>
  </si>
  <si>
    <t>2025-12-10T18:03:41.294+01:00</t>
  </si>
  <si>
    <t>2025-12-10T18:12:04.981+01:00</t>
  </si>
  <si>
    <t>2025-12-10T17:57:05.879+01:00</t>
  </si>
  <si>
    <t>2025-12-10T18:05:14.711+01:00</t>
  </si>
  <si>
    <t>2025-12-10T18:21:33.822+01:00</t>
  </si>
  <si>
    <t>2025-12-10T17:57:06.287+01:00</t>
  </si>
  <si>
    <t>2025-12-10T17:55:23.777+01:00</t>
  </si>
  <si>
    <t>2025-12-10T18:06:52.835+01:00</t>
  </si>
  <si>
    <t>2025-12-10T17:37:54.194+01:00</t>
  </si>
  <si>
    <t>2025-12-10T17:44:39.808+01:00</t>
  </si>
  <si>
    <t>Lukáš Petržilka</t>
  </si>
  <si>
    <t>2025-12-10T17:16:03.218+01:00</t>
  </si>
  <si>
    <t>2025-12-10T17:29:36.481+01:00</t>
  </si>
  <si>
    <t>2025-12-10T17:38:29.049+01:00</t>
  </si>
  <si>
    <t>2025-12-10T17:16:03.477+01:00</t>
  </si>
  <si>
    <t>2025-12-10T17:12:03.351+01:00</t>
  </si>
  <si>
    <t>2025-12-10T17:27:38.496+01:00</t>
  </si>
  <si>
    <t>2025-12-10T17:44:44.972+01:00</t>
  </si>
  <si>
    <t>2025-12-10T17:28:40.268+01:00</t>
  </si>
  <si>
    <t>2025-12-10T17:07:03.804+01:00</t>
  </si>
  <si>
    <t>2025-12-10T17:13:14.382+01:00</t>
  </si>
  <si>
    <t>2025-12-10T17:02:35.622+01:00</t>
  </si>
  <si>
    <t>2025-12-10T17:08:05.336+01:00</t>
  </si>
  <si>
    <t>Volodymyr</t>
  </si>
  <si>
    <t>2025-12-10T16:41:59.068+01:00</t>
  </si>
  <si>
    <t>2025-12-10T16:50:25.403+01:00</t>
  </si>
  <si>
    <t>2025-12-10T16:26:38.268+01:00</t>
  </si>
  <si>
    <t>2025-12-10T16:34:17.416+01:00</t>
  </si>
  <si>
    <t>Serhii</t>
  </si>
  <si>
    <t>2025-12-10T15:08:19.160+01:00</t>
  </si>
  <si>
    <t>2025-12-10T15:17:20.613+01:00</t>
  </si>
  <si>
    <t>2025-12-10T14:30:43.154+01:00</t>
  </si>
  <si>
    <t>2025-12-10T14:40:49.940+01:00</t>
  </si>
  <si>
    <t>2025-12-10T14:06:49.504+01:00</t>
  </si>
  <si>
    <t>2025-12-10T14:14:42.039+01:00</t>
  </si>
  <si>
    <t>2025-12-10T13:13:03.354+01:00</t>
  </si>
  <si>
    <t>2025-12-10T13:18:15.172+01:00</t>
  </si>
  <si>
    <t>2025-12-10T13:33:34.080+01:00</t>
  </si>
  <si>
    <t>2025-12-10T13:13:03.624+01:00</t>
  </si>
  <si>
    <t>2025-12-10T12:48:21.336+01:00</t>
  </si>
  <si>
    <t>2025-12-10T13:00:35.249+01:00</t>
  </si>
  <si>
    <t>2025-12-10T12:48:16.951+01:00</t>
  </si>
  <si>
    <t>2025-12-10T13:00:31.341+01:00</t>
  </si>
  <si>
    <t>2025-12-10T12:44:44.196+01:00</t>
  </si>
  <si>
    <t>2025-12-10T12:57:55.307+01:00</t>
  </si>
  <si>
    <t>Přemysl</t>
  </si>
  <si>
    <t>2025-12-10T12:01:08.330+01:00</t>
  </si>
  <si>
    <t>2025-12-10T12:04:27.090+01:00</t>
  </si>
  <si>
    <t>2025-12-10T11:44:50.256+01:00</t>
  </si>
  <si>
    <t>2025-12-10T11:48:04.621+01:00</t>
  </si>
  <si>
    <t>2025-12-10T11:35:10.694+01:00</t>
  </si>
  <si>
    <t>2025-12-10T11:44:15.910+01:00</t>
  </si>
  <si>
    <t>Marek</t>
  </si>
  <si>
    <t>2025-12-10T11:18:34.018+01:00</t>
  </si>
  <si>
    <t>2025-12-10T11:28:00.953+01:00</t>
  </si>
  <si>
    <t>2025-12-10T10:57:43.986+01:00</t>
  </si>
  <si>
    <t>2025-12-10T11:24:01.832+01:00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</si>
  <si>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</si>
  <si>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</si>
  <si>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</si>
  <si>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</si>
  <si>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</si>
  <si>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</si>
  <si>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</si>
  <si>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</si>
  <si>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</si>
  <si>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</si>
  <si>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</si>
  <si>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</si>
  <si>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</si>
  <si>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</si>
  <si>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</si>
  <si>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</si>
  <si>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</si>
  <si>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</si>
  <si>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</si>
  <si>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</si>
  <si>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</si>
  <si>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</si>
  <si>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</si>
  <si>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</si>
  <si>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</si>
  <si>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</si>
  <si>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Ahurieva Viktoriia</t>
  </si>
  <si>
    <t>12:00</t>
  </si>
  <si>
    <t>Ondřej Navrátil</t>
  </si>
  <si>
    <t>18:00</t>
  </si>
  <si>
    <t>07:00</t>
  </si>
  <si>
    <t>Zbyněk Hyský</t>
  </si>
  <si>
    <t>00:00</t>
  </si>
  <si>
    <t>06:00</t>
  </si>
  <si>
    <t>Pešová Hana</t>
  </si>
  <si>
    <t>08:00</t>
  </si>
  <si>
    <t>15 min 46 s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</si>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</sst>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d.m.yyyy"/>
    <numFmt numFmtId="166" formatCode="#,##0\ [$Kč-405]"/>
    <numFmt numFmtId="167" formatCode="&quot;/&quot;d&quot;/&quot;myy"/>
    <numFmt numFmtId="168" formatCode="d.M.yyyy"/>
    <numFmt numFmtId="169" formatCode="H:mm:ss"/>
  </numFmts>
  <fonts count="23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color theme="1"/>
      <name val="Arial"/>
    </font>
    <font>
      <b/>
      <sz val="17.0"/>
      <color theme="1"/>
      <name val="Google Sans Mono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6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0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51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2" xfId="0" applyBorder="1" applyFill="1" applyFont="1" applyNumberFormat="1"/>
    <xf borderId="2" fillId="3" fontId="2" numFmtId="2" xfId="0" applyAlignment="1" applyBorder="1" applyFill="1" applyFont="1" applyNumberFormat="1">
      <alignment horizontal="center" readingOrder="0" shrinkToFit="0" vertical="center" wrapText="0"/>
    </xf>
    <xf borderId="2" fillId="3" fontId="3" numFmtId="164" xfId="0" applyAlignment="1" applyBorder="1" applyFont="1" applyNumberFormat="1">
      <alignment horizontal="center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shrinkToFit="0" vertical="center" wrapText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2" fontId="8" numFmtId="10" xfId="0" applyAlignment="1" applyFont="1" applyNumberFormat="1">
      <alignment horizontal="center" vertical="center"/>
    </xf>
    <xf borderId="1" fillId="0" fontId="5" numFmtId="0" xfId="0" applyBorder="1" applyFont="1"/>
    <xf borderId="0" fillId="5" fontId="6" numFmtId="166" xfId="0" applyAlignment="1" applyFill="1" applyFont="1" applyNumberFormat="1">
      <alignment horizontal="center" readingOrder="0" shrinkToFit="0" vertical="center" wrapText="0"/>
    </xf>
    <xf borderId="12" fillId="6" fontId="9" numFmtId="0" xfId="0" applyAlignment="1" applyBorder="1" applyFill="1" applyFont="1">
      <alignment horizontal="center" shrinkToFit="0" vertical="center" wrapText="0"/>
    </xf>
    <xf borderId="13" fillId="5" fontId="10" numFmtId="166" xfId="0" applyAlignment="1" applyBorder="1" applyFont="1" applyNumberFormat="1">
      <alignment horizontal="center" vertical="bottom"/>
    </xf>
    <xf borderId="3" fillId="3" fontId="11" numFmtId="167" xfId="0" applyAlignment="1" applyBorder="1" applyFont="1" applyNumberFormat="1">
      <alignment horizontal="center" shrinkToFit="0" vertical="center" wrapText="0"/>
    </xf>
    <xf borderId="14" fillId="0" fontId="5" numFmtId="0" xfId="0" applyBorder="1" applyFont="1"/>
    <xf borderId="15" fillId="0" fontId="5" numFmtId="0" xfId="0" applyBorder="1" applyFont="1"/>
    <xf borderId="3" fillId="7" fontId="6" numFmtId="0" xfId="0" applyAlignment="1" applyBorder="1" applyFill="1" applyFont="1">
      <alignment horizontal="center" shrinkToFit="0" vertical="center" wrapText="0"/>
    </xf>
    <xf borderId="16" fillId="6" fontId="9" numFmtId="0" xfId="0" applyAlignment="1" applyBorder="1" applyFont="1">
      <alignment horizontal="center" shrinkToFit="0" vertical="center" wrapText="0"/>
    </xf>
    <xf borderId="3" fillId="8" fontId="1" numFmtId="168" xfId="0" applyAlignment="1" applyBorder="1" applyFill="1" applyFont="1" applyNumberFormat="1">
      <alignment horizontal="center" readingOrder="0" shrinkToFit="0" vertical="center" wrapText="0"/>
    </xf>
    <xf borderId="0" fillId="8" fontId="1" numFmtId="1" xfId="0" applyAlignment="1" applyFont="1" applyNumberFormat="1">
      <alignment horizontal="center" readingOrder="0" shrinkToFit="0" vertical="center" wrapText="0"/>
    </xf>
    <xf borderId="3" fillId="9" fontId="1" numFmtId="0" xfId="0" applyAlignment="1" applyBorder="1" applyFill="1" applyFont="1">
      <alignment horizontal="center" readingOrder="0" shrinkToFit="0" vertical="center" wrapText="0"/>
    </xf>
    <xf borderId="17" fillId="6" fontId="9" numFmtId="0" xfId="0" applyAlignment="1" applyBorder="1" applyFont="1">
      <alignment horizontal="center" shrinkToFit="0" vertical="center" wrapText="0"/>
    </xf>
    <xf borderId="1" fillId="5" fontId="10" numFmtId="166" xfId="0" applyAlignment="1" applyBorder="1" applyFont="1" applyNumberFormat="1">
      <alignment horizontal="center" vertical="bottom"/>
    </xf>
    <xf borderId="18" fillId="0" fontId="5" numFmtId="0" xfId="0" applyBorder="1" applyFont="1"/>
    <xf borderId="19" fillId="4" fontId="7" numFmtId="0" xfId="0" applyAlignment="1" applyBorder="1" applyFont="1">
      <alignment horizontal="center" shrinkToFit="0" vertical="center" wrapText="0"/>
    </xf>
    <xf borderId="11" fillId="8" fontId="1" numFmtId="166" xfId="0" applyAlignment="1" applyBorder="1" applyFont="1" applyNumberFormat="1">
      <alignment horizontal="center" readingOrder="0" shrinkToFit="0" vertical="center" wrapText="0"/>
    </xf>
    <xf borderId="18" fillId="4" fontId="12" numFmtId="49" xfId="0" applyAlignment="1" applyBorder="1" applyFont="1" applyNumberFormat="1">
      <alignment horizontal="center" shrinkToFit="0" vertical="center" wrapText="0"/>
    </xf>
    <xf borderId="15" fillId="4" fontId="7" numFmtId="49" xfId="0" applyAlignment="1" applyBorder="1" applyFont="1" applyNumberFormat="1">
      <alignment horizontal="center" shrinkToFit="0" vertical="center" wrapText="0"/>
    </xf>
    <xf borderId="10" fillId="4" fontId="12" numFmtId="166" xfId="0" applyAlignment="1" applyBorder="1" applyFont="1" applyNumberFormat="1">
      <alignment horizontal="center" shrinkToFit="0" vertical="center" wrapText="0"/>
    </xf>
    <xf borderId="0" fillId="2" fontId="1" numFmtId="2" xfId="0" applyFont="1" applyNumberFormat="1"/>
    <xf borderId="20" fillId="0" fontId="13" numFmtId="49" xfId="0" applyAlignment="1" applyBorder="1" applyFont="1" applyNumberFormat="1">
      <alignment horizontal="center" shrinkToFit="0" vertical="center" wrapText="0"/>
    </xf>
    <xf borderId="21" fillId="0" fontId="13" numFmtId="20" xfId="0" applyAlignment="1" applyBorder="1" applyFont="1" applyNumberFormat="1">
      <alignment horizontal="center" shrinkToFit="0" vertical="center" wrapText="0"/>
    </xf>
    <xf borderId="22" fillId="0" fontId="13" numFmtId="49" xfId="0" applyAlignment="1" applyBorder="1" applyFont="1" applyNumberFormat="1">
      <alignment horizontal="center" shrinkToFit="0" vertical="center" wrapText="0"/>
    </xf>
    <xf borderId="0" fillId="8" fontId="1" numFmtId="49" xfId="0" applyAlignment="1" applyFont="1" applyNumberFormat="1">
      <alignment horizontal="center" readingOrder="0" shrinkToFit="0" vertical="center" wrapText="0"/>
    </xf>
    <xf borderId="3" fillId="10" fontId="14" numFmtId="166" xfId="0" applyAlignment="1" applyBorder="1" applyFill="1" applyFont="1" applyNumberFormat="1">
      <alignment horizontal="center" readingOrder="0" vertical="center"/>
    </xf>
    <xf borderId="23" fillId="6" fontId="9" numFmtId="0" xfId="0" applyAlignment="1" applyBorder="1" applyFont="1">
      <alignment horizontal="center" shrinkToFit="0" vertical="center" wrapText="0"/>
    </xf>
    <xf borderId="0" fillId="2" fontId="15" numFmtId="2" xfId="0" applyAlignment="1" applyFont="1" applyNumberFormat="1">
      <alignment horizontal="center" vertical="bottom"/>
    </xf>
    <xf borderId="16" fillId="8" fontId="1" numFmtId="49" xfId="0" applyAlignment="1" applyBorder="1" applyFont="1" applyNumberFormat="1">
      <alignment horizontal="center" readingOrder="0" shrinkToFit="0" vertical="center" wrapText="0"/>
    </xf>
    <xf borderId="12" fillId="8" fontId="1" numFmtId="49" xfId="0" applyAlignment="1" applyBorder="1" applyFont="1" applyNumberFormat="1">
      <alignment horizontal="center" readingOrder="0" shrinkToFit="0" vertical="center" wrapText="0"/>
    </xf>
    <xf borderId="24" fillId="8" fontId="1" numFmtId="49" xfId="0" applyAlignment="1" applyBorder="1" applyFont="1" applyNumberFormat="1">
      <alignment horizontal="center" shrinkToFit="0" vertical="center" wrapText="0"/>
    </xf>
    <xf borderId="25" fillId="11" fontId="10" numFmtId="20" xfId="0" applyAlignment="1" applyBorder="1" applyFill="1" applyFont="1" applyNumberFormat="1">
      <alignment horizontal="center"/>
    </xf>
    <xf borderId="15" fillId="4" fontId="7" numFmtId="0" xfId="0" applyAlignment="1" applyBorder="1" applyFont="1">
      <alignment horizontal="center" shrinkToFit="0" vertical="center" wrapText="0"/>
    </xf>
    <xf borderId="26" fillId="8" fontId="1" numFmtId="0" xfId="0" applyAlignment="1" applyBorder="1" applyFont="1">
      <alignment readingOrder="0" vertical="bottom"/>
    </xf>
    <xf borderId="24" fillId="8" fontId="1" numFmtId="49" xfId="0" applyAlignment="1" applyBorder="1" applyFont="1" applyNumberFormat="1">
      <alignment horizontal="center" readingOrder="0" shrinkToFit="0" vertical="center" wrapText="0"/>
    </xf>
    <xf borderId="13" fillId="8" fontId="1" numFmtId="166" xfId="0" applyAlignment="1" applyBorder="1" applyFont="1" applyNumberFormat="1">
      <alignment horizontal="center" readingOrder="0" shrinkToFit="0" vertical="center" wrapText="0"/>
    </xf>
    <xf borderId="26" fillId="8" fontId="16" numFmtId="0" xfId="0" applyAlignment="1" applyBorder="1" applyFont="1">
      <alignment horizontal="left" readingOrder="0"/>
    </xf>
    <xf borderId="25" fillId="11" fontId="10" numFmtId="49" xfId="0" applyAlignment="1" applyBorder="1" applyFont="1" applyNumberFormat="1">
      <alignment horizontal="center"/>
    </xf>
    <xf borderId="0" fillId="7" fontId="1" numFmtId="49" xfId="0" applyAlignment="1" applyFont="1" applyNumberFormat="1">
      <alignment horizontal="center" shrinkToFit="0" vertical="center" wrapText="0"/>
    </xf>
    <xf borderId="12" fillId="6" fontId="13" numFmtId="0" xfId="0" applyAlignment="1" applyBorder="1" applyFont="1">
      <alignment horizontal="center" shrinkToFit="0" vertical="center" wrapText="0"/>
    </xf>
    <xf borderId="24" fillId="8" fontId="1" numFmtId="20" xfId="0" applyAlignment="1" applyBorder="1" applyFont="1" applyNumberFormat="1">
      <alignment horizontal="center" shrinkToFit="0" vertical="center" wrapText="0"/>
    </xf>
    <xf borderId="23" fillId="6" fontId="13" numFmtId="0" xfId="0" applyAlignment="1" applyBorder="1" applyFont="1">
      <alignment horizontal="center" shrinkToFit="0" vertical="center" wrapText="0"/>
    </xf>
    <xf borderId="11" fillId="11" fontId="10" numFmtId="166" xfId="0" applyAlignment="1" applyBorder="1" applyFont="1" applyNumberFormat="1">
      <alignment horizontal="center" vertical="center"/>
    </xf>
    <xf borderId="16" fillId="8" fontId="1" numFmtId="49" xfId="0" applyAlignment="1" applyBorder="1" applyFont="1" applyNumberFormat="1">
      <alignment horizontal="center" shrinkToFit="0" vertical="center" wrapText="0"/>
    </xf>
    <xf borderId="12" fillId="8" fontId="1" numFmtId="49" xfId="0" applyAlignment="1" applyBorder="1" applyFont="1" applyNumberFormat="1">
      <alignment horizontal="center" shrinkToFit="0" vertical="center" wrapText="0"/>
    </xf>
    <xf borderId="0" fillId="9" fontId="1" numFmtId="0" xfId="0" applyAlignment="1" applyFont="1">
      <alignment horizontal="center" shrinkToFit="0" vertical="center" wrapText="0"/>
    </xf>
    <xf borderId="17" fillId="0" fontId="5" numFmtId="0" xfId="0" applyBorder="1" applyFont="1"/>
    <xf borderId="12" fillId="8" fontId="1" numFmtId="20" xfId="0" applyAlignment="1" applyBorder="1" applyFont="1" applyNumberFormat="1">
      <alignment horizontal="center" shrinkToFit="0" vertical="center" wrapText="0"/>
    </xf>
    <xf borderId="27" fillId="11" fontId="10" numFmtId="49" xfId="0" applyAlignment="1" applyBorder="1" applyFont="1" applyNumberFormat="1">
      <alignment horizontal="center"/>
    </xf>
    <xf borderId="28" fillId="8" fontId="1" numFmtId="49" xfId="0" applyAlignment="1" applyBorder="1" applyFont="1" applyNumberFormat="1">
      <alignment horizontal="center" shrinkToFit="0" vertical="center" wrapText="0"/>
    </xf>
    <xf borderId="23" fillId="8" fontId="1" numFmtId="20" xfId="0" applyAlignment="1" applyBorder="1" applyFont="1" applyNumberFormat="1">
      <alignment horizontal="center" shrinkToFit="0" vertical="center" wrapText="0"/>
    </xf>
    <xf borderId="15" fillId="8" fontId="1" numFmtId="20" xfId="0" applyAlignment="1" applyBorder="1" applyFont="1" applyNumberFormat="1">
      <alignment horizontal="center" shrinkToFit="0" vertical="center" wrapText="0"/>
    </xf>
    <xf borderId="29" fillId="11" fontId="10" numFmtId="49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vertical="bottom"/>
    </xf>
    <xf borderId="10" fillId="9" fontId="1" numFmtId="49" xfId="0" applyAlignment="1" applyBorder="1" applyFont="1" applyNumberFormat="1">
      <alignment horizontal="center" shrinkToFit="0" vertical="center" wrapText="0"/>
    </xf>
    <xf borderId="25" fillId="9" fontId="17" numFmtId="0" xfId="0" applyAlignment="1" applyBorder="1" applyFont="1">
      <alignment horizontal="center" shrinkToFit="0" vertical="bottom" wrapText="1"/>
    </xf>
    <xf borderId="25" fillId="9" fontId="13" numFmtId="0" xfId="0" applyAlignment="1" applyBorder="1" applyFont="1">
      <alignment horizontal="center" shrinkToFit="0" vertical="bottom" wrapText="1"/>
    </xf>
    <xf borderId="25" fillId="12" fontId="17" numFmtId="0" xfId="0" applyAlignment="1" applyBorder="1" applyFill="1" applyFont="1">
      <alignment horizontal="center" shrinkToFit="0" vertical="bottom" wrapText="1"/>
    </xf>
    <xf borderId="25" fillId="12" fontId="17" numFmtId="166" xfId="0" applyAlignment="1" applyBorder="1" applyFont="1" applyNumberFormat="1">
      <alignment horizontal="center" shrinkToFit="0" vertical="bottom" wrapText="1"/>
    </xf>
    <xf borderId="25" fillId="12" fontId="1" numFmtId="0" xfId="0" applyAlignment="1" applyBorder="1" applyFont="1">
      <alignment horizontal="center" vertical="bottom"/>
    </xf>
    <xf borderId="21" fillId="0" fontId="13" numFmtId="49" xfId="0" applyAlignment="1" applyBorder="1" applyFont="1" applyNumberFormat="1">
      <alignment horizontal="center" shrinkToFit="0" vertical="center" wrapText="0"/>
    </xf>
    <xf borderId="30" fillId="0" fontId="13" numFmtId="49" xfId="0" applyAlignment="1" applyBorder="1" applyFont="1" applyNumberFormat="1">
      <alignment horizontal="center" shrinkToFit="0" vertical="center" wrapText="0"/>
    </xf>
    <xf borderId="27" fillId="9" fontId="13" numFmtId="0" xfId="0" applyAlignment="1" applyBorder="1" applyFont="1">
      <alignment horizontal="center" shrinkToFit="0" vertical="bottom" wrapText="1"/>
    </xf>
    <xf borderId="27" fillId="9" fontId="17" numFmtId="0" xfId="0" applyAlignment="1" applyBorder="1" applyFont="1">
      <alignment horizontal="center" shrinkToFit="0" vertical="bottom" wrapText="1"/>
    </xf>
    <xf borderId="25" fillId="8" fontId="1" numFmtId="49" xfId="0" applyAlignment="1" applyBorder="1" applyFont="1" applyNumberFormat="1">
      <alignment horizontal="center" shrinkToFit="0" vertical="center" wrapText="0"/>
    </xf>
    <xf borderId="12" fillId="5" fontId="1" numFmtId="49" xfId="0" applyAlignment="1" applyBorder="1" applyFont="1" applyNumberFormat="1">
      <alignment horizontal="center"/>
    </xf>
    <xf borderId="12" fillId="13" fontId="18" numFmtId="0" xfId="0" applyAlignment="1" applyBorder="1" applyFill="1" applyFont="1">
      <alignment horizontal="center" readingOrder="0" shrinkToFit="0" vertical="center" wrapText="0"/>
    </xf>
    <xf borderId="24" fillId="11" fontId="13" numFmtId="49" xfId="0" applyAlignment="1" applyBorder="1" applyFont="1" applyNumberFormat="1">
      <alignment horizontal="center"/>
    </xf>
    <xf borderId="31" fillId="0" fontId="5" numFmtId="0" xfId="0" applyBorder="1" applyFont="1"/>
    <xf borderId="26" fillId="8" fontId="1" numFmtId="0" xfId="0" applyAlignment="1" applyBorder="1" applyFont="1">
      <alignment readingOrder="0"/>
    </xf>
    <xf borderId="25" fillId="8" fontId="1" numFmtId="20" xfId="0" applyAlignment="1" applyBorder="1" applyFont="1" applyNumberFormat="1">
      <alignment horizontal="center" shrinkToFit="0" vertical="center" wrapText="0"/>
    </xf>
    <xf borderId="13" fillId="11" fontId="13" numFmtId="49" xfId="0" applyAlignment="1" applyBorder="1" applyFont="1" applyNumberFormat="1">
      <alignment horizontal="center"/>
    </xf>
    <xf borderId="25" fillId="14" fontId="17" numFmtId="0" xfId="0" applyAlignment="1" applyBorder="1" applyFill="1" applyFont="1">
      <alignment horizontal="center" shrinkToFit="0" vertical="bottom" wrapText="1"/>
    </xf>
    <xf borderId="25" fillId="15" fontId="1" numFmtId="0" xfId="0" applyAlignment="1" applyBorder="1" applyFill="1" applyFont="1">
      <alignment horizontal="center" vertical="bottom"/>
    </xf>
    <xf borderId="32" fillId="8" fontId="1" numFmtId="49" xfId="0" applyAlignment="1" applyBorder="1" applyFont="1" applyNumberFormat="1">
      <alignment horizontal="center" readingOrder="0" shrinkToFit="0" vertical="center" wrapText="0"/>
    </xf>
    <xf borderId="25" fillId="8" fontId="1" numFmtId="49" xfId="0" applyAlignment="1" applyBorder="1" applyFont="1" applyNumberFormat="1">
      <alignment horizontal="center" readingOrder="0" shrinkToFit="0" vertical="center" wrapText="0"/>
    </xf>
    <xf borderId="33" fillId="9" fontId="13" numFmtId="0" xfId="0" applyAlignment="1" applyBorder="1" applyFont="1">
      <alignment horizontal="center" shrinkToFit="0" vertical="bottom" wrapText="1"/>
    </xf>
    <xf borderId="34" fillId="0" fontId="5" numFmtId="0" xfId="0" applyBorder="1" applyFont="1"/>
    <xf borderId="27" fillId="9" fontId="13" numFmtId="10" xfId="0" applyAlignment="1" applyBorder="1" applyFont="1" applyNumberFormat="1">
      <alignment horizontal="center" shrinkToFit="0" vertical="bottom" wrapText="1"/>
    </xf>
    <xf borderId="35" fillId="0" fontId="5" numFmtId="0" xfId="0" applyBorder="1" applyFont="1"/>
    <xf borderId="12" fillId="0" fontId="5" numFmtId="0" xfId="0" applyBorder="1" applyFont="1"/>
    <xf borderId="32" fillId="8" fontId="1" numFmtId="49" xfId="0" applyAlignment="1" applyBorder="1" applyFont="1" applyNumberFormat="1">
      <alignment horizontal="center" shrinkToFit="0" vertical="center" wrapText="0"/>
    </xf>
    <xf borderId="12" fillId="13" fontId="18" numFmtId="49" xfId="0" applyAlignment="1" applyBorder="1" applyFont="1" applyNumberFormat="1">
      <alignment horizontal="center" shrinkToFit="0" vertical="center" wrapText="0"/>
    </xf>
    <xf borderId="36" fillId="15" fontId="1" numFmtId="0" xfId="0" applyAlignment="1" applyBorder="1" applyFont="1">
      <alignment horizontal="center" vertical="bottom"/>
    </xf>
    <xf borderId="32" fillId="0" fontId="5" numFmtId="0" xfId="0" applyBorder="1" applyFont="1"/>
    <xf borderId="25" fillId="12" fontId="1" numFmtId="10" xfId="0" applyAlignment="1" applyBorder="1" applyFont="1" applyNumberFormat="1">
      <alignment horizontal="center" vertical="bottom"/>
    </xf>
    <xf borderId="0" fillId="16" fontId="1" numFmtId="169" xfId="0" applyAlignment="1" applyFill="1" applyFont="1" applyNumberFormat="1">
      <alignment vertical="bottom"/>
    </xf>
    <xf borderId="27" fillId="9" fontId="17" numFmtId="10" xfId="0" applyAlignment="1" applyBorder="1" applyFont="1" applyNumberFormat="1">
      <alignment horizontal="center" shrinkToFit="0" vertical="bottom" wrapText="1"/>
    </xf>
    <xf borderId="16" fillId="8" fontId="1" numFmtId="0" xfId="0" applyAlignment="1" applyBorder="1" applyFont="1">
      <alignment horizontal="center" shrinkToFit="0" vertical="center" wrapText="0"/>
    </xf>
    <xf borderId="12" fillId="5" fontId="1" numFmtId="0" xfId="0" applyAlignment="1" applyBorder="1" applyFont="1">
      <alignment horizontal="center"/>
    </xf>
    <xf borderId="12" fillId="13" fontId="18" numFmtId="0" xfId="0" applyAlignment="1" applyBorder="1" applyFont="1">
      <alignment horizontal="center" shrinkToFit="0" vertical="center" wrapText="0"/>
    </xf>
    <xf borderId="13" fillId="11" fontId="13" numFmtId="0" xfId="0" applyAlignment="1" applyBorder="1" applyFont="1">
      <alignment horizontal="center"/>
    </xf>
    <xf borderId="0" fillId="16" fontId="1" numFmtId="0" xfId="0" applyAlignment="1" applyFont="1">
      <alignment vertical="bottom"/>
    </xf>
    <xf borderId="28" fillId="17" fontId="13" numFmtId="0" xfId="0" applyAlignment="1" applyBorder="1" applyFill="1" applyFont="1">
      <alignment horizontal="center" shrinkToFit="0" vertical="center" wrapText="0"/>
    </xf>
    <xf borderId="15" fillId="17" fontId="13" numFmtId="0" xfId="0" applyAlignment="1" applyBorder="1" applyFont="1">
      <alignment horizontal="center" shrinkToFit="0" vertical="center" wrapText="0"/>
    </xf>
    <xf borderId="23" fillId="0" fontId="5" numFmtId="0" xfId="0" applyBorder="1" applyFont="1"/>
    <xf borderId="23" fillId="5" fontId="13" numFmtId="0" xfId="0" applyAlignment="1" applyBorder="1" applyFont="1">
      <alignment horizontal="center"/>
    </xf>
    <xf borderId="23" fillId="17" fontId="13" numFmtId="0" xfId="0" applyAlignment="1" applyBorder="1" applyFont="1">
      <alignment horizontal="center" shrinkToFit="0" vertical="center" wrapText="0"/>
    </xf>
    <xf borderId="11" fillId="17" fontId="13" numFmtId="0" xfId="0" applyAlignment="1" applyBorder="1" applyFont="1">
      <alignment horizontal="center"/>
    </xf>
    <xf borderId="24" fillId="16" fontId="1" numFmtId="0" xfId="0" applyAlignment="1" applyBorder="1" applyFont="1">
      <alignment vertical="bottom"/>
    </xf>
    <xf borderId="0" fillId="11" fontId="2" numFmtId="2" xfId="0" applyAlignment="1" applyFont="1" applyNumberFormat="1">
      <alignment horizontal="center" vertical="center"/>
    </xf>
    <xf borderId="2" fillId="11" fontId="2" numFmtId="2" xfId="0" applyAlignment="1" applyBorder="1" applyFont="1" applyNumberFormat="1">
      <alignment horizontal="center" readingOrder="0" vertical="center"/>
    </xf>
    <xf borderId="3" fillId="2" fontId="19" numFmtId="164" xfId="0" applyAlignment="1" applyBorder="1" applyFont="1" applyNumberFormat="1">
      <alignment horizontal="center" readingOrder="0" shrinkToFit="0" vertical="center" wrapText="0"/>
    </xf>
    <xf borderId="2" fillId="18" fontId="20" numFmtId="0" xfId="0" applyAlignment="1" applyBorder="1" applyFill="1" applyFont="1">
      <alignment horizontal="center" readingOrder="0" shrinkToFit="0" vertical="center" wrapText="1"/>
    </xf>
    <xf borderId="4" fillId="2" fontId="19" numFmtId="164" xfId="0" applyAlignment="1" applyBorder="1" applyFont="1" applyNumberFormat="1">
      <alignment horizontal="center" readingOrder="0" shrinkToFit="0" vertical="center" wrapText="0"/>
    </xf>
    <xf borderId="5" fillId="2" fontId="6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2" fontId="6" numFmtId="166" xfId="0" applyAlignment="1" applyFont="1" applyNumberFormat="1">
      <alignment horizontal="center" readingOrder="0" vertical="center"/>
    </xf>
    <xf borderId="20" fillId="2" fontId="9" numFmtId="0" xfId="0" applyAlignment="1" applyBorder="1" applyFont="1">
      <alignment horizontal="center" vertical="center"/>
    </xf>
    <xf borderId="22" fillId="2" fontId="10" numFmtId="166" xfId="0" applyAlignment="1" applyBorder="1" applyFont="1" applyNumberFormat="1">
      <alignment horizontal="center" readingOrder="0" vertical="center"/>
    </xf>
    <xf borderId="0" fillId="2" fontId="10" numFmtId="10" xfId="0" applyAlignment="1" applyFont="1" applyNumberFormat="1">
      <alignment horizontal="center" readingOrder="0" vertical="center"/>
    </xf>
    <xf borderId="0" fillId="2" fontId="10" numFmtId="166" xfId="0" applyAlignment="1" applyFont="1" applyNumberFormat="1">
      <alignment horizontal="center" readingOrder="0" vertical="center"/>
    </xf>
    <xf borderId="0" fillId="2" fontId="11" numFmtId="167" xfId="0" applyAlignment="1" applyFont="1" applyNumberFormat="1">
      <alignment horizontal="center" readingOrder="0" vertical="center"/>
    </xf>
    <xf borderId="3" fillId="2" fontId="11" numFmtId="167" xfId="0" applyAlignment="1" applyBorder="1" applyFont="1" applyNumberFormat="1">
      <alignment horizontal="center" readingOrder="0" vertical="center"/>
    </xf>
    <xf borderId="16" fillId="2" fontId="9" numFmtId="0" xfId="0" applyAlignment="1" applyBorder="1" applyFont="1">
      <alignment horizontal="center" vertical="center"/>
    </xf>
    <xf borderId="13" fillId="2" fontId="10" numFmtId="166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horizontal="left" readingOrder="0" vertical="center"/>
    </xf>
    <xf borderId="3" fillId="2" fontId="6" numFmtId="0" xfId="0" applyAlignment="1" applyBorder="1" applyFont="1">
      <alignment horizontal="left" readingOrder="0" vertical="center"/>
    </xf>
    <xf borderId="14" fillId="2" fontId="6" numFmtId="0" xfId="0" applyAlignment="1" applyBorder="1" applyFont="1">
      <alignment horizontal="left" readingOrder="0" vertical="center"/>
    </xf>
    <xf borderId="16" fillId="2" fontId="9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10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0" fillId="13" fontId="22" numFmtId="0" xfId="0" applyFont="1"/>
    <xf borderId="37" fillId="2" fontId="9" numFmtId="0" xfId="0" applyAlignment="1" applyBorder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3" fillId="2" fontId="12" numFmtId="0" xfId="0" applyAlignment="1" applyBorder="1" applyFont="1">
      <alignment horizontal="center" readingOrder="0" vertical="center"/>
    </xf>
    <xf borderId="14" fillId="2" fontId="13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0" fillId="2" fontId="13" numFmtId="0" xfId="0" applyAlignment="1" applyFont="1">
      <alignment horizontal="center" readingOrder="0" vertical="center"/>
    </xf>
    <xf borderId="20" fillId="2" fontId="13" numFmtId="0" xfId="0" applyAlignment="1" applyBorder="1" applyFont="1">
      <alignment horizontal="center" readingOrder="0" vertical="center"/>
    </xf>
    <xf borderId="21" fillId="2" fontId="13" numFmtId="0" xfId="0" applyAlignment="1" applyBorder="1" applyFont="1">
      <alignment horizontal="center" readingOrder="0" vertical="center"/>
    </xf>
    <xf borderId="21" fillId="13" fontId="13" numFmtId="20" xfId="0" applyAlignment="1" applyBorder="1" applyFont="1" applyNumberFormat="1">
      <alignment horizontal="center" vertical="center"/>
    </xf>
    <xf borderId="38" fillId="2" fontId="13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6" fillId="2" fontId="1" numFmtId="49" xfId="0" applyAlignment="1" applyBorder="1" applyFont="1" applyNumberFormat="1">
      <alignment horizontal="center" readingOrder="0" vertical="center"/>
    </xf>
    <xf quotePrefix="1" borderId="24" fillId="13" fontId="1" numFmtId="49" xfId="0" applyAlignment="1" applyBorder="1" applyFont="1" applyNumberFormat="1">
      <alignment horizontal="center" readingOrder="0" vertical="center"/>
    </xf>
    <xf borderId="23" fillId="2" fontId="9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6" fillId="2" fontId="13" numFmtId="0" xfId="0" applyAlignment="1" applyBorder="1" applyFont="1">
      <alignment horizontal="center" vertical="center"/>
    </xf>
    <xf borderId="24" fillId="13" fontId="1" numFmtId="49" xfId="0" applyAlignment="1" applyBorder="1" applyFont="1" applyNumberFormat="1">
      <alignment horizontal="center" readingOrder="0" vertical="center"/>
    </xf>
    <xf borderId="28" fillId="2" fontId="13" numFmtId="0" xfId="0" applyAlignment="1" applyBorder="1" applyFont="1">
      <alignment horizontal="center" readingOrder="0" vertical="center"/>
    </xf>
    <xf borderId="19" fillId="2" fontId="14" numFmtId="0" xfId="0" applyAlignment="1" applyBorder="1" applyFont="1">
      <alignment horizontal="center" vertical="center"/>
    </xf>
    <xf borderId="0" fillId="2" fontId="17" numFmtId="0" xfId="0" applyAlignment="1" applyFont="1">
      <alignment horizontal="center" readingOrder="0" shrinkToFit="0" vertical="top" wrapText="1"/>
    </xf>
    <xf borderId="39" fillId="9" fontId="17" numFmtId="0" xfId="0" applyAlignment="1" applyBorder="1" applyFont="1">
      <alignment horizontal="center" readingOrder="0" shrinkToFit="0" vertical="center" wrapText="1"/>
    </xf>
    <xf borderId="40" fillId="9" fontId="17" numFmtId="0" xfId="0" applyAlignment="1" applyBorder="1" applyFont="1">
      <alignment horizontal="center" readingOrder="0" shrinkToFit="0" vertical="center" wrapText="1"/>
    </xf>
    <xf borderId="40" fillId="9" fontId="13" numFmtId="0" xfId="0" applyAlignment="1" applyBorder="1" applyFont="1">
      <alignment horizontal="center" readingOrder="0" shrinkToFit="0" vertical="center" wrapText="1"/>
    </xf>
    <xf borderId="41" fillId="9" fontId="13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42" fillId="0" fontId="5" numFmtId="0" xfId="0" applyBorder="1" applyFont="1"/>
    <xf borderId="43" fillId="12" fontId="17" numFmtId="0" xfId="0" applyAlignment="1" applyBorder="1" applyFont="1">
      <alignment horizontal="center" readingOrder="0" shrinkToFit="0" vertical="center" wrapText="1"/>
    </xf>
    <xf borderId="25" fillId="12" fontId="17" numFmtId="166" xfId="0" applyAlignment="1" applyBorder="1" applyFont="1" applyNumberFormat="1">
      <alignment horizontal="center" readingOrder="0" shrinkToFit="0" vertical="center" wrapText="1"/>
    </xf>
    <xf borderId="25" fillId="12" fontId="1" numFmtId="0" xfId="0" applyAlignment="1" applyBorder="1" applyFont="1">
      <alignment horizontal="center" readingOrder="0" vertical="center"/>
    </xf>
    <xf borderId="44" fillId="12" fontId="17" numFmtId="0" xfId="0" applyAlignment="1" applyBorder="1" applyFont="1">
      <alignment horizontal="center" readingOrder="0" shrinkToFit="0" vertical="center" wrapText="1"/>
    </xf>
    <xf borderId="45" fillId="9" fontId="13" numFmtId="0" xfId="0" applyAlignment="1" applyBorder="1" applyFont="1">
      <alignment horizontal="center" readingOrder="0" shrinkToFit="0" vertical="center" wrapText="1"/>
    </xf>
    <xf borderId="27" fillId="9" fontId="17" numFmtId="0" xfId="0" applyAlignment="1" applyBorder="1" applyFont="1">
      <alignment horizontal="center" readingOrder="0" shrinkToFit="0" vertical="center" wrapText="1"/>
    </xf>
    <xf borderId="27" fillId="9" fontId="13" numFmtId="0" xfId="0" applyAlignment="1" applyBorder="1" applyFont="1">
      <alignment horizontal="center" readingOrder="0" shrinkToFit="0" vertical="center" wrapText="1"/>
    </xf>
    <xf borderId="46" fillId="9" fontId="17" numFmtId="0" xfId="0" applyAlignment="1" applyBorder="1" applyFont="1">
      <alignment horizontal="center" readingOrder="0" shrinkToFit="0" vertical="center" wrapText="1"/>
    </xf>
    <xf borderId="43" fillId="14" fontId="17" numFmtId="0" xfId="0" applyAlignment="1" applyBorder="1" applyFont="1">
      <alignment horizontal="center" readingOrder="0" shrinkToFit="0" vertical="center" wrapText="1"/>
    </xf>
    <xf borderId="44" fillId="19" fontId="1" numFmtId="0" xfId="0" applyAlignment="1" applyBorder="1" applyFill="1" applyFont="1">
      <alignment horizontal="center" readingOrder="0" vertical="center"/>
    </xf>
    <xf borderId="47" fillId="9" fontId="13" numFmtId="0" xfId="0" applyAlignment="1" applyBorder="1" applyFont="1">
      <alignment horizontal="center" readingOrder="0" shrinkToFit="0" vertical="center" wrapText="1"/>
    </xf>
    <xf borderId="48" fillId="0" fontId="5" numFmtId="0" xfId="0" applyBorder="1" applyFont="1"/>
    <xf borderId="49" fillId="19" fontId="1" numFmtId="0" xfId="0" applyAlignment="1" applyBorder="1" applyFont="1">
      <alignment horizontal="center" readingOrder="0" vertical="center"/>
    </xf>
    <xf borderId="25" fillId="12" fontId="1" numFmtId="10" xfId="0" applyAlignment="1" applyBorder="1" applyFont="1" applyNumberFormat="1">
      <alignment horizontal="center" readingOrder="0" vertical="center"/>
    </xf>
    <xf borderId="44" fillId="12" fontId="1" numFmtId="0" xfId="0" applyAlignment="1" applyBorder="1" applyFont="1">
      <alignment horizontal="center" readingOrder="0" vertical="center"/>
    </xf>
    <xf borderId="18" fillId="16" fontId="17" numFmtId="0" xfId="0" applyAlignment="1" applyBorder="1" applyFont="1">
      <alignment horizontal="center" readingOrder="0" shrinkToFit="0" vertical="center" wrapText="1"/>
    </xf>
    <xf borderId="28" fillId="2" fontId="1" numFmtId="49" xfId="0" applyAlignment="1" applyBorder="1" applyFont="1" applyNumberFormat="1">
      <alignment horizontal="center" readingOrder="0" vertical="center"/>
    </xf>
    <xf borderId="15" fillId="13" fontId="1" numFmtId="49" xfId="0" applyAlignment="1" applyBorder="1" applyFont="1" applyNumberFormat="1">
      <alignment horizontal="center" readingOrder="0" vertical="center"/>
    </xf>
    <xf borderId="29" fillId="12" fontId="1" numFmtId="10" xfId="0" applyAlignment="1" applyBorder="1" applyFont="1" applyNumberFormat="1">
      <alignment horizontal="center" readingOrder="0" vertical="center"/>
    </xf>
    <xf borderId="50" fillId="12" fontId="1" numFmtId="10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2" numFmtId="11" xfId="0" applyAlignment="1" applyFont="1" applyNumberFormat="1">
      <alignment readingOrder="0"/>
    </xf>
    <xf borderId="0" fillId="0" fontId="22" numFmtId="11" xfId="0" applyFont="1" applyNumberFormat="1"/>
    <xf borderId="0" fillId="0" fontId="22" numFmtId="14" xfId="0" applyAlignment="1" applyFont="1" applyNumberFormat="1">
      <alignment readingOrder="0"/>
    </xf>
    <xf quotePrefix="1"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0" fontId="1" numFmtId="0" xfId="0" applyAlignment="1" applyFill="1" applyFont="1">
      <alignment vertical="bottom"/>
    </xf>
    <xf borderId="0" fillId="20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5" fontId="1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8</xdr:col>
      <xdr:colOff>952500</xdr:colOff>
      <xdr:row>16</xdr:row>
      <xdr:rowOff>171450</xdr:rowOff>
    </xdr:from>
    <xdr:ext cx="1266825" cy="1133475"/>
    <xdr:sp>
      <xdr:nvSpPr>
        <xdr:cNvPr id="4" name="Shape 4"/>
        <xdr:cNvSpPr/>
      </xdr:nvSpPr>
      <xdr:spPr>
        <a:xfrm>
          <a:off x="2945825" y="1555125"/>
          <a:ext cx="1248600" cy="1116600"/>
        </a:xfrm>
        <a:prstGeom prst="smileyFace">
          <a:avLst>
            <a:gd fmla="val 4653" name="adj"/>
          </a:avLst>
        </a:prstGeom>
        <a:solidFill>
          <a:srgbClr val="FFD96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504825</xdr:colOff>
      <xdr:row>1</xdr:row>
      <xdr:rowOff>219075</xdr:rowOff>
    </xdr:from>
    <xdr:ext cx="1428750" cy="476250"/>
    <xdr:sp>
      <xdr:nvSpPr>
        <xdr:cNvPr id="5" name="Shape 5"/>
        <xdr:cNvSpPr/>
      </xdr:nvSpPr>
      <xdr:spPr>
        <a:xfrm>
          <a:off x="3417850" y="683575"/>
          <a:ext cx="1822800" cy="6540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Nahraj z databaze</a:t>
          </a:r>
          <a:endParaRPr b="1" sz="15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16.75"/>
    <col customWidth="1" min="3" max="3" width="15.13"/>
    <col customWidth="1" min="11" max="11" width="11.63"/>
    <col customWidth="1" min="12" max="12" width="17.88"/>
  </cols>
  <sheetData>
    <row r="1">
      <c r="A1" s="1"/>
      <c r="B1" s="2" t="s">
        <v>0</v>
      </c>
      <c r="C1" s="3" t="s">
        <v>1</v>
      </c>
      <c r="D1" s="4">
        <v>45962.0</v>
      </c>
      <c r="E1" s="5"/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</row>
    <row r="2" ht="19.5" customHeight="1">
      <c r="A2" s="1"/>
      <c r="B2" s="11"/>
      <c r="C2" s="11"/>
      <c r="D2" s="12"/>
      <c r="E2" s="13"/>
      <c r="F2" s="14" t="str">
        <f>IFERROR(__xludf.DUMMYFUNCTION("IF(I2&gt;0, 100 / (I2 / 112 * 100 / ((SUM(A12:A21, A25:A31) + (M17 + I32) + IFERROR(SUM(FILTER(HR!W5:W48, LEN(HR!A5:A48) &gt; 0)), 0)) / 100)), ""Zadej tržbu"")"),"#DIV/0!")</f>
        <v>#DIV/0!</v>
      </c>
      <c r="H2" s="15"/>
      <c r="I2" s="16">
        <f>SUM(RestiaCSV!C:C) - SUMIFS(RestiaCSV!C:C, RestiaCSV!B:B, "canceled")</f>
        <v>29656</v>
      </c>
      <c r="K2" s="15"/>
      <c r="L2" s="17" t="s">
        <v>5</v>
      </c>
      <c r="M2" s="18">
        <f>SUMIFS(RestiaCSV!C:C, RestiaCSV!A:A, Report!L2, RestiaCSV!B:B, "&lt;&gt;canceled")</f>
        <v>12916</v>
      </c>
    </row>
    <row r="3">
      <c r="A3" s="1"/>
      <c r="B3" s="19" t="str">
        <f>CHOOSE(WEEKDAY(D1), "Neděle", "Pondělí", "Úterý", "Středa", "Čtvrtek", "Pátek", "Sobota")</f>
        <v>Sobota</v>
      </c>
      <c r="C3" s="20"/>
      <c r="D3" s="20"/>
      <c r="E3" s="5"/>
      <c r="H3" s="15"/>
      <c r="K3" s="15"/>
      <c r="L3" s="17" t="s">
        <v>6</v>
      </c>
      <c r="M3" s="18">
        <f>SUMIFS(RestiaCSV!C:C, RestiaCSV!A:A, Report!L3, RestiaCSV!B:B, "&lt;&gt;canceled")</f>
        <v>3655</v>
      </c>
    </row>
    <row r="4">
      <c r="A4" s="1"/>
      <c r="B4" s="12"/>
      <c r="C4" s="21"/>
      <c r="D4" s="21"/>
      <c r="E4" s="13"/>
      <c r="F4" s="21"/>
      <c r="G4" s="21"/>
      <c r="H4" s="13"/>
      <c r="I4" s="21"/>
      <c r="J4" s="21"/>
      <c r="K4" s="13"/>
      <c r="L4" s="17" t="s">
        <v>7</v>
      </c>
      <c r="M4" s="18">
        <f>SUMIFS(RestiaCSV!C:C, RestiaCSV!A:A, "damejidlo", RestiaCSV!G:G, "online", RestiaCSV!B:B, "&lt;&gt;canceled")</f>
        <v>6192</v>
      </c>
    </row>
    <row r="5">
      <c r="A5" s="1"/>
      <c r="B5" s="22" t="s">
        <v>8</v>
      </c>
      <c r="C5" s="20"/>
      <c r="D5" s="20"/>
      <c r="E5" s="20"/>
      <c r="F5" s="20"/>
      <c r="G5" s="20"/>
      <c r="H5" s="20"/>
      <c r="I5" s="20"/>
      <c r="J5" s="20"/>
      <c r="K5" s="5"/>
      <c r="L5" s="23" t="s">
        <v>9</v>
      </c>
      <c r="M5" s="18">
        <f>SUMIFS(RestiaCSV!C:C, RestiaCSV!A:A, "generic", RestiaCSV!G:G, "online", RestiaCSV!B:B, "&lt;&gt;canceled") </f>
        <v>5528</v>
      </c>
    </row>
    <row r="6">
      <c r="A6" s="1"/>
      <c r="B6" s="12"/>
      <c r="C6" s="21"/>
      <c r="D6" s="21"/>
      <c r="E6" s="21"/>
      <c r="F6" s="21"/>
      <c r="G6" s="21"/>
      <c r="H6" s="21"/>
      <c r="I6" s="21"/>
      <c r="J6" s="21"/>
      <c r="K6" s="13"/>
      <c r="L6" s="23" t="s">
        <v>10</v>
      </c>
      <c r="M6" s="18">
        <f>SUMIFS(RestiaCSV!C:C, RestiaCSV!E:E, "wolt kurýr", RestiaCSV!A:A, "&lt;&gt;wolt", RestiaCSV!G:G, "cash", RestiaCSV!B:B, "&lt;&gt;canceled")</f>
        <v>0</v>
      </c>
    </row>
    <row r="7">
      <c r="A7" s="1"/>
      <c r="B7" s="24"/>
      <c r="C7" s="20"/>
      <c r="D7" s="20"/>
      <c r="E7" s="5"/>
      <c r="F7" s="25" t="s">
        <v>11</v>
      </c>
      <c r="J7" s="26"/>
      <c r="K7" s="5"/>
      <c r="L7" s="27" t="s">
        <v>12</v>
      </c>
      <c r="M7" s="28">
        <f>SUMIFS(RestiaCSV!C:C, RestiaCSV!A:A, "damejidlo", RestiaCSV!G:G, "cash", RestiaCSV!B:B, "&lt;&gt;canceled") </f>
        <v>0</v>
      </c>
    </row>
    <row r="8">
      <c r="A8" s="1"/>
      <c r="B8" s="29"/>
      <c r="E8" s="15"/>
      <c r="J8" s="29"/>
      <c r="K8" s="15"/>
      <c r="L8" s="30" t="s">
        <v>13</v>
      </c>
      <c r="M8" s="8"/>
    </row>
    <row r="9">
      <c r="A9" s="1"/>
      <c r="B9" s="12"/>
      <c r="C9" s="21"/>
      <c r="D9" s="21"/>
      <c r="E9" s="13"/>
      <c r="F9" s="21"/>
      <c r="G9" s="21"/>
      <c r="H9" s="21"/>
      <c r="I9" s="21"/>
      <c r="J9" s="12"/>
      <c r="K9" s="13"/>
      <c r="L9" s="17" t="s">
        <v>14</v>
      </c>
      <c r="M9" s="31">
        <v>884.0</v>
      </c>
    </row>
    <row r="10">
      <c r="A10" s="1"/>
      <c r="B10" s="32" t="s">
        <v>15</v>
      </c>
      <c r="F10" s="15"/>
      <c r="G10" s="33" t="s">
        <v>16</v>
      </c>
      <c r="H10" s="21"/>
      <c r="I10" s="13"/>
      <c r="J10" s="34" t="s">
        <v>17</v>
      </c>
      <c r="K10" s="13"/>
      <c r="L10" s="17" t="s">
        <v>18</v>
      </c>
      <c r="M10" s="31"/>
    </row>
    <row r="11">
      <c r="A11" s="35"/>
      <c r="B11" s="36" t="s">
        <v>19</v>
      </c>
      <c r="C11" s="37" t="s">
        <v>20</v>
      </c>
      <c r="D11" s="37" t="s">
        <v>21</v>
      </c>
      <c r="E11" s="37" t="s">
        <v>22</v>
      </c>
      <c r="F11" s="38" t="s">
        <v>23</v>
      </c>
      <c r="G11" s="39" t="s">
        <v>24</v>
      </c>
      <c r="I11" s="15"/>
      <c r="J11" s="40">
        <f>M2+M3+M4+M5+M6+M13+M14+M15+M16+M17+M9+M10+M11-I2</f>
        <v>2698</v>
      </c>
      <c r="K11" s="5"/>
      <c r="L11" s="41" t="s">
        <v>13</v>
      </c>
      <c r="M11" s="31">
        <v>2679.0</v>
      </c>
    </row>
    <row r="12">
      <c r="A12" s="42">
        <f t="array" ref="A12">IF(ISBLANK(B12), 0, IF(ISNUMBER(MATCH(B12, HR!A:A, 0)), 0, IF(ISNUMBER(MATCH(B12, HR!B:B, 0)), INDEX(HR!V:V, MATCH(B12, HR!B:B, 0)) * (F12 * 24), 0)))</f>
        <v>0</v>
      </c>
      <c r="B12" s="43" t="s">
        <v>24</v>
      </c>
      <c r="C12" s="44" t="s">
        <v>25</v>
      </c>
      <c r="D12" s="44" t="s">
        <v>26</v>
      </c>
      <c r="E12" s="45"/>
      <c r="F12" s="4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I12" s="15"/>
      <c r="J12" s="29"/>
      <c r="K12" s="15"/>
      <c r="L12" s="47" t="s">
        <v>27</v>
      </c>
      <c r="M12" s="13"/>
    </row>
    <row r="13">
      <c r="A13" s="42">
        <f t="array" ref="A13">IF(ISBLANK(B13), 0, IF(ISNUMBER(MATCH(B13, HR!A:A, 0)), 0, IF(ISNUMBER(MATCH(B13, HR!B:B, 0)), INDEX(HR!V:V, MATCH(B13, HR!B:B, 0)) * (F13 * 24), 0)))</f>
        <v>0</v>
      </c>
      <c r="B13" s="48" t="s">
        <v>28</v>
      </c>
      <c r="C13" s="44" t="s">
        <v>26</v>
      </c>
      <c r="D13" s="44" t="s">
        <v>29</v>
      </c>
      <c r="E13" s="49"/>
      <c r="F13" s="46" t="str">
        <f t="shared" si="1"/>
        <v>08:00</v>
      </c>
      <c r="G13" s="21"/>
      <c r="H13" s="21"/>
      <c r="I13" s="13"/>
      <c r="J13" s="29"/>
      <c r="K13" s="15"/>
      <c r="L13" s="17" t="s">
        <v>30</v>
      </c>
      <c r="M13" s="50">
        <v>500.0</v>
      </c>
    </row>
    <row r="14">
      <c r="A14" s="42">
        <f t="array" ref="A14">IF(ISBLANK(B14), 0, IF(ISNUMBER(MATCH(B14, HR!A:A, 0)), 0, IF(ISNUMBER(MATCH(B14, HR!B:B, 0)), INDEX(HR!V:V, MATCH(B14, HR!B:B, 0)) * (F14 * 24), 0)))</f>
        <v>0</v>
      </c>
      <c r="B14" s="51"/>
      <c r="C14" s="44"/>
      <c r="D14" s="44"/>
      <c r="E14" s="45"/>
      <c r="F14" s="52" t="str">
        <f t="shared" si="1"/>
        <v>0:00</v>
      </c>
      <c r="G14" s="53"/>
      <c r="I14" s="15"/>
      <c r="J14" s="29"/>
      <c r="K14" s="15"/>
      <c r="L14" s="54" t="s">
        <v>31</v>
      </c>
      <c r="M14" s="50"/>
    </row>
    <row r="15">
      <c r="A15" s="42">
        <f t="array" ref="A15">IF(ISBLANK(B15), 0, IF(ISNUMBER(MATCH(B15, HR!A:A, 0)), 0, IF(ISNUMBER(MATCH(B15, HR!B:B, 0)), INDEX(HR!V:V, MATCH(B15, HR!B:B, 0)) * (F15 * 24), 0)))</f>
        <v>0</v>
      </c>
      <c r="B15" s="51"/>
      <c r="C15" s="44"/>
      <c r="D15" s="44"/>
      <c r="E15" s="55"/>
      <c r="F15" s="52" t="str">
        <f t="shared" si="1"/>
        <v>0:00</v>
      </c>
      <c r="I15" s="15"/>
      <c r="J15" s="29"/>
      <c r="K15" s="15"/>
      <c r="L15" s="54" t="s">
        <v>32</v>
      </c>
      <c r="M15" s="50"/>
    </row>
    <row r="16">
      <c r="A16" s="42">
        <f t="array" ref="A16">IF(ISBLANK(B16), 0, IF(ISNUMBER(MATCH(B16, HR!A:A, 0)), 0, IF(ISNUMBER(MATCH(B16, HR!B:B, 0)), INDEX(HR!V:V, MATCH(B16, HR!B:B, 0)) * (F16 * 24), 0)))</f>
        <v>0</v>
      </c>
      <c r="B16" s="43"/>
      <c r="C16" s="44"/>
      <c r="D16" s="44"/>
      <c r="E16" s="55"/>
      <c r="F16" s="52" t="str">
        <f t="shared" si="1"/>
        <v>0:00</v>
      </c>
      <c r="I16" s="15"/>
      <c r="J16" s="29"/>
      <c r="K16" s="15"/>
      <c r="L16" s="54" t="s">
        <v>33</v>
      </c>
      <c r="M16" s="50"/>
    </row>
    <row r="17">
      <c r="A17" s="42">
        <f t="array" ref="A17">IF(ISBLANK(B17), 0, IF(ISNUMBER(MATCH(B17, HR!A:A, 0)), 0, IF(ISNUMBER(MATCH(B17, HR!B:B, 0)), INDEX(HR!V:V, MATCH(B17, HR!B:B, 0)) * (F17 * 24), 0)))</f>
        <v>0</v>
      </c>
      <c r="B17" s="43"/>
      <c r="C17" s="44"/>
      <c r="D17" s="44"/>
      <c r="E17" s="45"/>
      <c r="F17" s="52" t="str">
        <f t="shared" si="1"/>
        <v>0:00</v>
      </c>
      <c r="G17" s="21"/>
      <c r="H17" s="21"/>
      <c r="I17" s="13"/>
      <c r="J17" s="12"/>
      <c r="K17" s="13"/>
      <c r="L17" s="56" t="s">
        <v>34</v>
      </c>
      <c r="M17" s="57">
        <f>SUM(I25:I31)</f>
        <v>0</v>
      </c>
    </row>
    <row r="18" ht="21.75" customHeight="1">
      <c r="A18" s="42">
        <f t="array" ref="A18">IF(ISBLANK(B18), 0, IF(ISNUMBER(MATCH(B18, HR!A:A, 0)), 0, IF(ISNUMBER(MATCH(B18, HR!B:B, 0)), INDEX(HR!V:V, MATCH(B18, HR!B:B, 0)) * (F18 * 24), 0)))</f>
        <v>0</v>
      </c>
      <c r="B18" s="58"/>
      <c r="C18" s="59"/>
      <c r="D18" s="59"/>
      <c r="E18" s="55"/>
      <c r="F18" s="52" t="str">
        <f t="shared" si="1"/>
        <v>0:00</v>
      </c>
      <c r="G18" s="33" t="s">
        <v>35</v>
      </c>
      <c r="H18" s="21"/>
      <c r="I18" s="13"/>
      <c r="J18" s="60"/>
      <c r="M18" s="61"/>
    </row>
    <row r="19">
      <c r="A19" s="42">
        <f t="array" ref="A19">IF(ISBLANK(B19), 0, IF(ISNUMBER(MATCH(B19, HR!A:A, 0)), 0, IF(ISNUMBER(MATCH(B19, HR!B:B, 0)), INDEX(HR!V:V, MATCH(B19, HR!B:B, 0)) * (F19 * 24), 0)))</f>
        <v>0</v>
      </c>
      <c r="B19" s="58"/>
      <c r="C19" s="59"/>
      <c r="D19" s="59"/>
      <c r="E19" s="55"/>
      <c r="F19" s="52" t="str">
        <f t="shared" si="1"/>
        <v>0:00</v>
      </c>
      <c r="G19" s="39" t="s">
        <v>28</v>
      </c>
      <c r="I19" s="15"/>
      <c r="M19" s="61"/>
    </row>
    <row r="20">
      <c r="A20" s="42">
        <f t="array" ref="A20">IF(ISBLANK(B20), 0, IF(ISNUMBER(MATCH(B20, HR!A:A, 0)), 0, IF(ISNUMBER(MATCH(B20, HR!B:B, 0)), INDEX(HR!V:V, MATCH(B20, HR!B:B, 0)) * (F20 * 24), 0)))</f>
        <v>0</v>
      </c>
      <c r="B20" s="58"/>
      <c r="C20" s="62"/>
      <c r="D20" s="62"/>
      <c r="E20" s="55"/>
      <c r="F20" s="63" t="str">
        <f t="shared" si="1"/>
        <v>0:00</v>
      </c>
      <c r="I20" s="15"/>
      <c r="M20" s="61"/>
    </row>
    <row r="21" ht="23.25" customHeight="1">
      <c r="A21" s="42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1"/>
      <c r="H21" s="21"/>
      <c r="I21" s="13"/>
      <c r="M21" s="61"/>
    </row>
    <row r="22" ht="42.0" customHeight="1">
      <c r="A22" s="68"/>
      <c r="B22" s="69"/>
      <c r="C22" s="21"/>
      <c r="D22" s="21"/>
      <c r="E22" s="21"/>
      <c r="F22" s="21"/>
      <c r="G22" s="21"/>
      <c r="H22" s="21"/>
      <c r="I22" s="13"/>
      <c r="J22" s="70" t="s">
        <v>36</v>
      </c>
      <c r="K22" s="70" t="s">
        <v>37</v>
      </c>
      <c r="L22" s="71" t="s">
        <v>38</v>
      </c>
      <c r="M22" s="71" t="s">
        <v>39</v>
      </c>
    </row>
    <row r="23">
      <c r="A23" s="68"/>
      <c r="B23" s="32" t="s">
        <v>40</v>
      </c>
      <c r="I23" s="15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2" t="str">
        <f>INT(AVERAGE(RestiaCSV!N2:N32)) &amp; " min " &amp; TEXT(MOD(AVERAGE(RestiaCSV!N2:N32) * 60, 60), "00") &amp; " s"
</f>
        <v>9 min 06 s</v>
      </c>
    </row>
    <row r="24" ht="21.75" customHeight="1">
      <c r="A24" s="68"/>
      <c r="B24" s="36" t="s">
        <v>19</v>
      </c>
      <c r="C24" s="37" t="s">
        <v>20</v>
      </c>
      <c r="D24" s="37" t="s">
        <v>21</v>
      </c>
      <c r="E24" s="37" t="s">
        <v>22</v>
      </c>
      <c r="F24" s="75" t="s">
        <v>23</v>
      </c>
      <c r="G24" s="75" t="s">
        <v>41</v>
      </c>
      <c r="H24" s="75" t="s">
        <v>42</v>
      </c>
      <c r="I24" s="76" t="s">
        <v>43</v>
      </c>
      <c r="J24" s="77" t="s">
        <v>44</v>
      </c>
      <c r="K24" s="78" t="s">
        <v>45</v>
      </c>
      <c r="L24" s="77" t="s">
        <v>46</v>
      </c>
      <c r="M24" s="78" t="s">
        <v>47</v>
      </c>
    </row>
    <row r="25">
      <c r="A25" s="42">
        <f t="array" ref="A25">IF(ISBLANK(B25), 0, IF(ISNUMBER(MATCH(B25, HR!A:A, 0)), 0, IF(ISNUMBER(MATCH(B25, HR!B:B, 0)), INDEX(HR!V:V, MATCH(B25, HR!B:B, 0)) * (F25 * 24), 0)))</f>
        <v>0</v>
      </c>
      <c r="B25" s="51" t="s">
        <v>48</v>
      </c>
      <c r="C25" s="44" t="s">
        <v>26</v>
      </c>
      <c r="D25" s="44" t="s">
        <v>49</v>
      </c>
      <c r="E25" s="79"/>
      <c r="F25" s="4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04:00</v>
      </c>
      <c r="G25" s="80">
        <f>COUNTIF(RestiaCSV!E:E, B25)</f>
        <v>0</v>
      </c>
      <c r="H25" s="81"/>
      <c r="I25" s="82">
        <f t="shared" ref="I25:I31" si="3">IF(H25,G25*40, 0)</f>
        <v>0</v>
      </c>
      <c r="J25" s="83"/>
      <c r="K25" s="83"/>
      <c r="L25" s="83"/>
      <c r="M25" s="83"/>
    </row>
    <row r="26">
      <c r="A26" s="42">
        <f t="array" ref="A26">IF(ISBLANK(B26), 0, IF(ISNUMBER(MATCH(B26, HR!A:A, 0)), 0, IF(ISNUMBER(MATCH(B26, HR!B:B, 0)), INDEX(HR!V:V, MATCH(B26, HR!B:B, 0)) * (F26 * 24), 0)))</f>
        <v>0</v>
      </c>
      <c r="B26" s="84" t="s">
        <v>50</v>
      </c>
      <c r="C26" s="44" t="s">
        <v>51</v>
      </c>
      <c r="D26" s="44" t="s">
        <v>52</v>
      </c>
      <c r="E26" s="85"/>
      <c r="F26" s="46" t="str">
        <f t="shared" si="2"/>
        <v>12:00</v>
      </c>
      <c r="G26" s="80">
        <f>COUNTIF(RestiaCSV!E:E, B26)</f>
        <v>0</v>
      </c>
      <c r="H26" s="81"/>
      <c r="I26" s="86">
        <f t="shared" si="3"/>
        <v>0</v>
      </c>
      <c r="J26" s="87">
        <f>COUNTIF(I25:I31, "&gt;0")</f>
        <v>0</v>
      </c>
      <c r="K26" s="74">
        <f>IFERROR(__xludf.DUMMYFUNCTION("COUNTA(FILTER(RestiaCSV!B2:B32, RestiaCSV!B2:B32 &lt;&gt; ""canceled""))"),58.0)</f>
        <v>58</v>
      </c>
      <c r="L26" s="74">
        <f>COUNTIF(RestiaCSV!F1:F32, "delivery")</f>
        <v>8</v>
      </c>
      <c r="M26" s="88">
        <f>COUNTIF(RestiaCSV!M:M, "&gt;5")</f>
        <v>1</v>
      </c>
    </row>
    <row r="27" ht="22.5" customHeight="1">
      <c r="A27" s="42">
        <f t="array" ref="A27">IF(ISBLANK(B27), 0, IF(ISNUMBER(MATCH(B27, HR!A:A, 0)), 0, IF(ISNUMBER(MATCH(B27, HR!B:B, 0)), INDEX(HR!V:V, MATCH(B27, HR!B:B, 0)) * (F27 * 24), 0)))</f>
        <v>0</v>
      </c>
      <c r="B27" s="51"/>
      <c r="C27" s="89"/>
      <c r="D27" s="90"/>
      <c r="E27" s="85"/>
      <c r="F27" s="52" t="str">
        <f t="shared" si="2"/>
        <v>0:00</v>
      </c>
      <c r="G27" s="80">
        <f>COUNTIF(RestiaCSV!E:E, B27)</f>
        <v>0</v>
      </c>
      <c r="H27" s="81"/>
      <c r="I27" s="86">
        <f t="shared" si="3"/>
        <v>0</v>
      </c>
      <c r="J27" s="91" t="s">
        <v>53</v>
      </c>
      <c r="K27" s="92"/>
      <c r="L27" s="93" t="s">
        <v>54</v>
      </c>
      <c r="M27" s="78" t="s">
        <v>55</v>
      </c>
    </row>
    <row r="28">
      <c r="A28" s="42">
        <f t="array" ref="A28">IF(ISBLANK(B28), 0, IF(ISNUMBER(MATCH(B28, HR!A:A, 0)), 0, IF(ISNUMBER(MATCH(B28, HR!B:B, 0)), INDEX(HR!V:V, MATCH(B28, HR!B:B, 0)) * (F28 * 24), 0)))</f>
        <v>0</v>
      </c>
      <c r="B28" s="43"/>
      <c r="C28" s="89"/>
      <c r="D28" s="90"/>
      <c r="E28" s="85"/>
      <c r="F28" s="52" t="str">
        <f t="shared" si="2"/>
        <v>0:00</v>
      </c>
      <c r="G28" s="80">
        <f>COUNTIF(RestiaCSV!E:E, B28)</f>
        <v>0</v>
      </c>
      <c r="H28" s="81"/>
      <c r="I28" s="86">
        <f t="shared" si="3"/>
        <v>0</v>
      </c>
      <c r="J28" s="94"/>
      <c r="K28" s="95"/>
      <c r="L28" s="83"/>
      <c r="M28" s="83"/>
    </row>
    <row r="29">
      <c r="A29" s="42">
        <f t="array" ref="A29">IF(ISBLANK(B29), 0, IF(ISNUMBER(MATCH(B29, HR!A:A, 0)), 0, IF(ISNUMBER(MATCH(B29, HR!B:B, 0)), INDEX(HR!V:V, MATCH(B29, HR!B:B, 0)) * (F29 * 24), 0)))</f>
        <v>0</v>
      </c>
      <c r="B29" s="58"/>
      <c r="C29" s="96"/>
      <c r="D29" s="79"/>
      <c r="E29" s="85"/>
      <c r="F29" s="52" t="str">
        <f t="shared" si="2"/>
        <v>0:00</v>
      </c>
      <c r="G29" s="80">
        <f>COUNTIF(RestiaCSV!E:E, B29)</f>
        <v>0</v>
      </c>
      <c r="H29" s="97"/>
      <c r="I29" s="86">
        <f t="shared" si="3"/>
        <v>0</v>
      </c>
      <c r="J29" s="98">
        <f>COUNTIFS(RestiaCSV!M:M, "&gt;5", RestiaCSV!L:L, "&gt;5")</f>
        <v>0</v>
      </c>
      <c r="K29" s="99"/>
      <c r="L29" s="100">
        <f>L23/L26</f>
        <v>0</v>
      </c>
      <c r="M29" s="74">
        <f>COUNTIFS(RestiaCSV!L:L, "&gt;5", RestiaCSV!F:F, "delivery", RestiaCSV!E:E, "Wolt Kurýr")</f>
        <v>0</v>
      </c>
    </row>
    <row r="30">
      <c r="A30" s="42">
        <f t="array" ref="A30">IF(ISBLANK(B30), 0, IF(ISNUMBER(MATCH(B30, HR!A:A, 0)), 0, IF(ISNUMBER(MATCH(B30, HR!B:B, 0)), INDEX(HR!V:V, MATCH(B30, HR!B:B, 0)) * (F30 * 24), 0)))</f>
        <v>0</v>
      </c>
      <c r="B30" s="58"/>
      <c r="C30" s="96"/>
      <c r="D30" s="79"/>
      <c r="E30" s="85"/>
      <c r="F30" s="52" t="str">
        <f t="shared" si="2"/>
        <v>0:00</v>
      </c>
      <c r="G30" s="80">
        <f>COUNTIF(RestiaCSV!E:E, B30)</f>
        <v>0</v>
      </c>
      <c r="H30" s="97"/>
      <c r="I30" s="86">
        <f t="shared" si="3"/>
        <v>0</v>
      </c>
      <c r="J30" s="101"/>
      <c r="K30" s="101"/>
      <c r="L30" s="102" t="s">
        <v>56</v>
      </c>
      <c r="M30" s="102" t="s">
        <v>57</v>
      </c>
    </row>
    <row r="31" ht="21.75" customHeight="1">
      <c r="A31" s="42">
        <f t="array" ref="A31">IF(ISBLANK(B31), 0, IF(ISNUMBER(MATCH(B31, HR!A:A, 0)), 0, IF(ISNUMBER(MATCH(B31, HR!B:B, 0)), INDEX(HR!V:V, MATCH(B31, HR!B:B, 0)) * (F31 * 24), 0)))</f>
        <v>0</v>
      </c>
      <c r="B31" s="103"/>
      <c r="C31" s="96"/>
      <c r="D31" s="79"/>
      <c r="E31" s="85"/>
      <c r="F31" s="52" t="str">
        <f t="shared" si="2"/>
        <v>0:00</v>
      </c>
      <c r="G31" s="104">
        <f>COUNTIF(RestiaCSV!E:E, B31)</f>
        <v>0</v>
      </c>
      <c r="H31" s="105"/>
      <c r="I31" s="106">
        <f t="shared" si="3"/>
        <v>0</v>
      </c>
      <c r="J31" s="107"/>
      <c r="K31" s="107"/>
      <c r="L31" s="83"/>
      <c r="M31" s="83"/>
    </row>
    <row r="32">
      <c r="A32" s="35"/>
      <c r="B32" s="108" t="s">
        <v>58</v>
      </c>
      <c r="C32" s="109" t="s">
        <v>59</v>
      </c>
      <c r="D32" s="21"/>
      <c r="E32" s="21"/>
      <c r="F32" s="110"/>
      <c r="G32" s="111">
        <f>COUNTIFS(RestiaCSV!E:E, "wolt kurýr", RestiaCSV!A:A, "&lt;&gt;wolt")</f>
        <v>0</v>
      </c>
      <c r="H32" s="112" t="b">
        <v>1</v>
      </c>
      <c r="I32" s="113">
        <f>G32*127</f>
        <v>0</v>
      </c>
      <c r="J32" s="114"/>
      <c r="K32" s="114"/>
      <c r="L32" s="100">
        <f>100%-L29</f>
        <v>1</v>
      </c>
      <c r="M32" s="100">
        <f>M29/L26</f>
        <v>0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G11 G19">
      <formula1>"Coufal Jakub,Hegedüs Erik,Ahurieva Viktoriia"</formula1>
    </dataValidation>
    <dataValidation type="list" allowBlank="1" sqref="B1">
      <formula1>"Výroba,Zlicin,Malesice,Libus,Bolevec,Chodov,Prosek"</formula1>
    </dataValidation>
    <dataValidation type="list" allowBlank="1" sqref="B25:B31">
      <formula1>"Jurkovič Martin,Nekolný Vladimír,Lanský Zoltan,Lažek Jaroslav,Chlubna Tomáš,Hřebík Martin,Eszenyiová Patrícia,Dušek Sam ,Fux Vojtěch ,Serin David,Novák Dalibor"</formula1>
    </dataValidation>
    <dataValidation type="list" allowBlank="1" sqref="B12:B21">
      <formula1>"Sova Martin,Ahurieva Viktoriia,Šebesta Tomáš,Coufal Jakub,Hegedüs Erik,Berdar Vasyl,Hegedüs Gergö,Barvínková Eliška,Kubík Martin"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5"/>
      <c r="B1" s="116" t="str">
        <f>Report!B1</f>
        <v>Malesice</v>
      </c>
      <c r="C1" s="117">
        <v>45973.0</v>
      </c>
      <c r="D1" s="118" t="s">
        <v>60</v>
      </c>
      <c r="E1" s="119">
        <v>45973.0</v>
      </c>
      <c r="F1" s="120" t="s">
        <v>2</v>
      </c>
      <c r="G1" s="7"/>
      <c r="H1" s="8"/>
      <c r="I1" s="120" t="s">
        <v>3</v>
      </c>
      <c r="J1" s="7"/>
      <c r="K1" s="8"/>
      <c r="L1" s="121" t="s">
        <v>4</v>
      </c>
      <c r="M1" s="15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21"/>
      <c r="CJ1" s="121"/>
      <c r="CK1" s="121"/>
      <c r="CL1" s="121"/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W1" s="121"/>
      <c r="CX1" s="121"/>
      <c r="CY1" s="121"/>
      <c r="CZ1" s="121"/>
      <c r="DA1" s="121"/>
      <c r="DB1" s="121"/>
      <c r="DC1" s="121"/>
      <c r="DD1" s="121"/>
      <c r="DE1" s="121"/>
      <c r="DF1" s="121"/>
      <c r="DG1" s="121"/>
      <c r="DH1" s="121"/>
      <c r="DI1" s="121"/>
      <c r="DJ1" s="121"/>
      <c r="DK1" s="121"/>
      <c r="DL1" s="121"/>
      <c r="DM1" s="121"/>
      <c r="DN1" s="121"/>
      <c r="DO1" s="121"/>
      <c r="DP1" s="121"/>
      <c r="DQ1" s="121"/>
      <c r="DR1" s="121"/>
      <c r="DS1" s="121"/>
      <c r="DT1" s="121"/>
      <c r="DU1" s="121"/>
      <c r="DV1" s="121"/>
      <c r="DW1" s="121"/>
      <c r="DX1" s="121"/>
      <c r="DY1" s="121"/>
      <c r="DZ1" s="121"/>
      <c r="EA1" s="121"/>
      <c r="EB1" s="121"/>
      <c r="EC1" s="121"/>
      <c r="ED1" s="121"/>
      <c r="EE1" s="121"/>
      <c r="EF1" s="121"/>
      <c r="EG1" s="121"/>
      <c r="EH1" s="121"/>
      <c r="EI1" s="121"/>
      <c r="EJ1" s="121"/>
      <c r="EK1" s="121"/>
      <c r="EL1" s="121"/>
      <c r="EM1" s="121"/>
      <c r="EN1" s="121"/>
      <c r="EO1" s="121"/>
      <c r="EP1" s="121"/>
      <c r="EQ1" s="121"/>
      <c r="ER1" s="121"/>
      <c r="ES1" s="121"/>
      <c r="ET1" s="121"/>
      <c r="EU1" s="121"/>
      <c r="EV1" s="121"/>
      <c r="EW1" s="121"/>
      <c r="EX1" s="121"/>
      <c r="EY1" s="121"/>
      <c r="EZ1" s="121"/>
      <c r="FA1" s="121"/>
      <c r="FB1" s="121"/>
      <c r="FC1" s="121"/>
      <c r="FD1" s="121"/>
      <c r="FE1" s="121"/>
      <c r="FF1" s="121"/>
      <c r="FG1" s="121"/>
      <c r="FH1" s="121"/>
      <c r="FI1" s="121"/>
      <c r="FJ1" s="121"/>
      <c r="FK1" s="121"/>
      <c r="FL1" s="121"/>
      <c r="FM1" s="121"/>
      <c r="FN1" s="121"/>
      <c r="FO1" s="121"/>
      <c r="FP1" s="121"/>
      <c r="FQ1" s="121"/>
      <c r="FR1" s="121"/>
      <c r="FS1" s="121"/>
      <c r="FT1" s="121"/>
      <c r="FU1" s="121"/>
      <c r="FV1" s="121"/>
      <c r="FW1" s="121"/>
      <c r="FX1" s="121"/>
      <c r="FY1" s="121"/>
      <c r="FZ1" s="121"/>
      <c r="GA1" s="121"/>
      <c r="GB1" s="121"/>
      <c r="GC1" s="121"/>
      <c r="GD1" s="121"/>
      <c r="GE1" s="121"/>
      <c r="GF1" s="121"/>
      <c r="GG1" s="121"/>
      <c r="GH1" s="121"/>
      <c r="GI1" s="121"/>
      <c r="GJ1" s="121"/>
      <c r="GK1" s="121"/>
      <c r="GL1" s="121"/>
      <c r="GM1" s="121"/>
      <c r="GN1" s="121"/>
      <c r="GO1" s="121"/>
      <c r="GP1" s="121"/>
      <c r="GQ1" s="121"/>
      <c r="GR1" s="121"/>
      <c r="GS1" s="121"/>
      <c r="GT1" s="121"/>
      <c r="GU1" s="121"/>
      <c r="GV1" s="121"/>
      <c r="GW1" s="121"/>
      <c r="GX1" s="121"/>
      <c r="GY1" s="121"/>
      <c r="GZ1" s="121"/>
      <c r="HA1" s="121"/>
      <c r="HB1" s="121"/>
      <c r="HC1" s="121"/>
      <c r="HD1" s="121"/>
      <c r="HE1" s="121"/>
      <c r="HF1" s="121"/>
      <c r="HG1" s="121"/>
      <c r="HH1" s="121"/>
      <c r="HI1" s="121"/>
      <c r="HJ1" s="121"/>
      <c r="HK1" s="121"/>
      <c r="HL1" s="121"/>
      <c r="HM1" s="121"/>
      <c r="HN1" s="121"/>
      <c r="HO1" s="121"/>
      <c r="HP1" s="121"/>
      <c r="HQ1" s="121"/>
      <c r="HR1" s="121"/>
      <c r="HS1" s="121"/>
      <c r="HT1" s="121"/>
      <c r="HU1" s="121"/>
      <c r="HV1" s="121"/>
      <c r="HW1" s="121"/>
      <c r="HX1" s="121"/>
      <c r="HY1" s="121"/>
      <c r="HZ1" s="121"/>
      <c r="IA1" s="121"/>
      <c r="IB1" s="121"/>
      <c r="IC1" s="121"/>
      <c r="ID1" s="121"/>
      <c r="IE1" s="121"/>
      <c r="IF1" s="121"/>
      <c r="IG1" s="121"/>
      <c r="IH1" s="121"/>
      <c r="II1" s="121"/>
      <c r="IJ1" s="121"/>
      <c r="IK1" s="121"/>
      <c r="IL1" s="121"/>
      <c r="IM1" s="121"/>
      <c r="IN1" s="121"/>
      <c r="IO1" s="121"/>
      <c r="IP1" s="121"/>
      <c r="IQ1" s="121"/>
      <c r="IR1" s="121"/>
      <c r="IS1" s="121"/>
      <c r="IT1" s="121"/>
      <c r="IU1" s="121"/>
      <c r="IV1" s="121"/>
      <c r="IW1" s="121"/>
      <c r="IX1" s="121"/>
      <c r="IY1" s="121"/>
      <c r="IZ1" s="121"/>
      <c r="JA1" s="121"/>
      <c r="JB1" s="121"/>
      <c r="JC1" s="121"/>
      <c r="JD1" s="121"/>
      <c r="JE1" s="121"/>
      <c r="JF1" s="121"/>
      <c r="JG1" s="121"/>
      <c r="JH1" s="121"/>
      <c r="JI1" s="121"/>
      <c r="JJ1" s="121"/>
      <c r="JK1" s="121"/>
    </row>
    <row r="2" ht="19.5" customHeight="1">
      <c r="A2" s="115"/>
      <c r="B2" s="11"/>
      <c r="C2" s="12"/>
      <c r="D2" s="11"/>
      <c r="E2" s="13"/>
      <c r="F2" s="122"/>
      <c r="H2" s="15"/>
      <c r="I2" s="123"/>
      <c r="K2" s="15"/>
      <c r="L2" s="124" t="s">
        <v>5</v>
      </c>
      <c r="M2" s="125"/>
      <c r="N2" s="126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  <c r="IS2" s="127"/>
      <c r="IT2" s="127"/>
      <c r="IU2" s="127"/>
      <c r="IV2" s="127"/>
      <c r="IW2" s="127"/>
      <c r="IX2" s="127"/>
      <c r="IY2" s="127"/>
      <c r="IZ2" s="127"/>
      <c r="JA2" s="127"/>
      <c r="JB2" s="127"/>
      <c r="JC2" s="127"/>
      <c r="JD2" s="127"/>
      <c r="JE2" s="127"/>
      <c r="JF2" s="127"/>
      <c r="JG2" s="127"/>
      <c r="JH2" s="127"/>
      <c r="JI2" s="127"/>
      <c r="JJ2" s="127"/>
      <c r="JK2" s="127"/>
    </row>
    <row r="3">
      <c r="A3" s="128"/>
      <c r="B3" s="129" t="str">
        <f>CHOOSE(WEEKDAY(C1), "Neděle", "Pondělí", "Úterý", "Středa", "Čtvrtek", "Pátek", "Sobota")</f>
        <v>Středa</v>
      </c>
      <c r="C3" s="20"/>
      <c r="D3" s="129" t="str">
        <f>CHOOSE(WEEKDAY(E1), "Neděle", "Pondělí", "Úterý", "Středa", "Čtvrtek", "Pátek", "Sobota")</f>
        <v>Středa</v>
      </c>
      <c r="E3" s="5"/>
      <c r="H3" s="15"/>
      <c r="K3" s="15"/>
      <c r="L3" s="130" t="s">
        <v>6</v>
      </c>
      <c r="M3" s="131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  <c r="DH3" s="127"/>
      <c r="DI3" s="127"/>
      <c r="DJ3" s="127"/>
      <c r="DK3" s="127"/>
      <c r="DL3" s="127"/>
      <c r="DM3" s="127"/>
      <c r="DN3" s="127"/>
      <c r="DO3" s="127"/>
      <c r="DP3" s="127"/>
      <c r="DQ3" s="127"/>
      <c r="DR3" s="127"/>
      <c r="DS3" s="127"/>
      <c r="DT3" s="127"/>
      <c r="DU3" s="127"/>
      <c r="DV3" s="127"/>
      <c r="DW3" s="127"/>
      <c r="DX3" s="127"/>
      <c r="DY3" s="127"/>
      <c r="DZ3" s="127"/>
      <c r="EA3" s="127"/>
      <c r="EB3" s="127"/>
      <c r="EC3" s="127"/>
      <c r="ED3" s="127"/>
      <c r="EE3" s="127"/>
      <c r="EF3" s="127"/>
      <c r="EG3" s="127"/>
      <c r="EH3" s="127"/>
      <c r="EI3" s="127"/>
      <c r="EJ3" s="127"/>
      <c r="EK3" s="127"/>
      <c r="EL3" s="127"/>
      <c r="EM3" s="127"/>
      <c r="EN3" s="127"/>
      <c r="EO3" s="127"/>
      <c r="EP3" s="127"/>
      <c r="EQ3" s="127"/>
      <c r="ER3" s="127"/>
      <c r="ES3" s="127"/>
      <c r="ET3" s="127"/>
      <c r="EU3" s="127"/>
      <c r="EV3" s="127"/>
      <c r="EW3" s="127"/>
      <c r="EX3" s="127"/>
      <c r="EY3" s="127"/>
      <c r="EZ3" s="127"/>
      <c r="FA3" s="127"/>
      <c r="FB3" s="127"/>
      <c r="FC3" s="127"/>
      <c r="FD3" s="127"/>
      <c r="FE3" s="127"/>
      <c r="FF3" s="127"/>
      <c r="FG3" s="127"/>
      <c r="FH3" s="127"/>
      <c r="FI3" s="127"/>
      <c r="FJ3" s="127"/>
      <c r="FK3" s="127"/>
      <c r="FL3" s="127"/>
      <c r="FM3" s="127"/>
      <c r="FN3" s="127"/>
      <c r="FO3" s="127"/>
      <c r="FP3" s="127"/>
      <c r="FQ3" s="127"/>
      <c r="FR3" s="127"/>
      <c r="FS3" s="127"/>
      <c r="FT3" s="127"/>
      <c r="FU3" s="127"/>
      <c r="FV3" s="127"/>
      <c r="FW3" s="127"/>
      <c r="FX3" s="127"/>
      <c r="FY3" s="127"/>
      <c r="FZ3" s="127"/>
      <c r="GA3" s="127"/>
      <c r="GB3" s="127"/>
      <c r="GC3" s="127"/>
      <c r="GD3" s="127"/>
      <c r="GE3" s="127"/>
      <c r="GF3" s="127"/>
      <c r="GG3" s="127"/>
      <c r="GH3" s="127"/>
      <c r="GI3" s="127"/>
      <c r="GJ3" s="127"/>
      <c r="GK3" s="127"/>
      <c r="GL3" s="127"/>
      <c r="GM3" s="127"/>
      <c r="GN3" s="127"/>
      <c r="GO3" s="127"/>
      <c r="GP3" s="127"/>
      <c r="GQ3" s="127"/>
      <c r="GR3" s="127"/>
      <c r="GS3" s="127"/>
      <c r="GT3" s="127"/>
      <c r="GU3" s="127"/>
      <c r="GV3" s="127"/>
      <c r="GW3" s="127"/>
      <c r="GX3" s="127"/>
      <c r="GY3" s="127"/>
      <c r="GZ3" s="127"/>
      <c r="HA3" s="127"/>
      <c r="HB3" s="127"/>
      <c r="HC3" s="127"/>
      <c r="HD3" s="127"/>
      <c r="HE3" s="127"/>
      <c r="HF3" s="127"/>
      <c r="HG3" s="127"/>
      <c r="HH3" s="127"/>
      <c r="HI3" s="127"/>
      <c r="HJ3" s="127"/>
      <c r="HK3" s="127"/>
      <c r="HL3" s="127"/>
      <c r="HM3" s="127"/>
      <c r="HN3" s="127"/>
      <c r="HO3" s="127"/>
      <c r="HP3" s="127"/>
      <c r="HQ3" s="127"/>
      <c r="HR3" s="127"/>
      <c r="HS3" s="127"/>
      <c r="HT3" s="127"/>
      <c r="HU3" s="127"/>
      <c r="HV3" s="127"/>
      <c r="HW3" s="127"/>
      <c r="HX3" s="127"/>
      <c r="HY3" s="127"/>
      <c r="HZ3" s="127"/>
      <c r="IA3" s="127"/>
      <c r="IB3" s="127"/>
      <c r="IC3" s="127"/>
      <c r="ID3" s="127"/>
      <c r="IE3" s="127"/>
      <c r="IF3" s="127"/>
      <c r="IG3" s="127"/>
      <c r="IH3" s="127"/>
      <c r="II3" s="127"/>
      <c r="IJ3" s="127"/>
      <c r="IK3" s="127"/>
      <c r="IL3" s="127"/>
      <c r="IM3" s="127"/>
      <c r="IN3" s="127"/>
      <c r="IO3" s="127"/>
      <c r="IP3" s="127"/>
      <c r="IQ3" s="127"/>
      <c r="IR3" s="127"/>
      <c r="IS3" s="127"/>
      <c r="IT3" s="127"/>
      <c r="IU3" s="127"/>
      <c r="IV3" s="127"/>
      <c r="IW3" s="127"/>
      <c r="IX3" s="127"/>
      <c r="IY3" s="127"/>
      <c r="IZ3" s="127"/>
      <c r="JA3" s="127"/>
      <c r="JB3" s="127"/>
      <c r="JC3" s="127"/>
      <c r="JD3" s="127"/>
      <c r="JE3" s="127"/>
      <c r="JF3" s="127"/>
      <c r="JG3" s="127"/>
      <c r="JH3" s="127"/>
      <c r="JI3" s="127"/>
      <c r="JJ3" s="127"/>
      <c r="JK3" s="127"/>
    </row>
    <row r="4">
      <c r="A4" s="128"/>
      <c r="B4" s="12"/>
      <c r="C4" s="21"/>
      <c r="D4" s="12"/>
      <c r="E4" s="13"/>
      <c r="F4" s="21"/>
      <c r="G4" s="21"/>
      <c r="H4" s="13"/>
      <c r="I4" s="21"/>
      <c r="J4" s="21"/>
      <c r="K4" s="13"/>
      <c r="L4" s="130" t="s">
        <v>7</v>
      </c>
      <c r="M4" s="131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127"/>
      <c r="BZ4" s="127"/>
      <c r="CA4" s="127"/>
      <c r="CB4" s="127"/>
      <c r="CC4" s="127"/>
      <c r="CD4" s="127"/>
      <c r="CE4" s="127"/>
      <c r="CF4" s="127"/>
      <c r="CG4" s="127"/>
      <c r="CH4" s="127"/>
      <c r="CI4" s="127"/>
      <c r="CJ4" s="127"/>
      <c r="CK4" s="127"/>
      <c r="CL4" s="127"/>
      <c r="CM4" s="127"/>
      <c r="CN4" s="127"/>
      <c r="CO4" s="127"/>
      <c r="CP4" s="127"/>
      <c r="CQ4" s="127"/>
      <c r="CR4" s="127"/>
      <c r="CS4" s="127"/>
      <c r="CT4" s="127"/>
      <c r="CU4" s="127"/>
      <c r="CV4" s="127"/>
      <c r="CW4" s="127"/>
      <c r="CX4" s="127"/>
      <c r="CY4" s="127"/>
      <c r="CZ4" s="127"/>
      <c r="DA4" s="127"/>
      <c r="DB4" s="127"/>
      <c r="DC4" s="127"/>
      <c r="DD4" s="127"/>
      <c r="DE4" s="127"/>
      <c r="DF4" s="127"/>
      <c r="DG4" s="127"/>
      <c r="DH4" s="127"/>
      <c r="DI4" s="127"/>
      <c r="DJ4" s="127"/>
      <c r="DK4" s="127"/>
      <c r="DL4" s="127"/>
      <c r="DM4" s="127"/>
      <c r="DN4" s="127"/>
      <c r="DO4" s="127"/>
      <c r="DP4" s="127"/>
      <c r="DQ4" s="127"/>
      <c r="DR4" s="127"/>
      <c r="DS4" s="127"/>
      <c r="DT4" s="127"/>
      <c r="DU4" s="127"/>
      <c r="DV4" s="127"/>
      <c r="DW4" s="127"/>
      <c r="DX4" s="127"/>
      <c r="DY4" s="127"/>
      <c r="DZ4" s="127"/>
      <c r="EA4" s="127"/>
      <c r="EB4" s="127"/>
      <c r="EC4" s="127"/>
      <c r="ED4" s="127"/>
      <c r="EE4" s="127"/>
      <c r="EF4" s="127"/>
      <c r="EG4" s="127"/>
      <c r="EH4" s="127"/>
      <c r="EI4" s="127"/>
      <c r="EJ4" s="127"/>
      <c r="EK4" s="127"/>
      <c r="EL4" s="127"/>
      <c r="EM4" s="127"/>
      <c r="EN4" s="127"/>
      <c r="EO4" s="127"/>
      <c r="EP4" s="127"/>
      <c r="EQ4" s="127"/>
      <c r="ER4" s="127"/>
      <c r="ES4" s="127"/>
      <c r="ET4" s="127"/>
      <c r="EU4" s="127"/>
      <c r="EV4" s="127"/>
      <c r="EW4" s="127"/>
      <c r="EX4" s="127"/>
      <c r="EY4" s="127"/>
      <c r="EZ4" s="127"/>
      <c r="FA4" s="127"/>
      <c r="FB4" s="127"/>
      <c r="FC4" s="127"/>
      <c r="FD4" s="127"/>
      <c r="FE4" s="127"/>
      <c r="FF4" s="127"/>
      <c r="FG4" s="127"/>
      <c r="FH4" s="127"/>
      <c r="FI4" s="127"/>
      <c r="FJ4" s="127"/>
      <c r="FK4" s="127"/>
      <c r="FL4" s="127"/>
      <c r="FM4" s="127"/>
      <c r="FN4" s="127"/>
      <c r="FO4" s="127"/>
      <c r="FP4" s="127"/>
      <c r="FQ4" s="127"/>
      <c r="FR4" s="127"/>
      <c r="FS4" s="127"/>
      <c r="FT4" s="127"/>
      <c r="FU4" s="127"/>
      <c r="FV4" s="127"/>
      <c r="FW4" s="127"/>
      <c r="FX4" s="127"/>
      <c r="FY4" s="127"/>
      <c r="FZ4" s="127"/>
      <c r="GA4" s="127"/>
      <c r="GB4" s="127"/>
      <c r="GC4" s="127"/>
      <c r="GD4" s="127"/>
      <c r="GE4" s="127"/>
      <c r="GF4" s="127"/>
      <c r="GG4" s="127"/>
      <c r="GH4" s="127"/>
      <c r="GI4" s="127"/>
      <c r="GJ4" s="127"/>
      <c r="GK4" s="127"/>
      <c r="GL4" s="127"/>
      <c r="GM4" s="127"/>
      <c r="GN4" s="127"/>
      <c r="GO4" s="127"/>
      <c r="GP4" s="127"/>
      <c r="GQ4" s="127"/>
      <c r="GR4" s="127"/>
      <c r="GS4" s="127"/>
      <c r="GT4" s="127"/>
      <c r="GU4" s="127"/>
      <c r="GV4" s="127"/>
      <c r="GW4" s="127"/>
      <c r="GX4" s="127"/>
      <c r="GY4" s="127"/>
      <c r="GZ4" s="127"/>
      <c r="HA4" s="127"/>
      <c r="HB4" s="127"/>
      <c r="HC4" s="127"/>
      <c r="HD4" s="127"/>
      <c r="HE4" s="127"/>
      <c r="HF4" s="127"/>
      <c r="HG4" s="127"/>
      <c r="HH4" s="127"/>
      <c r="HI4" s="127"/>
      <c r="HJ4" s="127"/>
      <c r="HK4" s="127"/>
      <c r="HL4" s="127"/>
      <c r="HM4" s="127"/>
      <c r="HN4" s="127"/>
      <c r="HO4" s="127"/>
      <c r="HP4" s="127"/>
      <c r="HQ4" s="127"/>
      <c r="HR4" s="127"/>
      <c r="HS4" s="127"/>
      <c r="HT4" s="127"/>
      <c r="HU4" s="127"/>
      <c r="HV4" s="127"/>
      <c r="HW4" s="127"/>
      <c r="HX4" s="127"/>
      <c r="HY4" s="127"/>
      <c r="HZ4" s="127"/>
      <c r="IA4" s="127"/>
      <c r="IB4" s="127"/>
      <c r="IC4" s="127"/>
      <c r="ID4" s="127"/>
      <c r="IE4" s="127"/>
      <c r="IF4" s="127"/>
      <c r="IG4" s="127"/>
      <c r="IH4" s="127"/>
      <c r="II4" s="127"/>
      <c r="IJ4" s="127"/>
      <c r="IK4" s="127"/>
      <c r="IL4" s="127"/>
      <c r="IM4" s="127"/>
      <c r="IN4" s="127"/>
      <c r="IO4" s="127"/>
      <c r="IP4" s="127"/>
      <c r="IQ4" s="127"/>
      <c r="IR4" s="127"/>
      <c r="IS4" s="127"/>
      <c r="IT4" s="127"/>
      <c r="IU4" s="127"/>
      <c r="IV4" s="127"/>
      <c r="IW4" s="127"/>
      <c r="IX4" s="127"/>
      <c r="IY4" s="127"/>
      <c r="IZ4" s="127"/>
      <c r="JA4" s="127"/>
      <c r="JB4" s="127"/>
      <c r="JC4" s="127"/>
      <c r="JD4" s="127"/>
      <c r="JE4" s="127"/>
      <c r="JF4" s="127"/>
      <c r="JG4" s="127"/>
      <c r="JH4" s="127"/>
      <c r="JI4" s="127"/>
      <c r="JJ4" s="127"/>
      <c r="JK4" s="127"/>
    </row>
    <row r="5">
      <c r="A5" s="132"/>
      <c r="B5" s="133" t="s">
        <v>61</v>
      </c>
      <c r="C5" s="20"/>
      <c r="D5" s="20"/>
      <c r="E5" s="5"/>
      <c r="F5" s="134" t="s">
        <v>62</v>
      </c>
      <c r="G5" s="20"/>
      <c r="H5" s="20"/>
      <c r="I5" s="20"/>
      <c r="J5" s="20"/>
      <c r="K5" s="5"/>
      <c r="L5" s="135" t="s">
        <v>9</v>
      </c>
      <c r="M5" s="125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7"/>
      <c r="CJ5" s="127"/>
      <c r="CK5" s="127"/>
      <c r="CL5" s="127"/>
      <c r="CM5" s="127"/>
      <c r="CN5" s="127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127"/>
      <c r="DA5" s="127"/>
      <c r="DB5" s="127"/>
      <c r="DC5" s="127"/>
      <c r="DD5" s="127"/>
      <c r="DE5" s="127"/>
      <c r="DF5" s="127"/>
      <c r="DG5" s="127"/>
      <c r="DH5" s="127"/>
      <c r="DI5" s="127"/>
      <c r="DJ5" s="127"/>
      <c r="DK5" s="127"/>
      <c r="DL5" s="127"/>
      <c r="DM5" s="127"/>
      <c r="DN5" s="127"/>
      <c r="DO5" s="127"/>
      <c r="DP5" s="127"/>
      <c r="DQ5" s="127"/>
      <c r="DR5" s="127"/>
      <c r="DS5" s="127"/>
      <c r="DT5" s="127"/>
      <c r="DU5" s="127"/>
      <c r="DV5" s="127"/>
      <c r="DW5" s="127"/>
      <c r="DX5" s="127"/>
      <c r="DY5" s="127"/>
      <c r="DZ5" s="127"/>
      <c r="EA5" s="127"/>
      <c r="EB5" s="127"/>
      <c r="EC5" s="127"/>
      <c r="ED5" s="127"/>
      <c r="EE5" s="127"/>
      <c r="EF5" s="127"/>
      <c r="EG5" s="127"/>
      <c r="EH5" s="127"/>
      <c r="EI5" s="127"/>
      <c r="EJ5" s="127"/>
      <c r="EK5" s="127"/>
      <c r="EL5" s="127"/>
      <c r="EM5" s="127"/>
      <c r="EN5" s="127"/>
      <c r="EO5" s="127"/>
      <c r="EP5" s="127"/>
      <c r="EQ5" s="127"/>
      <c r="ER5" s="127"/>
      <c r="ES5" s="127"/>
      <c r="ET5" s="127"/>
      <c r="EU5" s="127"/>
      <c r="EV5" s="127"/>
      <c r="EW5" s="127"/>
      <c r="EX5" s="127"/>
      <c r="EY5" s="127"/>
      <c r="EZ5" s="127"/>
      <c r="FA5" s="127"/>
      <c r="FB5" s="127"/>
      <c r="FC5" s="127"/>
      <c r="FD5" s="127"/>
      <c r="FE5" s="127"/>
      <c r="FF5" s="127"/>
      <c r="FG5" s="127"/>
      <c r="FH5" s="127"/>
      <c r="FI5" s="127"/>
      <c r="FJ5" s="127"/>
      <c r="FK5" s="127"/>
      <c r="FL5" s="127"/>
      <c r="FM5" s="127"/>
      <c r="FN5" s="127"/>
      <c r="FO5" s="127"/>
      <c r="FP5" s="127"/>
      <c r="FQ5" s="127"/>
      <c r="FR5" s="127"/>
      <c r="FS5" s="127"/>
      <c r="FT5" s="127"/>
      <c r="FU5" s="127"/>
      <c r="FV5" s="127"/>
      <c r="FW5" s="127"/>
      <c r="FX5" s="127"/>
      <c r="FY5" s="127"/>
      <c r="FZ5" s="127"/>
      <c r="GA5" s="127"/>
      <c r="GB5" s="127"/>
      <c r="GC5" s="127"/>
      <c r="GD5" s="127"/>
      <c r="GE5" s="127"/>
      <c r="GF5" s="127"/>
      <c r="GG5" s="127"/>
      <c r="GH5" s="127"/>
      <c r="GI5" s="127"/>
      <c r="GJ5" s="127"/>
      <c r="GK5" s="127"/>
      <c r="GL5" s="127"/>
      <c r="GM5" s="127"/>
      <c r="GN5" s="127"/>
      <c r="GO5" s="127"/>
      <c r="GP5" s="127"/>
      <c r="GQ5" s="127"/>
      <c r="GR5" s="127"/>
      <c r="GS5" s="127"/>
      <c r="GT5" s="127"/>
      <c r="GU5" s="127"/>
      <c r="GV5" s="127"/>
      <c r="GW5" s="127"/>
      <c r="GX5" s="127"/>
      <c r="GY5" s="127"/>
      <c r="GZ5" s="127"/>
      <c r="HA5" s="127"/>
      <c r="HB5" s="127"/>
      <c r="HC5" s="127"/>
      <c r="HD5" s="127"/>
      <c r="HE5" s="127"/>
      <c r="HF5" s="127"/>
      <c r="HG5" s="127"/>
      <c r="HH5" s="127"/>
      <c r="HI5" s="127"/>
      <c r="HJ5" s="127"/>
      <c r="HK5" s="127"/>
      <c r="HL5" s="127"/>
      <c r="HM5" s="127"/>
      <c r="HN5" s="127"/>
      <c r="HO5" s="127"/>
      <c r="HP5" s="127"/>
      <c r="HQ5" s="127"/>
      <c r="HR5" s="127"/>
      <c r="HS5" s="127"/>
      <c r="HT5" s="127"/>
      <c r="HU5" s="127"/>
      <c r="HV5" s="127"/>
      <c r="HW5" s="127"/>
      <c r="HX5" s="127"/>
      <c r="HY5" s="127"/>
      <c r="HZ5" s="127"/>
      <c r="IA5" s="127"/>
      <c r="IB5" s="127"/>
      <c r="IC5" s="127"/>
      <c r="ID5" s="127"/>
      <c r="IE5" s="127"/>
      <c r="IF5" s="127"/>
      <c r="IG5" s="127"/>
      <c r="IH5" s="127"/>
      <c r="II5" s="127"/>
      <c r="IJ5" s="127"/>
      <c r="IK5" s="127"/>
      <c r="IL5" s="127"/>
      <c r="IM5" s="127"/>
      <c r="IN5" s="127"/>
      <c r="IO5" s="127"/>
      <c r="IP5" s="127"/>
      <c r="IQ5" s="127"/>
      <c r="IR5" s="127"/>
      <c r="IS5" s="127"/>
      <c r="IT5" s="127"/>
      <c r="IU5" s="127"/>
      <c r="IV5" s="127"/>
      <c r="IW5" s="127"/>
      <c r="IX5" s="127"/>
      <c r="IY5" s="127"/>
      <c r="IZ5" s="127"/>
      <c r="JA5" s="127"/>
      <c r="JB5" s="127"/>
      <c r="JC5" s="127"/>
      <c r="JD5" s="127"/>
      <c r="JE5" s="127"/>
      <c r="JF5" s="127"/>
      <c r="JG5" s="127"/>
      <c r="JH5" s="127"/>
      <c r="JI5" s="127"/>
      <c r="JJ5" s="127"/>
      <c r="JK5" s="127"/>
    </row>
    <row r="6">
      <c r="A6" s="132"/>
      <c r="B6" s="12"/>
      <c r="C6" s="21"/>
      <c r="D6" s="21"/>
      <c r="E6" s="13"/>
      <c r="F6" s="21"/>
      <c r="G6" s="21"/>
      <c r="H6" s="21"/>
      <c r="I6" s="21"/>
      <c r="J6" s="21"/>
      <c r="K6" s="13"/>
      <c r="L6" s="135" t="s">
        <v>10</v>
      </c>
      <c r="M6" s="131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  <c r="IX6" s="127"/>
      <c r="IY6" s="127"/>
      <c r="IZ6" s="127"/>
      <c r="JA6" s="127"/>
      <c r="JB6" s="127"/>
      <c r="JC6" s="127"/>
      <c r="JD6" s="127"/>
      <c r="JE6" s="127"/>
      <c r="JF6" s="127"/>
      <c r="JG6" s="127"/>
      <c r="JH6" s="127"/>
      <c r="JI6" s="127"/>
      <c r="JJ6" s="127"/>
      <c r="JK6" s="127"/>
    </row>
    <row r="7">
      <c r="A7" s="136"/>
      <c r="B7" s="137">
        <f>TEXT(SUMPRODUCT((IFERROR(LEFT(D10:D30, FIND(":", D10:D30) - 1) * 60, 0) + IFERROR(MID(D10:D30, FIND(":", D10:D30) + 1, LEN(D10:D30) - FIND(":", D10:D30)), 0))), "[h]:mm")/60</f>
        <v>0</v>
      </c>
      <c r="C7" s="21"/>
      <c r="D7" s="21"/>
      <c r="E7" s="13"/>
      <c r="F7" s="138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139"/>
      <c r="K7" s="139"/>
      <c r="L7" s="140" t="s">
        <v>12</v>
      </c>
      <c r="M7" s="131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  <c r="IX7" s="127"/>
      <c r="IY7" s="127"/>
      <c r="IZ7" s="127"/>
      <c r="JA7" s="127"/>
      <c r="JB7" s="127"/>
      <c r="JC7" s="127"/>
      <c r="JD7" s="127"/>
      <c r="JE7" s="127"/>
      <c r="JF7" s="127"/>
      <c r="JG7" s="127"/>
      <c r="JH7" s="127"/>
      <c r="JI7" s="127"/>
      <c r="JJ7" s="127"/>
      <c r="JK7" s="127"/>
    </row>
    <row r="8">
      <c r="A8" s="141"/>
      <c r="B8" s="142" t="s">
        <v>15</v>
      </c>
      <c r="C8" s="20"/>
      <c r="D8" s="20"/>
      <c r="E8" s="5"/>
      <c r="F8" s="143" t="s">
        <v>40</v>
      </c>
      <c r="G8" s="20"/>
      <c r="H8" s="20"/>
      <c r="I8" s="5"/>
      <c r="J8" s="144" t="s">
        <v>17</v>
      </c>
      <c r="K8" s="5"/>
      <c r="L8" s="145" t="s">
        <v>13</v>
      </c>
      <c r="M8" s="8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  <c r="CK8" s="121"/>
      <c r="CL8" s="121"/>
      <c r="CM8" s="121"/>
      <c r="CN8" s="121"/>
      <c r="CO8" s="121"/>
      <c r="CP8" s="121"/>
      <c r="CQ8" s="121"/>
      <c r="CR8" s="121"/>
      <c r="CS8" s="121"/>
      <c r="CT8" s="121"/>
      <c r="CU8" s="121"/>
      <c r="CV8" s="121"/>
      <c r="CW8" s="121"/>
      <c r="CX8" s="121"/>
      <c r="CY8" s="121"/>
      <c r="CZ8" s="121"/>
      <c r="DA8" s="121"/>
      <c r="DB8" s="121"/>
      <c r="DC8" s="121"/>
      <c r="DD8" s="121"/>
      <c r="DE8" s="121"/>
      <c r="DF8" s="121"/>
      <c r="DG8" s="121"/>
      <c r="DH8" s="121"/>
      <c r="DI8" s="121"/>
      <c r="DJ8" s="121"/>
      <c r="DK8" s="121"/>
      <c r="DL8" s="121"/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21"/>
      <c r="DZ8" s="121"/>
      <c r="EA8" s="121"/>
      <c r="EB8" s="121"/>
      <c r="EC8" s="121"/>
      <c r="ED8" s="121"/>
      <c r="EE8" s="121"/>
      <c r="EF8" s="121"/>
      <c r="EG8" s="121"/>
      <c r="EH8" s="121"/>
      <c r="EI8" s="121"/>
      <c r="EJ8" s="121"/>
      <c r="EK8" s="121"/>
      <c r="EL8" s="121"/>
      <c r="EM8" s="121"/>
      <c r="EN8" s="121"/>
      <c r="EO8" s="121"/>
      <c r="EP8" s="121"/>
      <c r="EQ8" s="121"/>
      <c r="ER8" s="121"/>
      <c r="ES8" s="121"/>
      <c r="ET8" s="121"/>
      <c r="EU8" s="121"/>
      <c r="EV8" s="121"/>
      <c r="EW8" s="121"/>
      <c r="EX8" s="121"/>
      <c r="EY8" s="121"/>
      <c r="EZ8" s="121"/>
      <c r="FA8" s="121"/>
      <c r="FB8" s="121"/>
      <c r="FC8" s="121"/>
      <c r="FD8" s="121"/>
      <c r="FE8" s="121"/>
      <c r="FF8" s="121"/>
      <c r="FG8" s="121"/>
      <c r="FH8" s="121"/>
      <c r="FI8" s="121"/>
      <c r="FJ8" s="121"/>
      <c r="FK8" s="121"/>
      <c r="FL8" s="121"/>
      <c r="FM8" s="121"/>
      <c r="FN8" s="121"/>
      <c r="FO8" s="121"/>
      <c r="FP8" s="121"/>
      <c r="FQ8" s="121"/>
      <c r="FR8" s="121"/>
      <c r="FS8" s="121"/>
      <c r="FT8" s="121"/>
      <c r="FU8" s="121"/>
      <c r="FV8" s="121"/>
      <c r="FW8" s="121"/>
      <c r="FX8" s="121"/>
      <c r="FY8" s="121"/>
      <c r="FZ8" s="121"/>
      <c r="GA8" s="121"/>
      <c r="GB8" s="121"/>
      <c r="GC8" s="121"/>
      <c r="GD8" s="121"/>
      <c r="GE8" s="121"/>
      <c r="GF8" s="121"/>
      <c r="GG8" s="121"/>
      <c r="GH8" s="121"/>
      <c r="GI8" s="121"/>
      <c r="GJ8" s="121"/>
      <c r="GK8" s="121"/>
      <c r="GL8" s="121"/>
      <c r="GM8" s="121"/>
      <c r="GN8" s="121"/>
      <c r="GO8" s="121"/>
      <c r="GP8" s="121"/>
      <c r="GQ8" s="121"/>
      <c r="GR8" s="121"/>
      <c r="GS8" s="121"/>
      <c r="GT8" s="121"/>
      <c r="GU8" s="121"/>
      <c r="GV8" s="121"/>
      <c r="GW8" s="121"/>
      <c r="GX8" s="121"/>
      <c r="GY8" s="121"/>
      <c r="GZ8" s="121"/>
      <c r="HA8" s="121"/>
      <c r="HB8" s="121"/>
      <c r="HC8" s="121"/>
      <c r="HD8" s="121"/>
      <c r="HE8" s="121"/>
      <c r="HF8" s="121"/>
      <c r="HG8" s="121"/>
      <c r="HH8" s="121"/>
      <c r="HI8" s="121"/>
      <c r="HJ8" s="121"/>
      <c r="HK8" s="121"/>
      <c r="HL8" s="121"/>
      <c r="HM8" s="121"/>
      <c r="HN8" s="121"/>
      <c r="HO8" s="121"/>
      <c r="HP8" s="121"/>
      <c r="HQ8" s="121"/>
      <c r="HR8" s="121"/>
      <c r="HS8" s="121"/>
      <c r="HT8" s="121"/>
      <c r="HU8" s="121"/>
      <c r="HV8" s="121"/>
      <c r="HW8" s="121"/>
      <c r="HX8" s="121"/>
      <c r="HY8" s="121"/>
      <c r="HZ8" s="121"/>
      <c r="IA8" s="121"/>
      <c r="IB8" s="121"/>
      <c r="IC8" s="121"/>
      <c r="ID8" s="121"/>
      <c r="IE8" s="121"/>
      <c r="IF8" s="121"/>
      <c r="IG8" s="121"/>
      <c r="IH8" s="121"/>
      <c r="II8" s="121"/>
      <c r="IJ8" s="121"/>
      <c r="IK8" s="121"/>
      <c r="IL8" s="121"/>
      <c r="IM8" s="121"/>
      <c r="IN8" s="121"/>
      <c r="IO8" s="121"/>
      <c r="IP8" s="121"/>
      <c r="IQ8" s="121"/>
      <c r="IR8" s="121"/>
      <c r="IS8" s="121"/>
      <c r="IT8" s="121"/>
      <c r="IU8" s="121"/>
      <c r="IV8" s="121"/>
      <c r="IW8" s="121"/>
      <c r="IX8" s="121"/>
      <c r="IY8" s="121"/>
      <c r="IZ8" s="121"/>
      <c r="JA8" s="121"/>
      <c r="JB8" s="121"/>
      <c r="JC8" s="121"/>
      <c r="JD8" s="121"/>
      <c r="JE8" s="121"/>
      <c r="JF8" s="121"/>
      <c r="JG8" s="121"/>
      <c r="JH8" s="121"/>
      <c r="JI8" s="121"/>
      <c r="JJ8" s="121"/>
      <c r="JK8" s="121"/>
    </row>
    <row r="9">
      <c r="A9" s="146"/>
      <c r="B9" s="147" t="s">
        <v>19</v>
      </c>
      <c r="C9" s="148" t="s">
        <v>63</v>
      </c>
      <c r="D9" s="148" t="s">
        <v>23</v>
      </c>
      <c r="E9" s="149"/>
      <c r="F9" s="147" t="s">
        <v>19</v>
      </c>
      <c r="G9" s="148" t="s">
        <v>63</v>
      </c>
      <c r="H9" s="148" t="s">
        <v>23</v>
      </c>
      <c r="I9" s="150" t="s">
        <v>41</v>
      </c>
      <c r="J9" s="151"/>
      <c r="K9" s="5"/>
      <c r="L9" s="152" t="s">
        <v>14</v>
      </c>
      <c r="M9" s="125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7"/>
      <c r="CT9" s="127"/>
      <c r="CU9" s="127"/>
      <c r="CV9" s="127"/>
      <c r="CW9" s="127"/>
      <c r="CX9" s="127"/>
      <c r="CY9" s="127"/>
      <c r="CZ9" s="127"/>
      <c r="DA9" s="127"/>
      <c r="DB9" s="127"/>
      <c r="DC9" s="127"/>
      <c r="DD9" s="127"/>
      <c r="DE9" s="127"/>
      <c r="DF9" s="127"/>
      <c r="DG9" s="127"/>
      <c r="DH9" s="127"/>
      <c r="DI9" s="127"/>
      <c r="DJ9" s="127"/>
      <c r="DK9" s="127"/>
      <c r="DL9" s="127"/>
      <c r="DM9" s="127"/>
      <c r="DN9" s="127"/>
      <c r="DO9" s="127"/>
      <c r="DP9" s="127"/>
      <c r="DQ9" s="127"/>
      <c r="DR9" s="127"/>
      <c r="DS9" s="127"/>
      <c r="DT9" s="127"/>
      <c r="DU9" s="127"/>
      <c r="DV9" s="127"/>
      <c r="DW9" s="127"/>
      <c r="DX9" s="127"/>
      <c r="DY9" s="127"/>
      <c r="DZ9" s="127"/>
      <c r="EA9" s="127"/>
      <c r="EB9" s="127"/>
      <c r="EC9" s="127"/>
      <c r="ED9" s="127"/>
      <c r="EE9" s="127"/>
      <c r="EF9" s="127"/>
      <c r="EG9" s="127"/>
      <c r="EH9" s="127"/>
      <c r="EI9" s="127"/>
      <c r="EJ9" s="127"/>
      <c r="EK9" s="127"/>
      <c r="EL9" s="127"/>
      <c r="EM9" s="127"/>
      <c r="EN9" s="127"/>
      <c r="EO9" s="127"/>
      <c r="EP9" s="127"/>
      <c r="EQ9" s="127"/>
      <c r="ER9" s="127"/>
      <c r="ES9" s="127"/>
      <c r="ET9" s="127"/>
      <c r="EU9" s="127"/>
      <c r="EV9" s="127"/>
      <c r="EW9" s="127"/>
      <c r="EX9" s="127"/>
      <c r="EY9" s="127"/>
      <c r="EZ9" s="127"/>
      <c r="FA9" s="127"/>
      <c r="FB9" s="127"/>
      <c r="FC9" s="127"/>
      <c r="FD9" s="127"/>
      <c r="FE9" s="127"/>
      <c r="FF9" s="127"/>
      <c r="FG9" s="127"/>
      <c r="FH9" s="127"/>
      <c r="FI9" s="127"/>
      <c r="FJ9" s="127"/>
      <c r="FK9" s="127"/>
      <c r="FL9" s="127"/>
      <c r="FM9" s="127"/>
      <c r="FN9" s="127"/>
      <c r="FO9" s="127"/>
      <c r="FP9" s="127"/>
      <c r="FQ9" s="127"/>
      <c r="FR9" s="127"/>
      <c r="FS9" s="127"/>
      <c r="FT9" s="127"/>
      <c r="FU9" s="127"/>
      <c r="FV9" s="127"/>
      <c r="FW9" s="127"/>
      <c r="FX9" s="127"/>
      <c r="FY9" s="127"/>
      <c r="FZ9" s="127"/>
      <c r="GA9" s="127"/>
      <c r="GB9" s="127"/>
      <c r="GC9" s="127"/>
      <c r="GD9" s="127"/>
      <c r="GE9" s="127"/>
      <c r="GF9" s="127"/>
      <c r="GG9" s="127"/>
      <c r="GH9" s="127"/>
      <c r="GI9" s="127"/>
      <c r="GJ9" s="127"/>
      <c r="GK9" s="127"/>
      <c r="GL9" s="127"/>
      <c r="GM9" s="127"/>
      <c r="GN9" s="127"/>
      <c r="GO9" s="127"/>
      <c r="GP9" s="127"/>
      <c r="GQ9" s="127"/>
      <c r="GR9" s="127"/>
      <c r="GS9" s="127"/>
      <c r="GT9" s="127"/>
      <c r="GU9" s="127"/>
      <c r="GV9" s="127"/>
      <c r="GW9" s="127"/>
      <c r="GX9" s="127"/>
      <c r="GY9" s="127"/>
      <c r="GZ9" s="127"/>
      <c r="HA9" s="127"/>
      <c r="HB9" s="127"/>
      <c r="HC9" s="127"/>
      <c r="HD9" s="127"/>
      <c r="HE9" s="127"/>
      <c r="HF9" s="127"/>
      <c r="HG9" s="127"/>
      <c r="HH9" s="127"/>
      <c r="HI9" s="127"/>
      <c r="HJ9" s="127"/>
      <c r="HK9" s="127"/>
      <c r="HL9" s="127"/>
      <c r="HM9" s="127"/>
      <c r="HN9" s="127"/>
      <c r="HO9" s="127"/>
      <c r="HP9" s="127"/>
      <c r="HQ9" s="127"/>
      <c r="HR9" s="127"/>
      <c r="HS9" s="127"/>
      <c r="HT9" s="127"/>
      <c r="HU9" s="127"/>
      <c r="HV9" s="127"/>
      <c r="HW9" s="127"/>
      <c r="HX9" s="127"/>
      <c r="HY9" s="127"/>
      <c r="HZ9" s="127"/>
      <c r="IA9" s="127"/>
      <c r="IB9" s="127"/>
      <c r="IC9" s="127"/>
      <c r="ID9" s="127"/>
      <c r="IE9" s="127"/>
      <c r="IF9" s="127"/>
      <c r="IG9" s="127"/>
      <c r="IH9" s="127"/>
      <c r="II9" s="127"/>
      <c r="IJ9" s="127"/>
      <c r="IK9" s="127"/>
      <c r="IL9" s="127"/>
      <c r="IM9" s="127"/>
      <c r="IN9" s="127"/>
      <c r="IO9" s="127"/>
      <c r="IP9" s="127"/>
      <c r="IQ9" s="127"/>
      <c r="IR9" s="127"/>
      <c r="IS9" s="127"/>
      <c r="IT9" s="127"/>
      <c r="IU9" s="127"/>
      <c r="IV9" s="127"/>
      <c r="IW9" s="127"/>
      <c r="IX9" s="127"/>
      <c r="IY9" s="127"/>
      <c r="IZ9" s="127"/>
      <c r="JA9" s="127"/>
      <c r="JB9" s="127"/>
      <c r="JC9" s="127"/>
      <c r="JD9" s="127"/>
      <c r="JE9" s="127"/>
      <c r="JF9" s="127"/>
      <c r="JG9" s="127"/>
      <c r="JH9" s="127"/>
      <c r="JI9" s="127"/>
      <c r="JJ9" s="127"/>
      <c r="JK9" s="127"/>
    </row>
    <row r="10" ht="18.75" customHeight="1">
      <c r="A10" s="153"/>
      <c r="B10" s="154"/>
      <c r="C10" s="154"/>
      <c r="D10" s="154"/>
      <c r="E10" s="155" t="s">
        <v>64</v>
      </c>
      <c r="F10" s="154"/>
      <c r="G10" s="154"/>
      <c r="H10" s="154"/>
      <c r="I10" s="154"/>
      <c r="K10" s="15"/>
      <c r="L10" s="152" t="s">
        <v>18</v>
      </c>
      <c r="M10" s="131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  <c r="CN10" s="127"/>
      <c r="CO10" s="127"/>
      <c r="CP10" s="127"/>
      <c r="CQ10" s="127"/>
      <c r="CR10" s="127"/>
      <c r="CS10" s="127"/>
      <c r="CT10" s="127"/>
      <c r="CU10" s="127"/>
      <c r="CV10" s="127"/>
      <c r="CW10" s="127"/>
      <c r="CX10" s="127"/>
      <c r="CY10" s="127"/>
      <c r="CZ10" s="127"/>
      <c r="DA10" s="127"/>
      <c r="DB10" s="127"/>
      <c r="DC10" s="127"/>
      <c r="DD10" s="127"/>
      <c r="DE10" s="127"/>
      <c r="DF10" s="127"/>
      <c r="DG10" s="127"/>
      <c r="DH10" s="127"/>
      <c r="DI10" s="127"/>
      <c r="DJ10" s="127"/>
      <c r="DK10" s="127"/>
      <c r="DL10" s="127"/>
      <c r="DM10" s="127"/>
      <c r="DN10" s="127"/>
      <c r="DO10" s="127"/>
      <c r="DP10" s="127"/>
      <c r="DQ10" s="127"/>
      <c r="DR10" s="127"/>
      <c r="DS10" s="127"/>
      <c r="DT10" s="127"/>
      <c r="DU10" s="127"/>
      <c r="DV10" s="127"/>
      <c r="DW10" s="127"/>
      <c r="DX10" s="127"/>
      <c r="DY10" s="127"/>
      <c r="DZ10" s="127"/>
      <c r="EA10" s="127"/>
      <c r="EB10" s="127"/>
      <c r="EC10" s="127"/>
      <c r="ED10" s="127"/>
      <c r="EE10" s="127"/>
      <c r="EF10" s="127"/>
      <c r="EG10" s="127"/>
      <c r="EH10" s="127"/>
      <c r="EI10" s="127"/>
      <c r="EJ10" s="127"/>
      <c r="EK10" s="127"/>
      <c r="EL10" s="127"/>
      <c r="EM10" s="127"/>
      <c r="EN10" s="127"/>
      <c r="EO10" s="127"/>
      <c r="EP10" s="127"/>
      <c r="EQ10" s="127"/>
      <c r="ER10" s="127"/>
      <c r="ES10" s="127"/>
      <c r="ET10" s="127"/>
      <c r="EU10" s="127"/>
      <c r="EV10" s="127"/>
      <c r="EW10" s="127"/>
      <c r="EX10" s="127"/>
      <c r="EY10" s="127"/>
      <c r="EZ10" s="127"/>
      <c r="FA10" s="127"/>
      <c r="FB10" s="127"/>
      <c r="FC10" s="127"/>
      <c r="FD10" s="127"/>
      <c r="FE10" s="127"/>
      <c r="FF10" s="127"/>
      <c r="FG10" s="127"/>
      <c r="FH10" s="127"/>
      <c r="FI10" s="127"/>
      <c r="FJ10" s="127"/>
      <c r="FK10" s="127"/>
      <c r="FL10" s="127"/>
      <c r="FM10" s="127"/>
      <c r="FN10" s="127"/>
      <c r="FO10" s="127"/>
      <c r="FP10" s="127"/>
      <c r="FQ10" s="127"/>
      <c r="FR10" s="127"/>
      <c r="FS10" s="127"/>
      <c r="FT10" s="127"/>
      <c r="FU10" s="127"/>
      <c r="FV10" s="127"/>
      <c r="FW10" s="127"/>
      <c r="FX10" s="127"/>
      <c r="FY10" s="127"/>
      <c r="FZ10" s="127"/>
      <c r="GA10" s="127"/>
      <c r="GB10" s="127"/>
      <c r="GC10" s="127"/>
      <c r="GD10" s="127"/>
      <c r="GE10" s="127"/>
      <c r="GF10" s="127"/>
      <c r="GG10" s="127"/>
      <c r="GH10" s="127"/>
      <c r="GI10" s="127"/>
      <c r="GJ10" s="127"/>
      <c r="GK10" s="127"/>
      <c r="GL10" s="127"/>
      <c r="GM10" s="127"/>
      <c r="GN10" s="127"/>
      <c r="GO10" s="127"/>
      <c r="GP10" s="127"/>
      <c r="GQ10" s="127"/>
      <c r="GR10" s="127"/>
      <c r="GS10" s="127"/>
      <c r="GT10" s="127"/>
      <c r="GU10" s="127"/>
      <c r="GV10" s="127"/>
      <c r="GW10" s="127"/>
      <c r="GX10" s="127"/>
      <c r="GY10" s="127"/>
      <c r="GZ10" s="127"/>
      <c r="HA10" s="127"/>
      <c r="HB10" s="127"/>
      <c r="HC10" s="127"/>
      <c r="HD10" s="127"/>
      <c r="HE10" s="127"/>
      <c r="HF10" s="127"/>
      <c r="HG10" s="127"/>
      <c r="HH10" s="127"/>
      <c r="HI10" s="127"/>
      <c r="HJ10" s="127"/>
      <c r="HK10" s="127"/>
      <c r="HL10" s="127"/>
      <c r="HM10" s="127"/>
      <c r="HN10" s="127"/>
      <c r="HO10" s="127"/>
      <c r="HP10" s="127"/>
      <c r="HQ10" s="127"/>
      <c r="HR10" s="127"/>
      <c r="HS10" s="127"/>
      <c r="HT10" s="127"/>
      <c r="HU10" s="127"/>
      <c r="HV10" s="127"/>
      <c r="HW10" s="127"/>
      <c r="HX10" s="127"/>
      <c r="HY10" s="127"/>
      <c r="HZ10" s="127"/>
      <c r="IA10" s="127"/>
      <c r="IB10" s="127"/>
      <c r="IC10" s="127"/>
      <c r="ID10" s="127"/>
      <c r="IE10" s="127"/>
      <c r="IF10" s="127"/>
      <c r="IG10" s="127"/>
      <c r="IH10" s="127"/>
      <c r="II10" s="127"/>
      <c r="IJ10" s="127"/>
      <c r="IK10" s="127"/>
      <c r="IL10" s="127"/>
      <c r="IM10" s="127"/>
      <c r="IN10" s="127"/>
      <c r="IO10" s="127"/>
      <c r="IP10" s="127"/>
      <c r="IQ10" s="127"/>
      <c r="IR10" s="127"/>
      <c r="IS10" s="127"/>
      <c r="IT10" s="127"/>
      <c r="IU10" s="127"/>
      <c r="IV10" s="127"/>
      <c r="IW10" s="127"/>
      <c r="IX10" s="127"/>
      <c r="IY10" s="127"/>
      <c r="IZ10" s="127"/>
      <c r="JA10" s="127"/>
      <c r="JB10" s="127"/>
      <c r="JC10" s="127"/>
      <c r="JD10" s="127"/>
      <c r="JE10" s="127"/>
      <c r="JF10" s="127"/>
      <c r="JG10" s="127"/>
      <c r="JH10" s="127"/>
      <c r="JI10" s="127"/>
      <c r="JJ10" s="127"/>
      <c r="JK10" s="127"/>
    </row>
    <row r="11" ht="18.75" customHeight="1">
      <c r="A11" s="153"/>
      <c r="B11" s="154"/>
      <c r="C11" s="154"/>
      <c r="D11" s="154"/>
      <c r="E11" s="155" t="s">
        <v>52</v>
      </c>
      <c r="F11" s="154"/>
      <c r="G11" s="154"/>
      <c r="H11" s="154"/>
      <c r="I11" s="154"/>
      <c r="K11" s="15"/>
      <c r="L11" s="156" t="s">
        <v>13</v>
      </c>
      <c r="M11" s="131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  <c r="CF11" s="127"/>
      <c r="CG11" s="127"/>
      <c r="CH11" s="127"/>
      <c r="CI11" s="127"/>
      <c r="CJ11" s="127"/>
      <c r="CK11" s="127"/>
      <c r="CL11" s="127"/>
      <c r="CM11" s="127"/>
      <c r="CN11" s="127"/>
      <c r="CO11" s="127"/>
      <c r="CP11" s="127"/>
      <c r="CQ11" s="127"/>
      <c r="CR11" s="127"/>
      <c r="CS11" s="127"/>
      <c r="CT11" s="127"/>
      <c r="CU11" s="127"/>
      <c r="CV11" s="127"/>
      <c r="CW11" s="127"/>
      <c r="CX11" s="127"/>
      <c r="CY11" s="127"/>
      <c r="CZ11" s="127"/>
      <c r="DA11" s="127"/>
      <c r="DB11" s="127"/>
      <c r="DC11" s="127"/>
      <c r="DD11" s="127"/>
      <c r="DE11" s="127"/>
      <c r="DF11" s="127"/>
      <c r="DG11" s="127"/>
      <c r="DH11" s="127"/>
      <c r="DI11" s="127"/>
      <c r="DJ11" s="127"/>
      <c r="DK11" s="127"/>
      <c r="DL11" s="127"/>
      <c r="DM11" s="127"/>
      <c r="DN11" s="127"/>
      <c r="DO11" s="127"/>
      <c r="DP11" s="127"/>
      <c r="DQ11" s="127"/>
      <c r="DR11" s="127"/>
      <c r="DS11" s="127"/>
      <c r="DT11" s="127"/>
      <c r="DU11" s="127"/>
      <c r="DV11" s="127"/>
      <c r="DW11" s="127"/>
      <c r="DX11" s="127"/>
      <c r="DY11" s="127"/>
      <c r="DZ11" s="127"/>
      <c r="EA11" s="127"/>
      <c r="EB11" s="127"/>
      <c r="EC11" s="127"/>
      <c r="ED11" s="127"/>
      <c r="EE11" s="127"/>
      <c r="EF11" s="127"/>
      <c r="EG11" s="127"/>
      <c r="EH11" s="127"/>
      <c r="EI11" s="127"/>
      <c r="EJ11" s="127"/>
      <c r="EK11" s="127"/>
      <c r="EL11" s="127"/>
      <c r="EM11" s="127"/>
      <c r="EN11" s="127"/>
      <c r="EO11" s="127"/>
      <c r="EP11" s="127"/>
      <c r="EQ11" s="127"/>
      <c r="ER11" s="127"/>
      <c r="ES11" s="127"/>
      <c r="ET11" s="127"/>
      <c r="EU11" s="127"/>
      <c r="EV11" s="127"/>
      <c r="EW11" s="127"/>
      <c r="EX11" s="127"/>
      <c r="EY11" s="127"/>
      <c r="EZ11" s="127"/>
      <c r="FA11" s="127"/>
      <c r="FB11" s="127"/>
      <c r="FC11" s="127"/>
      <c r="FD11" s="127"/>
      <c r="FE11" s="127"/>
      <c r="FF11" s="127"/>
      <c r="FG11" s="127"/>
      <c r="FH11" s="127"/>
      <c r="FI11" s="127"/>
      <c r="FJ11" s="127"/>
      <c r="FK11" s="127"/>
      <c r="FL11" s="127"/>
      <c r="FM11" s="127"/>
      <c r="FN11" s="127"/>
      <c r="FO11" s="127"/>
      <c r="FP11" s="127"/>
      <c r="FQ11" s="127"/>
      <c r="FR11" s="127"/>
      <c r="FS11" s="127"/>
      <c r="FT11" s="127"/>
      <c r="FU11" s="127"/>
      <c r="FV11" s="127"/>
      <c r="FW11" s="127"/>
      <c r="FX11" s="127"/>
      <c r="FY11" s="127"/>
      <c r="FZ11" s="127"/>
      <c r="GA11" s="127"/>
      <c r="GB11" s="127"/>
      <c r="GC11" s="127"/>
      <c r="GD11" s="127"/>
      <c r="GE11" s="127"/>
      <c r="GF11" s="127"/>
      <c r="GG11" s="127"/>
      <c r="GH11" s="127"/>
      <c r="GI11" s="127"/>
      <c r="GJ11" s="127"/>
      <c r="GK11" s="127"/>
      <c r="GL11" s="127"/>
      <c r="GM11" s="127"/>
      <c r="GN11" s="127"/>
      <c r="GO11" s="127"/>
      <c r="GP11" s="127"/>
      <c r="GQ11" s="127"/>
      <c r="GR11" s="127"/>
      <c r="GS11" s="127"/>
      <c r="GT11" s="127"/>
      <c r="GU11" s="127"/>
      <c r="GV11" s="127"/>
      <c r="GW11" s="127"/>
      <c r="GX11" s="127"/>
      <c r="GY11" s="127"/>
      <c r="GZ11" s="127"/>
      <c r="HA11" s="127"/>
      <c r="HB11" s="127"/>
      <c r="HC11" s="127"/>
      <c r="HD11" s="127"/>
      <c r="HE11" s="127"/>
      <c r="HF11" s="127"/>
      <c r="HG11" s="127"/>
      <c r="HH11" s="127"/>
      <c r="HI11" s="127"/>
      <c r="HJ11" s="127"/>
      <c r="HK11" s="127"/>
      <c r="HL11" s="127"/>
      <c r="HM11" s="127"/>
      <c r="HN11" s="127"/>
      <c r="HO11" s="127"/>
      <c r="HP11" s="127"/>
      <c r="HQ11" s="127"/>
      <c r="HR11" s="127"/>
      <c r="HS11" s="127"/>
      <c r="HT11" s="127"/>
      <c r="HU11" s="127"/>
      <c r="HV11" s="127"/>
      <c r="HW11" s="127"/>
      <c r="HX11" s="127"/>
      <c r="HY11" s="127"/>
      <c r="HZ11" s="127"/>
      <c r="IA11" s="127"/>
      <c r="IB11" s="127"/>
      <c r="IC11" s="127"/>
      <c r="ID11" s="127"/>
      <c r="IE11" s="127"/>
      <c r="IF11" s="127"/>
      <c r="IG11" s="127"/>
      <c r="IH11" s="127"/>
      <c r="II11" s="127"/>
      <c r="IJ11" s="127"/>
      <c r="IK11" s="127"/>
      <c r="IL11" s="127"/>
      <c r="IM11" s="127"/>
      <c r="IN11" s="127"/>
      <c r="IO11" s="127"/>
      <c r="IP11" s="127"/>
      <c r="IQ11" s="127"/>
      <c r="IR11" s="127"/>
      <c r="IS11" s="127"/>
      <c r="IT11" s="127"/>
      <c r="IU11" s="127"/>
      <c r="IV11" s="127"/>
      <c r="IW11" s="127"/>
      <c r="IX11" s="127"/>
      <c r="IY11" s="127"/>
      <c r="IZ11" s="127"/>
      <c r="JA11" s="127"/>
      <c r="JB11" s="127"/>
      <c r="JC11" s="127"/>
      <c r="JD11" s="127"/>
      <c r="JE11" s="127"/>
      <c r="JF11" s="127"/>
      <c r="JG11" s="127"/>
      <c r="JH11" s="127"/>
      <c r="JI11" s="127"/>
      <c r="JJ11" s="127"/>
      <c r="JK11" s="127"/>
    </row>
    <row r="12" ht="18.75" customHeight="1">
      <c r="A12" s="153"/>
      <c r="B12" s="154"/>
      <c r="C12" s="154"/>
      <c r="D12" s="154"/>
      <c r="E12" s="155" t="s">
        <v>65</v>
      </c>
      <c r="F12" s="154"/>
      <c r="G12" s="154"/>
      <c r="H12" s="154"/>
      <c r="I12" s="154"/>
      <c r="K12" s="15"/>
      <c r="L12" s="157" t="s">
        <v>27</v>
      </c>
      <c r="M12" s="13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21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21"/>
      <c r="EO12" s="121"/>
      <c r="EP12" s="121"/>
      <c r="EQ12" s="121"/>
      <c r="ER12" s="121"/>
      <c r="ES12" s="121"/>
      <c r="ET12" s="121"/>
      <c r="EU12" s="121"/>
      <c r="EV12" s="121"/>
      <c r="EW12" s="121"/>
      <c r="EX12" s="121"/>
      <c r="EY12" s="121"/>
      <c r="EZ12" s="121"/>
      <c r="FA12" s="121"/>
      <c r="FB12" s="121"/>
      <c r="FC12" s="121"/>
      <c r="FD12" s="121"/>
      <c r="FE12" s="121"/>
      <c r="FF12" s="121"/>
      <c r="FG12" s="121"/>
      <c r="FH12" s="121"/>
      <c r="FI12" s="121"/>
      <c r="FJ12" s="121"/>
      <c r="FK12" s="121"/>
      <c r="FL12" s="121"/>
      <c r="FM12" s="121"/>
      <c r="FN12" s="121"/>
      <c r="FO12" s="121"/>
      <c r="FP12" s="121"/>
      <c r="FQ12" s="121"/>
      <c r="FR12" s="121"/>
      <c r="FS12" s="121"/>
      <c r="FT12" s="121"/>
      <c r="FU12" s="121"/>
      <c r="FV12" s="121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121"/>
      <c r="GJ12" s="121"/>
      <c r="GK12" s="121"/>
      <c r="GL12" s="121"/>
      <c r="GM12" s="121"/>
      <c r="GN12" s="121"/>
      <c r="GO12" s="121"/>
      <c r="GP12" s="121"/>
      <c r="GQ12" s="121"/>
      <c r="GR12" s="121"/>
      <c r="GS12" s="121"/>
      <c r="GT12" s="121"/>
      <c r="GU12" s="121"/>
      <c r="GV12" s="121"/>
      <c r="GW12" s="121"/>
      <c r="GX12" s="121"/>
      <c r="GY12" s="121"/>
      <c r="GZ12" s="121"/>
      <c r="HA12" s="121"/>
      <c r="HB12" s="121"/>
      <c r="HC12" s="121"/>
      <c r="HD12" s="121"/>
      <c r="HE12" s="121"/>
      <c r="HF12" s="121"/>
      <c r="HG12" s="121"/>
      <c r="HH12" s="121"/>
      <c r="HI12" s="121"/>
      <c r="HJ12" s="121"/>
      <c r="HK12" s="121"/>
      <c r="HL12" s="121"/>
      <c r="HM12" s="121"/>
      <c r="HN12" s="121"/>
      <c r="HO12" s="121"/>
      <c r="HP12" s="121"/>
      <c r="HQ12" s="121"/>
      <c r="HR12" s="121"/>
      <c r="HS12" s="121"/>
      <c r="HT12" s="121"/>
      <c r="HU12" s="121"/>
      <c r="HV12" s="121"/>
      <c r="HW12" s="121"/>
      <c r="HX12" s="121"/>
      <c r="HY12" s="121"/>
      <c r="HZ12" s="121"/>
      <c r="IA12" s="121"/>
      <c r="IB12" s="121"/>
      <c r="IC12" s="121"/>
      <c r="ID12" s="121"/>
      <c r="IE12" s="121"/>
      <c r="IF12" s="121"/>
      <c r="IG12" s="121"/>
      <c r="IH12" s="121"/>
      <c r="II12" s="121"/>
      <c r="IJ12" s="121"/>
      <c r="IK12" s="121"/>
      <c r="IL12" s="121"/>
      <c r="IM12" s="121"/>
      <c r="IN12" s="121"/>
      <c r="IO12" s="121"/>
      <c r="IP12" s="121"/>
      <c r="IQ12" s="121"/>
      <c r="IR12" s="121"/>
      <c r="IS12" s="121"/>
      <c r="IT12" s="121"/>
      <c r="IU12" s="121"/>
      <c r="IV12" s="121"/>
      <c r="IW12" s="121"/>
      <c r="IX12" s="121"/>
      <c r="IY12" s="121"/>
      <c r="IZ12" s="121"/>
      <c r="JA12" s="121"/>
      <c r="JB12" s="121"/>
      <c r="JC12" s="121"/>
      <c r="JD12" s="121"/>
      <c r="JE12" s="121"/>
      <c r="JF12" s="121"/>
      <c r="JG12" s="121"/>
      <c r="JH12" s="121"/>
      <c r="JI12" s="121"/>
      <c r="JJ12" s="121"/>
      <c r="JK12" s="121"/>
    </row>
    <row r="13" ht="18.75" customHeight="1">
      <c r="A13" s="153"/>
      <c r="B13" s="154"/>
      <c r="C13" s="154"/>
      <c r="D13" s="154"/>
      <c r="E13" s="155" t="s">
        <v>65</v>
      </c>
      <c r="F13" s="154"/>
      <c r="G13" s="154"/>
      <c r="H13" s="154"/>
      <c r="I13" s="154"/>
      <c r="K13" s="15"/>
      <c r="L13" s="124" t="s">
        <v>30</v>
      </c>
      <c r="M13" s="125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  <c r="CF13" s="127"/>
      <c r="CG13" s="127"/>
      <c r="CH13" s="127"/>
      <c r="CI13" s="127"/>
      <c r="CJ13" s="127"/>
      <c r="CK13" s="127"/>
      <c r="CL13" s="127"/>
      <c r="CM13" s="127"/>
      <c r="CN13" s="127"/>
      <c r="CO13" s="127"/>
      <c r="CP13" s="127"/>
      <c r="CQ13" s="127"/>
      <c r="CR13" s="127"/>
      <c r="CS13" s="127"/>
      <c r="CT13" s="127"/>
      <c r="CU13" s="127"/>
      <c r="CV13" s="127"/>
      <c r="CW13" s="127"/>
      <c r="CX13" s="127"/>
      <c r="CY13" s="127"/>
      <c r="CZ13" s="127"/>
      <c r="DA13" s="127"/>
      <c r="DB13" s="127"/>
      <c r="DC13" s="127"/>
      <c r="DD13" s="127"/>
      <c r="DE13" s="127"/>
      <c r="DF13" s="127"/>
      <c r="DG13" s="127"/>
      <c r="DH13" s="127"/>
      <c r="DI13" s="127"/>
      <c r="DJ13" s="127"/>
      <c r="DK13" s="127"/>
      <c r="DL13" s="127"/>
      <c r="DM13" s="127"/>
      <c r="DN13" s="127"/>
      <c r="DO13" s="127"/>
      <c r="DP13" s="127"/>
      <c r="DQ13" s="127"/>
      <c r="DR13" s="127"/>
      <c r="DS13" s="127"/>
      <c r="DT13" s="127"/>
      <c r="DU13" s="127"/>
      <c r="DV13" s="127"/>
      <c r="DW13" s="127"/>
      <c r="DX13" s="127"/>
      <c r="DY13" s="127"/>
      <c r="DZ13" s="127"/>
      <c r="EA13" s="127"/>
      <c r="EB13" s="127"/>
      <c r="EC13" s="127"/>
      <c r="ED13" s="127"/>
      <c r="EE13" s="127"/>
      <c r="EF13" s="127"/>
      <c r="EG13" s="127"/>
      <c r="EH13" s="127"/>
      <c r="EI13" s="127"/>
      <c r="EJ13" s="127"/>
      <c r="EK13" s="127"/>
      <c r="EL13" s="127"/>
      <c r="EM13" s="127"/>
      <c r="EN13" s="127"/>
      <c r="EO13" s="127"/>
      <c r="EP13" s="127"/>
      <c r="EQ13" s="127"/>
      <c r="ER13" s="127"/>
      <c r="ES13" s="127"/>
      <c r="ET13" s="127"/>
      <c r="EU13" s="127"/>
      <c r="EV13" s="127"/>
      <c r="EW13" s="127"/>
      <c r="EX13" s="127"/>
      <c r="EY13" s="127"/>
      <c r="EZ13" s="127"/>
      <c r="FA13" s="127"/>
      <c r="FB13" s="127"/>
      <c r="FC13" s="127"/>
      <c r="FD13" s="127"/>
      <c r="FE13" s="127"/>
      <c r="FF13" s="127"/>
      <c r="FG13" s="127"/>
      <c r="FH13" s="127"/>
      <c r="FI13" s="127"/>
      <c r="FJ13" s="127"/>
      <c r="FK13" s="127"/>
      <c r="FL13" s="127"/>
      <c r="FM13" s="127"/>
      <c r="FN13" s="127"/>
      <c r="FO13" s="127"/>
      <c r="FP13" s="127"/>
      <c r="FQ13" s="127"/>
      <c r="FR13" s="127"/>
      <c r="FS13" s="127"/>
      <c r="FT13" s="127"/>
      <c r="FU13" s="127"/>
      <c r="FV13" s="127"/>
      <c r="FW13" s="127"/>
      <c r="FX13" s="127"/>
      <c r="FY13" s="127"/>
      <c r="FZ13" s="127"/>
      <c r="GA13" s="127"/>
      <c r="GB13" s="127"/>
      <c r="GC13" s="127"/>
      <c r="GD13" s="127"/>
      <c r="GE13" s="127"/>
      <c r="GF13" s="127"/>
      <c r="GG13" s="127"/>
      <c r="GH13" s="127"/>
      <c r="GI13" s="127"/>
      <c r="GJ13" s="127"/>
      <c r="GK13" s="127"/>
      <c r="GL13" s="127"/>
      <c r="GM13" s="127"/>
      <c r="GN13" s="127"/>
      <c r="GO13" s="127"/>
      <c r="GP13" s="127"/>
      <c r="GQ13" s="127"/>
      <c r="GR13" s="127"/>
      <c r="GS13" s="127"/>
      <c r="GT13" s="127"/>
      <c r="GU13" s="127"/>
      <c r="GV13" s="127"/>
      <c r="GW13" s="127"/>
      <c r="GX13" s="127"/>
      <c r="GY13" s="127"/>
      <c r="GZ13" s="127"/>
      <c r="HA13" s="127"/>
      <c r="HB13" s="127"/>
      <c r="HC13" s="127"/>
      <c r="HD13" s="127"/>
      <c r="HE13" s="127"/>
      <c r="HF13" s="127"/>
      <c r="HG13" s="127"/>
      <c r="HH13" s="127"/>
      <c r="HI13" s="127"/>
      <c r="HJ13" s="127"/>
      <c r="HK13" s="127"/>
      <c r="HL13" s="127"/>
      <c r="HM13" s="127"/>
      <c r="HN13" s="127"/>
      <c r="HO13" s="127"/>
      <c r="HP13" s="127"/>
      <c r="HQ13" s="127"/>
      <c r="HR13" s="127"/>
      <c r="HS13" s="127"/>
      <c r="HT13" s="127"/>
      <c r="HU13" s="127"/>
      <c r="HV13" s="127"/>
      <c r="HW13" s="127"/>
      <c r="HX13" s="127"/>
      <c r="HY13" s="127"/>
      <c r="HZ13" s="127"/>
      <c r="IA13" s="127"/>
      <c r="IB13" s="127"/>
      <c r="IC13" s="127"/>
      <c r="ID13" s="127"/>
      <c r="IE13" s="127"/>
      <c r="IF13" s="127"/>
      <c r="IG13" s="127"/>
      <c r="IH13" s="127"/>
      <c r="II13" s="127"/>
      <c r="IJ13" s="127"/>
      <c r="IK13" s="127"/>
      <c r="IL13" s="127"/>
      <c r="IM13" s="127"/>
      <c r="IN13" s="127"/>
      <c r="IO13" s="127"/>
      <c r="IP13" s="127"/>
      <c r="IQ13" s="127"/>
      <c r="IR13" s="127"/>
      <c r="IS13" s="127"/>
      <c r="IT13" s="127"/>
      <c r="IU13" s="127"/>
      <c r="IV13" s="127"/>
      <c r="IW13" s="127"/>
      <c r="IX13" s="127"/>
      <c r="IY13" s="127"/>
      <c r="IZ13" s="127"/>
      <c r="JA13" s="127"/>
      <c r="JB13" s="127"/>
      <c r="JC13" s="127"/>
      <c r="JD13" s="127"/>
      <c r="JE13" s="127"/>
      <c r="JF13" s="127"/>
      <c r="JG13" s="127"/>
      <c r="JH13" s="127"/>
      <c r="JI13" s="127"/>
      <c r="JJ13" s="127"/>
      <c r="JK13" s="127"/>
    </row>
    <row r="14" ht="18.75" customHeight="1">
      <c r="A14" s="153"/>
      <c r="B14" s="154"/>
      <c r="C14" s="154"/>
      <c r="D14" s="154"/>
      <c r="E14" s="155" t="s">
        <v>66</v>
      </c>
      <c r="F14" s="154"/>
      <c r="G14" s="154"/>
      <c r="H14" s="154"/>
      <c r="I14" s="154"/>
      <c r="K14" s="15"/>
      <c r="L14" s="158" t="s">
        <v>31</v>
      </c>
      <c r="M14" s="131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  <c r="CF14" s="127"/>
      <c r="CG14" s="127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7"/>
      <c r="CT14" s="127"/>
      <c r="CU14" s="127"/>
      <c r="CV14" s="127"/>
      <c r="CW14" s="127"/>
      <c r="CX14" s="127"/>
      <c r="CY14" s="127"/>
      <c r="CZ14" s="127"/>
      <c r="DA14" s="127"/>
      <c r="DB14" s="127"/>
      <c r="DC14" s="127"/>
      <c r="DD14" s="127"/>
      <c r="DE14" s="127"/>
      <c r="DF14" s="127"/>
      <c r="DG14" s="127"/>
      <c r="DH14" s="127"/>
      <c r="DI14" s="127"/>
      <c r="DJ14" s="127"/>
      <c r="DK14" s="127"/>
      <c r="DL14" s="127"/>
      <c r="DM14" s="127"/>
      <c r="DN14" s="127"/>
      <c r="DO14" s="127"/>
      <c r="DP14" s="127"/>
      <c r="DQ14" s="127"/>
      <c r="DR14" s="127"/>
      <c r="DS14" s="127"/>
      <c r="DT14" s="127"/>
      <c r="DU14" s="127"/>
      <c r="DV14" s="127"/>
      <c r="DW14" s="127"/>
      <c r="DX14" s="127"/>
      <c r="DY14" s="127"/>
      <c r="DZ14" s="127"/>
      <c r="EA14" s="127"/>
      <c r="EB14" s="127"/>
      <c r="EC14" s="127"/>
      <c r="ED14" s="127"/>
      <c r="EE14" s="127"/>
      <c r="EF14" s="127"/>
      <c r="EG14" s="127"/>
      <c r="EH14" s="127"/>
      <c r="EI14" s="127"/>
      <c r="EJ14" s="127"/>
      <c r="EK14" s="127"/>
      <c r="EL14" s="127"/>
      <c r="EM14" s="127"/>
      <c r="EN14" s="127"/>
      <c r="EO14" s="127"/>
      <c r="EP14" s="127"/>
      <c r="EQ14" s="127"/>
      <c r="ER14" s="127"/>
      <c r="ES14" s="127"/>
      <c r="ET14" s="127"/>
      <c r="EU14" s="127"/>
      <c r="EV14" s="127"/>
      <c r="EW14" s="127"/>
      <c r="EX14" s="127"/>
      <c r="EY14" s="127"/>
      <c r="EZ14" s="127"/>
      <c r="FA14" s="127"/>
      <c r="FB14" s="127"/>
      <c r="FC14" s="127"/>
      <c r="FD14" s="127"/>
      <c r="FE14" s="127"/>
      <c r="FF14" s="127"/>
      <c r="FG14" s="127"/>
      <c r="FH14" s="127"/>
      <c r="FI14" s="127"/>
      <c r="FJ14" s="127"/>
      <c r="FK14" s="127"/>
      <c r="FL14" s="127"/>
      <c r="FM14" s="127"/>
      <c r="FN14" s="127"/>
      <c r="FO14" s="127"/>
      <c r="FP14" s="127"/>
      <c r="FQ14" s="127"/>
      <c r="FR14" s="127"/>
      <c r="FS14" s="127"/>
      <c r="FT14" s="127"/>
      <c r="FU14" s="127"/>
      <c r="FV14" s="127"/>
      <c r="FW14" s="127"/>
      <c r="FX14" s="127"/>
      <c r="FY14" s="127"/>
      <c r="FZ14" s="127"/>
      <c r="GA14" s="127"/>
      <c r="GB14" s="127"/>
      <c r="GC14" s="127"/>
      <c r="GD14" s="127"/>
      <c r="GE14" s="127"/>
      <c r="GF14" s="127"/>
      <c r="GG14" s="127"/>
      <c r="GH14" s="127"/>
      <c r="GI14" s="127"/>
      <c r="GJ14" s="127"/>
      <c r="GK14" s="127"/>
      <c r="GL14" s="127"/>
      <c r="GM14" s="127"/>
      <c r="GN14" s="127"/>
      <c r="GO14" s="127"/>
      <c r="GP14" s="127"/>
      <c r="GQ14" s="127"/>
      <c r="GR14" s="127"/>
      <c r="GS14" s="127"/>
      <c r="GT14" s="127"/>
      <c r="GU14" s="127"/>
      <c r="GV14" s="127"/>
      <c r="GW14" s="127"/>
      <c r="GX14" s="127"/>
      <c r="GY14" s="127"/>
      <c r="GZ14" s="127"/>
      <c r="HA14" s="127"/>
      <c r="HB14" s="127"/>
      <c r="HC14" s="127"/>
      <c r="HD14" s="127"/>
      <c r="HE14" s="127"/>
      <c r="HF14" s="127"/>
      <c r="HG14" s="127"/>
      <c r="HH14" s="127"/>
      <c r="HI14" s="127"/>
      <c r="HJ14" s="127"/>
      <c r="HK14" s="127"/>
      <c r="HL14" s="127"/>
      <c r="HM14" s="127"/>
      <c r="HN14" s="127"/>
      <c r="HO14" s="127"/>
      <c r="HP14" s="127"/>
      <c r="HQ14" s="127"/>
      <c r="HR14" s="127"/>
      <c r="HS14" s="127"/>
      <c r="HT14" s="127"/>
      <c r="HU14" s="127"/>
      <c r="HV14" s="127"/>
      <c r="HW14" s="127"/>
      <c r="HX14" s="127"/>
      <c r="HY14" s="127"/>
      <c r="HZ14" s="127"/>
      <c r="IA14" s="127"/>
      <c r="IB14" s="127"/>
      <c r="IC14" s="127"/>
      <c r="ID14" s="127"/>
      <c r="IE14" s="127"/>
      <c r="IF14" s="127"/>
      <c r="IG14" s="127"/>
      <c r="IH14" s="127"/>
      <c r="II14" s="127"/>
      <c r="IJ14" s="127"/>
      <c r="IK14" s="127"/>
      <c r="IL14" s="127"/>
      <c r="IM14" s="127"/>
      <c r="IN14" s="127"/>
      <c r="IO14" s="127"/>
      <c r="IP14" s="127"/>
      <c r="IQ14" s="127"/>
      <c r="IR14" s="127"/>
      <c r="IS14" s="127"/>
      <c r="IT14" s="127"/>
      <c r="IU14" s="127"/>
      <c r="IV14" s="127"/>
      <c r="IW14" s="127"/>
      <c r="IX14" s="127"/>
      <c r="IY14" s="127"/>
      <c r="IZ14" s="127"/>
      <c r="JA14" s="127"/>
      <c r="JB14" s="127"/>
      <c r="JC14" s="127"/>
      <c r="JD14" s="127"/>
      <c r="JE14" s="127"/>
      <c r="JF14" s="127"/>
      <c r="JG14" s="127"/>
      <c r="JH14" s="127"/>
      <c r="JI14" s="127"/>
      <c r="JJ14" s="127"/>
      <c r="JK14" s="127"/>
    </row>
    <row r="15" ht="18.75" customHeight="1">
      <c r="A15" s="153"/>
      <c r="B15" s="154"/>
      <c r="C15" s="154"/>
      <c r="D15" s="154"/>
      <c r="E15" s="155" t="s">
        <v>66</v>
      </c>
      <c r="F15" s="154"/>
      <c r="G15" s="154"/>
      <c r="H15" s="154"/>
      <c r="I15" s="154"/>
      <c r="K15" s="15"/>
      <c r="L15" s="158" t="s">
        <v>32</v>
      </c>
      <c r="M15" s="125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27"/>
      <c r="CI15" s="127"/>
      <c r="CJ15" s="127"/>
      <c r="CK15" s="127"/>
      <c r="CL15" s="127"/>
      <c r="CM15" s="127"/>
      <c r="CN15" s="127"/>
      <c r="CO15" s="127"/>
      <c r="CP15" s="127"/>
      <c r="CQ15" s="127"/>
      <c r="CR15" s="127"/>
      <c r="CS15" s="127"/>
      <c r="CT15" s="127"/>
      <c r="CU15" s="127"/>
      <c r="CV15" s="127"/>
      <c r="CW15" s="127"/>
      <c r="CX15" s="127"/>
      <c r="CY15" s="127"/>
      <c r="CZ15" s="127"/>
      <c r="DA15" s="127"/>
      <c r="DB15" s="127"/>
      <c r="DC15" s="127"/>
      <c r="DD15" s="127"/>
      <c r="DE15" s="127"/>
      <c r="DF15" s="127"/>
      <c r="DG15" s="127"/>
      <c r="DH15" s="127"/>
      <c r="DI15" s="127"/>
      <c r="DJ15" s="127"/>
      <c r="DK15" s="127"/>
      <c r="DL15" s="127"/>
      <c r="DM15" s="127"/>
      <c r="DN15" s="127"/>
      <c r="DO15" s="127"/>
      <c r="DP15" s="127"/>
      <c r="DQ15" s="127"/>
      <c r="DR15" s="127"/>
      <c r="DS15" s="127"/>
      <c r="DT15" s="127"/>
      <c r="DU15" s="127"/>
      <c r="DV15" s="127"/>
      <c r="DW15" s="127"/>
      <c r="DX15" s="127"/>
      <c r="DY15" s="127"/>
      <c r="DZ15" s="127"/>
      <c r="EA15" s="127"/>
      <c r="EB15" s="127"/>
      <c r="EC15" s="127"/>
      <c r="ED15" s="127"/>
      <c r="EE15" s="127"/>
      <c r="EF15" s="127"/>
      <c r="EG15" s="127"/>
      <c r="EH15" s="127"/>
      <c r="EI15" s="127"/>
      <c r="EJ15" s="127"/>
      <c r="EK15" s="127"/>
      <c r="EL15" s="127"/>
      <c r="EM15" s="127"/>
      <c r="EN15" s="127"/>
      <c r="EO15" s="127"/>
      <c r="EP15" s="127"/>
      <c r="EQ15" s="127"/>
      <c r="ER15" s="127"/>
      <c r="ES15" s="127"/>
      <c r="ET15" s="127"/>
      <c r="EU15" s="127"/>
      <c r="EV15" s="127"/>
      <c r="EW15" s="127"/>
      <c r="EX15" s="127"/>
      <c r="EY15" s="127"/>
      <c r="EZ15" s="127"/>
      <c r="FA15" s="127"/>
      <c r="FB15" s="127"/>
      <c r="FC15" s="127"/>
      <c r="FD15" s="127"/>
      <c r="FE15" s="127"/>
      <c r="FF15" s="127"/>
      <c r="FG15" s="127"/>
      <c r="FH15" s="127"/>
      <c r="FI15" s="127"/>
      <c r="FJ15" s="127"/>
      <c r="FK15" s="127"/>
      <c r="FL15" s="127"/>
      <c r="FM15" s="127"/>
      <c r="FN15" s="127"/>
      <c r="FO15" s="127"/>
      <c r="FP15" s="127"/>
      <c r="FQ15" s="127"/>
      <c r="FR15" s="127"/>
      <c r="FS15" s="127"/>
      <c r="FT15" s="127"/>
      <c r="FU15" s="127"/>
      <c r="FV15" s="127"/>
      <c r="FW15" s="127"/>
      <c r="FX15" s="127"/>
      <c r="FY15" s="127"/>
      <c r="FZ15" s="127"/>
      <c r="GA15" s="127"/>
      <c r="GB15" s="127"/>
      <c r="GC15" s="127"/>
      <c r="GD15" s="127"/>
      <c r="GE15" s="127"/>
      <c r="GF15" s="127"/>
      <c r="GG15" s="127"/>
      <c r="GH15" s="127"/>
      <c r="GI15" s="127"/>
      <c r="GJ15" s="127"/>
      <c r="GK15" s="127"/>
      <c r="GL15" s="127"/>
      <c r="GM15" s="127"/>
      <c r="GN15" s="127"/>
      <c r="GO15" s="127"/>
      <c r="GP15" s="127"/>
      <c r="GQ15" s="127"/>
      <c r="GR15" s="127"/>
      <c r="GS15" s="127"/>
      <c r="GT15" s="127"/>
      <c r="GU15" s="127"/>
      <c r="GV15" s="127"/>
      <c r="GW15" s="127"/>
      <c r="GX15" s="127"/>
      <c r="GY15" s="127"/>
      <c r="GZ15" s="127"/>
      <c r="HA15" s="127"/>
      <c r="HB15" s="127"/>
      <c r="HC15" s="127"/>
      <c r="HD15" s="127"/>
      <c r="HE15" s="127"/>
      <c r="HF15" s="127"/>
      <c r="HG15" s="127"/>
      <c r="HH15" s="127"/>
      <c r="HI15" s="127"/>
      <c r="HJ15" s="127"/>
      <c r="HK15" s="127"/>
      <c r="HL15" s="127"/>
      <c r="HM15" s="127"/>
      <c r="HN15" s="127"/>
      <c r="HO15" s="127"/>
      <c r="HP15" s="127"/>
      <c r="HQ15" s="127"/>
      <c r="HR15" s="127"/>
      <c r="HS15" s="127"/>
      <c r="HT15" s="127"/>
      <c r="HU15" s="127"/>
      <c r="HV15" s="127"/>
      <c r="HW15" s="127"/>
      <c r="HX15" s="127"/>
      <c r="HY15" s="127"/>
      <c r="HZ15" s="127"/>
      <c r="IA15" s="127"/>
      <c r="IB15" s="127"/>
      <c r="IC15" s="127"/>
      <c r="ID15" s="127"/>
      <c r="IE15" s="127"/>
      <c r="IF15" s="127"/>
      <c r="IG15" s="127"/>
      <c r="IH15" s="127"/>
      <c r="II15" s="127"/>
      <c r="IJ15" s="127"/>
      <c r="IK15" s="127"/>
      <c r="IL15" s="127"/>
      <c r="IM15" s="127"/>
      <c r="IN15" s="127"/>
      <c r="IO15" s="127"/>
      <c r="IP15" s="127"/>
      <c r="IQ15" s="127"/>
      <c r="IR15" s="127"/>
      <c r="IS15" s="127"/>
      <c r="IT15" s="127"/>
      <c r="IU15" s="127"/>
      <c r="IV15" s="127"/>
      <c r="IW15" s="127"/>
      <c r="IX15" s="127"/>
      <c r="IY15" s="127"/>
      <c r="IZ15" s="127"/>
      <c r="JA15" s="127"/>
      <c r="JB15" s="127"/>
      <c r="JC15" s="127"/>
      <c r="JD15" s="127"/>
      <c r="JE15" s="127"/>
      <c r="JF15" s="127"/>
      <c r="JG15" s="127"/>
      <c r="JH15" s="127"/>
      <c r="JI15" s="127"/>
      <c r="JJ15" s="127"/>
      <c r="JK15" s="127"/>
    </row>
    <row r="16" ht="18.75" customHeight="1">
      <c r="A16" s="153"/>
      <c r="B16" s="154"/>
      <c r="C16" s="154"/>
      <c r="D16" s="154"/>
      <c r="E16" s="159"/>
      <c r="F16" s="154"/>
      <c r="G16" s="154"/>
      <c r="H16" s="154"/>
      <c r="I16" s="154"/>
      <c r="K16" s="15"/>
      <c r="L16" s="158" t="s">
        <v>33</v>
      </c>
      <c r="M16" s="131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  <c r="CF16" s="127"/>
      <c r="CG16" s="127"/>
      <c r="CH16" s="127"/>
      <c r="CI16" s="127"/>
      <c r="CJ16" s="127"/>
      <c r="CK16" s="127"/>
      <c r="CL16" s="127"/>
      <c r="CM16" s="127"/>
      <c r="CN16" s="127"/>
      <c r="CO16" s="127"/>
      <c r="CP16" s="127"/>
      <c r="CQ16" s="127"/>
      <c r="CR16" s="127"/>
      <c r="CS16" s="127"/>
      <c r="CT16" s="127"/>
      <c r="CU16" s="127"/>
      <c r="CV16" s="127"/>
      <c r="CW16" s="127"/>
      <c r="CX16" s="127"/>
      <c r="CY16" s="127"/>
      <c r="CZ16" s="127"/>
      <c r="DA16" s="127"/>
      <c r="DB16" s="127"/>
      <c r="DC16" s="127"/>
      <c r="DD16" s="127"/>
      <c r="DE16" s="127"/>
      <c r="DF16" s="127"/>
      <c r="DG16" s="127"/>
      <c r="DH16" s="127"/>
      <c r="DI16" s="127"/>
      <c r="DJ16" s="127"/>
      <c r="DK16" s="127"/>
      <c r="DL16" s="127"/>
      <c r="DM16" s="127"/>
      <c r="DN16" s="127"/>
      <c r="DO16" s="127"/>
      <c r="DP16" s="127"/>
      <c r="DQ16" s="127"/>
      <c r="DR16" s="127"/>
      <c r="DS16" s="127"/>
      <c r="DT16" s="127"/>
      <c r="DU16" s="127"/>
      <c r="DV16" s="127"/>
      <c r="DW16" s="127"/>
      <c r="DX16" s="127"/>
      <c r="DY16" s="127"/>
      <c r="DZ16" s="127"/>
      <c r="EA16" s="127"/>
      <c r="EB16" s="127"/>
      <c r="EC16" s="127"/>
      <c r="ED16" s="127"/>
      <c r="EE16" s="127"/>
      <c r="EF16" s="127"/>
      <c r="EG16" s="127"/>
      <c r="EH16" s="127"/>
      <c r="EI16" s="127"/>
      <c r="EJ16" s="127"/>
      <c r="EK16" s="127"/>
      <c r="EL16" s="127"/>
      <c r="EM16" s="127"/>
      <c r="EN16" s="127"/>
      <c r="EO16" s="127"/>
      <c r="EP16" s="127"/>
      <c r="EQ16" s="127"/>
      <c r="ER16" s="127"/>
      <c r="ES16" s="127"/>
      <c r="ET16" s="127"/>
      <c r="EU16" s="127"/>
      <c r="EV16" s="127"/>
      <c r="EW16" s="127"/>
      <c r="EX16" s="127"/>
      <c r="EY16" s="127"/>
      <c r="EZ16" s="127"/>
      <c r="FA16" s="127"/>
      <c r="FB16" s="127"/>
      <c r="FC16" s="127"/>
      <c r="FD16" s="127"/>
      <c r="FE16" s="127"/>
      <c r="FF16" s="127"/>
      <c r="FG16" s="127"/>
      <c r="FH16" s="127"/>
      <c r="FI16" s="127"/>
      <c r="FJ16" s="127"/>
      <c r="FK16" s="127"/>
      <c r="FL16" s="127"/>
      <c r="FM16" s="127"/>
      <c r="FN16" s="127"/>
      <c r="FO16" s="127"/>
      <c r="FP16" s="127"/>
      <c r="FQ16" s="127"/>
      <c r="FR16" s="127"/>
      <c r="FS16" s="127"/>
      <c r="FT16" s="127"/>
      <c r="FU16" s="127"/>
      <c r="FV16" s="127"/>
      <c r="FW16" s="127"/>
      <c r="FX16" s="127"/>
      <c r="FY16" s="127"/>
      <c r="FZ16" s="127"/>
      <c r="GA16" s="127"/>
      <c r="GB16" s="127"/>
      <c r="GC16" s="127"/>
      <c r="GD16" s="127"/>
      <c r="GE16" s="127"/>
      <c r="GF16" s="127"/>
      <c r="GG16" s="127"/>
      <c r="GH16" s="127"/>
      <c r="GI16" s="127"/>
      <c r="GJ16" s="127"/>
      <c r="GK16" s="127"/>
      <c r="GL16" s="127"/>
      <c r="GM16" s="127"/>
      <c r="GN16" s="127"/>
      <c r="GO16" s="127"/>
      <c r="GP16" s="127"/>
      <c r="GQ16" s="127"/>
      <c r="GR16" s="127"/>
      <c r="GS16" s="127"/>
      <c r="GT16" s="127"/>
      <c r="GU16" s="127"/>
      <c r="GV16" s="127"/>
      <c r="GW16" s="127"/>
      <c r="GX16" s="127"/>
      <c r="GY16" s="127"/>
      <c r="GZ16" s="127"/>
      <c r="HA16" s="127"/>
      <c r="HB16" s="127"/>
      <c r="HC16" s="127"/>
      <c r="HD16" s="127"/>
      <c r="HE16" s="127"/>
      <c r="HF16" s="127"/>
      <c r="HG16" s="127"/>
      <c r="HH16" s="127"/>
      <c r="HI16" s="127"/>
      <c r="HJ16" s="127"/>
      <c r="HK16" s="127"/>
      <c r="HL16" s="127"/>
      <c r="HM16" s="127"/>
      <c r="HN16" s="127"/>
      <c r="HO16" s="127"/>
      <c r="HP16" s="127"/>
      <c r="HQ16" s="127"/>
      <c r="HR16" s="127"/>
      <c r="HS16" s="127"/>
      <c r="HT16" s="127"/>
      <c r="HU16" s="127"/>
      <c r="HV16" s="127"/>
      <c r="HW16" s="127"/>
      <c r="HX16" s="127"/>
      <c r="HY16" s="127"/>
      <c r="HZ16" s="127"/>
      <c r="IA16" s="127"/>
      <c r="IB16" s="127"/>
      <c r="IC16" s="127"/>
      <c r="ID16" s="127"/>
      <c r="IE16" s="127"/>
      <c r="IF16" s="127"/>
      <c r="IG16" s="127"/>
      <c r="IH16" s="127"/>
      <c r="II16" s="127"/>
      <c r="IJ16" s="127"/>
      <c r="IK16" s="127"/>
      <c r="IL16" s="127"/>
      <c r="IM16" s="127"/>
      <c r="IN16" s="127"/>
      <c r="IO16" s="127"/>
      <c r="IP16" s="127"/>
      <c r="IQ16" s="127"/>
      <c r="IR16" s="127"/>
      <c r="IS16" s="127"/>
      <c r="IT16" s="127"/>
      <c r="IU16" s="127"/>
      <c r="IV16" s="127"/>
      <c r="IW16" s="127"/>
      <c r="IX16" s="127"/>
      <c r="IY16" s="127"/>
      <c r="IZ16" s="127"/>
      <c r="JA16" s="127"/>
      <c r="JB16" s="127"/>
      <c r="JC16" s="127"/>
      <c r="JD16" s="127"/>
      <c r="JE16" s="127"/>
      <c r="JF16" s="127"/>
      <c r="JG16" s="127"/>
      <c r="JH16" s="127"/>
      <c r="JI16" s="127"/>
      <c r="JJ16" s="127"/>
      <c r="JK16" s="127"/>
    </row>
    <row r="17" ht="18.75" customHeight="1">
      <c r="A17" s="153"/>
      <c r="B17" s="154"/>
      <c r="C17" s="154"/>
      <c r="D17" s="154"/>
      <c r="E17" s="159"/>
      <c r="F17" s="154"/>
      <c r="G17" s="154"/>
      <c r="H17" s="154"/>
      <c r="I17" s="154"/>
      <c r="J17" s="21"/>
      <c r="K17" s="13"/>
      <c r="L17" s="160" t="s">
        <v>34</v>
      </c>
      <c r="M17" s="131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  <c r="IX17" s="127"/>
      <c r="IY17" s="127"/>
      <c r="IZ17" s="127"/>
      <c r="JA17" s="127"/>
      <c r="JB17" s="127"/>
      <c r="JC17" s="127"/>
      <c r="JD17" s="127"/>
      <c r="JE17" s="127"/>
      <c r="JF17" s="127"/>
      <c r="JG17" s="127"/>
      <c r="JH17" s="127"/>
      <c r="JI17" s="127"/>
      <c r="JJ17" s="127"/>
      <c r="JK17" s="127"/>
    </row>
    <row r="18" ht="18.75" customHeight="1">
      <c r="A18" s="153"/>
      <c r="B18" s="154"/>
      <c r="C18" s="154"/>
      <c r="D18" s="154"/>
      <c r="E18" s="159"/>
      <c r="F18" s="154"/>
      <c r="G18" s="154"/>
      <c r="H18" s="154"/>
      <c r="I18" s="154"/>
      <c r="J18" s="161"/>
      <c r="K18" s="7"/>
      <c r="L18" s="7"/>
      <c r="M18" s="8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  <c r="DH18" s="162"/>
      <c r="DI18" s="162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62"/>
      <c r="EC18" s="162"/>
      <c r="ED18" s="162"/>
      <c r="EE18" s="162"/>
      <c r="EF18" s="162"/>
      <c r="EG18" s="162"/>
      <c r="EH18" s="162"/>
      <c r="EI18" s="162"/>
      <c r="EJ18" s="162"/>
      <c r="EK18" s="162"/>
      <c r="EL18" s="162"/>
      <c r="EM18" s="162"/>
      <c r="EN18" s="162"/>
      <c r="EO18" s="162"/>
      <c r="EP18" s="162"/>
      <c r="EQ18" s="162"/>
      <c r="ER18" s="162"/>
      <c r="ES18" s="162"/>
      <c r="ET18" s="162"/>
      <c r="EU18" s="162"/>
      <c r="EV18" s="162"/>
      <c r="EW18" s="162"/>
      <c r="EX18" s="162"/>
      <c r="EY18" s="162"/>
      <c r="EZ18" s="162"/>
      <c r="FA18" s="162"/>
      <c r="FB18" s="162"/>
      <c r="FC18" s="162"/>
      <c r="FD18" s="162"/>
      <c r="FE18" s="162"/>
      <c r="FF18" s="162"/>
      <c r="FG18" s="162"/>
      <c r="FH18" s="162"/>
      <c r="FI18" s="162"/>
      <c r="FJ18" s="162"/>
      <c r="FK18" s="162"/>
      <c r="FL18" s="162"/>
      <c r="FM18" s="162"/>
      <c r="FN18" s="162"/>
      <c r="FO18" s="162"/>
      <c r="FP18" s="162"/>
      <c r="FQ18" s="162"/>
      <c r="FR18" s="162"/>
      <c r="FS18" s="162"/>
      <c r="FT18" s="162"/>
      <c r="FU18" s="162"/>
      <c r="FV18" s="162"/>
      <c r="FW18" s="162"/>
      <c r="FX18" s="162"/>
      <c r="FY18" s="162"/>
      <c r="FZ18" s="162"/>
      <c r="GA18" s="162"/>
      <c r="GB18" s="162"/>
      <c r="GC18" s="162"/>
      <c r="GD18" s="162"/>
      <c r="GE18" s="162"/>
      <c r="GF18" s="162"/>
      <c r="GG18" s="162"/>
      <c r="GH18" s="162"/>
      <c r="GI18" s="162"/>
      <c r="GJ18" s="162"/>
      <c r="GK18" s="162"/>
      <c r="GL18" s="162"/>
      <c r="GM18" s="162"/>
      <c r="GN18" s="162"/>
      <c r="GO18" s="162"/>
      <c r="GP18" s="162"/>
      <c r="GQ18" s="162"/>
      <c r="GR18" s="162"/>
      <c r="GS18" s="162"/>
      <c r="GT18" s="162"/>
      <c r="GU18" s="162"/>
      <c r="GV18" s="162"/>
      <c r="GW18" s="162"/>
      <c r="GX18" s="162"/>
      <c r="GY18" s="162"/>
      <c r="GZ18" s="162"/>
      <c r="HA18" s="162"/>
      <c r="HB18" s="162"/>
      <c r="HC18" s="162"/>
      <c r="HD18" s="162"/>
      <c r="HE18" s="162"/>
      <c r="HF18" s="162"/>
      <c r="HG18" s="162"/>
      <c r="HH18" s="162"/>
      <c r="HI18" s="162"/>
      <c r="HJ18" s="162"/>
      <c r="HK18" s="162"/>
      <c r="HL18" s="162"/>
      <c r="HM18" s="162"/>
      <c r="HN18" s="162"/>
      <c r="HO18" s="162"/>
      <c r="HP18" s="162"/>
      <c r="HQ18" s="162"/>
      <c r="HR18" s="162"/>
      <c r="HS18" s="162"/>
      <c r="HT18" s="162"/>
      <c r="HU18" s="162"/>
      <c r="HV18" s="162"/>
      <c r="HW18" s="162"/>
      <c r="HX18" s="162"/>
      <c r="HY18" s="162"/>
      <c r="HZ18" s="162"/>
      <c r="IA18" s="162"/>
      <c r="IB18" s="162"/>
      <c r="IC18" s="162"/>
      <c r="ID18" s="162"/>
      <c r="IE18" s="162"/>
      <c r="IF18" s="162"/>
      <c r="IG18" s="162"/>
      <c r="IH18" s="162"/>
      <c r="II18" s="162"/>
      <c r="IJ18" s="162"/>
      <c r="IK18" s="162"/>
      <c r="IL18" s="162"/>
      <c r="IM18" s="162"/>
      <c r="IN18" s="162"/>
      <c r="IO18" s="162"/>
      <c r="IP18" s="162"/>
      <c r="IQ18" s="162"/>
      <c r="IR18" s="162"/>
      <c r="IS18" s="162"/>
      <c r="IT18" s="162"/>
      <c r="IU18" s="162"/>
      <c r="IV18" s="162"/>
      <c r="IW18" s="162"/>
      <c r="IX18" s="162"/>
      <c r="IY18" s="162"/>
      <c r="IZ18" s="162"/>
      <c r="JA18" s="162"/>
      <c r="JB18" s="162"/>
      <c r="JC18" s="162"/>
      <c r="JD18" s="162"/>
      <c r="JE18" s="162"/>
      <c r="JF18" s="162"/>
      <c r="JG18" s="162"/>
      <c r="JH18" s="162"/>
      <c r="JI18" s="162"/>
      <c r="JJ18" s="162"/>
      <c r="JK18" s="162"/>
    </row>
    <row r="19" ht="18.75" customHeight="1">
      <c r="A19" s="153"/>
      <c r="B19" s="154"/>
      <c r="C19" s="154"/>
      <c r="D19" s="154"/>
      <c r="E19" s="159"/>
      <c r="F19" s="154"/>
      <c r="G19" s="154"/>
      <c r="H19" s="154"/>
      <c r="I19" s="154"/>
      <c r="J19" s="163" t="s">
        <v>36</v>
      </c>
      <c r="K19" s="164" t="s">
        <v>37</v>
      </c>
      <c r="L19" s="165" t="s">
        <v>38</v>
      </c>
      <c r="M19" s="166" t="s">
        <v>39</v>
      </c>
    </row>
    <row r="20" ht="18.75" customHeight="1">
      <c r="A20" s="153"/>
      <c r="B20" s="154"/>
      <c r="C20" s="154"/>
      <c r="D20" s="154"/>
      <c r="E20" s="159"/>
      <c r="F20" s="154"/>
      <c r="G20" s="154"/>
      <c r="H20" s="154"/>
      <c r="I20" s="154"/>
      <c r="J20" s="167"/>
      <c r="K20" s="83"/>
      <c r="L20" s="83"/>
      <c r="M20" s="168"/>
    </row>
    <row r="21" ht="18.75" customHeight="1">
      <c r="A21" s="153"/>
      <c r="B21" s="154"/>
      <c r="C21" s="154"/>
      <c r="D21" s="154"/>
      <c r="E21" s="159"/>
      <c r="F21" s="154"/>
      <c r="G21" s="154"/>
      <c r="H21" s="154"/>
      <c r="I21" s="154"/>
      <c r="J21" s="169"/>
      <c r="K21" s="170"/>
      <c r="L21" s="171"/>
      <c r="M21" s="17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2"/>
      <c r="BN21" s="162"/>
      <c r="BO21" s="162"/>
      <c r="BP21" s="162"/>
      <c r="BQ21" s="162"/>
      <c r="BR21" s="162"/>
      <c r="BS21" s="162"/>
      <c r="BT21" s="162"/>
      <c r="BU21" s="162"/>
      <c r="BV21" s="162"/>
      <c r="BW21" s="162"/>
      <c r="BX21" s="162"/>
      <c r="BY21" s="162"/>
      <c r="BZ21" s="162"/>
      <c r="CA21" s="162"/>
      <c r="CB21" s="162"/>
      <c r="CC21" s="162"/>
      <c r="CD21" s="162"/>
      <c r="CE21" s="162"/>
      <c r="CF21" s="162"/>
      <c r="CG21" s="162"/>
      <c r="CH21" s="162"/>
      <c r="CI21" s="162"/>
      <c r="CJ21" s="162"/>
      <c r="CK21" s="162"/>
      <c r="CL21" s="162"/>
      <c r="CM21" s="162"/>
      <c r="CN21" s="162"/>
      <c r="CO21" s="162"/>
      <c r="CP21" s="162"/>
      <c r="CQ21" s="162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  <c r="DB21" s="162"/>
      <c r="DC21" s="162"/>
      <c r="DD21" s="162"/>
      <c r="DE21" s="162"/>
      <c r="DF21" s="162"/>
      <c r="DG21" s="162"/>
      <c r="DH21" s="162"/>
      <c r="DI21" s="162"/>
      <c r="DJ21" s="162"/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62"/>
      <c r="DZ21" s="162"/>
      <c r="EA21" s="162"/>
      <c r="EB21" s="162"/>
      <c r="EC21" s="162"/>
      <c r="ED21" s="162"/>
      <c r="EE21" s="162"/>
      <c r="EF21" s="162"/>
      <c r="EG21" s="162"/>
      <c r="EH21" s="162"/>
      <c r="EI21" s="162"/>
      <c r="EJ21" s="162"/>
      <c r="EK21" s="162"/>
      <c r="EL21" s="162"/>
      <c r="EM21" s="162"/>
      <c r="EN21" s="162"/>
      <c r="EO21" s="162"/>
      <c r="EP21" s="162"/>
      <c r="EQ21" s="162"/>
      <c r="ER21" s="162"/>
      <c r="ES21" s="162"/>
      <c r="ET21" s="162"/>
      <c r="EU21" s="162"/>
      <c r="EV21" s="162"/>
      <c r="EW21" s="162"/>
      <c r="EX21" s="162"/>
      <c r="EY21" s="162"/>
      <c r="EZ21" s="162"/>
      <c r="FA21" s="162"/>
      <c r="FB21" s="162"/>
      <c r="FC21" s="162"/>
      <c r="FD21" s="162"/>
      <c r="FE21" s="162"/>
      <c r="FF21" s="162"/>
      <c r="FG21" s="162"/>
      <c r="FH21" s="162"/>
      <c r="FI21" s="162"/>
      <c r="FJ21" s="162"/>
      <c r="FK21" s="162"/>
      <c r="FL21" s="162"/>
      <c r="FM21" s="162"/>
      <c r="FN21" s="162"/>
      <c r="FO21" s="162"/>
      <c r="FP21" s="162"/>
      <c r="FQ21" s="162"/>
      <c r="FR21" s="162"/>
      <c r="FS21" s="162"/>
      <c r="FT21" s="162"/>
      <c r="FU21" s="162"/>
      <c r="FV21" s="162"/>
      <c r="FW21" s="162"/>
      <c r="FX21" s="162"/>
      <c r="FY21" s="162"/>
      <c r="FZ21" s="162"/>
      <c r="GA21" s="162"/>
      <c r="GB21" s="162"/>
      <c r="GC21" s="162"/>
      <c r="GD21" s="162"/>
      <c r="GE21" s="162"/>
      <c r="GF21" s="162"/>
      <c r="GG21" s="162"/>
      <c r="GH21" s="162"/>
      <c r="GI21" s="162"/>
      <c r="GJ21" s="162"/>
      <c r="GK21" s="162"/>
      <c r="GL21" s="162"/>
      <c r="GM21" s="162"/>
      <c r="GN21" s="162"/>
      <c r="GO21" s="162"/>
      <c r="GP21" s="162"/>
      <c r="GQ21" s="162"/>
      <c r="GR21" s="162"/>
      <c r="GS21" s="162"/>
      <c r="GT21" s="162"/>
      <c r="GU21" s="162"/>
      <c r="GV21" s="162"/>
      <c r="GW21" s="162"/>
      <c r="GX21" s="162"/>
      <c r="GY21" s="162"/>
      <c r="GZ21" s="162"/>
      <c r="HA21" s="162"/>
      <c r="HB21" s="162"/>
      <c r="HC21" s="162"/>
      <c r="HD21" s="162"/>
      <c r="HE21" s="162"/>
      <c r="HF21" s="162"/>
      <c r="HG21" s="162"/>
      <c r="HH21" s="162"/>
      <c r="HI21" s="162"/>
      <c r="HJ21" s="162"/>
      <c r="HK21" s="162"/>
      <c r="HL21" s="162"/>
      <c r="HM21" s="162"/>
      <c r="HN21" s="162"/>
      <c r="HO21" s="162"/>
      <c r="HP21" s="162"/>
      <c r="HQ21" s="162"/>
      <c r="HR21" s="162"/>
      <c r="HS21" s="162"/>
      <c r="HT21" s="162"/>
      <c r="HU21" s="162"/>
      <c r="HV21" s="162"/>
      <c r="HW21" s="162"/>
      <c r="HX21" s="162"/>
      <c r="HY21" s="162"/>
      <c r="HZ21" s="162"/>
      <c r="IA21" s="162"/>
      <c r="IB21" s="162"/>
      <c r="IC21" s="162"/>
      <c r="ID21" s="162"/>
      <c r="IE21" s="162"/>
      <c r="IF21" s="162"/>
      <c r="IG21" s="162"/>
      <c r="IH21" s="162"/>
      <c r="II21" s="162"/>
      <c r="IJ21" s="162"/>
      <c r="IK21" s="162"/>
      <c r="IL21" s="162"/>
      <c r="IM21" s="162"/>
      <c r="IN21" s="162"/>
      <c r="IO21" s="162"/>
      <c r="IP21" s="162"/>
      <c r="IQ21" s="162"/>
      <c r="IR21" s="162"/>
      <c r="IS21" s="162"/>
      <c r="IT21" s="162"/>
      <c r="IU21" s="162"/>
      <c r="IV21" s="162"/>
      <c r="IW21" s="162"/>
      <c r="IX21" s="162"/>
      <c r="IY21" s="162"/>
      <c r="IZ21" s="162"/>
      <c r="JA21" s="162"/>
      <c r="JB21" s="162"/>
      <c r="JC21" s="162"/>
      <c r="JD21" s="162"/>
      <c r="JE21" s="162"/>
      <c r="JF21" s="162"/>
      <c r="JG21" s="162"/>
      <c r="JH21" s="162"/>
      <c r="JI21" s="162"/>
      <c r="JJ21" s="162"/>
      <c r="JK21" s="162"/>
    </row>
    <row r="22" ht="18.75" customHeight="1">
      <c r="A22" s="153"/>
      <c r="B22" s="154"/>
      <c r="C22" s="154"/>
      <c r="D22" s="154"/>
      <c r="E22" s="159"/>
      <c r="F22" s="154"/>
      <c r="G22" s="154"/>
      <c r="H22" s="154"/>
      <c r="I22" s="154"/>
      <c r="J22" s="173" t="s">
        <v>44</v>
      </c>
      <c r="K22" s="174" t="s">
        <v>45</v>
      </c>
      <c r="L22" s="175" t="s">
        <v>46</v>
      </c>
      <c r="M22" s="176" t="s">
        <v>47</v>
      </c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2"/>
      <c r="CF22" s="162"/>
      <c r="CG22" s="162"/>
      <c r="CH22" s="162"/>
      <c r="CI22" s="162"/>
      <c r="CJ22" s="162"/>
      <c r="CK22" s="162"/>
      <c r="CL22" s="162"/>
      <c r="CM22" s="162"/>
      <c r="CN22" s="162"/>
      <c r="CO22" s="162"/>
      <c r="CP22" s="162"/>
      <c r="CQ22" s="162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  <c r="DB22" s="162"/>
      <c r="DC22" s="162"/>
      <c r="DD22" s="162"/>
      <c r="DE22" s="162"/>
      <c r="DF22" s="162"/>
      <c r="DG22" s="162"/>
      <c r="DH22" s="162"/>
      <c r="DI22" s="162"/>
      <c r="DJ22" s="162"/>
      <c r="DK22" s="162"/>
      <c r="DL22" s="162"/>
      <c r="DM22" s="162"/>
      <c r="DN22" s="162"/>
      <c r="DO22" s="162"/>
      <c r="DP22" s="162"/>
      <c r="DQ22" s="162"/>
      <c r="DR22" s="162"/>
      <c r="DS22" s="162"/>
      <c r="DT22" s="162"/>
      <c r="DU22" s="162"/>
      <c r="DV22" s="162"/>
      <c r="DW22" s="162"/>
      <c r="DX22" s="162"/>
      <c r="DY22" s="162"/>
      <c r="DZ22" s="162"/>
      <c r="EA22" s="162"/>
      <c r="EB22" s="162"/>
      <c r="EC22" s="162"/>
      <c r="ED22" s="162"/>
      <c r="EE22" s="162"/>
      <c r="EF22" s="162"/>
      <c r="EG22" s="162"/>
      <c r="EH22" s="162"/>
      <c r="EI22" s="162"/>
      <c r="EJ22" s="162"/>
      <c r="EK22" s="162"/>
      <c r="EL22" s="162"/>
      <c r="EM22" s="162"/>
      <c r="EN22" s="162"/>
      <c r="EO22" s="162"/>
      <c r="EP22" s="162"/>
      <c r="EQ22" s="162"/>
      <c r="ER22" s="162"/>
      <c r="ES22" s="162"/>
      <c r="ET22" s="162"/>
      <c r="EU22" s="162"/>
      <c r="EV22" s="162"/>
      <c r="EW22" s="162"/>
      <c r="EX22" s="162"/>
      <c r="EY22" s="162"/>
      <c r="EZ22" s="162"/>
      <c r="FA22" s="162"/>
      <c r="FB22" s="162"/>
      <c r="FC22" s="162"/>
      <c r="FD22" s="162"/>
      <c r="FE22" s="162"/>
      <c r="FF22" s="162"/>
      <c r="FG22" s="162"/>
      <c r="FH22" s="162"/>
      <c r="FI22" s="162"/>
      <c r="FJ22" s="162"/>
      <c r="FK22" s="162"/>
      <c r="FL22" s="162"/>
      <c r="FM22" s="162"/>
      <c r="FN22" s="162"/>
      <c r="FO22" s="162"/>
      <c r="FP22" s="162"/>
      <c r="FQ22" s="162"/>
      <c r="FR22" s="162"/>
      <c r="FS22" s="162"/>
      <c r="FT22" s="162"/>
      <c r="FU22" s="162"/>
      <c r="FV22" s="162"/>
      <c r="FW22" s="162"/>
      <c r="FX22" s="162"/>
      <c r="FY22" s="162"/>
      <c r="FZ22" s="162"/>
      <c r="GA22" s="162"/>
      <c r="GB22" s="162"/>
      <c r="GC22" s="162"/>
      <c r="GD22" s="162"/>
      <c r="GE22" s="162"/>
      <c r="GF22" s="162"/>
      <c r="GG22" s="162"/>
      <c r="GH22" s="162"/>
      <c r="GI22" s="162"/>
      <c r="GJ22" s="162"/>
      <c r="GK22" s="162"/>
      <c r="GL22" s="162"/>
      <c r="GM22" s="162"/>
      <c r="GN22" s="162"/>
      <c r="GO22" s="162"/>
      <c r="GP22" s="162"/>
      <c r="GQ22" s="162"/>
      <c r="GR22" s="162"/>
      <c r="GS22" s="162"/>
      <c r="GT22" s="162"/>
      <c r="GU22" s="162"/>
      <c r="GV22" s="162"/>
      <c r="GW22" s="162"/>
      <c r="GX22" s="162"/>
      <c r="GY22" s="162"/>
      <c r="GZ22" s="162"/>
      <c r="HA22" s="162"/>
      <c r="HB22" s="162"/>
      <c r="HC22" s="162"/>
      <c r="HD22" s="162"/>
      <c r="HE22" s="162"/>
      <c r="HF22" s="162"/>
      <c r="HG22" s="162"/>
      <c r="HH22" s="162"/>
      <c r="HI22" s="162"/>
      <c r="HJ22" s="162"/>
      <c r="HK22" s="162"/>
      <c r="HL22" s="162"/>
      <c r="HM22" s="162"/>
      <c r="HN22" s="162"/>
      <c r="HO22" s="162"/>
      <c r="HP22" s="162"/>
      <c r="HQ22" s="162"/>
      <c r="HR22" s="162"/>
      <c r="HS22" s="162"/>
      <c r="HT22" s="162"/>
      <c r="HU22" s="162"/>
      <c r="HV22" s="162"/>
      <c r="HW22" s="162"/>
      <c r="HX22" s="162"/>
      <c r="HY22" s="162"/>
      <c r="HZ22" s="162"/>
      <c r="IA22" s="162"/>
      <c r="IB22" s="162"/>
      <c r="IC22" s="162"/>
      <c r="ID22" s="162"/>
      <c r="IE22" s="162"/>
      <c r="IF22" s="162"/>
      <c r="IG22" s="162"/>
      <c r="IH22" s="162"/>
      <c r="II22" s="162"/>
      <c r="IJ22" s="162"/>
      <c r="IK22" s="162"/>
      <c r="IL22" s="162"/>
      <c r="IM22" s="162"/>
      <c r="IN22" s="162"/>
      <c r="IO22" s="162"/>
      <c r="IP22" s="162"/>
      <c r="IQ22" s="162"/>
      <c r="IR22" s="162"/>
      <c r="IS22" s="162"/>
      <c r="IT22" s="162"/>
      <c r="IU22" s="162"/>
      <c r="IV22" s="162"/>
      <c r="IW22" s="162"/>
      <c r="IX22" s="162"/>
      <c r="IY22" s="162"/>
      <c r="IZ22" s="162"/>
      <c r="JA22" s="162"/>
      <c r="JB22" s="162"/>
      <c r="JC22" s="162"/>
      <c r="JD22" s="162"/>
      <c r="JE22" s="162"/>
      <c r="JF22" s="162"/>
      <c r="JG22" s="162"/>
      <c r="JH22" s="162"/>
      <c r="JI22" s="162"/>
      <c r="JJ22" s="162"/>
      <c r="JK22" s="162"/>
    </row>
    <row r="23" ht="18.75" customHeight="1">
      <c r="A23" s="153"/>
      <c r="B23" s="154"/>
      <c r="C23" s="154"/>
      <c r="D23" s="154"/>
      <c r="E23" s="159"/>
      <c r="F23" s="154"/>
      <c r="G23" s="154"/>
      <c r="H23" s="154"/>
      <c r="I23" s="154"/>
      <c r="J23" s="167"/>
      <c r="K23" s="83"/>
      <c r="L23" s="83"/>
      <c r="M23" s="168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162"/>
      <c r="CN23" s="162"/>
      <c r="CO23" s="162"/>
      <c r="CP23" s="162"/>
      <c r="CQ23" s="162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  <c r="DB23" s="162"/>
      <c r="DC23" s="162"/>
      <c r="DD23" s="162"/>
      <c r="DE23" s="162"/>
      <c r="DF23" s="162"/>
      <c r="DG23" s="162"/>
      <c r="DH23" s="162"/>
      <c r="DI23" s="162"/>
      <c r="DJ23" s="162"/>
      <c r="DK23" s="162"/>
      <c r="DL23" s="162"/>
      <c r="DM23" s="162"/>
      <c r="DN23" s="162"/>
      <c r="DO23" s="162"/>
      <c r="DP23" s="162"/>
      <c r="DQ23" s="162"/>
      <c r="DR23" s="162"/>
      <c r="DS23" s="162"/>
      <c r="DT23" s="162"/>
      <c r="DU23" s="162"/>
      <c r="DV23" s="162"/>
      <c r="DW23" s="162"/>
      <c r="DX23" s="162"/>
      <c r="DY23" s="162"/>
      <c r="DZ23" s="162"/>
      <c r="EA23" s="162"/>
      <c r="EB23" s="162"/>
      <c r="EC23" s="162"/>
      <c r="ED23" s="162"/>
      <c r="EE23" s="162"/>
      <c r="EF23" s="162"/>
      <c r="EG23" s="162"/>
      <c r="EH23" s="162"/>
      <c r="EI23" s="162"/>
      <c r="EJ23" s="162"/>
      <c r="EK23" s="162"/>
      <c r="EL23" s="162"/>
      <c r="EM23" s="162"/>
      <c r="EN23" s="162"/>
      <c r="EO23" s="162"/>
      <c r="EP23" s="162"/>
      <c r="EQ23" s="162"/>
      <c r="ER23" s="162"/>
      <c r="ES23" s="162"/>
      <c r="ET23" s="162"/>
      <c r="EU23" s="162"/>
      <c r="EV23" s="162"/>
      <c r="EW23" s="162"/>
      <c r="EX23" s="162"/>
      <c r="EY23" s="162"/>
      <c r="EZ23" s="162"/>
      <c r="FA23" s="162"/>
      <c r="FB23" s="162"/>
      <c r="FC23" s="162"/>
      <c r="FD23" s="162"/>
      <c r="FE23" s="162"/>
      <c r="FF23" s="162"/>
      <c r="FG23" s="162"/>
      <c r="FH23" s="162"/>
      <c r="FI23" s="162"/>
      <c r="FJ23" s="162"/>
      <c r="FK23" s="162"/>
      <c r="FL23" s="162"/>
      <c r="FM23" s="162"/>
      <c r="FN23" s="162"/>
      <c r="FO23" s="162"/>
      <c r="FP23" s="162"/>
      <c r="FQ23" s="162"/>
      <c r="FR23" s="162"/>
      <c r="FS23" s="162"/>
      <c r="FT23" s="162"/>
      <c r="FU23" s="162"/>
      <c r="FV23" s="162"/>
      <c r="FW23" s="162"/>
      <c r="FX23" s="162"/>
      <c r="FY23" s="162"/>
      <c r="FZ23" s="162"/>
      <c r="GA23" s="162"/>
      <c r="GB23" s="162"/>
      <c r="GC23" s="162"/>
      <c r="GD23" s="162"/>
      <c r="GE23" s="162"/>
      <c r="GF23" s="162"/>
      <c r="GG23" s="162"/>
      <c r="GH23" s="162"/>
      <c r="GI23" s="162"/>
      <c r="GJ23" s="162"/>
      <c r="GK23" s="162"/>
      <c r="GL23" s="162"/>
      <c r="GM23" s="162"/>
      <c r="GN23" s="162"/>
      <c r="GO23" s="162"/>
      <c r="GP23" s="162"/>
      <c r="GQ23" s="162"/>
      <c r="GR23" s="162"/>
      <c r="GS23" s="162"/>
      <c r="GT23" s="162"/>
      <c r="GU23" s="162"/>
      <c r="GV23" s="162"/>
      <c r="GW23" s="162"/>
      <c r="GX23" s="162"/>
      <c r="GY23" s="162"/>
      <c r="GZ23" s="162"/>
      <c r="HA23" s="162"/>
      <c r="HB23" s="162"/>
      <c r="HC23" s="162"/>
      <c r="HD23" s="162"/>
      <c r="HE23" s="162"/>
      <c r="HF23" s="162"/>
      <c r="HG23" s="162"/>
      <c r="HH23" s="162"/>
      <c r="HI23" s="162"/>
      <c r="HJ23" s="162"/>
      <c r="HK23" s="162"/>
      <c r="HL23" s="162"/>
      <c r="HM23" s="162"/>
      <c r="HN23" s="162"/>
      <c r="HO23" s="162"/>
      <c r="HP23" s="162"/>
      <c r="HQ23" s="162"/>
      <c r="HR23" s="162"/>
      <c r="HS23" s="162"/>
      <c r="HT23" s="162"/>
      <c r="HU23" s="162"/>
      <c r="HV23" s="162"/>
      <c r="HW23" s="162"/>
      <c r="HX23" s="162"/>
      <c r="HY23" s="162"/>
      <c r="HZ23" s="162"/>
      <c r="IA23" s="162"/>
      <c r="IB23" s="162"/>
      <c r="IC23" s="162"/>
      <c r="ID23" s="162"/>
      <c r="IE23" s="162"/>
      <c r="IF23" s="162"/>
      <c r="IG23" s="162"/>
      <c r="IH23" s="162"/>
      <c r="II23" s="162"/>
      <c r="IJ23" s="162"/>
      <c r="IK23" s="162"/>
      <c r="IL23" s="162"/>
      <c r="IM23" s="162"/>
      <c r="IN23" s="162"/>
      <c r="IO23" s="162"/>
      <c r="IP23" s="162"/>
      <c r="IQ23" s="162"/>
      <c r="IR23" s="162"/>
      <c r="IS23" s="162"/>
      <c r="IT23" s="162"/>
      <c r="IU23" s="162"/>
      <c r="IV23" s="162"/>
      <c r="IW23" s="162"/>
      <c r="IX23" s="162"/>
      <c r="IY23" s="162"/>
      <c r="IZ23" s="162"/>
      <c r="JA23" s="162"/>
      <c r="JB23" s="162"/>
      <c r="JC23" s="162"/>
      <c r="JD23" s="162"/>
      <c r="JE23" s="162"/>
      <c r="JF23" s="162"/>
      <c r="JG23" s="162"/>
      <c r="JH23" s="162"/>
      <c r="JI23" s="162"/>
      <c r="JJ23" s="162"/>
      <c r="JK23" s="162"/>
    </row>
    <row r="24" ht="18.75" customHeight="1">
      <c r="A24" s="153"/>
      <c r="B24" s="154"/>
      <c r="C24" s="154"/>
      <c r="D24" s="154"/>
      <c r="E24" s="159"/>
      <c r="F24" s="154"/>
      <c r="G24" s="154"/>
      <c r="H24" s="154"/>
      <c r="I24" s="154"/>
      <c r="J24" s="177"/>
      <c r="K24" s="171"/>
      <c r="L24" s="171"/>
      <c r="M24" s="178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162"/>
      <c r="CN24" s="162"/>
      <c r="CO24" s="162"/>
      <c r="CP24" s="162"/>
      <c r="CQ24" s="162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  <c r="DB24" s="162"/>
      <c r="DC24" s="162"/>
      <c r="DD24" s="162"/>
      <c r="DE24" s="162"/>
      <c r="DF24" s="162"/>
      <c r="DG24" s="162"/>
      <c r="DH24" s="162"/>
      <c r="DI24" s="162"/>
      <c r="DJ24" s="162"/>
      <c r="DK24" s="162"/>
      <c r="DL24" s="162"/>
      <c r="DM24" s="162"/>
      <c r="DN24" s="162"/>
      <c r="DO24" s="162"/>
      <c r="DP24" s="162"/>
      <c r="DQ24" s="162"/>
      <c r="DR24" s="162"/>
      <c r="DS24" s="162"/>
      <c r="DT24" s="162"/>
      <c r="DU24" s="162"/>
      <c r="DV24" s="162"/>
      <c r="DW24" s="162"/>
      <c r="DX24" s="162"/>
      <c r="DY24" s="162"/>
      <c r="DZ24" s="162"/>
      <c r="EA24" s="162"/>
      <c r="EB24" s="162"/>
      <c r="EC24" s="162"/>
      <c r="ED24" s="162"/>
      <c r="EE24" s="162"/>
      <c r="EF24" s="162"/>
      <c r="EG24" s="162"/>
      <c r="EH24" s="162"/>
      <c r="EI24" s="162"/>
      <c r="EJ24" s="162"/>
      <c r="EK24" s="162"/>
      <c r="EL24" s="162"/>
      <c r="EM24" s="162"/>
      <c r="EN24" s="162"/>
      <c r="EO24" s="162"/>
      <c r="EP24" s="162"/>
      <c r="EQ24" s="162"/>
      <c r="ER24" s="162"/>
      <c r="ES24" s="162"/>
      <c r="ET24" s="162"/>
      <c r="EU24" s="162"/>
      <c r="EV24" s="162"/>
      <c r="EW24" s="162"/>
      <c r="EX24" s="162"/>
      <c r="EY24" s="162"/>
      <c r="EZ24" s="162"/>
      <c r="FA24" s="162"/>
      <c r="FB24" s="162"/>
      <c r="FC24" s="162"/>
      <c r="FD24" s="162"/>
      <c r="FE24" s="162"/>
      <c r="FF24" s="162"/>
      <c r="FG24" s="162"/>
      <c r="FH24" s="162"/>
      <c r="FI24" s="162"/>
      <c r="FJ24" s="162"/>
      <c r="FK24" s="162"/>
      <c r="FL24" s="162"/>
      <c r="FM24" s="162"/>
      <c r="FN24" s="162"/>
      <c r="FO24" s="162"/>
      <c r="FP24" s="162"/>
      <c r="FQ24" s="162"/>
      <c r="FR24" s="162"/>
      <c r="FS24" s="162"/>
      <c r="FT24" s="162"/>
      <c r="FU24" s="162"/>
      <c r="FV24" s="162"/>
      <c r="FW24" s="162"/>
      <c r="FX24" s="162"/>
      <c r="FY24" s="162"/>
      <c r="FZ24" s="162"/>
      <c r="GA24" s="162"/>
      <c r="GB24" s="162"/>
      <c r="GC24" s="162"/>
      <c r="GD24" s="162"/>
      <c r="GE24" s="162"/>
      <c r="GF24" s="162"/>
      <c r="GG24" s="162"/>
      <c r="GH24" s="162"/>
      <c r="GI24" s="162"/>
      <c r="GJ24" s="162"/>
      <c r="GK24" s="162"/>
      <c r="GL24" s="162"/>
      <c r="GM24" s="162"/>
      <c r="GN24" s="162"/>
      <c r="GO24" s="162"/>
      <c r="GP24" s="162"/>
      <c r="GQ24" s="162"/>
      <c r="GR24" s="162"/>
      <c r="GS24" s="162"/>
      <c r="GT24" s="162"/>
      <c r="GU24" s="162"/>
      <c r="GV24" s="162"/>
      <c r="GW24" s="162"/>
      <c r="GX24" s="162"/>
      <c r="GY24" s="162"/>
      <c r="GZ24" s="162"/>
      <c r="HA24" s="162"/>
      <c r="HB24" s="162"/>
      <c r="HC24" s="162"/>
      <c r="HD24" s="162"/>
      <c r="HE24" s="162"/>
      <c r="HF24" s="162"/>
      <c r="HG24" s="162"/>
      <c r="HH24" s="162"/>
      <c r="HI24" s="162"/>
      <c r="HJ24" s="162"/>
      <c r="HK24" s="162"/>
      <c r="HL24" s="162"/>
      <c r="HM24" s="162"/>
      <c r="HN24" s="162"/>
      <c r="HO24" s="162"/>
      <c r="HP24" s="162"/>
      <c r="HQ24" s="162"/>
      <c r="HR24" s="162"/>
      <c r="HS24" s="162"/>
      <c r="HT24" s="162"/>
      <c r="HU24" s="162"/>
      <c r="HV24" s="162"/>
      <c r="HW24" s="162"/>
      <c r="HX24" s="162"/>
      <c r="HY24" s="162"/>
      <c r="HZ24" s="162"/>
      <c r="IA24" s="162"/>
      <c r="IB24" s="162"/>
      <c r="IC24" s="162"/>
      <c r="ID24" s="162"/>
      <c r="IE24" s="162"/>
      <c r="IF24" s="162"/>
      <c r="IG24" s="162"/>
      <c r="IH24" s="162"/>
      <c r="II24" s="162"/>
      <c r="IJ24" s="162"/>
      <c r="IK24" s="162"/>
      <c r="IL24" s="162"/>
      <c r="IM24" s="162"/>
      <c r="IN24" s="162"/>
      <c r="IO24" s="162"/>
      <c r="IP24" s="162"/>
      <c r="IQ24" s="162"/>
      <c r="IR24" s="162"/>
      <c r="IS24" s="162"/>
      <c r="IT24" s="162"/>
      <c r="IU24" s="162"/>
      <c r="IV24" s="162"/>
      <c r="IW24" s="162"/>
      <c r="IX24" s="162"/>
      <c r="IY24" s="162"/>
      <c r="IZ24" s="162"/>
      <c r="JA24" s="162"/>
      <c r="JB24" s="162"/>
      <c r="JC24" s="162"/>
      <c r="JD24" s="162"/>
      <c r="JE24" s="162"/>
      <c r="JF24" s="162"/>
      <c r="JG24" s="162"/>
      <c r="JH24" s="162"/>
      <c r="JI24" s="162"/>
      <c r="JJ24" s="162"/>
      <c r="JK24" s="162"/>
    </row>
    <row r="25" ht="18.75" customHeight="1">
      <c r="A25" s="153"/>
      <c r="B25" s="154"/>
      <c r="C25" s="154"/>
      <c r="D25" s="154"/>
      <c r="E25" s="159"/>
      <c r="F25" s="154"/>
      <c r="G25" s="154"/>
      <c r="H25" s="154"/>
      <c r="I25" s="154"/>
      <c r="J25" s="179" t="s">
        <v>53</v>
      </c>
      <c r="K25" s="92"/>
      <c r="L25" s="175" t="s">
        <v>54</v>
      </c>
      <c r="M25" s="176" t="s">
        <v>55</v>
      </c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2"/>
      <c r="CG25" s="162"/>
      <c r="CH25" s="162"/>
      <c r="CI25" s="162"/>
      <c r="CJ25" s="162"/>
      <c r="CK25" s="162"/>
      <c r="CL25" s="162"/>
      <c r="CM25" s="162"/>
      <c r="CN25" s="162"/>
      <c r="CO25" s="162"/>
      <c r="CP25" s="162"/>
      <c r="CQ25" s="162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  <c r="DB25" s="162"/>
      <c r="DC25" s="162"/>
      <c r="DD25" s="162"/>
      <c r="DE25" s="162"/>
      <c r="DF25" s="162"/>
      <c r="DG25" s="162"/>
      <c r="DH25" s="162"/>
      <c r="DI25" s="162"/>
      <c r="DJ25" s="162"/>
      <c r="DK25" s="162"/>
      <c r="DL25" s="162"/>
      <c r="DM25" s="162"/>
      <c r="DN25" s="162"/>
      <c r="DO25" s="162"/>
      <c r="DP25" s="162"/>
      <c r="DQ25" s="162"/>
      <c r="DR25" s="162"/>
      <c r="DS25" s="162"/>
      <c r="DT25" s="162"/>
      <c r="DU25" s="162"/>
      <c r="DV25" s="162"/>
      <c r="DW25" s="162"/>
      <c r="DX25" s="162"/>
      <c r="DY25" s="162"/>
      <c r="DZ25" s="162"/>
      <c r="EA25" s="162"/>
      <c r="EB25" s="162"/>
      <c r="EC25" s="162"/>
      <c r="ED25" s="162"/>
      <c r="EE25" s="162"/>
      <c r="EF25" s="162"/>
      <c r="EG25" s="162"/>
      <c r="EH25" s="162"/>
      <c r="EI25" s="162"/>
      <c r="EJ25" s="162"/>
      <c r="EK25" s="162"/>
      <c r="EL25" s="162"/>
      <c r="EM25" s="162"/>
      <c r="EN25" s="162"/>
      <c r="EO25" s="162"/>
      <c r="EP25" s="162"/>
      <c r="EQ25" s="162"/>
      <c r="ER25" s="162"/>
      <c r="ES25" s="162"/>
      <c r="ET25" s="162"/>
      <c r="EU25" s="162"/>
      <c r="EV25" s="162"/>
      <c r="EW25" s="162"/>
      <c r="EX25" s="162"/>
      <c r="EY25" s="162"/>
      <c r="EZ25" s="162"/>
      <c r="FA25" s="162"/>
      <c r="FB25" s="162"/>
      <c r="FC25" s="162"/>
      <c r="FD25" s="162"/>
      <c r="FE25" s="162"/>
      <c r="FF25" s="162"/>
      <c r="FG25" s="162"/>
      <c r="FH25" s="162"/>
      <c r="FI25" s="162"/>
      <c r="FJ25" s="162"/>
      <c r="FK25" s="162"/>
      <c r="FL25" s="162"/>
      <c r="FM25" s="162"/>
      <c r="FN25" s="162"/>
      <c r="FO25" s="162"/>
      <c r="FP25" s="162"/>
      <c r="FQ25" s="162"/>
      <c r="FR25" s="162"/>
      <c r="FS25" s="162"/>
      <c r="FT25" s="162"/>
      <c r="FU25" s="162"/>
      <c r="FV25" s="162"/>
      <c r="FW25" s="162"/>
      <c r="FX25" s="162"/>
      <c r="FY25" s="162"/>
      <c r="FZ25" s="162"/>
      <c r="GA25" s="162"/>
      <c r="GB25" s="162"/>
      <c r="GC25" s="162"/>
      <c r="GD25" s="162"/>
      <c r="GE25" s="162"/>
      <c r="GF25" s="162"/>
      <c r="GG25" s="162"/>
      <c r="GH25" s="162"/>
      <c r="GI25" s="162"/>
      <c r="GJ25" s="162"/>
      <c r="GK25" s="162"/>
      <c r="GL25" s="162"/>
      <c r="GM25" s="162"/>
      <c r="GN25" s="162"/>
      <c r="GO25" s="162"/>
      <c r="GP25" s="162"/>
      <c r="GQ25" s="162"/>
      <c r="GR25" s="162"/>
      <c r="GS25" s="162"/>
      <c r="GT25" s="162"/>
      <c r="GU25" s="162"/>
      <c r="GV25" s="162"/>
      <c r="GW25" s="162"/>
      <c r="GX25" s="162"/>
      <c r="GY25" s="162"/>
      <c r="GZ25" s="162"/>
      <c r="HA25" s="162"/>
      <c r="HB25" s="162"/>
      <c r="HC25" s="162"/>
      <c r="HD25" s="162"/>
      <c r="HE25" s="162"/>
      <c r="HF25" s="162"/>
      <c r="HG25" s="162"/>
      <c r="HH25" s="162"/>
      <c r="HI25" s="162"/>
      <c r="HJ25" s="162"/>
      <c r="HK25" s="162"/>
      <c r="HL25" s="162"/>
      <c r="HM25" s="162"/>
      <c r="HN25" s="162"/>
      <c r="HO25" s="162"/>
      <c r="HP25" s="162"/>
      <c r="HQ25" s="162"/>
      <c r="HR25" s="162"/>
      <c r="HS25" s="162"/>
      <c r="HT25" s="162"/>
      <c r="HU25" s="162"/>
      <c r="HV25" s="162"/>
      <c r="HW25" s="162"/>
      <c r="HX25" s="162"/>
      <c r="HY25" s="162"/>
      <c r="HZ25" s="162"/>
      <c r="IA25" s="162"/>
      <c r="IB25" s="162"/>
      <c r="IC25" s="162"/>
      <c r="ID25" s="162"/>
      <c r="IE25" s="162"/>
      <c r="IF25" s="162"/>
      <c r="IG25" s="162"/>
      <c r="IH25" s="162"/>
      <c r="II25" s="162"/>
      <c r="IJ25" s="162"/>
      <c r="IK25" s="162"/>
      <c r="IL25" s="162"/>
      <c r="IM25" s="162"/>
      <c r="IN25" s="162"/>
      <c r="IO25" s="162"/>
      <c r="IP25" s="162"/>
      <c r="IQ25" s="162"/>
      <c r="IR25" s="162"/>
      <c r="IS25" s="162"/>
      <c r="IT25" s="162"/>
      <c r="IU25" s="162"/>
      <c r="IV25" s="162"/>
      <c r="IW25" s="162"/>
      <c r="IX25" s="162"/>
      <c r="IY25" s="162"/>
      <c r="IZ25" s="162"/>
      <c r="JA25" s="162"/>
      <c r="JB25" s="162"/>
      <c r="JC25" s="162"/>
      <c r="JD25" s="162"/>
      <c r="JE25" s="162"/>
      <c r="JF25" s="162"/>
      <c r="JG25" s="162"/>
      <c r="JH25" s="162"/>
      <c r="JI25" s="162"/>
      <c r="JJ25" s="162"/>
      <c r="JK25" s="162"/>
    </row>
    <row r="26" ht="18.75" customHeight="1">
      <c r="A26" s="153"/>
      <c r="B26" s="154"/>
      <c r="C26" s="154"/>
      <c r="D26" s="154"/>
      <c r="E26" s="159"/>
      <c r="F26" s="154"/>
      <c r="G26" s="154"/>
      <c r="H26" s="154"/>
      <c r="I26" s="154"/>
      <c r="J26" s="180"/>
      <c r="K26" s="95"/>
      <c r="L26" s="83"/>
      <c r="M26" s="168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  <c r="HV26" s="162"/>
      <c r="HW26" s="162"/>
      <c r="HX26" s="162"/>
      <c r="HY26" s="162"/>
      <c r="HZ26" s="162"/>
      <c r="IA26" s="162"/>
      <c r="IB26" s="162"/>
      <c r="IC26" s="162"/>
      <c r="ID26" s="162"/>
      <c r="IE26" s="162"/>
      <c r="IF26" s="162"/>
      <c r="IG26" s="162"/>
      <c r="IH26" s="162"/>
      <c r="II26" s="162"/>
      <c r="IJ26" s="162"/>
      <c r="IK26" s="162"/>
      <c r="IL26" s="162"/>
      <c r="IM26" s="162"/>
      <c r="IN26" s="162"/>
      <c r="IO26" s="162"/>
      <c r="IP26" s="162"/>
      <c r="IQ26" s="162"/>
      <c r="IR26" s="162"/>
      <c r="IS26" s="162"/>
      <c r="IT26" s="162"/>
      <c r="IU26" s="162"/>
      <c r="IV26" s="162"/>
      <c r="IW26" s="162"/>
      <c r="IX26" s="162"/>
      <c r="IY26" s="162"/>
      <c r="IZ26" s="162"/>
      <c r="JA26" s="162"/>
      <c r="JB26" s="162"/>
      <c r="JC26" s="162"/>
      <c r="JD26" s="162"/>
      <c r="JE26" s="162"/>
      <c r="JF26" s="162"/>
      <c r="JG26" s="162"/>
      <c r="JH26" s="162"/>
      <c r="JI26" s="162"/>
      <c r="JJ26" s="162"/>
      <c r="JK26" s="162"/>
    </row>
    <row r="27" ht="18.75" customHeight="1">
      <c r="A27" s="153"/>
      <c r="B27" s="154"/>
      <c r="C27" s="154"/>
      <c r="D27" s="154"/>
      <c r="E27" s="159"/>
      <c r="F27" s="154"/>
      <c r="G27" s="154"/>
      <c r="H27" s="154"/>
      <c r="I27" s="154"/>
      <c r="J27" s="181"/>
      <c r="K27" s="99"/>
      <c r="L27" s="182"/>
      <c r="M27" s="183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162"/>
      <c r="CE27" s="162"/>
      <c r="CF27" s="162"/>
      <c r="CG27" s="162"/>
      <c r="CH27" s="162"/>
      <c r="CI27" s="162"/>
      <c r="CJ27" s="162"/>
      <c r="CK27" s="162"/>
      <c r="CL27" s="162"/>
      <c r="CM27" s="162"/>
      <c r="CN27" s="162"/>
      <c r="CO27" s="162"/>
      <c r="CP27" s="162"/>
      <c r="CQ27" s="162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  <c r="DB27" s="162"/>
      <c r="DC27" s="162"/>
      <c r="DD27" s="162"/>
      <c r="DE27" s="162"/>
      <c r="DF27" s="162"/>
      <c r="DG27" s="162"/>
      <c r="DH27" s="162"/>
      <c r="DI27" s="162"/>
      <c r="DJ27" s="162"/>
      <c r="DK27" s="162"/>
      <c r="DL27" s="162"/>
      <c r="DM27" s="162"/>
      <c r="DN27" s="162"/>
      <c r="DO27" s="162"/>
      <c r="DP27" s="162"/>
      <c r="DQ27" s="162"/>
      <c r="DR27" s="162"/>
      <c r="DS27" s="162"/>
      <c r="DT27" s="162"/>
      <c r="DU27" s="162"/>
      <c r="DV27" s="162"/>
      <c r="DW27" s="162"/>
      <c r="DX27" s="162"/>
      <c r="DY27" s="162"/>
      <c r="DZ27" s="162"/>
      <c r="EA27" s="162"/>
      <c r="EB27" s="162"/>
      <c r="EC27" s="162"/>
      <c r="ED27" s="162"/>
      <c r="EE27" s="162"/>
      <c r="EF27" s="162"/>
      <c r="EG27" s="162"/>
      <c r="EH27" s="162"/>
      <c r="EI27" s="162"/>
      <c r="EJ27" s="162"/>
      <c r="EK27" s="162"/>
      <c r="EL27" s="162"/>
      <c r="EM27" s="162"/>
      <c r="EN27" s="162"/>
      <c r="EO27" s="162"/>
      <c r="EP27" s="162"/>
      <c r="EQ27" s="162"/>
      <c r="ER27" s="162"/>
      <c r="ES27" s="162"/>
      <c r="ET27" s="162"/>
      <c r="EU27" s="162"/>
      <c r="EV27" s="162"/>
      <c r="EW27" s="162"/>
      <c r="EX27" s="162"/>
      <c r="EY27" s="162"/>
      <c r="EZ27" s="162"/>
      <c r="FA27" s="162"/>
      <c r="FB27" s="162"/>
      <c r="FC27" s="162"/>
      <c r="FD27" s="162"/>
      <c r="FE27" s="162"/>
      <c r="FF27" s="162"/>
      <c r="FG27" s="162"/>
      <c r="FH27" s="162"/>
      <c r="FI27" s="162"/>
      <c r="FJ27" s="162"/>
      <c r="FK27" s="162"/>
      <c r="FL27" s="162"/>
      <c r="FM27" s="162"/>
      <c r="FN27" s="162"/>
      <c r="FO27" s="162"/>
      <c r="FP27" s="162"/>
      <c r="FQ27" s="162"/>
      <c r="FR27" s="162"/>
      <c r="FS27" s="162"/>
      <c r="FT27" s="162"/>
      <c r="FU27" s="162"/>
      <c r="FV27" s="162"/>
      <c r="FW27" s="162"/>
      <c r="FX27" s="162"/>
      <c r="FY27" s="162"/>
      <c r="FZ27" s="162"/>
      <c r="GA27" s="162"/>
      <c r="GB27" s="162"/>
      <c r="GC27" s="162"/>
      <c r="GD27" s="162"/>
      <c r="GE27" s="162"/>
      <c r="GF27" s="162"/>
      <c r="GG27" s="162"/>
      <c r="GH27" s="162"/>
      <c r="GI27" s="162"/>
      <c r="GJ27" s="162"/>
      <c r="GK27" s="162"/>
      <c r="GL27" s="162"/>
      <c r="GM27" s="162"/>
      <c r="GN27" s="162"/>
      <c r="GO27" s="162"/>
      <c r="GP27" s="162"/>
      <c r="GQ27" s="162"/>
      <c r="GR27" s="162"/>
      <c r="GS27" s="162"/>
      <c r="GT27" s="162"/>
      <c r="GU27" s="162"/>
      <c r="GV27" s="162"/>
      <c r="GW27" s="162"/>
      <c r="GX27" s="162"/>
      <c r="GY27" s="162"/>
      <c r="GZ27" s="162"/>
      <c r="HA27" s="162"/>
      <c r="HB27" s="162"/>
      <c r="HC27" s="162"/>
      <c r="HD27" s="162"/>
      <c r="HE27" s="162"/>
      <c r="HF27" s="162"/>
      <c r="HG27" s="162"/>
      <c r="HH27" s="162"/>
      <c r="HI27" s="162"/>
      <c r="HJ27" s="162"/>
      <c r="HK27" s="162"/>
      <c r="HL27" s="162"/>
      <c r="HM27" s="162"/>
      <c r="HN27" s="162"/>
      <c r="HO27" s="162"/>
      <c r="HP27" s="162"/>
      <c r="HQ27" s="162"/>
      <c r="HR27" s="162"/>
      <c r="HS27" s="162"/>
      <c r="HT27" s="162"/>
      <c r="HU27" s="162"/>
      <c r="HV27" s="162"/>
      <c r="HW27" s="162"/>
      <c r="HX27" s="162"/>
      <c r="HY27" s="162"/>
      <c r="HZ27" s="162"/>
      <c r="IA27" s="162"/>
      <c r="IB27" s="162"/>
      <c r="IC27" s="162"/>
      <c r="ID27" s="162"/>
      <c r="IE27" s="162"/>
      <c r="IF27" s="162"/>
      <c r="IG27" s="162"/>
      <c r="IH27" s="162"/>
      <c r="II27" s="162"/>
      <c r="IJ27" s="162"/>
      <c r="IK27" s="162"/>
      <c r="IL27" s="162"/>
      <c r="IM27" s="162"/>
      <c r="IN27" s="162"/>
      <c r="IO27" s="162"/>
      <c r="IP27" s="162"/>
      <c r="IQ27" s="162"/>
      <c r="IR27" s="162"/>
      <c r="IS27" s="162"/>
      <c r="IT27" s="162"/>
      <c r="IU27" s="162"/>
      <c r="IV27" s="162"/>
      <c r="IW27" s="162"/>
      <c r="IX27" s="162"/>
      <c r="IY27" s="162"/>
      <c r="IZ27" s="162"/>
      <c r="JA27" s="162"/>
      <c r="JB27" s="162"/>
      <c r="JC27" s="162"/>
      <c r="JD27" s="162"/>
      <c r="JE27" s="162"/>
      <c r="JF27" s="162"/>
      <c r="JG27" s="162"/>
      <c r="JH27" s="162"/>
      <c r="JI27" s="162"/>
      <c r="JJ27" s="162"/>
      <c r="JK27" s="162"/>
    </row>
    <row r="28" ht="18.75" customHeight="1">
      <c r="A28" s="153"/>
      <c r="B28" s="154"/>
      <c r="C28" s="154"/>
      <c r="D28" s="154"/>
      <c r="E28" s="159"/>
      <c r="F28" s="154"/>
      <c r="G28" s="154"/>
      <c r="H28" s="154"/>
      <c r="I28" s="154"/>
      <c r="J28" s="184"/>
      <c r="L28" s="174" t="s">
        <v>56</v>
      </c>
      <c r="M28" s="176" t="s">
        <v>57</v>
      </c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  <c r="DB28" s="162"/>
      <c r="DC28" s="162"/>
      <c r="DD28" s="162"/>
      <c r="DE28" s="162"/>
      <c r="DF28" s="162"/>
      <c r="DG28" s="162"/>
      <c r="DH28" s="162"/>
      <c r="DI28" s="162"/>
      <c r="DJ28" s="162"/>
      <c r="DK28" s="162"/>
      <c r="DL28" s="162"/>
      <c r="DM28" s="162"/>
      <c r="DN28" s="162"/>
      <c r="DO28" s="162"/>
      <c r="DP28" s="162"/>
      <c r="DQ28" s="162"/>
      <c r="DR28" s="162"/>
      <c r="DS28" s="162"/>
      <c r="DT28" s="162"/>
      <c r="DU28" s="162"/>
      <c r="DV28" s="162"/>
      <c r="DW28" s="162"/>
      <c r="DX28" s="162"/>
      <c r="DY28" s="162"/>
      <c r="DZ28" s="162"/>
      <c r="EA28" s="162"/>
      <c r="EB28" s="162"/>
      <c r="EC28" s="162"/>
      <c r="ED28" s="162"/>
      <c r="EE28" s="162"/>
      <c r="EF28" s="162"/>
      <c r="EG28" s="162"/>
      <c r="EH28" s="162"/>
      <c r="EI28" s="162"/>
      <c r="EJ28" s="162"/>
      <c r="EK28" s="162"/>
      <c r="EL28" s="162"/>
      <c r="EM28" s="162"/>
      <c r="EN28" s="162"/>
      <c r="EO28" s="162"/>
      <c r="EP28" s="162"/>
      <c r="EQ28" s="162"/>
      <c r="ER28" s="162"/>
      <c r="ES28" s="162"/>
      <c r="ET28" s="162"/>
      <c r="EU28" s="162"/>
      <c r="EV28" s="162"/>
      <c r="EW28" s="162"/>
      <c r="EX28" s="162"/>
      <c r="EY28" s="162"/>
      <c r="EZ28" s="162"/>
      <c r="FA28" s="162"/>
      <c r="FB28" s="162"/>
      <c r="FC28" s="162"/>
      <c r="FD28" s="162"/>
      <c r="FE28" s="162"/>
      <c r="FF28" s="162"/>
      <c r="FG28" s="162"/>
      <c r="FH28" s="162"/>
      <c r="FI28" s="162"/>
      <c r="FJ28" s="162"/>
      <c r="FK28" s="162"/>
      <c r="FL28" s="162"/>
      <c r="FM28" s="162"/>
      <c r="FN28" s="162"/>
      <c r="FO28" s="162"/>
      <c r="FP28" s="162"/>
      <c r="FQ28" s="162"/>
      <c r="FR28" s="162"/>
      <c r="FS28" s="162"/>
      <c r="FT28" s="162"/>
      <c r="FU28" s="162"/>
      <c r="FV28" s="162"/>
      <c r="FW28" s="162"/>
      <c r="FX28" s="162"/>
      <c r="FY28" s="162"/>
      <c r="FZ28" s="162"/>
      <c r="GA28" s="162"/>
      <c r="GB28" s="162"/>
      <c r="GC28" s="162"/>
      <c r="GD28" s="162"/>
      <c r="GE28" s="162"/>
      <c r="GF28" s="162"/>
      <c r="GG28" s="162"/>
      <c r="GH28" s="162"/>
      <c r="GI28" s="162"/>
      <c r="GJ28" s="162"/>
      <c r="GK28" s="162"/>
      <c r="GL28" s="162"/>
      <c r="GM28" s="162"/>
      <c r="GN28" s="162"/>
      <c r="GO28" s="162"/>
      <c r="GP28" s="162"/>
      <c r="GQ28" s="162"/>
      <c r="GR28" s="162"/>
      <c r="GS28" s="162"/>
      <c r="GT28" s="162"/>
      <c r="GU28" s="162"/>
      <c r="GV28" s="162"/>
      <c r="GW28" s="162"/>
      <c r="GX28" s="162"/>
      <c r="GY28" s="162"/>
      <c r="GZ28" s="162"/>
      <c r="HA28" s="162"/>
      <c r="HB28" s="162"/>
      <c r="HC28" s="162"/>
      <c r="HD28" s="162"/>
      <c r="HE28" s="162"/>
      <c r="HF28" s="162"/>
      <c r="HG28" s="162"/>
      <c r="HH28" s="162"/>
      <c r="HI28" s="162"/>
      <c r="HJ28" s="162"/>
      <c r="HK28" s="162"/>
      <c r="HL28" s="162"/>
      <c r="HM28" s="162"/>
      <c r="HN28" s="162"/>
      <c r="HO28" s="162"/>
      <c r="HP28" s="162"/>
      <c r="HQ28" s="162"/>
      <c r="HR28" s="162"/>
      <c r="HS28" s="162"/>
      <c r="HT28" s="162"/>
      <c r="HU28" s="162"/>
      <c r="HV28" s="162"/>
      <c r="HW28" s="162"/>
      <c r="HX28" s="162"/>
      <c r="HY28" s="162"/>
      <c r="HZ28" s="162"/>
      <c r="IA28" s="162"/>
      <c r="IB28" s="162"/>
      <c r="IC28" s="162"/>
      <c r="ID28" s="162"/>
      <c r="IE28" s="162"/>
      <c r="IF28" s="162"/>
      <c r="IG28" s="162"/>
      <c r="IH28" s="162"/>
      <c r="II28" s="162"/>
      <c r="IJ28" s="162"/>
      <c r="IK28" s="162"/>
      <c r="IL28" s="162"/>
      <c r="IM28" s="162"/>
      <c r="IN28" s="162"/>
      <c r="IO28" s="162"/>
      <c r="IP28" s="162"/>
      <c r="IQ28" s="162"/>
      <c r="IR28" s="162"/>
      <c r="IS28" s="162"/>
      <c r="IT28" s="162"/>
      <c r="IU28" s="162"/>
      <c r="IV28" s="162"/>
      <c r="IW28" s="162"/>
      <c r="IX28" s="162"/>
      <c r="IY28" s="162"/>
      <c r="IZ28" s="162"/>
      <c r="JA28" s="162"/>
      <c r="JB28" s="162"/>
      <c r="JC28" s="162"/>
      <c r="JD28" s="162"/>
      <c r="JE28" s="162"/>
      <c r="JF28" s="162"/>
      <c r="JG28" s="162"/>
      <c r="JH28" s="162"/>
      <c r="JI28" s="162"/>
      <c r="JJ28" s="162"/>
      <c r="JK28" s="162"/>
    </row>
    <row r="29" ht="18.75" customHeight="1">
      <c r="A29" s="153"/>
      <c r="B29" s="154"/>
      <c r="C29" s="154"/>
      <c r="D29" s="154"/>
      <c r="E29" s="159"/>
      <c r="F29" s="154"/>
      <c r="G29" s="154"/>
      <c r="H29" s="154"/>
      <c r="I29" s="154"/>
      <c r="J29" s="29"/>
      <c r="L29" s="83"/>
      <c r="M29" s="168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162"/>
      <c r="DH29" s="162"/>
      <c r="DI29" s="162"/>
      <c r="DJ29" s="162"/>
      <c r="DK29" s="162"/>
      <c r="DL29" s="162"/>
      <c r="DM29" s="162"/>
      <c r="DN29" s="162"/>
      <c r="DO29" s="162"/>
      <c r="DP29" s="162"/>
      <c r="DQ29" s="162"/>
      <c r="DR29" s="162"/>
      <c r="DS29" s="162"/>
      <c r="DT29" s="162"/>
      <c r="DU29" s="162"/>
      <c r="DV29" s="162"/>
      <c r="DW29" s="162"/>
      <c r="DX29" s="162"/>
      <c r="DY29" s="162"/>
      <c r="DZ29" s="162"/>
      <c r="EA29" s="162"/>
      <c r="EB29" s="162"/>
      <c r="EC29" s="162"/>
      <c r="ED29" s="162"/>
      <c r="EE29" s="162"/>
      <c r="EF29" s="162"/>
      <c r="EG29" s="162"/>
      <c r="EH29" s="162"/>
      <c r="EI29" s="162"/>
      <c r="EJ29" s="162"/>
      <c r="EK29" s="162"/>
      <c r="EL29" s="162"/>
      <c r="EM29" s="162"/>
      <c r="EN29" s="162"/>
      <c r="EO29" s="162"/>
      <c r="EP29" s="162"/>
      <c r="EQ29" s="162"/>
      <c r="ER29" s="162"/>
      <c r="ES29" s="162"/>
      <c r="ET29" s="162"/>
      <c r="EU29" s="162"/>
      <c r="EV29" s="162"/>
      <c r="EW29" s="162"/>
      <c r="EX29" s="162"/>
      <c r="EY29" s="162"/>
      <c r="EZ29" s="162"/>
      <c r="FA29" s="162"/>
      <c r="FB29" s="162"/>
      <c r="FC29" s="162"/>
      <c r="FD29" s="162"/>
      <c r="FE29" s="162"/>
      <c r="FF29" s="162"/>
      <c r="FG29" s="162"/>
      <c r="FH29" s="162"/>
      <c r="FI29" s="162"/>
      <c r="FJ29" s="162"/>
      <c r="FK29" s="162"/>
      <c r="FL29" s="162"/>
      <c r="FM29" s="162"/>
      <c r="FN29" s="162"/>
      <c r="FO29" s="162"/>
      <c r="FP29" s="162"/>
      <c r="FQ29" s="162"/>
      <c r="FR29" s="162"/>
      <c r="FS29" s="162"/>
      <c r="FT29" s="162"/>
      <c r="FU29" s="162"/>
      <c r="FV29" s="162"/>
      <c r="FW29" s="162"/>
      <c r="FX29" s="162"/>
      <c r="FY29" s="162"/>
      <c r="FZ29" s="162"/>
      <c r="GA29" s="162"/>
      <c r="GB29" s="162"/>
      <c r="GC29" s="162"/>
      <c r="GD29" s="162"/>
      <c r="GE29" s="162"/>
      <c r="GF29" s="162"/>
      <c r="GG29" s="162"/>
      <c r="GH29" s="162"/>
      <c r="GI29" s="162"/>
      <c r="GJ29" s="162"/>
      <c r="GK29" s="162"/>
      <c r="GL29" s="162"/>
      <c r="GM29" s="162"/>
      <c r="GN29" s="162"/>
      <c r="GO29" s="162"/>
      <c r="GP29" s="162"/>
      <c r="GQ29" s="162"/>
      <c r="GR29" s="162"/>
      <c r="GS29" s="162"/>
      <c r="GT29" s="162"/>
      <c r="GU29" s="162"/>
      <c r="GV29" s="162"/>
      <c r="GW29" s="162"/>
      <c r="GX29" s="162"/>
      <c r="GY29" s="162"/>
      <c r="GZ29" s="162"/>
      <c r="HA29" s="162"/>
      <c r="HB29" s="162"/>
      <c r="HC29" s="162"/>
      <c r="HD29" s="162"/>
      <c r="HE29" s="162"/>
      <c r="HF29" s="162"/>
      <c r="HG29" s="162"/>
      <c r="HH29" s="162"/>
      <c r="HI29" s="162"/>
      <c r="HJ29" s="162"/>
      <c r="HK29" s="162"/>
      <c r="HL29" s="162"/>
      <c r="HM29" s="162"/>
      <c r="HN29" s="162"/>
      <c r="HO29" s="162"/>
      <c r="HP29" s="162"/>
      <c r="HQ29" s="162"/>
      <c r="HR29" s="162"/>
      <c r="HS29" s="162"/>
      <c r="HT29" s="162"/>
      <c r="HU29" s="162"/>
      <c r="HV29" s="162"/>
      <c r="HW29" s="162"/>
      <c r="HX29" s="162"/>
      <c r="HY29" s="162"/>
      <c r="HZ29" s="162"/>
      <c r="IA29" s="162"/>
      <c r="IB29" s="162"/>
      <c r="IC29" s="162"/>
      <c r="ID29" s="162"/>
      <c r="IE29" s="162"/>
      <c r="IF29" s="162"/>
      <c r="IG29" s="162"/>
      <c r="IH29" s="162"/>
      <c r="II29" s="162"/>
      <c r="IJ29" s="162"/>
      <c r="IK29" s="162"/>
      <c r="IL29" s="162"/>
      <c r="IM29" s="162"/>
      <c r="IN29" s="162"/>
      <c r="IO29" s="162"/>
      <c r="IP29" s="162"/>
      <c r="IQ29" s="162"/>
      <c r="IR29" s="162"/>
      <c r="IS29" s="162"/>
      <c r="IT29" s="162"/>
      <c r="IU29" s="162"/>
      <c r="IV29" s="162"/>
      <c r="IW29" s="162"/>
      <c r="IX29" s="162"/>
      <c r="IY29" s="162"/>
      <c r="IZ29" s="162"/>
      <c r="JA29" s="162"/>
      <c r="JB29" s="162"/>
      <c r="JC29" s="162"/>
      <c r="JD29" s="162"/>
      <c r="JE29" s="162"/>
      <c r="JF29" s="162"/>
      <c r="JG29" s="162"/>
      <c r="JH29" s="162"/>
      <c r="JI29" s="162"/>
      <c r="JJ29" s="162"/>
      <c r="JK29" s="162"/>
    </row>
    <row r="30" ht="18.75" customHeight="1">
      <c r="A30" s="153"/>
      <c r="B30" s="185"/>
      <c r="C30" s="185"/>
      <c r="D30" s="185"/>
      <c r="E30" s="186"/>
      <c r="F30" s="185"/>
      <c r="G30" s="185"/>
      <c r="H30" s="185"/>
      <c r="I30" s="185"/>
      <c r="J30" s="12"/>
      <c r="K30" s="21"/>
      <c r="L30" s="187"/>
      <c r="M30" s="188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162"/>
      <c r="CF30" s="162"/>
      <c r="CG30" s="162"/>
      <c r="CH30" s="162"/>
      <c r="CI30" s="162"/>
      <c r="CJ30" s="162"/>
      <c r="CK30" s="162"/>
      <c r="CL30" s="162"/>
      <c r="CM30" s="162"/>
      <c r="CN30" s="162"/>
      <c r="CO30" s="162"/>
      <c r="CP30" s="162"/>
      <c r="CQ30" s="162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  <c r="DB30" s="162"/>
      <c r="DC30" s="162"/>
      <c r="DD30" s="162"/>
      <c r="DE30" s="162"/>
      <c r="DF30" s="162"/>
      <c r="DG30" s="162"/>
      <c r="DH30" s="162"/>
      <c r="DI30" s="162"/>
      <c r="DJ30" s="162"/>
      <c r="DK30" s="162"/>
      <c r="DL30" s="162"/>
      <c r="DM30" s="162"/>
      <c r="DN30" s="162"/>
      <c r="DO30" s="162"/>
      <c r="DP30" s="162"/>
      <c r="DQ30" s="162"/>
      <c r="DR30" s="162"/>
      <c r="DS30" s="162"/>
      <c r="DT30" s="162"/>
      <c r="DU30" s="162"/>
      <c r="DV30" s="162"/>
      <c r="DW30" s="162"/>
      <c r="DX30" s="162"/>
      <c r="DY30" s="162"/>
      <c r="DZ30" s="162"/>
      <c r="EA30" s="162"/>
      <c r="EB30" s="162"/>
      <c r="EC30" s="162"/>
      <c r="ED30" s="162"/>
      <c r="EE30" s="162"/>
      <c r="EF30" s="162"/>
      <c r="EG30" s="162"/>
      <c r="EH30" s="162"/>
      <c r="EI30" s="162"/>
      <c r="EJ30" s="162"/>
      <c r="EK30" s="162"/>
      <c r="EL30" s="162"/>
      <c r="EM30" s="162"/>
      <c r="EN30" s="162"/>
      <c r="EO30" s="162"/>
      <c r="EP30" s="162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62"/>
      <c r="FB30" s="162"/>
      <c r="FC30" s="162"/>
      <c r="FD30" s="162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162"/>
      <c r="FR30" s="162"/>
      <c r="FS30" s="162"/>
      <c r="FT30" s="162"/>
      <c r="FU30" s="162"/>
      <c r="FV30" s="162"/>
      <c r="FW30" s="162"/>
      <c r="FX30" s="162"/>
      <c r="FY30" s="162"/>
      <c r="FZ30" s="162"/>
      <c r="GA30" s="162"/>
      <c r="GB30" s="162"/>
      <c r="GC30" s="162"/>
      <c r="GD30" s="162"/>
      <c r="GE30" s="162"/>
      <c r="GF30" s="162"/>
      <c r="GG30" s="162"/>
      <c r="GH30" s="162"/>
      <c r="GI30" s="162"/>
      <c r="GJ30" s="162"/>
      <c r="GK30" s="162"/>
      <c r="GL30" s="162"/>
      <c r="GM30" s="162"/>
      <c r="GN30" s="162"/>
      <c r="GO30" s="162"/>
      <c r="GP30" s="162"/>
      <c r="GQ30" s="162"/>
      <c r="GR30" s="162"/>
      <c r="GS30" s="162"/>
      <c r="GT30" s="162"/>
      <c r="GU30" s="162"/>
      <c r="GV30" s="162"/>
      <c r="GW30" s="162"/>
      <c r="GX30" s="162"/>
      <c r="GY30" s="162"/>
      <c r="GZ30" s="162"/>
      <c r="HA30" s="162"/>
      <c r="HB30" s="162"/>
      <c r="HC30" s="162"/>
      <c r="HD30" s="162"/>
      <c r="HE30" s="162"/>
      <c r="HF30" s="162"/>
      <c r="HG30" s="162"/>
      <c r="HH30" s="162"/>
      <c r="HI30" s="162"/>
      <c r="HJ30" s="162"/>
      <c r="HK30" s="162"/>
      <c r="HL30" s="162"/>
      <c r="HM30" s="162"/>
      <c r="HN30" s="162"/>
      <c r="HO30" s="162"/>
      <c r="HP30" s="162"/>
      <c r="HQ30" s="162"/>
      <c r="HR30" s="162"/>
      <c r="HS30" s="162"/>
      <c r="HT30" s="162"/>
      <c r="HU30" s="162"/>
      <c r="HV30" s="162"/>
      <c r="HW30" s="162"/>
      <c r="HX30" s="162"/>
      <c r="HY30" s="162"/>
      <c r="HZ30" s="162"/>
      <c r="IA30" s="162"/>
      <c r="IB30" s="162"/>
      <c r="IC30" s="162"/>
      <c r="ID30" s="162"/>
      <c r="IE30" s="162"/>
      <c r="IF30" s="162"/>
      <c r="IG30" s="162"/>
      <c r="IH30" s="162"/>
      <c r="II30" s="162"/>
      <c r="IJ30" s="162"/>
      <c r="IK30" s="162"/>
      <c r="IL30" s="162"/>
      <c r="IM30" s="162"/>
      <c r="IN30" s="162"/>
      <c r="IO30" s="162"/>
      <c r="IP30" s="162"/>
      <c r="IQ30" s="162"/>
      <c r="IR30" s="162"/>
      <c r="IS30" s="162"/>
      <c r="IT30" s="162"/>
      <c r="IU30" s="162"/>
      <c r="IV30" s="162"/>
      <c r="IW30" s="162"/>
      <c r="IX30" s="162"/>
      <c r="IY30" s="162"/>
      <c r="IZ30" s="162"/>
      <c r="JA30" s="162"/>
      <c r="JB30" s="162"/>
      <c r="JC30" s="162"/>
      <c r="JD30" s="162"/>
      <c r="JE30" s="162"/>
      <c r="JF30" s="162"/>
      <c r="JG30" s="162"/>
      <c r="JH30" s="162"/>
      <c r="JI30" s="162"/>
      <c r="JJ30" s="162"/>
      <c r="JK30" s="162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2" priority="1" operator="lessThan">
      <formula>1</formula>
    </cfRule>
  </conditionalFormatting>
  <conditionalFormatting sqref="M24">
    <cfRule type="cellIs" dxfId="2" priority="2" operator="equal">
      <formula>0</formula>
    </cfRule>
  </conditionalFormatting>
  <conditionalFormatting sqref="F2">
    <cfRule type="cellIs" dxfId="0" priority="3" operator="greaterThan">
      <formula>"30%"</formula>
    </cfRule>
  </conditionalFormatting>
  <conditionalFormatting sqref="F2:H4">
    <cfRule type="containsText" dxfId="3" priority="4" operator="containsText" text="Zadej">
      <formula>NOT(ISERROR(SEARCH(("Zadej"),(F2))))</formula>
    </cfRule>
  </conditionalFormatting>
  <conditionalFormatting sqref="J8:K18">
    <cfRule type="cellIs" dxfId="0" priority="5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89" t="s">
        <v>67</v>
      </c>
      <c r="B1" s="189" t="s">
        <v>68</v>
      </c>
      <c r="C1" s="189" t="s">
        <v>69</v>
      </c>
      <c r="D1" s="189" t="s">
        <v>70</v>
      </c>
      <c r="E1" s="189" t="s">
        <v>40</v>
      </c>
      <c r="F1" s="189" t="s">
        <v>71</v>
      </c>
      <c r="G1" s="189" t="s">
        <v>72</v>
      </c>
      <c r="H1" s="189" t="s">
        <v>73</v>
      </c>
      <c r="I1" s="189" t="s">
        <v>74</v>
      </c>
      <c r="J1" s="189" t="s">
        <v>75</v>
      </c>
      <c r="K1" s="189" t="s">
        <v>76</v>
      </c>
      <c r="L1" s="189" t="s">
        <v>77</v>
      </c>
      <c r="M1" s="189" t="s">
        <v>78</v>
      </c>
      <c r="N1" s="189" t="s">
        <v>79</v>
      </c>
      <c r="O1" s="189" t="s">
        <v>80</v>
      </c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</row>
    <row r="2">
      <c r="A2" s="189" t="s">
        <v>81</v>
      </c>
      <c r="B2" s="189" t="s">
        <v>82</v>
      </c>
      <c r="C2" s="189">
        <v>264.0</v>
      </c>
      <c r="D2" s="189">
        <v>0.0</v>
      </c>
      <c r="E2" s="190"/>
      <c r="F2" s="189" t="s">
        <v>83</v>
      </c>
      <c r="G2" s="189" t="s">
        <v>84</v>
      </c>
      <c r="H2" s="189" t="s">
        <v>85</v>
      </c>
      <c r="I2" s="189" t="s">
        <v>86</v>
      </c>
      <c r="J2" s="189" t="s">
        <v>86</v>
      </c>
      <c r="K2" s="190"/>
      <c r="L2" s="189">
        <v>-8.0</v>
      </c>
      <c r="M2" s="189"/>
      <c r="N2" s="189">
        <v>6.59625</v>
      </c>
      <c r="O2" s="189" t="s">
        <v>87</v>
      </c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</row>
    <row r="3">
      <c r="A3" s="189" t="s">
        <v>88</v>
      </c>
      <c r="B3" s="189" t="s">
        <v>82</v>
      </c>
      <c r="C3" s="189">
        <v>199.0</v>
      </c>
      <c r="D3" s="189">
        <v>50.0</v>
      </c>
      <c r="E3" s="190"/>
      <c r="F3" s="189" t="s">
        <v>89</v>
      </c>
      <c r="G3" s="189" t="s">
        <v>90</v>
      </c>
      <c r="H3" s="189" t="s">
        <v>91</v>
      </c>
      <c r="I3" s="189" t="s">
        <v>92</v>
      </c>
      <c r="J3" s="189" t="s">
        <v>92</v>
      </c>
      <c r="K3" s="190"/>
      <c r="L3" s="189">
        <v>-12.0</v>
      </c>
      <c r="M3" s="189"/>
      <c r="N3" s="189">
        <v>6.939566666666667</v>
      </c>
      <c r="O3" s="189" t="s">
        <v>93</v>
      </c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E3" s="190"/>
    </row>
    <row r="4">
      <c r="A4" s="189" t="s">
        <v>94</v>
      </c>
      <c r="B4" s="189" t="s">
        <v>82</v>
      </c>
      <c r="C4" s="189">
        <v>264.0</v>
      </c>
      <c r="D4" s="189">
        <v>0.0</v>
      </c>
      <c r="E4" s="189" t="s">
        <v>95</v>
      </c>
      <c r="F4" s="189" t="s">
        <v>83</v>
      </c>
      <c r="G4" s="189" t="s">
        <v>84</v>
      </c>
      <c r="H4" s="189" t="s">
        <v>96</v>
      </c>
      <c r="I4" s="189" t="s">
        <v>97</v>
      </c>
      <c r="J4" s="189" t="s">
        <v>97</v>
      </c>
      <c r="K4" s="190"/>
      <c r="L4" s="189">
        <v>-5.0</v>
      </c>
      <c r="M4" s="189"/>
      <c r="N4" s="189">
        <v>9.38695</v>
      </c>
      <c r="O4" s="189" t="s">
        <v>87</v>
      </c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E4" s="190"/>
    </row>
    <row r="5">
      <c r="A5" s="189" t="s">
        <v>88</v>
      </c>
      <c r="B5" s="189" t="s">
        <v>82</v>
      </c>
      <c r="C5" s="189">
        <v>199.0</v>
      </c>
      <c r="D5" s="189">
        <v>50.0</v>
      </c>
      <c r="E5" s="190"/>
      <c r="F5" s="189" t="s">
        <v>89</v>
      </c>
      <c r="G5" s="189" t="s">
        <v>90</v>
      </c>
      <c r="H5" s="189" t="s">
        <v>98</v>
      </c>
      <c r="I5" s="189" t="s">
        <v>99</v>
      </c>
      <c r="J5" s="189" t="s">
        <v>99</v>
      </c>
      <c r="K5" s="190"/>
      <c r="L5" s="189">
        <v>-12.0</v>
      </c>
      <c r="M5" s="189"/>
      <c r="N5" s="189">
        <v>6.44065</v>
      </c>
      <c r="O5" s="189" t="s">
        <v>93</v>
      </c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</row>
    <row r="6">
      <c r="A6" s="189" t="s">
        <v>100</v>
      </c>
      <c r="B6" s="189" t="s">
        <v>82</v>
      </c>
      <c r="C6" s="189">
        <v>1316.0</v>
      </c>
      <c r="D6" s="189">
        <v>0.0</v>
      </c>
      <c r="E6" s="189" t="s">
        <v>58</v>
      </c>
      <c r="F6" s="189" t="s">
        <v>83</v>
      </c>
      <c r="G6" s="189" t="s">
        <v>84</v>
      </c>
      <c r="H6" s="189" t="s">
        <v>101</v>
      </c>
      <c r="I6" s="189" t="s">
        <v>102</v>
      </c>
      <c r="J6" s="189" t="s">
        <v>102</v>
      </c>
      <c r="K6" s="190"/>
      <c r="L6" s="189">
        <v>-2.0</v>
      </c>
      <c r="M6" s="189"/>
      <c r="N6" s="189">
        <v>17.02585</v>
      </c>
      <c r="O6" s="189" t="s">
        <v>87</v>
      </c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</row>
    <row r="7">
      <c r="A7" s="189" t="s">
        <v>100</v>
      </c>
      <c r="B7" s="189" t="s">
        <v>82</v>
      </c>
      <c r="C7" s="189">
        <v>658.0</v>
      </c>
      <c r="D7" s="189">
        <v>0.0</v>
      </c>
      <c r="E7" s="189" t="s">
        <v>58</v>
      </c>
      <c r="F7" s="189" t="s">
        <v>83</v>
      </c>
      <c r="G7" s="189" t="s">
        <v>84</v>
      </c>
      <c r="H7" s="189" t="s">
        <v>103</v>
      </c>
      <c r="I7" s="189" t="s">
        <v>104</v>
      </c>
      <c r="J7" s="189" t="s">
        <v>104</v>
      </c>
      <c r="K7" s="190"/>
      <c r="L7" s="189">
        <v>-5.0</v>
      </c>
      <c r="M7" s="189"/>
      <c r="N7" s="189">
        <v>14.03085</v>
      </c>
      <c r="O7" s="189" t="s">
        <v>87</v>
      </c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E7" s="190"/>
    </row>
    <row r="8">
      <c r="A8" s="189" t="s">
        <v>100</v>
      </c>
      <c r="B8" s="189" t="s">
        <v>82</v>
      </c>
      <c r="C8" s="189">
        <v>224.0</v>
      </c>
      <c r="D8" s="189">
        <v>0.0</v>
      </c>
      <c r="E8" s="189" t="s">
        <v>58</v>
      </c>
      <c r="F8" s="189" t="s">
        <v>83</v>
      </c>
      <c r="G8" s="189" t="s">
        <v>84</v>
      </c>
      <c r="H8" s="189" t="s">
        <v>105</v>
      </c>
      <c r="I8" s="189" t="s">
        <v>106</v>
      </c>
      <c r="J8" s="189" t="s">
        <v>106</v>
      </c>
      <c r="K8" s="190"/>
      <c r="L8" s="189">
        <v>-8.0</v>
      </c>
      <c r="M8" s="189"/>
      <c r="N8" s="189">
        <v>6.566</v>
      </c>
      <c r="O8" s="189" t="s">
        <v>87</v>
      </c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</row>
    <row r="9">
      <c r="A9" s="189" t="s">
        <v>100</v>
      </c>
      <c r="B9" s="189" t="s">
        <v>82</v>
      </c>
      <c r="C9" s="189">
        <v>1081.0</v>
      </c>
      <c r="D9" s="189">
        <v>0.0</v>
      </c>
      <c r="E9" s="189" t="s">
        <v>58</v>
      </c>
      <c r="F9" s="189" t="s">
        <v>83</v>
      </c>
      <c r="G9" s="189" t="s">
        <v>84</v>
      </c>
      <c r="H9" s="189" t="s">
        <v>107</v>
      </c>
      <c r="I9" s="189" t="s">
        <v>108</v>
      </c>
      <c r="J9" s="189" t="s">
        <v>108</v>
      </c>
      <c r="K9" s="190"/>
      <c r="L9" s="189">
        <v>-5.0</v>
      </c>
      <c r="M9" s="189"/>
      <c r="N9" s="189">
        <v>14.792783333333333</v>
      </c>
      <c r="O9" s="189" t="s">
        <v>87</v>
      </c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</row>
    <row r="10">
      <c r="A10" s="189" t="s">
        <v>100</v>
      </c>
      <c r="B10" s="189" t="s">
        <v>82</v>
      </c>
      <c r="C10" s="189">
        <v>553.0</v>
      </c>
      <c r="D10" s="189">
        <v>0.0</v>
      </c>
      <c r="E10" s="189" t="s">
        <v>58</v>
      </c>
      <c r="F10" s="189" t="s">
        <v>83</v>
      </c>
      <c r="G10" s="189" t="s">
        <v>84</v>
      </c>
      <c r="H10" s="189" t="s">
        <v>109</v>
      </c>
      <c r="I10" s="189" t="s">
        <v>110</v>
      </c>
      <c r="J10" s="189" t="s">
        <v>110</v>
      </c>
      <c r="K10" s="190"/>
      <c r="L10" s="189">
        <v>-6.0</v>
      </c>
      <c r="M10" s="189"/>
      <c r="N10" s="189">
        <v>13.151733333333333</v>
      </c>
      <c r="O10" s="189" t="s">
        <v>87</v>
      </c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</row>
    <row r="11">
      <c r="A11" s="189" t="s">
        <v>100</v>
      </c>
      <c r="B11" s="189" t="s">
        <v>82</v>
      </c>
      <c r="C11" s="189">
        <v>832.0</v>
      </c>
      <c r="D11" s="189">
        <v>0.0</v>
      </c>
      <c r="E11" s="189" t="s">
        <v>58</v>
      </c>
      <c r="F11" s="189" t="s">
        <v>83</v>
      </c>
      <c r="G11" s="189" t="s">
        <v>84</v>
      </c>
      <c r="H11" s="189" t="s">
        <v>111</v>
      </c>
      <c r="I11" s="189" t="s">
        <v>112</v>
      </c>
      <c r="J11" s="189" t="s">
        <v>112</v>
      </c>
      <c r="K11" s="190"/>
      <c r="L11" s="189">
        <v>-10.0</v>
      </c>
      <c r="M11" s="189"/>
      <c r="N11" s="189">
        <v>9.154483333333333</v>
      </c>
      <c r="O11" s="189" t="s">
        <v>87</v>
      </c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</row>
    <row r="12">
      <c r="A12" s="189" t="s">
        <v>88</v>
      </c>
      <c r="B12" s="189" t="s">
        <v>82</v>
      </c>
      <c r="C12" s="189">
        <v>409.0</v>
      </c>
      <c r="D12" s="189">
        <v>0.0</v>
      </c>
      <c r="E12" s="189" t="s">
        <v>24</v>
      </c>
      <c r="F12" s="189" t="s">
        <v>113</v>
      </c>
      <c r="G12" s="189" t="s">
        <v>84</v>
      </c>
      <c r="H12" s="189" t="s">
        <v>114</v>
      </c>
      <c r="I12" s="189" t="s">
        <v>115</v>
      </c>
      <c r="J12" s="189" t="s">
        <v>116</v>
      </c>
      <c r="K12" s="189" t="s">
        <v>117</v>
      </c>
      <c r="L12" s="189">
        <v>-26.0</v>
      </c>
      <c r="M12" s="189">
        <v>0.009133333333333334</v>
      </c>
      <c r="N12" s="189">
        <v>6.8824</v>
      </c>
      <c r="O12" s="189" t="s">
        <v>93</v>
      </c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</row>
    <row r="13">
      <c r="A13" s="189" t="s">
        <v>100</v>
      </c>
      <c r="B13" s="189" t="s">
        <v>82</v>
      </c>
      <c r="C13" s="189">
        <v>464.0</v>
      </c>
      <c r="D13" s="189">
        <v>0.0</v>
      </c>
      <c r="E13" s="189" t="s">
        <v>58</v>
      </c>
      <c r="F13" s="189" t="s">
        <v>83</v>
      </c>
      <c r="G13" s="189" t="s">
        <v>84</v>
      </c>
      <c r="H13" s="189" t="s">
        <v>118</v>
      </c>
      <c r="I13" s="189" t="s">
        <v>119</v>
      </c>
      <c r="J13" s="189" t="s">
        <v>119</v>
      </c>
      <c r="K13" s="190"/>
      <c r="L13" s="189">
        <v>-5.0</v>
      </c>
      <c r="M13" s="189"/>
      <c r="N13" s="189">
        <v>9.12825</v>
      </c>
      <c r="O13" s="189" t="s">
        <v>87</v>
      </c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E13" s="190"/>
    </row>
    <row r="14">
      <c r="A14" s="189" t="s">
        <v>100</v>
      </c>
      <c r="B14" s="189" t="s">
        <v>82</v>
      </c>
      <c r="C14" s="189">
        <v>458.0</v>
      </c>
      <c r="D14" s="189">
        <v>0.0</v>
      </c>
      <c r="E14" s="189" t="s">
        <v>58</v>
      </c>
      <c r="F14" s="189" t="s">
        <v>83</v>
      </c>
      <c r="G14" s="189" t="s">
        <v>84</v>
      </c>
      <c r="H14" s="189" t="s">
        <v>120</v>
      </c>
      <c r="I14" s="189" t="s">
        <v>121</v>
      </c>
      <c r="J14" s="189" t="s">
        <v>121</v>
      </c>
      <c r="K14" s="190"/>
      <c r="L14" s="189">
        <v>-10.0</v>
      </c>
      <c r="M14" s="189"/>
      <c r="N14" s="189">
        <v>4.367</v>
      </c>
      <c r="O14" s="189" t="s">
        <v>87</v>
      </c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</row>
    <row r="15">
      <c r="A15" s="189" t="s">
        <v>100</v>
      </c>
      <c r="B15" s="189" t="s">
        <v>82</v>
      </c>
      <c r="C15" s="191">
        <v>279.0</v>
      </c>
      <c r="D15" s="189">
        <v>0.0</v>
      </c>
      <c r="E15" s="189" t="s">
        <v>58</v>
      </c>
      <c r="F15" s="189" t="s">
        <v>83</v>
      </c>
      <c r="G15" s="189" t="s">
        <v>84</v>
      </c>
      <c r="H15" s="189" t="s">
        <v>122</v>
      </c>
      <c r="I15" s="189" t="s">
        <v>123</v>
      </c>
      <c r="J15" s="189" t="s">
        <v>123</v>
      </c>
      <c r="K15" s="190"/>
      <c r="L15" s="189">
        <v>-6.0</v>
      </c>
      <c r="M15" s="189"/>
      <c r="N15" s="189">
        <v>8.238183333333334</v>
      </c>
      <c r="O15" s="189" t="s">
        <v>87</v>
      </c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E15" s="190"/>
    </row>
    <row r="16">
      <c r="A16" s="189" t="s">
        <v>100</v>
      </c>
      <c r="B16" s="189" t="s">
        <v>82</v>
      </c>
      <c r="C16" s="191">
        <v>1529.0</v>
      </c>
      <c r="D16" s="189">
        <v>0.0</v>
      </c>
      <c r="E16" s="189" t="s">
        <v>58</v>
      </c>
      <c r="F16" s="189" t="s">
        <v>83</v>
      </c>
      <c r="G16" s="189" t="s">
        <v>84</v>
      </c>
      <c r="H16" s="189" t="s">
        <v>124</v>
      </c>
      <c r="I16" s="189" t="s">
        <v>125</v>
      </c>
      <c r="J16" s="189" t="s">
        <v>125</v>
      </c>
      <c r="K16" s="190"/>
      <c r="L16" s="189">
        <v>-9.0</v>
      </c>
      <c r="M16" s="189"/>
      <c r="N16" s="189">
        <v>10.78465</v>
      </c>
      <c r="O16" s="189" t="s">
        <v>87</v>
      </c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</row>
    <row r="17">
      <c r="A17" s="189" t="s">
        <v>81</v>
      </c>
      <c r="B17" s="189" t="s">
        <v>82</v>
      </c>
      <c r="C17" s="191">
        <v>433.0</v>
      </c>
      <c r="D17" s="189">
        <v>0.0</v>
      </c>
      <c r="E17" s="190"/>
      <c r="F17" s="189" t="s">
        <v>83</v>
      </c>
      <c r="G17" s="189" t="s">
        <v>84</v>
      </c>
      <c r="H17" s="189" t="s">
        <v>126</v>
      </c>
      <c r="I17" s="189" t="s">
        <v>127</v>
      </c>
      <c r="J17" s="189" t="s">
        <v>127</v>
      </c>
      <c r="K17" s="190"/>
      <c r="L17" s="189">
        <v>-4.0</v>
      </c>
      <c r="M17" s="189"/>
      <c r="N17" s="189">
        <v>10.8655</v>
      </c>
      <c r="O17" s="189" t="s">
        <v>87</v>
      </c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E17" s="190"/>
    </row>
    <row r="18">
      <c r="A18" s="189" t="s">
        <v>94</v>
      </c>
      <c r="B18" s="189" t="s">
        <v>82</v>
      </c>
      <c r="C18" s="189">
        <v>529.0</v>
      </c>
      <c r="D18" s="189">
        <v>0.0</v>
      </c>
      <c r="E18" s="189" t="s">
        <v>128</v>
      </c>
      <c r="F18" s="189" t="s">
        <v>83</v>
      </c>
      <c r="G18" s="189" t="s">
        <v>84</v>
      </c>
      <c r="H18" s="189" t="s">
        <v>129</v>
      </c>
      <c r="I18" s="189" t="s">
        <v>130</v>
      </c>
      <c r="J18" s="189" t="s">
        <v>130</v>
      </c>
      <c r="K18" s="190"/>
      <c r="L18" s="189">
        <v>-12.0</v>
      </c>
      <c r="M18" s="189"/>
      <c r="N18" s="189">
        <v>7.464166666666666</v>
      </c>
      <c r="O18" s="189" t="s">
        <v>87</v>
      </c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</row>
    <row r="19">
      <c r="A19" s="189" t="s">
        <v>131</v>
      </c>
      <c r="B19" s="189" t="s">
        <v>82</v>
      </c>
      <c r="C19" s="191">
        <v>409.0</v>
      </c>
      <c r="D19" s="189">
        <v>0.0</v>
      </c>
      <c r="E19" s="190"/>
      <c r="F19" s="189" t="s">
        <v>89</v>
      </c>
      <c r="G19" s="189" t="s">
        <v>90</v>
      </c>
      <c r="H19" s="189" t="s">
        <v>132</v>
      </c>
      <c r="I19" s="189" t="s">
        <v>133</v>
      </c>
      <c r="J19" s="189" t="s">
        <v>133</v>
      </c>
      <c r="K19" s="190"/>
      <c r="L19" s="189">
        <v>-2.0</v>
      </c>
      <c r="M19" s="189"/>
      <c r="N19" s="189">
        <v>2.6733666666666664</v>
      </c>
      <c r="O19" s="189" t="s">
        <v>134</v>
      </c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</row>
    <row r="20">
      <c r="A20" s="189" t="s">
        <v>81</v>
      </c>
      <c r="B20" s="189" t="s">
        <v>82</v>
      </c>
      <c r="C20" s="189">
        <v>419.0</v>
      </c>
      <c r="D20" s="189">
        <v>0.0</v>
      </c>
      <c r="E20" s="190"/>
      <c r="F20" s="189" t="s">
        <v>83</v>
      </c>
      <c r="G20" s="189" t="s">
        <v>84</v>
      </c>
      <c r="H20" s="189" t="s">
        <v>135</v>
      </c>
      <c r="I20" s="189" t="s">
        <v>136</v>
      </c>
      <c r="J20" s="189" t="s">
        <v>136</v>
      </c>
      <c r="K20" s="190"/>
      <c r="L20" s="189">
        <v>-9.0</v>
      </c>
      <c r="M20" s="189"/>
      <c r="N20" s="189">
        <v>5.6925</v>
      </c>
      <c r="O20" s="189" t="s">
        <v>87</v>
      </c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</row>
    <row r="21">
      <c r="A21" s="189" t="s">
        <v>94</v>
      </c>
      <c r="B21" s="189" t="s">
        <v>82</v>
      </c>
      <c r="C21" s="189">
        <v>329.0</v>
      </c>
      <c r="D21" s="189">
        <v>0.0</v>
      </c>
      <c r="E21" s="189" t="s">
        <v>137</v>
      </c>
      <c r="F21" s="189" t="s">
        <v>83</v>
      </c>
      <c r="G21" s="189" t="s">
        <v>84</v>
      </c>
      <c r="H21" s="189" t="s">
        <v>138</v>
      </c>
      <c r="I21" s="189" t="s">
        <v>139</v>
      </c>
      <c r="J21" s="189" t="s">
        <v>139</v>
      </c>
      <c r="K21" s="190"/>
      <c r="L21" s="189">
        <v>-7.0</v>
      </c>
      <c r="M21" s="189"/>
      <c r="N21" s="189">
        <v>7.915816666666666</v>
      </c>
      <c r="O21" s="189" t="s">
        <v>87</v>
      </c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</row>
    <row r="22">
      <c r="A22" s="189" t="s">
        <v>94</v>
      </c>
      <c r="B22" s="189" t="s">
        <v>82</v>
      </c>
      <c r="C22" s="189">
        <v>558.0</v>
      </c>
      <c r="D22" s="189">
        <v>0.0</v>
      </c>
      <c r="E22" s="189" t="s">
        <v>137</v>
      </c>
      <c r="F22" s="189" t="s">
        <v>83</v>
      </c>
      <c r="G22" s="189" t="s">
        <v>84</v>
      </c>
      <c r="H22" s="189" t="s">
        <v>140</v>
      </c>
      <c r="I22" s="189" t="s">
        <v>141</v>
      </c>
      <c r="J22" s="189" t="s">
        <v>141</v>
      </c>
      <c r="K22" s="190"/>
      <c r="L22" s="189">
        <v>-14.0</v>
      </c>
      <c r="M22" s="189"/>
      <c r="N22" s="189">
        <v>5.116333333333333</v>
      </c>
      <c r="O22" s="189" t="s">
        <v>87</v>
      </c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</row>
    <row r="23">
      <c r="A23" s="189" t="s">
        <v>88</v>
      </c>
      <c r="B23" s="189" t="s">
        <v>82</v>
      </c>
      <c r="C23" s="189">
        <v>1001.0</v>
      </c>
      <c r="D23" s="189">
        <v>0.0</v>
      </c>
      <c r="E23" s="189" t="s">
        <v>24</v>
      </c>
      <c r="F23" s="189" t="s">
        <v>113</v>
      </c>
      <c r="G23" s="189" t="s">
        <v>84</v>
      </c>
      <c r="H23" s="189" t="s">
        <v>142</v>
      </c>
      <c r="I23" s="189" t="s">
        <v>143</v>
      </c>
      <c r="J23" s="189" t="s">
        <v>144</v>
      </c>
      <c r="K23" s="189" t="s">
        <v>145</v>
      </c>
      <c r="L23" s="189">
        <v>-23.0</v>
      </c>
      <c r="M23" s="189">
        <v>0.00945</v>
      </c>
      <c r="N23" s="189">
        <v>6.170733333333334</v>
      </c>
      <c r="O23" s="189" t="s">
        <v>93</v>
      </c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</row>
    <row r="24">
      <c r="A24" s="189" t="s">
        <v>100</v>
      </c>
      <c r="B24" s="189" t="s">
        <v>82</v>
      </c>
      <c r="C24" s="189">
        <v>384.0</v>
      </c>
      <c r="D24" s="189">
        <v>0.0</v>
      </c>
      <c r="E24" s="189" t="s">
        <v>58</v>
      </c>
      <c r="F24" s="189" t="s">
        <v>83</v>
      </c>
      <c r="G24" s="189" t="s">
        <v>84</v>
      </c>
      <c r="H24" s="189" t="s">
        <v>146</v>
      </c>
      <c r="I24" s="189" t="s">
        <v>147</v>
      </c>
      <c r="J24" s="189" t="s">
        <v>147</v>
      </c>
      <c r="K24" s="190"/>
      <c r="L24" s="189">
        <v>-9.0</v>
      </c>
      <c r="M24" s="189"/>
      <c r="N24" s="189">
        <v>5.49875</v>
      </c>
      <c r="O24" s="189" t="s">
        <v>87</v>
      </c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</row>
    <row r="25">
      <c r="A25" s="189" t="s">
        <v>88</v>
      </c>
      <c r="B25" s="189" t="s">
        <v>82</v>
      </c>
      <c r="C25" s="189">
        <v>443.0</v>
      </c>
      <c r="D25" s="189">
        <v>0.0</v>
      </c>
      <c r="E25" s="189" t="s">
        <v>24</v>
      </c>
      <c r="F25" s="189" t="s">
        <v>113</v>
      </c>
      <c r="G25" s="189" t="s">
        <v>84</v>
      </c>
      <c r="H25" s="189" t="s">
        <v>148</v>
      </c>
      <c r="I25" s="189" t="s">
        <v>149</v>
      </c>
      <c r="J25" s="189" t="s">
        <v>150</v>
      </c>
      <c r="K25" s="189" t="s">
        <v>151</v>
      </c>
      <c r="L25" s="189">
        <v>-18.0</v>
      </c>
      <c r="M25" s="189">
        <v>0.004333333333333333</v>
      </c>
      <c r="N25" s="189">
        <v>8.405316666666666</v>
      </c>
      <c r="O25" s="189" t="s">
        <v>93</v>
      </c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</row>
    <row r="26">
      <c r="A26" s="189" t="s">
        <v>81</v>
      </c>
      <c r="B26" s="189" t="s">
        <v>82</v>
      </c>
      <c r="C26" s="189">
        <v>553.0</v>
      </c>
      <c r="D26" s="189">
        <v>0.0</v>
      </c>
      <c r="E26" s="190"/>
      <c r="F26" s="189" t="s">
        <v>83</v>
      </c>
      <c r="G26" s="189" t="s">
        <v>84</v>
      </c>
      <c r="H26" s="189" t="s">
        <v>152</v>
      </c>
      <c r="I26" s="189" t="s">
        <v>153</v>
      </c>
      <c r="J26" s="189" t="s">
        <v>153</v>
      </c>
      <c r="K26" s="190"/>
      <c r="L26" s="189">
        <v>-8.0</v>
      </c>
      <c r="M26" s="189"/>
      <c r="N26" s="189">
        <v>11.509766666666666</v>
      </c>
      <c r="O26" s="189" t="s">
        <v>87</v>
      </c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</row>
    <row r="27">
      <c r="A27" s="189" t="s">
        <v>94</v>
      </c>
      <c r="B27" s="189" t="s">
        <v>82</v>
      </c>
      <c r="C27" s="189">
        <v>264.0</v>
      </c>
      <c r="D27" s="189">
        <v>0.0</v>
      </c>
      <c r="E27" s="189" t="s">
        <v>154</v>
      </c>
      <c r="F27" s="189" t="s">
        <v>83</v>
      </c>
      <c r="G27" s="189" t="s">
        <v>84</v>
      </c>
      <c r="H27" s="189" t="s">
        <v>155</v>
      </c>
      <c r="I27" s="189" t="s">
        <v>156</v>
      </c>
      <c r="J27" s="189" t="s">
        <v>156</v>
      </c>
      <c r="K27" s="190"/>
      <c r="L27" s="189">
        <v>-8.0</v>
      </c>
      <c r="M27" s="189"/>
      <c r="N27" s="189">
        <v>6.5521</v>
      </c>
      <c r="O27" s="189" t="s">
        <v>87</v>
      </c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E27" s="190"/>
    </row>
    <row r="28">
      <c r="A28" s="189" t="s">
        <v>100</v>
      </c>
      <c r="B28" s="189" t="s">
        <v>82</v>
      </c>
      <c r="C28" s="191">
        <v>264.0</v>
      </c>
      <c r="D28" s="189">
        <v>0.0</v>
      </c>
      <c r="E28" s="189" t="s">
        <v>58</v>
      </c>
      <c r="F28" s="189" t="s">
        <v>83</v>
      </c>
      <c r="G28" s="189" t="s">
        <v>84</v>
      </c>
      <c r="H28" s="189" t="s">
        <v>157</v>
      </c>
      <c r="I28" s="189" t="s">
        <v>158</v>
      </c>
      <c r="J28" s="189" t="s">
        <v>158</v>
      </c>
      <c r="K28" s="190"/>
      <c r="L28" s="189">
        <v>0.0</v>
      </c>
      <c r="M28" s="189"/>
      <c r="N28" s="189">
        <v>15.97775</v>
      </c>
      <c r="O28" s="189" t="s">
        <v>87</v>
      </c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E28" s="190"/>
    </row>
    <row r="29">
      <c r="A29" s="189" t="s">
        <v>88</v>
      </c>
      <c r="B29" s="189" t="s">
        <v>82</v>
      </c>
      <c r="C29" s="191">
        <v>804.0</v>
      </c>
      <c r="D29" s="189">
        <v>0.0</v>
      </c>
      <c r="E29" s="189" t="s">
        <v>24</v>
      </c>
      <c r="F29" s="189" t="s">
        <v>113</v>
      </c>
      <c r="G29" s="189" t="s">
        <v>84</v>
      </c>
      <c r="H29" s="189" t="s">
        <v>159</v>
      </c>
      <c r="I29" s="189" t="s">
        <v>160</v>
      </c>
      <c r="J29" s="189" t="s">
        <v>161</v>
      </c>
      <c r="K29" s="189" t="s">
        <v>162</v>
      </c>
      <c r="L29" s="189">
        <v>-7.0</v>
      </c>
      <c r="M29" s="189">
        <v>0.004</v>
      </c>
      <c r="N29" s="189">
        <v>13.029416666666666</v>
      </c>
      <c r="O29" s="189" t="s">
        <v>93</v>
      </c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</row>
    <row r="30">
      <c r="A30" s="189" t="s">
        <v>81</v>
      </c>
      <c r="B30" s="189" t="s">
        <v>82</v>
      </c>
      <c r="C30" s="191">
        <v>758.0</v>
      </c>
      <c r="D30" s="189">
        <v>0.0</v>
      </c>
      <c r="E30" s="190"/>
      <c r="F30" s="189" t="s">
        <v>83</v>
      </c>
      <c r="G30" s="189" t="s">
        <v>84</v>
      </c>
      <c r="H30" s="189" t="s">
        <v>163</v>
      </c>
      <c r="I30" s="189" t="s">
        <v>164</v>
      </c>
      <c r="J30" s="189" t="s">
        <v>164</v>
      </c>
      <c r="K30" s="190"/>
      <c r="L30" s="189">
        <v>-7.0</v>
      </c>
      <c r="M30" s="189"/>
      <c r="N30" s="189">
        <v>12.4359</v>
      </c>
      <c r="O30" s="189" t="s">
        <v>87</v>
      </c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</row>
    <row r="31">
      <c r="A31" s="189" t="s">
        <v>100</v>
      </c>
      <c r="B31" s="189" t="s">
        <v>82</v>
      </c>
      <c r="C31" s="189">
        <v>378.0</v>
      </c>
      <c r="D31" s="189">
        <v>0.0</v>
      </c>
      <c r="E31" s="189" t="s">
        <v>58</v>
      </c>
      <c r="F31" s="189" t="s">
        <v>83</v>
      </c>
      <c r="G31" s="189" t="s">
        <v>84</v>
      </c>
      <c r="H31" s="189" t="s">
        <v>165</v>
      </c>
      <c r="I31" s="189" t="s">
        <v>166</v>
      </c>
      <c r="J31" s="189" t="s">
        <v>166</v>
      </c>
      <c r="K31" s="190"/>
      <c r="L31" s="189">
        <v>-6.0</v>
      </c>
      <c r="M31" s="189"/>
      <c r="N31" s="189">
        <v>8.915983333333333</v>
      </c>
      <c r="O31" s="189" t="s">
        <v>87</v>
      </c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</row>
    <row r="32">
      <c r="A32" s="189" t="s">
        <v>81</v>
      </c>
      <c r="B32" s="189" t="s">
        <v>82</v>
      </c>
      <c r="C32" s="189">
        <v>331.0</v>
      </c>
      <c r="D32" s="189">
        <v>0.0</v>
      </c>
      <c r="E32" s="190"/>
      <c r="F32" s="189" t="s">
        <v>83</v>
      </c>
      <c r="G32" s="189" t="s">
        <v>84</v>
      </c>
      <c r="H32" s="189" t="s">
        <v>167</v>
      </c>
      <c r="I32" s="189" t="s">
        <v>168</v>
      </c>
      <c r="J32" s="189" t="s">
        <v>168</v>
      </c>
      <c r="K32" s="190"/>
      <c r="L32" s="189">
        <v>-7.0</v>
      </c>
      <c r="M32" s="189"/>
      <c r="N32" s="189">
        <v>7.520083333333333</v>
      </c>
      <c r="O32" s="189" t="s">
        <v>87</v>
      </c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</row>
    <row r="33">
      <c r="A33" s="189" t="s">
        <v>81</v>
      </c>
      <c r="B33" s="189" t="s">
        <v>82</v>
      </c>
      <c r="C33" s="189">
        <v>264.0</v>
      </c>
      <c r="D33" s="189">
        <v>0.0</v>
      </c>
      <c r="E33" s="190"/>
      <c r="F33" s="189" t="s">
        <v>83</v>
      </c>
      <c r="G33" s="189" t="s">
        <v>84</v>
      </c>
      <c r="H33" s="189" t="s">
        <v>169</v>
      </c>
      <c r="I33" s="189" t="s">
        <v>170</v>
      </c>
      <c r="J33" s="189" t="s">
        <v>170</v>
      </c>
      <c r="K33" s="190"/>
      <c r="L33" s="189">
        <v>-11.0</v>
      </c>
      <c r="M33" s="189"/>
      <c r="N33" s="189">
        <v>3.6755</v>
      </c>
      <c r="O33" s="189" t="s">
        <v>87</v>
      </c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</row>
    <row r="34">
      <c r="A34" s="189" t="s">
        <v>81</v>
      </c>
      <c r="B34" s="189" t="s">
        <v>82</v>
      </c>
      <c r="C34" s="189">
        <v>867.0</v>
      </c>
      <c r="D34" s="189">
        <v>0.0</v>
      </c>
      <c r="E34" s="190"/>
      <c r="F34" s="189" t="s">
        <v>83</v>
      </c>
      <c r="G34" s="189" t="s">
        <v>84</v>
      </c>
      <c r="H34" s="189" t="s">
        <v>171</v>
      </c>
      <c r="I34" s="189" t="s">
        <v>172</v>
      </c>
      <c r="J34" s="189" t="s">
        <v>172</v>
      </c>
      <c r="K34" s="190"/>
      <c r="L34" s="189">
        <v>-11.0</v>
      </c>
      <c r="M34" s="189"/>
      <c r="N34" s="189">
        <v>8.204183333333333</v>
      </c>
      <c r="O34" s="189" t="s">
        <v>87</v>
      </c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</row>
    <row r="35">
      <c r="A35" s="189" t="s">
        <v>100</v>
      </c>
      <c r="B35" s="189" t="s">
        <v>82</v>
      </c>
      <c r="C35" s="191">
        <v>264.0</v>
      </c>
      <c r="D35" s="189">
        <v>0.0</v>
      </c>
      <c r="E35" s="189" t="s">
        <v>58</v>
      </c>
      <c r="F35" s="189" t="s">
        <v>83</v>
      </c>
      <c r="G35" s="189" t="s">
        <v>84</v>
      </c>
      <c r="H35" s="189" t="s">
        <v>173</v>
      </c>
      <c r="I35" s="189" t="s">
        <v>174</v>
      </c>
      <c r="J35" s="189" t="s">
        <v>174</v>
      </c>
      <c r="K35" s="190"/>
      <c r="L35" s="189">
        <v>-10.0</v>
      </c>
      <c r="M35" s="189"/>
      <c r="N35" s="189">
        <v>4.412083333333333</v>
      </c>
      <c r="O35" s="189" t="s">
        <v>87</v>
      </c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</row>
    <row r="36">
      <c r="A36" s="189" t="s">
        <v>100</v>
      </c>
      <c r="B36" s="189" t="s">
        <v>82</v>
      </c>
      <c r="C36" s="191">
        <v>415.0</v>
      </c>
      <c r="D36" s="189">
        <v>0.0</v>
      </c>
      <c r="E36" s="189" t="s">
        <v>58</v>
      </c>
      <c r="F36" s="189" t="s">
        <v>83</v>
      </c>
      <c r="G36" s="189" t="s">
        <v>84</v>
      </c>
      <c r="H36" s="189" t="s">
        <v>175</v>
      </c>
      <c r="I36" s="189" t="s">
        <v>176</v>
      </c>
      <c r="J36" s="189" t="s">
        <v>176</v>
      </c>
      <c r="K36" s="190"/>
      <c r="L36" s="189">
        <v>-6.0</v>
      </c>
      <c r="M36" s="189"/>
      <c r="N36" s="189">
        <v>8.088983333333333</v>
      </c>
      <c r="O36" s="189" t="s">
        <v>87</v>
      </c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</row>
    <row r="37">
      <c r="A37" s="189" t="s">
        <v>100</v>
      </c>
      <c r="B37" s="189" t="s">
        <v>82</v>
      </c>
      <c r="C37" s="189">
        <v>723.0</v>
      </c>
      <c r="D37" s="189">
        <v>0.0</v>
      </c>
      <c r="E37" s="189" t="s">
        <v>58</v>
      </c>
      <c r="F37" s="189" t="s">
        <v>83</v>
      </c>
      <c r="G37" s="189" t="s">
        <v>84</v>
      </c>
      <c r="H37" s="189" t="s">
        <v>177</v>
      </c>
      <c r="I37" s="189" t="s">
        <v>178</v>
      </c>
      <c r="J37" s="189" t="s">
        <v>178</v>
      </c>
      <c r="K37" s="190"/>
      <c r="L37" s="189">
        <v>-8.0</v>
      </c>
      <c r="M37" s="189"/>
      <c r="N37" s="189">
        <v>11.41545</v>
      </c>
      <c r="O37" s="189" t="s">
        <v>87</v>
      </c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E37" s="190"/>
    </row>
    <row r="38">
      <c r="A38" s="189" t="s">
        <v>81</v>
      </c>
      <c r="B38" s="189" t="s">
        <v>82</v>
      </c>
      <c r="C38" s="189">
        <v>471.0</v>
      </c>
      <c r="D38" s="189">
        <v>0.0</v>
      </c>
      <c r="E38" s="190"/>
      <c r="F38" s="189" t="s">
        <v>83</v>
      </c>
      <c r="G38" s="189" t="s">
        <v>84</v>
      </c>
      <c r="H38" s="189" t="s">
        <v>179</v>
      </c>
      <c r="I38" s="189" t="s">
        <v>180</v>
      </c>
      <c r="J38" s="189" t="s">
        <v>180</v>
      </c>
      <c r="K38" s="190"/>
      <c r="L38" s="189">
        <v>-6.0</v>
      </c>
      <c r="M38" s="189"/>
      <c r="N38" s="189">
        <v>8.394783333333333</v>
      </c>
      <c r="O38" s="189" t="s">
        <v>87</v>
      </c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</row>
    <row r="39">
      <c r="A39" s="189" t="s">
        <v>88</v>
      </c>
      <c r="B39" s="189" t="s">
        <v>82</v>
      </c>
      <c r="C39" s="189">
        <v>664.0</v>
      </c>
      <c r="D39" s="189">
        <v>0.0</v>
      </c>
      <c r="E39" s="189" t="s">
        <v>24</v>
      </c>
      <c r="F39" s="189" t="s">
        <v>113</v>
      </c>
      <c r="G39" s="189" t="s">
        <v>84</v>
      </c>
      <c r="H39" s="189" t="s">
        <v>181</v>
      </c>
      <c r="I39" s="189" t="s">
        <v>182</v>
      </c>
      <c r="J39" s="189" t="s">
        <v>183</v>
      </c>
      <c r="K39" s="189" t="s">
        <v>184</v>
      </c>
      <c r="L39" s="189">
        <v>-29.0</v>
      </c>
      <c r="M39" s="189">
        <v>0.0068</v>
      </c>
      <c r="N39" s="189">
        <v>8.1472</v>
      </c>
      <c r="O39" s="189" t="s">
        <v>93</v>
      </c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</row>
    <row r="40">
      <c r="A40" s="189" t="s">
        <v>81</v>
      </c>
      <c r="B40" s="189" t="s">
        <v>82</v>
      </c>
      <c r="C40" s="189">
        <v>811.0</v>
      </c>
      <c r="D40" s="189">
        <v>0.0</v>
      </c>
      <c r="E40" s="190"/>
      <c r="F40" s="189" t="s">
        <v>83</v>
      </c>
      <c r="G40" s="189" t="s">
        <v>84</v>
      </c>
      <c r="H40" s="189" t="s">
        <v>185</v>
      </c>
      <c r="I40" s="189" t="s">
        <v>186</v>
      </c>
      <c r="J40" s="189" t="s">
        <v>186</v>
      </c>
      <c r="K40" s="190"/>
      <c r="L40" s="189">
        <v>-8.0</v>
      </c>
      <c r="M40" s="189"/>
      <c r="N40" s="189">
        <v>11.4843</v>
      </c>
      <c r="O40" s="189" t="s">
        <v>87</v>
      </c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</row>
    <row r="41">
      <c r="A41" s="189" t="s">
        <v>100</v>
      </c>
      <c r="B41" s="189" t="s">
        <v>82</v>
      </c>
      <c r="C41" s="191">
        <v>384.0</v>
      </c>
      <c r="D41" s="189">
        <v>0.0</v>
      </c>
      <c r="E41" s="189" t="s">
        <v>58</v>
      </c>
      <c r="F41" s="189" t="s">
        <v>83</v>
      </c>
      <c r="G41" s="189" t="s">
        <v>84</v>
      </c>
      <c r="H41" s="189" t="s">
        <v>187</v>
      </c>
      <c r="I41" s="189" t="s">
        <v>188</v>
      </c>
      <c r="J41" s="189" t="s">
        <v>188</v>
      </c>
      <c r="K41" s="190"/>
      <c r="L41" s="189">
        <v>-8.0</v>
      </c>
      <c r="M41" s="189"/>
      <c r="N41" s="189">
        <v>6.760233333333334</v>
      </c>
      <c r="O41" s="189" t="s">
        <v>87</v>
      </c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</row>
    <row r="42">
      <c r="A42" s="189" t="s">
        <v>88</v>
      </c>
      <c r="B42" s="189" t="s">
        <v>82</v>
      </c>
      <c r="C42" s="191">
        <v>354.0</v>
      </c>
      <c r="D42" s="189">
        <v>0.0</v>
      </c>
      <c r="E42" s="189" t="s">
        <v>189</v>
      </c>
      <c r="F42" s="189" t="s">
        <v>113</v>
      </c>
      <c r="G42" s="189" t="s">
        <v>84</v>
      </c>
      <c r="H42" s="189" t="s">
        <v>190</v>
      </c>
      <c r="I42" s="189" t="s">
        <v>191</v>
      </c>
      <c r="J42" s="189" t="s">
        <v>192</v>
      </c>
      <c r="K42" s="189" t="s">
        <v>193</v>
      </c>
      <c r="L42" s="189">
        <v>-6.0</v>
      </c>
      <c r="M42" s="189">
        <v>0.004316666666666667</v>
      </c>
      <c r="N42" s="189">
        <v>13.554383333333334</v>
      </c>
      <c r="O42" s="189" t="s">
        <v>93</v>
      </c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</row>
    <row r="43">
      <c r="A43" s="189" t="s">
        <v>88</v>
      </c>
      <c r="B43" s="189" t="s">
        <v>82</v>
      </c>
      <c r="C43" s="189">
        <v>1160.0</v>
      </c>
      <c r="D43" s="189">
        <v>0.0</v>
      </c>
      <c r="E43" s="189" t="s">
        <v>24</v>
      </c>
      <c r="F43" s="189" t="s">
        <v>113</v>
      </c>
      <c r="G43" s="189" t="s">
        <v>84</v>
      </c>
      <c r="H43" s="189" t="s">
        <v>194</v>
      </c>
      <c r="I43" s="189" t="s">
        <v>195</v>
      </c>
      <c r="J43" s="189" t="s">
        <v>196</v>
      </c>
      <c r="K43" s="189" t="s">
        <v>197</v>
      </c>
      <c r="L43" s="189">
        <v>-1.0</v>
      </c>
      <c r="M43" s="189">
        <v>16.615283333333334</v>
      </c>
      <c r="N43" s="189">
        <v>15.58575</v>
      </c>
      <c r="O43" s="189" t="s">
        <v>93</v>
      </c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E43" s="190"/>
    </row>
    <row r="44">
      <c r="A44" s="189" t="s">
        <v>88</v>
      </c>
      <c r="B44" s="189" t="s">
        <v>82</v>
      </c>
      <c r="C44" s="189">
        <v>219.0</v>
      </c>
      <c r="D44" s="189">
        <v>50.0</v>
      </c>
      <c r="E44" s="190"/>
      <c r="F44" s="189" t="s">
        <v>89</v>
      </c>
      <c r="G44" s="189" t="s">
        <v>84</v>
      </c>
      <c r="H44" s="189" t="s">
        <v>198</v>
      </c>
      <c r="I44" s="189" t="s">
        <v>199</v>
      </c>
      <c r="J44" s="189" t="s">
        <v>199</v>
      </c>
      <c r="K44" s="190"/>
      <c r="L44" s="189">
        <v>-12.0</v>
      </c>
      <c r="M44" s="189"/>
      <c r="N44" s="189">
        <v>6.1763</v>
      </c>
      <c r="O44" s="189" t="s">
        <v>93</v>
      </c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</row>
    <row r="45">
      <c r="A45" s="189" t="s">
        <v>131</v>
      </c>
      <c r="B45" s="189" t="s">
        <v>82</v>
      </c>
      <c r="C45" s="189">
        <v>309.0</v>
      </c>
      <c r="D45" s="189">
        <v>0.0</v>
      </c>
      <c r="E45" s="190"/>
      <c r="F45" s="189" t="s">
        <v>89</v>
      </c>
      <c r="G45" s="189" t="s">
        <v>90</v>
      </c>
      <c r="H45" s="189" t="s">
        <v>200</v>
      </c>
      <c r="I45" s="189" t="s">
        <v>201</v>
      </c>
      <c r="J45" s="189" t="s">
        <v>201</v>
      </c>
      <c r="K45" s="190"/>
      <c r="L45" s="189">
        <v>0.0</v>
      </c>
      <c r="M45" s="189"/>
      <c r="N45" s="189">
        <v>5.495233333333333</v>
      </c>
      <c r="O45" s="189" t="s">
        <v>134</v>
      </c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</row>
    <row r="46">
      <c r="A46" s="189" t="s">
        <v>94</v>
      </c>
      <c r="B46" s="189" t="s">
        <v>82</v>
      </c>
      <c r="C46" s="191">
        <v>274.0</v>
      </c>
      <c r="D46" s="189">
        <v>0.0</v>
      </c>
      <c r="E46" s="189" t="s">
        <v>202</v>
      </c>
      <c r="F46" s="189" t="s">
        <v>83</v>
      </c>
      <c r="G46" s="189" t="s">
        <v>84</v>
      </c>
      <c r="H46" s="189" t="s">
        <v>203</v>
      </c>
      <c r="I46" s="189" t="s">
        <v>204</v>
      </c>
      <c r="J46" s="189" t="s">
        <v>204</v>
      </c>
      <c r="K46" s="190"/>
      <c r="L46" s="189">
        <v>-6.0</v>
      </c>
      <c r="M46" s="189"/>
      <c r="N46" s="189">
        <v>8.438916666666668</v>
      </c>
      <c r="O46" s="189" t="s">
        <v>87</v>
      </c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</row>
    <row r="47">
      <c r="A47" s="189" t="s">
        <v>100</v>
      </c>
      <c r="B47" s="189" t="s">
        <v>82</v>
      </c>
      <c r="C47" s="191">
        <v>463.0</v>
      </c>
      <c r="D47" s="189">
        <v>0.0</v>
      </c>
      <c r="E47" s="189" t="s">
        <v>58</v>
      </c>
      <c r="F47" s="189" t="s">
        <v>83</v>
      </c>
      <c r="G47" s="189" t="s">
        <v>84</v>
      </c>
      <c r="H47" s="189" t="s">
        <v>205</v>
      </c>
      <c r="I47" s="189" t="s">
        <v>206</v>
      </c>
      <c r="J47" s="189" t="s">
        <v>206</v>
      </c>
      <c r="K47" s="190"/>
      <c r="L47" s="189">
        <v>-7.0</v>
      </c>
      <c r="M47" s="189"/>
      <c r="N47" s="189">
        <v>7.652466666666666</v>
      </c>
      <c r="O47" s="189" t="s">
        <v>87</v>
      </c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</row>
    <row r="48">
      <c r="A48" s="189" t="s">
        <v>94</v>
      </c>
      <c r="B48" s="189" t="s">
        <v>82</v>
      </c>
      <c r="C48" s="191">
        <v>488.0</v>
      </c>
      <c r="D48" s="189">
        <v>0.0</v>
      </c>
      <c r="E48" s="189" t="s">
        <v>207</v>
      </c>
      <c r="F48" s="189" t="s">
        <v>83</v>
      </c>
      <c r="G48" s="189" t="s">
        <v>84</v>
      </c>
      <c r="H48" s="189" t="s">
        <v>208</v>
      </c>
      <c r="I48" s="189" t="s">
        <v>209</v>
      </c>
      <c r="J48" s="189" t="s">
        <v>209</v>
      </c>
      <c r="K48" s="190"/>
      <c r="L48" s="189">
        <v>-5.0</v>
      </c>
      <c r="M48" s="189"/>
      <c r="N48" s="189">
        <v>9.024216666666666</v>
      </c>
      <c r="O48" s="189" t="s">
        <v>87</v>
      </c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</row>
    <row r="49">
      <c r="A49" s="189" t="s">
        <v>94</v>
      </c>
      <c r="B49" s="189" t="s">
        <v>82</v>
      </c>
      <c r="C49" s="189">
        <v>321.0</v>
      </c>
      <c r="D49" s="189">
        <v>0.0</v>
      </c>
      <c r="E49" s="189" t="s">
        <v>202</v>
      </c>
      <c r="F49" s="189" t="s">
        <v>83</v>
      </c>
      <c r="G49" s="189" t="s">
        <v>84</v>
      </c>
      <c r="H49" s="189" t="s">
        <v>210</v>
      </c>
      <c r="I49" s="189" t="s">
        <v>211</v>
      </c>
      <c r="J49" s="189" t="s">
        <v>211</v>
      </c>
      <c r="K49" s="190"/>
      <c r="L49" s="189">
        <v>-4.0</v>
      </c>
      <c r="M49" s="189"/>
      <c r="N49" s="189">
        <v>10.1131</v>
      </c>
      <c r="O49" s="189" t="s">
        <v>87</v>
      </c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</row>
    <row r="50">
      <c r="A50" s="189" t="s">
        <v>81</v>
      </c>
      <c r="B50" s="189" t="s">
        <v>82</v>
      </c>
      <c r="C50" s="189">
        <v>394.0</v>
      </c>
      <c r="D50" s="189">
        <v>0.0</v>
      </c>
      <c r="E50" s="190"/>
      <c r="F50" s="189" t="s">
        <v>83</v>
      </c>
      <c r="G50" s="189" t="s">
        <v>84</v>
      </c>
      <c r="H50" s="189" t="s">
        <v>212</v>
      </c>
      <c r="I50" s="189" t="s">
        <v>213</v>
      </c>
      <c r="J50" s="189" t="s">
        <v>213</v>
      </c>
      <c r="K50" s="190"/>
      <c r="L50" s="189">
        <v>-7.0</v>
      </c>
      <c r="M50" s="189"/>
      <c r="N50" s="189">
        <v>7.875583333333333</v>
      </c>
      <c r="O50" s="189" t="s">
        <v>87</v>
      </c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</row>
    <row r="51">
      <c r="A51" s="189" t="s">
        <v>88</v>
      </c>
      <c r="B51" s="189" t="s">
        <v>82</v>
      </c>
      <c r="C51" s="189">
        <v>474.0</v>
      </c>
      <c r="D51" s="189">
        <v>0.0</v>
      </c>
      <c r="E51" s="189" t="s">
        <v>189</v>
      </c>
      <c r="F51" s="189" t="s">
        <v>113</v>
      </c>
      <c r="G51" s="189" t="s">
        <v>84</v>
      </c>
      <c r="H51" s="189" t="s">
        <v>214</v>
      </c>
      <c r="I51" s="189" t="s">
        <v>215</v>
      </c>
      <c r="J51" s="189" t="s">
        <v>216</v>
      </c>
      <c r="K51" s="189" t="s">
        <v>217</v>
      </c>
      <c r="L51" s="189">
        <v>-4.0</v>
      </c>
      <c r="M51" s="189">
        <v>0.0045</v>
      </c>
      <c r="N51" s="189">
        <v>5.1969666666666665</v>
      </c>
      <c r="O51" s="189" t="s">
        <v>93</v>
      </c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</row>
    <row r="52">
      <c r="A52" s="189" t="s">
        <v>100</v>
      </c>
      <c r="B52" s="189" t="s">
        <v>82</v>
      </c>
      <c r="C52" s="191">
        <v>394.0</v>
      </c>
      <c r="D52" s="189">
        <v>0.0</v>
      </c>
      <c r="E52" s="189" t="s">
        <v>58</v>
      </c>
      <c r="F52" s="189" t="s">
        <v>83</v>
      </c>
      <c r="G52" s="189" t="s">
        <v>84</v>
      </c>
      <c r="H52" s="189" t="s">
        <v>218</v>
      </c>
      <c r="I52" s="189" t="s">
        <v>219</v>
      </c>
      <c r="J52" s="189" t="s">
        <v>219</v>
      </c>
      <c r="K52" s="190"/>
      <c r="L52" s="189">
        <v>-2.0</v>
      </c>
      <c r="M52" s="189"/>
      <c r="N52" s="189">
        <v>12.231883333333334</v>
      </c>
      <c r="O52" s="189" t="s">
        <v>87</v>
      </c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</row>
    <row r="53">
      <c r="A53" s="189" t="s">
        <v>81</v>
      </c>
      <c r="B53" s="189" t="s">
        <v>82</v>
      </c>
      <c r="C53" s="189">
        <v>394.0</v>
      </c>
      <c r="D53" s="189">
        <v>0.0</v>
      </c>
      <c r="E53" s="190"/>
      <c r="F53" s="189" t="s">
        <v>83</v>
      </c>
      <c r="G53" s="189" t="s">
        <v>84</v>
      </c>
      <c r="H53" s="189" t="s">
        <v>220</v>
      </c>
      <c r="I53" s="189" t="s">
        <v>221</v>
      </c>
      <c r="J53" s="189" t="s">
        <v>221</v>
      </c>
      <c r="K53" s="190"/>
      <c r="L53" s="189">
        <v>-2.0</v>
      </c>
      <c r="M53" s="189"/>
      <c r="N53" s="189">
        <v>12.239833333333333</v>
      </c>
      <c r="O53" s="189" t="s">
        <v>87</v>
      </c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E53" s="190"/>
    </row>
    <row r="54">
      <c r="A54" s="189" t="s">
        <v>100</v>
      </c>
      <c r="B54" s="189" t="s">
        <v>82</v>
      </c>
      <c r="C54" s="189">
        <v>1524.0</v>
      </c>
      <c r="D54" s="189">
        <v>0.0</v>
      </c>
      <c r="E54" s="189" t="s">
        <v>58</v>
      </c>
      <c r="F54" s="189" t="s">
        <v>83</v>
      </c>
      <c r="G54" s="189" t="s">
        <v>84</v>
      </c>
      <c r="H54" s="189" t="s">
        <v>222</v>
      </c>
      <c r="I54" s="189" t="s">
        <v>223</v>
      </c>
      <c r="J54" s="189" t="s">
        <v>223</v>
      </c>
      <c r="K54" s="190"/>
      <c r="L54" s="189">
        <v>-6.0</v>
      </c>
      <c r="M54" s="189"/>
      <c r="N54" s="189">
        <v>13.185183333333333</v>
      </c>
      <c r="O54" s="189" t="s">
        <v>87</v>
      </c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</row>
    <row r="55">
      <c r="A55" s="189" t="s">
        <v>94</v>
      </c>
      <c r="B55" s="189" t="s">
        <v>82</v>
      </c>
      <c r="C55" s="191">
        <v>264.0</v>
      </c>
      <c r="D55" s="189">
        <v>0.0</v>
      </c>
      <c r="E55" s="189" t="s">
        <v>224</v>
      </c>
      <c r="F55" s="189" t="s">
        <v>83</v>
      </c>
      <c r="G55" s="189" t="s">
        <v>84</v>
      </c>
      <c r="H55" s="189" t="s">
        <v>225</v>
      </c>
      <c r="I55" s="189" t="s">
        <v>226</v>
      </c>
      <c r="J55" s="189" t="s">
        <v>226</v>
      </c>
      <c r="K55" s="190"/>
      <c r="L55" s="189">
        <v>-11.0</v>
      </c>
      <c r="M55" s="189"/>
      <c r="N55" s="189">
        <v>3.312666666666667</v>
      </c>
      <c r="O55" s="189" t="s">
        <v>87</v>
      </c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</row>
    <row r="56">
      <c r="A56" s="189" t="s">
        <v>131</v>
      </c>
      <c r="B56" s="189" t="s">
        <v>82</v>
      </c>
      <c r="C56" s="191">
        <v>249.0</v>
      </c>
      <c r="D56" s="189">
        <v>0.0</v>
      </c>
      <c r="E56" s="190"/>
      <c r="F56" s="189" t="s">
        <v>89</v>
      </c>
      <c r="G56" s="189" t="s">
        <v>90</v>
      </c>
      <c r="H56" s="189" t="s">
        <v>227</v>
      </c>
      <c r="I56" s="189" t="s">
        <v>228</v>
      </c>
      <c r="J56" s="189" t="s">
        <v>228</v>
      </c>
      <c r="K56" s="190"/>
      <c r="L56" s="189">
        <v>-1.0</v>
      </c>
      <c r="M56" s="189"/>
      <c r="N56" s="189">
        <v>3.2394166666666666</v>
      </c>
      <c r="O56" s="189" t="s">
        <v>134</v>
      </c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</row>
    <row r="57">
      <c r="A57" s="189" t="s">
        <v>81</v>
      </c>
      <c r="B57" s="189" t="s">
        <v>82</v>
      </c>
      <c r="C57" s="189">
        <v>233.0</v>
      </c>
      <c r="D57" s="189">
        <v>0.0</v>
      </c>
      <c r="E57" s="190"/>
      <c r="F57" s="189" t="s">
        <v>83</v>
      </c>
      <c r="G57" s="189" t="s">
        <v>84</v>
      </c>
      <c r="H57" s="189" t="s">
        <v>229</v>
      </c>
      <c r="I57" s="189" t="s">
        <v>230</v>
      </c>
      <c r="J57" s="189" t="s">
        <v>230</v>
      </c>
      <c r="K57" s="190"/>
      <c r="L57" s="189">
        <v>-5.0</v>
      </c>
      <c r="M57" s="189"/>
      <c r="N57" s="189">
        <v>9.086933333333333</v>
      </c>
      <c r="O57" s="189" t="s">
        <v>87</v>
      </c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</row>
    <row r="58">
      <c r="A58" s="189" t="s">
        <v>94</v>
      </c>
      <c r="B58" s="189" t="s">
        <v>82</v>
      </c>
      <c r="C58" s="189">
        <v>364.0</v>
      </c>
      <c r="D58" s="189">
        <v>0.0</v>
      </c>
      <c r="E58" s="189" t="s">
        <v>231</v>
      </c>
      <c r="F58" s="189" t="s">
        <v>83</v>
      </c>
      <c r="G58" s="189" t="s">
        <v>84</v>
      </c>
      <c r="H58" s="189" t="s">
        <v>232</v>
      </c>
      <c r="I58" s="189" t="s">
        <v>233</v>
      </c>
      <c r="J58" s="189" t="s">
        <v>233</v>
      </c>
      <c r="K58" s="190"/>
      <c r="L58" s="189">
        <v>-5.0</v>
      </c>
      <c r="M58" s="189"/>
      <c r="N58" s="189">
        <v>9.448916666666667</v>
      </c>
      <c r="O58" s="189" t="s">
        <v>87</v>
      </c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</row>
    <row r="59">
      <c r="A59" s="189" t="s">
        <v>100</v>
      </c>
      <c r="B59" s="189" t="s">
        <v>82</v>
      </c>
      <c r="C59" s="191">
        <v>329.0</v>
      </c>
      <c r="D59" s="189">
        <v>0.0</v>
      </c>
      <c r="E59" s="189" t="s">
        <v>58</v>
      </c>
      <c r="F59" s="189" t="s">
        <v>83</v>
      </c>
      <c r="G59" s="189" t="s">
        <v>84</v>
      </c>
      <c r="H59" s="189" t="s">
        <v>234</v>
      </c>
      <c r="I59" s="189" t="s">
        <v>235</v>
      </c>
      <c r="J59" s="189" t="s">
        <v>235</v>
      </c>
      <c r="K59" s="190"/>
      <c r="L59" s="189">
        <v>-11.0</v>
      </c>
      <c r="M59" s="189"/>
      <c r="N59" s="189">
        <v>26.297433333333334</v>
      </c>
      <c r="O59" s="189" t="s">
        <v>87</v>
      </c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</row>
    <row r="60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</row>
    <row r="61">
      <c r="A61" s="190"/>
      <c r="B61" s="190"/>
      <c r="C61" s="192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</row>
    <row r="62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90"/>
      <c r="AD62" s="190"/>
      <c r="AE62" s="190"/>
    </row>
    <row r="63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  <c r="AC63" s="190"/>
      <c r="AD63" s="190"/>
      <c r="AE63" s="190"/>
    </row>
    <row r="64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</row>
    <row r="65">
      <c r="A65" s="190"/>
      <c r="B65" s="190"/>
      <c r="C65" s="192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E65" s="190"/>
    </row>
    <row r="66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</row>
    <row r="67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</row>
    <row r="68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</row>
    <row r="69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</row>
    <row r="70">
      <c r="A70" s="190"/>
      <c r="B70" s="190"/>
      <c r="C70" s="192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  <c r="AC70" s="190"/>
      <c r="AD70" s="190"/>
      <c r="AE70" s="190"/>
    </row>
    <row r="71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  <c r="AC71" s="190"/>
      <c r="AD71" s="190"/>
      <c r="AE71" s="190"/>
    </row>
    <row r="72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</row>
    <row r="73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</row>
    <row r="74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</row>
    <row r="75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  <c r="AC75" s="190"/>
      <c r="AD75" s="190"/>
      <c r="AE75" s="190"/>
    </row>
    <row r="76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0"/>
      <c r="AE76" s="190"/>
    </row>
    <row r="77">
      <c r="A77" s="190"/>
      <c r="B77" s="190"/>
      <c r="C77" s="192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</row>
    <row r="78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  <c r="AC78" s="190"/>
      <c r="AD78" s="190"/>
      <c r="AE78" s="190"/>
    </row>
    <row r="79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</row>
    <row r="80">
      <c r="A80" s="190"/>
      <c r="B80" s="190"/>
      <c r="C80" s="192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</row>
    <row r="8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</row>
    <row r="82">
      <c r="A82" s="190"/>
      <c r="B82" s="190"/>
      <c r="C82" s="192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</row>
    <row r="83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</row>
    <row r="84">
      <c r="A84" s="190"/>
      <c r="B84" s="190"/>
      <c r="C84" s="192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</row>
    <row r="85">
      <c r="A85" s="190"/>
      <c r="B85" s="190"/>
      <c r="C85" s="192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</row>
    <row r="86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</row>
    <row r="87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</row>
    <row r="88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</row>
    <row r="89">
      <c r="A89" s="190"/>
      <c r="B89" s="190"/>
      <c r="C89" s="192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</row>
    <row r="90">
      <c r="A90" s="190"/>
      <c r="B90" s="190"/>
      <c r="C90" s="192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</row>
    <row r="9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</row>
    <row r="92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  <c r="AC92" s="190"/>
      <c r="AD92" s="190"/>
      <c r="AE92" s="190"/>
    </row>
    <row r="93">
      <c r="A93" s="190"/>
      <c r="B93" s="190"/>
      <c r="C93" s="192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</row>
    <row r="94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  <c r="AC94" s="190"/>
      <c r="AD94" s="190"/>
      <c r="AE94" s="190"/>
    </row>
    <row r="95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</row>
    <row r="96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</row>
    <row r="97">
      <c r="A97" s="190"/>
      <c r="B97" s="190"/>
      <c r="C97" s="192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  <c r="AC97" s="190"/>
      <c r="AE97" s="190"/>
    </row>
    <row r="98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  <c r="AC98" s="190"/>
      <c r="AE98" s="190"/>
    </row>
    <row r="99">
      <c r="A99" s="190"/>
      <c r="B99" s="190"/>
      <c r="C99" s="192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0"/>
      <c r="AE99" s="190"/>
    </row>
    <row r="100">
      <c r="A100" s="190"/>
      <c r="B100" s="190"/>
      <c r="C100" s="192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  <c r="AB100" s="190"/>
      <c r="AC100" s="190"/>
      <c r="AD100" s="190"/>
      <c r="AE100" s="190"/>
    </row>
    <row r="101">
      <c r="A101" s="190"/>
      <c r="B101" s="190"/>
      <c r="C101" s="192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</row>
    <row r="102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  <c r="AC102" s="190"/>
      <c r="AD102" s="190"/>
      <c r="AE102" s="190"/>
    </row>
    <row r="103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</row>
    <row r="104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</row>
    <row r="105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E105" s="190"/>
    </row>
    <row r="106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</row>
    <row r="107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</row>
    <row r="108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  <c r="AC108" s="190"/>
      <c r="AD108" s="190"/>
      <c r="AE108" s="190"/>
    </row>
    <row r="109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  <c r="AD109" s="190"/>
      <c r="AE109" s="190"/>
    </row>
    <row r="110">
      <c r="A110" s="190"/>
      <c r="B110" s="190"/>
      <c r="C110" s="192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</row>
    <row r="111">
      <c r="A111" s="190"/>
      <c r="B111" s="190"/>
      <c r="C111" s="192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90"/>
    </row>
    <row r="112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  <c r="AE112" s="190"/>
    </row>
    <row r="113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</row>
    <row r="114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0"/>
      <c r="AE114" s="190"/>
    </row>
    <row r="115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E115" s="190"/>
    </row>
    <row r="116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E116" s="190"/>
    </row>
    <row r="117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E117" s="190"/>
    </row>
    <row r="118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</row>
    <row r="119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E119" s="190"/>
    </row>
    <row r="120">
      <c r="A120" s="190"/>
      <c r="B120" s="190"/>
      <c r="C120" s="192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</row>
    <row r="12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  <c r="AC122" s="190"/>
      <c r="AD122" s="190"/>
      <c r="AE122" s="190"/>
    </row>
    <row r="123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  <c r="AC123" s="190"/>
      <c r="AE123" s="190"/>
    </row>
    <row r="124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</row>
    <row r="125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</row>
    <row r="126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</row>
    <row r="127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E127" s="190"/>
    </row>
    <row r="128">
      <c r="A128" s="190"/>
      <c r="B128" s="192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E128" s="190"/>
    </row>
    <row r="129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</row>
    <row r="130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E130" s="190"/>
    </row>
    <row r="13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</row>
    <row r="132">
      <c r="A132" s="190"/>
      <c r="B132" s="190"/>
      <c r="C132" s="192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  <c r="AB132" s="190"/>
      <c r="AC132" s="190"/>
      <c r="AE132" s="190"/>
    </row>
    <row r="133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  <c r="AC133" s="190"/>
      <c r="AD133" s="190"/>
      <c r="AE133" s="190"/>
    </row>
    <row r="134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</row>
    <row r="135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  <c r="AC135" s="190"/>
      <c r="AE135" s="190"/>
    </row>
    <row r="136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  <c r="AB136" s="190"/>
      <c r="AC136" s="190"/>
      <c r="AE136" s="190"/>
    </row>
    <row r="137">
      <c r="A137" s="190"/>
      <c r="B137" s="190"/>
      <c r="C137" s="192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  <c r="AC137" s="190"/>
      <c r="AD137" s="190"/>
      <c r="AE137" s="190"/>
    </row>
    <row r="138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  <c r="AB138" s="190"/>
      <c r="AC138" s="190"/>
      <c r="AE138" s="190"/>
    </row>
    <row r="139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</row>
    <row r="140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E140" s="190"/>
    </row>
    <row r="14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E141" s="190"/>
    </row>
    <row r="142">
      <c r="A142" s="190"/>
      <c r="B142" s="190"/>
      <c r="C142" s="192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</row>
    <row r="143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</row>
    <row r="144">
      <c r="A144" s="190"/>
      <c r="B144" s="190"/>
      <c r="C144" s="192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E144" s="190"/>
    </row>
    <row r="145">
      <c r="A145" s="190"/>
      <c r="B145" s="190"/>
      <c r="C145" s="192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  <c r="AB145" s="190"/>
      <c r="AC145" s="190"/>
      <c r="AE145" s="190"/>
    </row>
    <row r="146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  <c r="AC146" s="190"/>
      <c r="AD146" s="190"/>
      <c r="AE146" s="190"/>
    </row>
    <row r="147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  <c r="AC147" s="190"/>
      <c r="AD147" s="190"/>
      <c r="AE147" s="190"/>
    </row>
    <row r="148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  <c r="AC148" s="190"/>
      <c r="AE148" s="190"/>
    </row>
    <row r="149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  <c r="AC149" s="190"/>
      <c r="AE149" s="190"/>
    </row>
    <row r="150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</row>
    <row r="15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</row>
    <row r="152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E152" s="190"/>
    </row>
    <row r="153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E153" s="190"/>
    </row>
    <row r="154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</row>
    <row r="155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E155" s="190"/>
    </row>
    <row r="156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E156" s="190"/>
    </row>
    <row r="157">
      <c r="A157" s="190"/>
      <c r="B157" s="190"/>
      <c r="C157" s="192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E157" s="190"/>
    </row>
    <row r="158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  <c r="AC158" s="190"/>
      <c r="AE158" s="190"/>
    </row>
    <row r="159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  <c r="AE159" s="190"/>
    </row>
    <row r="160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E160" s="190"/>
    </row>
    <row r="16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  <c r="AC161" s="190"/>
      <c r="AD161" s="190"/>
      <c r="AE161" s="190"/>
    </row>
    <row r="162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  <c r="AB162" s="190"/>
      <c r="AC162" s="190"/>
      <c r="AE162" s="190"/>
    </row>
    <row r="163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  <c r="AB163" s="190"/>
      <c r="AC163" s="190"/>
      <c r="AE163" s="190"/>
    </row>
    <row r="164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  <c r="AB164" s="190"/>
      <c r="AC164" s="190"/>
      <c r="AD164" s="190"/>
      <c r="AE164" s="190"/>
    </row>
    <row r="165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  <c r="AC165" s="190"/>
      <c r="AE165" s="190"/>
    </row>
    <row r="166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90"/>
    </row>
    <row r="167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E167" s="190"/>
    </row>
    <row r="168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E168" s="190"/>
    </row>
    <row r="169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  <c r="AC169" s="190"/>
      <c r="AE169" s="190"/>
    </row>
    <row r="170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  <c r="AE170" s="190"/>
    </row>
    <row r="171">
      <c r="A171" s="190"/>
      <c r="B171" s="190"/>
      <c r="C171" s="192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  <c r="AC171" s="190"/>
      <c r="AE171" s="190"/>
    </row>
    <row r="172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E172" s="190"/>
    </row>
    <row r="173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  <c r="AC173" s="190"/>
      <c r="AE173" s="190"/>
    </row>
    <row r="174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</row>
    <row r="175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  <c r="AC175" s="190"/>
    </row>
    <row r="176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</row>
    <row r="177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  <c r="AC177" s="190"/>
    </row>
    <row r="178">
      <c r="A178" s="190"/>
      <c r="B178" s="190"/>
      <c r="C178" s="192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</row>
    <row r="179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</row>
    <row r="180">
      <c r="A180" s="190"/>
      <c r="B180" s="190"/>
      <c r="C180" s="192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</row>
    <row r="18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</row>
    <row r="182">
      <c r="A182" s="190"/>
      <c r="B182" s="190"/>
      <c r="C182" s="192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</row>
    <row r="183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</row>
    <row r="184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</row>
    <row r="185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</row>
    <row r="186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</row>
    <row r="187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</row>
    <row r="188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</row>
    <row r="189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  <c r="AC189" s="190"/>
    </row>
    <row r="190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  <c r="AC190" s="190"/>
      <c r="AD190" s="190"/>
    </row>
    <row r="19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</row>
    <row r="192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  <c r="AC192" s="190"/>
    </row>
    <row r="193">
      <c r="A193" s="190"/>
      <c r="B193" s="190"/>
      <c r="C193" s="192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  <c r="AC193" s="190"/>
    </row>
    <row r="194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S194" s="190"/>
      <c r="T194" s="190"/>
      <c r="U194" s="190"/>
      <c r="V194" s="190"/>
      <c r="W194" s="190"/>
      <c r="X194" s="190"/>
      <c r="Y194" s="190"/>
      <c r="Z194" s="190"/>
      <c r="AB194" s="190"/>
      <c r="AC194" s="190"/>
    </row>
    <row r="195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</row>
    <row r="196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  <c r="AC196" s="190"/>
    </row>
    <row r="197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  <c r="AC197" s="190"/>
    </row>
    <row r="198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  <c r="AC198" s="190"/>
    </row>
    <row r="199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  <c r="AC199" s="190"/>
    </row>
    <row r="200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  <c r="AC200" s="190"/>
      <c r="AD200" s="190"/>
    </row>
    <row r="20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  <c r="AC201" s="190"/>
    </row>
    <row r="202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  <c r="AC202" s="190"/>
    </row>
    <row r="203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  <c r="AC203" s="190"/>
    </row>
    <row r="204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  <c r="AC204" s="190"/>
    </row>
    <row r="205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  <c r="AC205" s="190"/>
    </row>
    <row r="206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  <c r="AC206" s="190"/>
    </row>
    <row r="207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  <c r="AC207" s="190"/>
    </row>
    <row r="208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  <c r="AC208" s="190"/>
    </row>
    <row r="209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  <c r="AC209" s="190"/>
    </row>
    <row r="210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  <c r="AC210" s="190"/>
    </row>
    <row r="21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  <c r="AC211" s="190"/>
    </row>
    <row r="212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  <c r="AC212" s="190"/>
    </row>
    <row r="213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  <c r="AC213" s="190"/>
    </row>
    <row r="214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  <c r="AC214" s="190"/>
      <c r="AD214" s="190"/>
    </row>
    <row r="215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  <c r="AC215" s="190"/>
    </row>
    <row r="216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  <c r="AC216" s="190"/>
    </row>
    <row r="217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  <c r="AC217" s="190"/>
    </row>
    <row r="218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  <c r="AC218" s="190"/>
    </row>
    <row r="219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  <c r="AC219" s="190"/>
    </row>
    <row r="220">
      <c r="A220" s="190"/>
      <c r="B220" s="190"/>
      <c r="C220" s="192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  <c r="AC220" s="190"/>
    </row>
    <row r="22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  <c r="AC221" s="190"/>
    </row>
    <row r="222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  <c r="AC222" s="190"/>
    </row>
    <row r="223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  <c r="AC223" s="190"/>
    </row>
    <row r="224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  <c r="AC224" s="190"/>
    </row>
    <row r="225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  <c r="AC225" s="190"/>
    </row>
    <row r="226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  <c r="AC226" s="190"/>
    </row>
    <row r="227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  <c r="AC227" s="190"/>
    </row>
    <row r="228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  <c r="AB228" s="190"/>
      <c r="AC228" s="190"/>
    </row>
    <row r="229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  <c r="AB229" s="190"/>
      <c r="AC229" s="190"/>
    </row>
    <row r="230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  <c r="AC230" s="190"/>
    </row>
    <row r="23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</row>
    <row r="232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  <c r="AC232" s="190"/>
    </row>
    <row r="233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  <c r="AC233" s="190"/>
    </row>
    <row r="234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  <c r="AC234" s="190"/>
    </row>
    <row r="235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  <c r="AC235" s="190"/>
    </row>
    <row r="236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  <c r="AC236" s="190"/>
    </row>
    <row r="237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  <c r="AC237" s="190"/>
    </row>
    <row r="238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  <c r="AC238" s="190"/>
      <c r="AD238" s="190"/>
    </row>
    <row r="239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  <c r="AC239" s="190"/>
    </row>
    <row r="240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  <c r="AC240" s="190"/>
    </row>
    <row r="24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  <c r="AC241" s="190"/>
    </row>
    <row r="242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</row>
    <row r="243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</row>
    <row r="244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  <c r="AC244" s="190"/>
    </row>
    <row r="245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  <c r="AC245" s="190"/>
    </row>
    <row r="246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  <c r="AC246" s="190"/>
      <c r="AD246" s="190"/>
    </row>
    <row r="247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  <c r="AC247" s="190"/>
    </row>
    <row r="248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  <c r="AC248" s="190"/>
    </row>
    <row r="249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</row>
    <row r="250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  <c r="AC250" s="190"/>
    </row>
    <row r="25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  <c r="AB251" s="190"/>
      <c r="AC251" s="190"/>
      <c r="AD251" s="190"/>
    </row>
    <row r="252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  <c r="AC252" s="190"/>
    </row>
    <row r="253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  <c r="AC253" s="190"/>
    </row>
    <row r="254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  <c r="AC254" s="190"/>
    </row>
    <row r="255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  <c r="AC255" s="190"/>
    </row>
    <row r="256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  <c r="AC256" s="190"/>
    </row>
    <row r="257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  <c r="AC257" s="190"/>
    </row>
    <row r="258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  <c r="AC258" s="190"/>
    </row>
    <row r="259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</row>
    <row r="260">
      <c r="A260" s="190"/>
      <c r="B260" s="190"/>
      <c r="C260" s="192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</row>
    <row r="26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</row>
    <row r="262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</row>
    <row r="263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</row>
    <row r="264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  <c r="AC264" s="190"/>
    </row>
    <row r="265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  <c r="AC265" s="190"/>
    </row>
    <row r="266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</row>
    <row r="267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  <c r="AC267" s="190"/>
    </row>
    <row r="268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</row>
    <row r="269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</row>
    <row r="270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S270" s="190"/>
      <c r="T270" s="190"/>
      <c r="U270" s="190"/>
      <c r="V270" s="190"/>
      <c r="W270" s="190"/>
      <c r="X270" s="190"/>
      <c r="Y270" s="190"/>
      <c r="Z270" s="190"/>
      <c r="AB270" s="190"/>
      <c r="AC270" s="190"/>
    </row>
    <row r="27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</row>
    <row r="272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  <c r="AC272" s="190"/>
    </row>
    <row r="273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  <c r="AC273" s="190"/>
    </row>
    <row r="274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  <c r="AC274" s="190"/>
    </row>
    <row r="275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  <c r="AC275" s="190"/>
    </row>
    <row r="276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  <c r="AC276" s="190"/>
    </row>
    <row r="277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  <c r="AC277" s="190"/>
    </row>
    <row r="278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  <c r="AC278" s="190"/>
    </row>
    <row r="279">
      <c r="A279" s="190"/>
      <c r="B279" s="190"/>
      <c r="C279" s="192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  <c r="AC279" s="190"/>
    </row>
    <row r="280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  <c r="AC280" s="190"/>
      <c r="AD280" s="190"/>
    </row>
    <row r="28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  <c r="AC281" s="190"/>
    </row>
    <row r="282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  <c r="AB282" s="190"/>
      <c r="AC282" s="190"/>
    </row>
    <row r="283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  <c r="AB283" s="190"/>
      <c r="AC283" s="190"/>
    </row>
    <row r="284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  <c r="AC284" s="190"/>
    </row>
    <row r="285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  <c r="AC285" s="190"/>
    </row>
    <row r="286">
      <c r="A286" s="190"/>
      <c r="B286" s="190"/>
      <c r="C286" s="192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  <c r="AC286" s="190"/>
    </row>
    <row r="287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S287" s="190"/>
      <c r="T287" s="190"/>
      <c r="U287" s="190"/>
      <c r="V287" s="190"/>
      <c r="W287" s="190"/>
      <c r="X287" s="190"/>
      <c r="Y287" s="190"/>
      <c r="Z287" s="190"/>
      <c r="AB287" s="190"/>
      <c r="AC287" s="190"/>
    </row>
    <row r="288">
      <c r="A288" s="190"/>
      <c r="B288" s="190"/>
      <c r="C288" s="192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S288" s="190"/>
      <c r="T288" s="190"/>
      <c r="U288" s="190"/>
      <c r="V288" s="190"/>
      <c r="W288" s="190"/>
      <c r="X288" s="190"/>
      <c r="Y288" s="190"/>
      <c r="Z288" s="190"/>
      <c r="AB288" s="190"/>
      <c r="AC288" s="190"/>
    </row>
    <row r="289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</row>
    <row r="290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</row>
    <row r="29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S291" s="190"/>
      <c r="T291" s="190"/>
      <c r="U291" s="190"/>
      <c r="V291" s="190"/>
      <c r="W291" s="190"/>
      <c r="X291" s="190"/>
      <c r="Y291" s="190"/>
      <c r="Z291" s="190"/>
      <c r="AB291" s="190"/>
      <c r="AC291" s="190"/>
    </row>
    <row r="292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S292" s="190"/>
      <c r="T292" s="190"/>
      <c r="U292" s="190"/>
      <c r="V292" s="190"/>
      <c r="W292" s="190"/>
      <c r="X292" s="190"/>
      <c r="Y292" s="190"/>
      <c r="Z292" s="190"/>
      <c r="AB292" s="190"/>
      <c r="AC292" s="190"/>
    </row>
    <row r="293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  <c r="AC293" s="190"/>
    </row>
    <row r="294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  <c r="AC294" s="190"/>
    </row>
    <row r="295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  <c r="AB295" s="190"/>
      <c r="AC295" s="190"/>
    </row>
    <row r="296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  <c r="AC296" s="190"/>
    </row>
    <row r="297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  <c r="AC297" s="190"/>
    </row>
    <row r="298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S298" s="190"/>
      <c r="T298" s="190"/>
      <c r="U298" s="190"/>
      <c r="V298" s="190"/>
      <c r="W298" s="190"/>
      <c r="X298" s="190"/>
      <c r="Y298" s="190"/>
      <c r="Z298" s="190"/>
      <c r="AB298" s="190"/>
      <c r="AC298" s="190"/>
    </row>
    <row r="299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O299" s="190"/>
      <c r="P299" s="190"/>
      <c r="Q299" s="190"/>
      <c r="S299" s="190"/>
      <c r="T299" s="190"/>
      <c r="U299" s="190"/>
      <c r="V299" s="190"/>
      <c r="W299" s="190"/>
      <c r="X299" s="190"/>
      <c r="Y299" s="190"/>
      <c r="Z299" s="190"/>
      <c r="AB299" s="190"/>
      <c r="AC299" s="190"/>
    </row>
    <row r="300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  <c r="AC300" s="190"/>
    </row>
    <row r="30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S301" s="190"/>
      <c r="T301" s="190"/>
      <c r="U301" s="190"/>
      <c r="V301" s="190"/>
      <c r="W301" s="190"/>
      <c r="X301" s="190"/>
      <c r="Y301" s="190"/>
      <c r="Z301" s="190"/>
      <c r="AB301" s="190"/>
      <c r="AC301" s="190"/>
    </row>
    <row r="302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  <c r="AB302" s="190"/>
      <c r="AC302" s="190"/>
    </row>
    <row r="303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S303" s="190"/>
      <c r="T303" s="190"/>
      <c r="U303" s="190"/>
      <c r="V303" s="190"/>
      <c r="W303" s="190"/>
      <c r="X303" s="190"/>
      <c r="Y303" s="190"/>
      <c r="Z303" s="190"/>
      <c r="AB303" s="190"/>
      <c r="AC303" s="190"/>
    </row>
    <row r="304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  <c r="AB304" s="190"/>
      <c r="AC304" s="190"/>
    </row>
    <row r="305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S305" s="190"/>
      <c r="T305" s="190"/>
      <c r="U305" s="190"/>
      <c r="V305" s="190"/>
      <c r="W305" s="190"/>
      <c r="X305" s="190"/>
      <c r="Y305" s="190"/>
      <c r="Z305" s="190"/>
      <c r="AB305" s="190"/>
      <c r="AC305" s="190"/>
    </row>
    <row r="306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  <c r="AB306" s="190"/>
      <c r="AC306" s="190"/>
    </row>
    <row r="307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  <c r="AB307" s="190"/>
      <c r="AC307" s="190"/>
    </row>
    <row r="308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  <c r="AB308" s="190"/>
      <c r="AC308" s="190"/>
    </row>
    <row r="309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S309" s="190"/>
      <c r="T309" s="190"/>
      <c r="U309" s="190"/>
      <c r="V309" s="190"/>
      <c r="W309" s="190"/>
      <c r="X309" s="190"/>
      <c r="Y309" s="190"/>
      <c r="Z309" s="190"/>
      <c r="AB309" s="190"/>
      <c r="AC309" s="190"/>
    </row>
    <row r="310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  <c r="AC310" s="190"/>
    </row>
    <row r="31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S311" s="190"/>
      <c r="T311" s="190"/>
      <c r="U311" s="190"/>
      <c r="V311" s="190"/>
      <c r="W311" s="190"/>
      <c r="X311" s="190"/>
      <c r="Y311" s="190"/>
      <c r="Z311" s="190"/>
      <c r="AB311" s="190"/>
      <c r="AC311" s="190"/>
    </row>
    <row r="312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S312" s="190"/>
      <c r="T312" s="190"/>
      <c r="U312" s="190"/>
      <c r="V312" s="190"/>
      <c r="W312" s="190"/>
      <c r="X312" s="190"/>
      <c r="Y312" s="190"/>
      <c r="Z312" s="190"/>
      <c r="AB312" s="190"/>
      <c r="AC312" s="190"/>
    </row>
    <row r="313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  <c r="AB313" s="190"/>
      <c r="AC313" s="190"/>
    </row>
    <row r="314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  <c r="AB314" s="190"/>
      <c r="AC314" s="190"/>
    </row>
    <row r="315">
      <c r="A315" s="190"/>
      <c r="B315" s="190"/>
      <c r="C315" s="192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  <c r="AB315" s="190"/>
      <c r="AC315" s="190"/>
    </row>
    <row r="316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S316" s="190"/>
      <c r="T316" s="190"/>
      <c r="U316" s="190"/>
      <c r="V316" s="190"/>
      <c r="W316" s="190"/>
      <c r="X316" s="190"/>
      <c r="Y316" s="190"/>
      <c r="Z316" s="190"/>
      <c r="AB316" s="190"/>
      <c r="AC316" s="190"/>
      <c r="AD316" s="190"/>
    </row>
    <row r="317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  <c r="AB317" s="190"/>
      <c r="AC317" s="190"/>
    </row>
    <row r="318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S318" s="190"/>
      <c r="T318" s="190"/>
      <c r="U318" s="190"/>
      <c r="V318" s="190"/>
      <c r="W318" s="190"/>
      <c r="X318" s="190"/>
      <c r="Y318" s="190"/>
      <c r="Z318" s="190"/>
      <c r="AB318" s="190"/>
      <c r="AC318" s="190"/>
    </row>
    <row r="319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  <c r="AC319" s="190"/>
    </row>
    <row r="320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  <c r="AB320" s="190"/>
      <c r="AC320" s="190"/>
    </row>
    <row r="32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S321" s="190"/>
      <c r="T321" s="190"/>
      <c r="U321" s="190"/>
      <c r="V321" s="190"/>
      <c r="W321" s="190"/>
      <c r="X321" s="190"/>
      <c r="Y321" s="190"/>
      <c r="Z321" s="190"/>
      <c r="AB321" s="190"/>
      <c r="AC321" s="190"/>
      <c r="AD321" s="190"/>
    </row>
    <row r="322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O322" s="190"/>
      <c r="P322" s="190"/>
      <c r="Q322" s="190"/>
      <c r="S322" s="190"/>
      <c r="T322" s="190"/>
      <c r="U322" s="190"/>
      <c r="V322" s="190"/>
      <c r="W322" s="190"/>
      <c r="X322" s="190"/>
      <c r="Y322" s="190"/>
      <c r="Z322" s="190"/>
      <c r="AB322" s="190"/>
    </row>
    <row r="323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O323" s="190"/>
      <c r="P323" s="190"/>
      <c r="Q323" s="190"/>
      <c r="S323" s="190"/>
      <c r="T323" s="190"/>
      <c r="U323" s="190"/>
      <c r="V323" s="190"/>
      <c r="W323" s="190"/>
      <c r="X323" s="190"/>
      <c r="Y323" s="190"/>
      <c r="Z323" s="190"/>
      <c r="AB323" s="190"/>
    </row>
    <row r="324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O324" s="190"/>
      <c r="P324" s="190"/>
      <c r="Q324" s="190"/>
      <c r="S324" s="190"/>
      <c r="T324" s="190"/>
      <c r="U324" s="190"/>
      <c r="V324" s="190"/>
      <c r="W324" s="190"/>
      <c r="X324" s="190"/>
      <c r="Y324" s="190"/>
      <c r="Z324" s="190"/>
      <c r="AB324" s="190"/>
    </row>
    <row r="325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  <c r="AB325" s="190"/>
    </row>
    <row r="326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</row>
    <row r="327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O327" s="190"/>
      <c r="P327" s="190"/>
      <c r="Q327" s="190"/>
      <c r="S327" s="190"/>
      <c r="T327" s="190"/>
      <c r="U327" s="190"/>
      <c r="V327" s="190"/>
      <c r="W327" s="190"/>
      <c r="X327" s="190"/>
      <c r="Y327" s="190"/>
      <c r="Z327" s="190"/>
      <c r="AB327" s="190"/>
    </row>
    <row r="328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S328" s="190"/>
      <c r="T328" s="190"/>
      <c r="U328" s="190"/>
      <c r="V328" s="190"/>
      <c r="W328" s="190"/>
      <c r="X328" s="190"/>
      <c r="Y328" s="190"/>
      <c r="Z328" s="190"/>
      <c r="AB328" s="190"/>
    </row>
    <row r="329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S329" s="190"/>
      <c r="T329" s="190"/>
      <c r="U329" s="190"/>
      <c r="V329" s="190"/>
      <c r="W329" s="190"/>
      <c r="X329" s="190"/>
      <c r="Y329" s="190"/>
      <c r="Z329" s="190"/>
      <c r="AB329" s="190"/>
    </row>
    <row r="330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S330" s="190"/>
      <c r="T330" s="190"/>
      <c r="U330" s="190"/>
      <c r="V330" s="190"/>
      <c r="W330" s="190"/>
      <c r="X330" s="190"/>
      <c r="Y330" s="190"/>
      <c r="Z330" s="190"/>
      <c r="AB330" s="190"/>
    </row>
    <row r="33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  <c r="AB331" s="190"/>
    </row>
    <row r="332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</row>
    <row r="333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  <c r="AB333" s="190"/>
    </row>
    <row r="334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O334" s="190"/>
      <c r="P334" s="190"/>
      <c r="Q334" s="190"/>
      <c r="S334" s="190"/>
      <c r="T334" s="190"/>
      <c r="U334" s="190"/>
      <c r="V334" s="190"/>
      <c r="W334" s="190"/>
      <c r="X334" s="190"/>
      <c r="Y334" s="190"/>
      <c r="Z334" s="190"/>
      <c r="AB334" s="190"/>
    </row>
    <row r="335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O335" s="190"/>
      <c r="P335" s="190"/>
      <c r="Q335" s="190"/>
      <c r="S335" s="190"/>
      <c r="T335" s="190"/>
      <c r="U335" s="190"/>
      <c r="V335" s="190"/>
      <c r="W335" s="190"/>
      <c r="X335" s="190"/>
      <c r="Y335" s="190"/>
      <c r="Z335" s="190"/>
      <c r="AB335" s="190"/>
    </row>
    <row r="336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</row>
    <row r="337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O337" s="190"/>
      <c r="P337" s="190"/>
      <c r="Q337" s="190"/>
      <c r="S337" s="190"/>
      <c r="T337" s="190"/>
      <c r="U337" s="190"/>
      <c r="V337" s="190"/>
      <c r="W337" s="190"/>
      <c r="X337" s="190"/>
      <c r="Y337" s="190"/>
      <c r="Z337" s="190"/>
      <c r="AB337" s="190"/>
    </row>
    <row r="338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S338" s="190"/>
      <c r="T338" s="190"/>
      <c r="U338" s="190"/>
      <c r="V338" s="190"/>
      <c r="W338" s="190"/>
      <c r="X338" s="190"/>
      <c r="Y338" s="190"/>
      <c r="Z338" s="190"/>
      <c r="AB338" s="190"/>
    </row>
    <row r="339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S339" s="190"/>
      <c r="T339" s="190"/>
      <c r="U339" s="190"/>
      <c r="V339" s="190"/>
      <c r="W339" s="190"/>
      <c r="X339" s="190"/>
      <c r="Y339" s="190"/>
      <c r="Z339" s="190"/>
      <c r="AB339" s="190"/>
    </row>
    <row r="340">
      <c r="A340" s="190"/>
      <c r="B340" s="190"/>
      <c r="C340" s="192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O340" s="190"/>
      <c r="P340" s="190"/>
      <c r="Q340" s="190"/>
      <c r="S340" s="190"/>
      <c r="T340" s="190"/>
      <c r="U340" s="190"/>
      <c r="V340" s="190"/>
      <c r="W340" s="190"/>
      <c r="X340" s="190"/>
      <c r="Y340" s="190"/>
      <c r="Z340" s="190"/>
      <c r="AB340" s="190"/>
    </row>
    <row r="34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O341" s="190"/>
      <c r="P341" s="190"/>
      <c r="Q341" s="190"/>
      <c r="S341" s="190"/>
      <c r="T341" s="190"/>
      <c r="U341" s="190"/>
      <c r="V341" s="190"/>
      <c r="W341" s="190"/>
      <c r="X341" s="190"/>
      <c r="Y341" s="190"/>
      <c r="Z341" s="190"/>
      <c r="AB341" s="190"/>
    </row>
    <row r="342">
      <c r="A342" s="190"/>
      <c r="B342" s="190"/>
      <c r="C342" s="192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O342" s="190"/>
      <c r="P342" s="190"/>
      <c r="Q342" s="190"/>
      <c r="S342" s="190"/>
      <c r="T342" s="190"/>
      <c r="U342" s="190"/>
      <c r="V342" s="190"/>
      <c r="W342" s="190"/>
      <c r="X342" s="190"/>
      <c r="Y342" s="190"/>
      <c r="Z342" s="190"/>
      <c r="AB342" s="190"/>
    </row>
    <row r="343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O343" s="190"/>
      <c r="P343" s="190"/>
      <c r="Q343" s="190"/>
      <c r="S343" s="190"/>
      <c r="T343" s="190"/>
      <c r="U343" s="190"/>
      <c r="V343" s="190"/>
      <c r="W343" s="190"/>
      <c r="X343" s="190"/>
      <c r="Y343" s="190"/>
      <c r="Z343" s="190"/>
      <c r="AB343" s="190"/>
    </row>
    <row r="344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O344" s="190"/>
      <c r="P344" s="190"/>
      <c r="Q344" s="190"/>
      <c r="S344" s="190"/>
      <c r="T344" s="190"/>
      <c r="U344" s="190"/>
      <c r="V344" s="190"/>
      <c r="W344" s="190"/>
      <c r="X344" s="190"/>
      <c r="Y344" s="190"/>
      <c r="Z344" s="190"/>
      <c r="AB344" s="190"/>
    </row>
    <row r="345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O345" s="190"/>
      <c r="P345" s="190"/>
      <c r="Q345" s="190"/>
      <c r="S345" s="190"/>
      <c r="T345" s="190"/>
      <c r="U345" s="190"/>
      <c r="V345" s="190"/>
      <c r="W345" s="190"/>
      <c r="X345" s="190"/>
      <c r="Y345" s="190"/>
      <c r="Z345" s="190"/>
      <c r="AB345" s="190"/>
    </row>
    <row r="346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O346" s="190"/>
      <c r="P346" s="190"/>
      <c r="Q346" s="190"/>
      <c r="S346" s="190"/>
      <c r="T346" s="190"/>
      <c r="U346" s="190"/>
      <c r="V346" s="190"/>
      <c r="W346" s="190"/>
      <c r="X346" s="190"/>
      <c r="Y346" s="190"/>
      <c r="Z346" s="190"/>
      <c r="AB346" s="190"/>
    </row>
    <row r="347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O347" s="190"/>
      <c r="P347" s="190"/>
      <c r="Q347" s="190"/>
      <c r="S347" s="190"/>
      <c r="T347" s="190"/>
      <c r="U347" s="190"/>
      <c r="V347" s="190"/>
      <c r="W347" s="190"/>
      <c r="X347" s="190"/>
      <c r="Y347" s="190"/>
      <c r="Z347" s="190"/>
      <c r="AB347" s="190"/>
    </row>
    <row r="348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O348" s="190"/>
      <c r="P348" s="190"/>
      <c r="Q348" s="190"/>
      <c r="S348" s="190"/>
      <c r="T348" s="190"/>
      <c r="U348" s="190"/>
      <c r="V348" s="190"/>
      <c r="W348" s="190"/>
      <c r="X348" s="190"/>
      <c r="Y348" s="190"/>
      <c r="Z348" s="190"/>
      <c r="AB348" s="190"/>
    </row>
    <row r="349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  <c r="AB349" s="190"/>
    </row>
    <row r="350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O350" s="190"/>
      <c r="P350" s="190"/>
      <c r="Q350" s="190"/>
      <c r="S350" s="190"/>
      <c r="T350" s="190"/>
      <c r="U350" s="190"/>
      <c r="V350" s="190"/>
      <c r="W350" s="190"/>
      <c r="X350" s="190"/>
      <c r="Y350" s="190"/>
      <c r="Z350" s="190"/>
      <c r="AB350" s="190"/>
    </row>
    <row r="35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</row>
    <row r="352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O352" s="190"/>
      <c r="P352" s="190"/>
      <c r="Q352" s="190"/>
      <c r="S352" s="190"/>
      <c r="T352" s="190"/>
      <c r="U352" s="190"/>
      <c r="V352" s="190"/>
      <c r="W352" s="190"/>
      <c r="X352" s="190"/>
      <c r="Y352" s="190"/>
      <c r="Z352" s="190"/>
      <c r="AB352" s="190"/>
    </row>
    <row r="353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  <c r="AB353" s="190"/>
    </row>
    <row r="354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S354" s="190"/>
      <c r="T354" s="190"/>
      <c r="U354" s="190"/>
      <c r="V354" s="190"/>
      <c r="W354" s="190"/>
      <c r="X354" s="190"/>
      <c r="Y354" s="190"/>
      <c r="Z354" s="190"/>
      <c r="AB354" s="190"/>
    </row>
    <row r="355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O355" s="190"/>
      <c r="P355" s="190"/>
      <c r="Q355" s="190"/>
      <c r="S355" s="190"/>
      <c r="T355" s="190"/>
      <c r="U355" s="190"/>
      <c r="V355" s="190"/>
      <c r="W355" s="190"/>
      <c r="X355" s="190"/>
      <c r="Y355" s="190"/>
      <c r="Z355" s="190"/>
      <c r="AB355" s="190"/>
    </row>
    <row r="356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O356" s="190"/>
      <c r="P356" s="190"/>
      <c r="Q356" s="190"/>
      <c r="S356" s="190"/>
      <c r="T356" s="190"/>
      <c r="U356" s="190"/>
      <c r="V356" s="190"/>
      <c r="W356" s="190"/>
      <c r="X356" s="190"/>
      <c r="Y356" s="190"/>
      <c r="Z356" s="190"/>
      <c r="AB356" s="190"/>
    </row>
    <row r="357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</row>
    <row r="358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O358" s="190"/>
      <c r="P358" s="190"/>
      <c r="Q358" s="190"/>
      <c r="S358" s="190"/>
      <c r="T358" s="190"/>
      <c r="U358" s="190"/>
      <c r="V358" s="190"/>
      <c r="W358" s="190"/>
      <c r="X358" s="190"/>
      <c r="Y358" s="190"/>
      <c r="Z358" s="190"/>
      <c r="AB358" s="190"/>
    </row>
    <row r="359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O359" s="190"/>
      <c r="P359" s="190"/>
      <c r="Q359" s="190"/>
      <c r="S359" s="190"/>
      <c r="T359" s="190"/>
      <c r="U359" s="190"/>
      <c r="V359" s="190"/>
      <c r="W359" s="190"/>
      <c r="X359" s="190"/>
      <c r="Y359" s="190"/>
      <c r="Z359" s="190"/>
      <c r="AB359" s="190"/>
    </row>
    <row r="360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S360" s="190"/>
      <c r="T360" s="190"/>
      <c r="U360" s="190"/>
      <c r="V360" s="190"/>
      <c r="W360" s="190"/>
      <c r="X360" s="190"/>
      <c r="Y360" s="190"/>
      <c r="Z360" s="190"/>
      <c r="AB360" s="190"/>
    </row>
    <row r="36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O361" s="190"/>
      <c r="P361" s="190"/>
      <c r="Q361" s="190"/>
      <c r="S361" s="190"/>
      <c r="T361" s="190"/>
      <c r="U361" s="190"/>
      <c r="V361" s="190"/>
      <c r="W361" s="190"/>
      <c r="X361" s="190"/>
      <c r="Y361" s="190"/>
      <c r="Z361" s="190"/>
      <c r="AB361" s="190"/>
    </row>
    <row r="362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  <c r="AB362" s="190"/>
    </row>
    <row r="363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O363" s="190"/>
      <c r="P363" s="190"/>
      <c r="Q363" s="190"/>
      <c r="S363" s="190"/>
      <c r="T363" s="190"/>
      <c r="U363" s="190"/>
      <c r="V363" s="190"/>
      <c r="W363" s="190"/>
      <c r="X363" s="190"/>
      <c r="Y363" s="190"/>
      <c r="Z363" s="190"/>
      <c r="AB363" s="190"/>
    </row>
    <row r="368">
      <c r="C368" s="192"/>
    </row>
    <row r="403">
      <c r="C403" s="192"/>
    </row>
    <row r="414">
      <c r="C414" s="192"/>
    </row>
    <row r="431">
      <c r="C431" s="192"/>
    </row>
    <row r="438">
      <c r="C438" s="192"/>
    </row>
    <row r="443">
      <c r="C443" s="192"/>
    </row>
    <row r="476">
      <c r="C476" s="192"/>
    </row>
    <row r="478">
      <c r="C478" s="192"/>
    </row>
    <row r="584">
      <c r="C584" s="192"/>
    </row>
    <row r="676">
      <c r="C676" s="192"/>
    </row>
    <row r="689">
      <c r="C689" s="192"/>
    </row>
    <row r="725">
      <c r="C725" s="192"/>
    </row>
    <row r="733">
      <c r="C733" s="192"/>
    </row>
    <row r="737">
      <c r="C737" s="192"/>
    </row>
    <row r="797">
      <c r="C797" s="192"/>
    </row>
    <row r="860">
      <c r="C860" s="192"/>
    </row>
    <row r="883">
      <c r="S883" s="192"/>
    </row>
    <row r="884">
      <c r="S884" s="192"/>
    </row>
    <row r="885">
      <c r="S885" s="192"/>
    </row>
    <row r="889">
      <c r="S889" s="192"/>
    </row>
    <row r="890">
      <c r="S890" s="192"/>
    </row>
    <row r="891">
      <c r="S891" s="192"/>
    </row>
    <row r="894">
      <c r="S894" s="192"/>
    </row>
    <row r="896">
      <c r="S896" s="192"/>
    </row>
    <row r="899">
      <c r="S899" s="192"/>
    </row>
    <row r="900">
      <c r="S900" s="192"/>
    </row>
    <row r="901">
      <c r="S901" s="192"/>
    </row>
    <row r="902">
      <c r="S902" s="192"/>
    </row>
    <row r="903">
      <c r="S903" s="192"/>
    </row>
    <row r="904">
      <c r="S904" s="192"/>
    </row>
    <row r="906">
      <c r="S906" s="192"/>
    </row>
    <row r="907">
      <c r="S907" s="192"/>
    </row>
    <row r="909">
      <c r="S909" s="192"/>
    </row>
    <row r="910">
      <c r="S910" s="192"/>
    </row>
    <row r="912">
      <c r="S912" s="192"/>
    </row>
    <row r="913">
      <c r="S913" s="192"/>
    </row>
    <row r="914">
      <c r="S914" s="192"/>
    </row>
    <row r="915">
      <c r="S915" s="192"/>
    </row>
    <row r="916">
      <c r="S916" s="192"/>
    </row>
    <row r="917">
      <c r="S917" s="192"/>
    </row>
    <row r="919">
      <c r="S919" s="192"/>
    </row>
    <row r="920">
      <c r="S920" s="192"/>
    </row>
    <row r="921">
      <c r="S921" s="192"/>
    </row>
    <row r="922">
      <c r="S922" s="192"/>
    </row>
    <row r="923">
      <c r="S923" s="192"/>
    </row>
    <row r="924">
      <c r="S924" s="192"/>
    </row>
    <row r="925">
      <c r="S925" s="192"/>
    </row>
    <row r="927">
      <c r="S927" s="192"/>
    </row>
    <row r="929">
      <c r="S929" s="192"/>
    </row>
    <row r="930">
      <c r="S930" s="192"/>
    </row>
    <row r="932">
      <c r="S932" s="192"/>
    </row>
    <row r="933">
      <c r="S933" s="192"/>
    </row>
    <row r="934">
      <c r="S934" s="192"/>
    </row>
    <row r="935">
      <c r="S935" s="192"/>
    </row>
    <row r="936">
      <c r="S936" s="192"/>
    </row>
    <row r="938">
      <c r="S938" s="192"/>
    </row>
    <row r="939">
      <c r="S939" s="192"/>
    </row>
    <row r="940">
      <c r="C940" s="192"/>
      <c r="S940" s="192"/>
    </row>
    <row r="941">
      <c r="S941" s="192"/>
    </row>
    <row r="942">
      <c r="S942" s="192"/>
    </row>
    <row r="943">
      <c r="S943" s="192"/>
    </row>
    <row r="944">
      <c r="S944" s="192"/>
    </row>
    <row r="945">
      <c r="S945" s="192"/>
    </row>
    <row r="947">
      <c r="S947" s="192"/>
    </row>
    <row r="948">
      <c r="S948" s="192"/>
    </row>
    <row r="949">
      <c r="S949" s="192"/>
    </row>
    <row r="950">
      <c r="S950" s="192"/>
    </row>
    <row r="951">
      <c r="S951" s="192"/>
    </row>
    <row r="953">
      <c r="S953" s="192"/>
    </row>
    <row r="956">
      <c r="S956" s="192"/>
    </row>
    <row r="958">
      <c r="S958" s="192"/>
    </row>
    <row r="960">
      <c r="S960" s="192"/>
    </row>
    <row r="961">
      <c r="S961" s="192"/>
    </row>
    <row r="962">
      <c r="C962" s="192"/>
      <c r="S962" s="192"/>
    </row>
    <row r="965">
      <c r="S965" s="192"/>
    </row>
    <row r="967">
      <c r="S967" s="192"/>
    </row>
    <row r="968">
      <c r="S968" s="192"/>
    </row>
    <row r="970">
      <c r="S970" s="192"/>
    </row>
    <row r="971">
      <c r="S971" s="192"/>
    </row>
    <row r="973">
      <c r="S973" s="192"/>
    </row>
    <row r="975">
      <c r="S975" s="192"/>
    </row>
    <row r="976">
      <c r="S976" s="192"/>
    </row>
    <row r="977">
      <c r="S977" s="192"/>
    </row>
    <row r="979">
      <c r="S979" s="192"/>
    </row>
    <row r="980">
      <c r="S980" s="192"/>
    </row>
    <row r="981">
      <c r="S981" s="192"/>
    </row>
    <row r="982">
      <c r="S982" s="192"/>
    </row>
    <row r="983">
      <c r="S983" s="192"/>
    </row>
    <row r="985">
      <c r="S985" s="192"/>
    </row>
    <row r="986">
      <c r="S986" s="192"/>
    </row>
    <row r="987">
      <c r="S987" s="192"/>
    </row>
    <row r="989">
      <c r="S989" s="192"/>
    </row>
    <row r="990">
      <c r="S990" s="192"/>
    </row>
    <row r="991">
      <c r="S991" s="192"/>
    </row>
    <row r="992">
      <c r="S992" s="192"/>
    </row>
    <row r="993">
      <c r="C993" s="192"/>
    </row>
    <row r="995">
      <c r="S995" s="192"/>
    </row>
    <row r="996">
      <c r="S996" s="192"/>
    </row>
    <row r="997">
      <c r="S997" s="192"/>
    </row>
    <row r="999">
      <c r="S999" s="192"/>
    </row>
    <row r="1000">
      <c r="S1000" s="192"/>
    </row>
    <row r="1001">
      <c r="S1001" s="192"/>
    </row>
    <row r="1003">
      <c r="S1003" s="192"/>
    </row>
    <row r="1004">
      <c r="S1004" s="192"/>
    </row>
    <row r="1005">
      <c r="S1005" s="192"/>
    </row>
    <row r="1006">
      <c r="S1006" s="192"/>
    </row>
    <row r="1007">
      <c r="S1007" s="192"/>
    </row>
    <row r="1008">
      <c r="S1008" s="192"/>
    </row>
    <row r="1009">
      <c r="S1009" s="192"/>
    </row>
    <row r="1010">
      <c r="S1010" s="192"/>
    </row>
    <row r="1014">
      <c r="S1014" s="192"/>
    </row>
    <row r="1015">
      <c r="S1015" s="192"/>
    </row>
    <row r="1016">
      <c r="S1016" s="192"/>
    </row>
    <row r="1018">
      <c r="S1018" s="192"/>
    </row>
    <row r="1019">
      <c r="S1019" s="192"/>
    </row>
    <row r="1020">
      <c r="S1020" s="192"/>
    </row>
    <row r="1021">
      <c r="S1021" s="192"/>
    </row>
    <row r="1022">
      <c r="S1022" s="192"/>
    </row>
    <row r="1023">
      <c r="S1023" s="192"/>
    </row>
    <row r="1024">
      <c r="S1024" s="192"/>
    </row>
    <row r="1025">
      <c r="S1025" s="192"/>
    </row>
    <row r="1027">
      <c r="S1027" s="192"/>
    </row>
    <row r="1028">
      <c r="S1028" s="192"/>
    </row>
    <row r="1029">
      <c r="S1029" s="192"/>
    </row>
    <row r="1031">
      <c r="S1031" s="192"/>
    </row>
    <row r="1032">
      <c r="S1032" s="192"/>
    </row>
    <row r="1034">
      <c r="S1034" s="192"/>
    </row>
    <row r="1035">
      <c r="S1035" s="192"/>
    </row>
    <row r="1036">
      <c r="S1036" s="192"/>
    </row>
    <row r="1037">
      <c r="S1037" s="192"/>
    </row>
    <row r="1038">
      <c r="S1038" s="192"/>
    </row>
    <row r="1039">
      <c r="S1039" s="192"/>
    </row>
    <row r="1040">
      <c r="S1040" s="192"/>
    </row>
    <row r="1041">
      <c r="S1041" s="192"/>
    </row>
    <row r="1043">
      <c r="S1043" s="192"/>
    </row>
    <row r="1044">
      <c r="S1044" s="192"/>
    </row>
    <row r="1045">
      <c r="S1045" s="192"/>
    </row>
    <row r="1047">
      <c r="S1047" s="192"/>
    </row>
    <row r="1048">
      <c r="S1048" s="192"/>
    </row>
    <row r="1050">
      <c r="S1050" s="192"/>
    </row>
    <row r="1051">
      <c r="S1051" s="192"/>
    </row>
    <row r="1052">
      <c r="S1052" s="192"/>
    </row>
    <row r="1053">
      <c r="S1053" s="192"/>
    </row>
    <row r="1054">
      <c r="S1054" s="192"/>
    </row>
    <row r="1055">
      <c r="S1055" s="192"/>
    </row>
    <row r="1056">
      <c r="S1056" s="192"/>
    </row>
    <row r="1058">
      <c r="S1058" s="192"/>
    </row>
    <row r="1060">
      <c r="S1060" s="192"/>
    </row>
    <row r="1062">
      <c r="S1062" s="192"/>
    </row>
    <row r="1065">
      <c r="S1065" s="192"/>
    </row>
    <row r="1066">
      <c r="S1066" s="192"/>
    </row>
    <row r="1067">
      <c r="S1067" s="192"/>
    </row>
    <row r="1068">
      <c r="S1068" s="192"/>
    </row>
    <row r="1069">
      <c r="S1069" s="192"/>
    </row>
    <row r="1071">
      <c r="S1071" s="192"/>
    </row>
    <row r="1072">
      <c r="C1072" s="192"/>
      <c r="S1072" s="192"/>
    </row>
    <row r="1073">
      <c r="C1073" s="192"/>
    </row>
    <row r="1074">
      <c r="S1074" s="192"/>
    </row>
    <row r="1075">
      <c r="S1075" s="192"/>
    </row>
    <row r="1076">
      <c r="S1076" s="192"/>
    </row>
    <row r="1077">
      <c r="S1077" s="192"/>
    </row>
    <row r="1078">
      <c r="S1078" s="192"/>
    </row>
    <row r="1079">
      <c r="S1079" s="192"/>
    </row>
    <row r="1080">
      <c r="S1080" s="192"/>
    </row>
    <row r="1081">
      <c r="S1081" s="192"/>
    </row>
    <row r="1083">
      <c r="S1083" s="192"/>
    </row>
    <row r="1084">
      <c r="S1084" s="192"/>
    </row>
    <row r="1087">
      <c r="S1087" s="192"/>
    </row>
    <row r="1088">
      <c r="S1088" s="192"/>
    </row>
    <row r="1090">
      <c r="S1090" s="192"/>
    </row>
    <row r="1091">
      <c r="S1091" s="192"/>
    </row>
    <row r="1095">
      <c r="S1095" s="192"/>
    </row>
    <row r="1096">
      <c r="S1096" s="192"/>
    </row>
    <row r="1097">
      <c r="S1097" s="192"/>
    </row>
    <row r="1099">
      <c r="S1099" s="192"/>
    </row>
    <row r="1101">
      <c r="S1101" s="192"/>
    </row>
    <row r="1102">
      <c r="S1102" s="192"/>
    </row>
    <row r="1103">
      <c r="S1103" s="192"/>
    </row>
    <row r="1104">
      <c r="C1104" s="192"/>
      <c r="S1104" s="192"/>
    </row>
    <row r="1105">
      <c r="S1105" s="192"/>
    </row>
    <row r="1106">
      <c r="S1106" s="192"/>
    </row>
    <row r="1107">
      <c r="S1107" s="192"/>
    </row>
    <row r="1109">
      <c r="S1109" s="192"/>
    </row>
    <row r="1110">
      <c r="S1110" s="192"/>
    </row>
    <row r="1111">
      <c r="S1111" s="192"/>
    </row>
    <row r="1112">
      <c r="S1112" s="192"/>
    </row>
    <row r="1113">
      <c r="S1113" s="192"/>
    </row>
    <row r="1114">
      <c r="S1114" s="192"/>
    </row>
    <row r="1115">
      <c r="S1115" s="192"/>
    </row>
    <row r="1116">
      <c r="S1116" s="192"/>
    </row>
    <row r="1117">
      <c r="S1117" s="192"/>
    </row>
    <row r="1119">
      <c r="S1119" s="192"/>
    </row>
    <row r="1120">
      <c r="S1120" s="192"/>
    </row>
    <row r="1121">
      <c r="S1121" s="192"/>
    </row>
    <row r="1122">
      <c r="S1122" s="192"/>
    </row>
    <row r="1124">
      <c r="S1124" s="192"/>
    </row>
    <row r="1125">
      <c r="S1125" s="192"/>
    </row>
    <row r="1126">
      <c r="S1126" s="192"/>
    </row>
    <row r="1127">
      <c r="S1127" s="192"/>
    </row>
    <row r="1129">
      <c r="S1129" s="192"/>
    </row>
    <row r="1130">
      <c r="S1130" s="192"/>
    </row>
    <row r="1132">
      <c r="S1132" s="192"/>
    </row>
    <row r="1133">
      <c r="S1133" s="192"/>
    </row>
    <row r="1134">
      <c r="S1134" s="192"/>
    </row>
    <row r="1135">
      <c r="S1135" s="192"/>
    </row>
    <row r="1137">
      <c r="S1137" s="192"/>
    </row>
    <row r="1139">
      <c r="S1139" s="192"/>
    </row>
    <row r="1142">
      <c r="C1142" s="192"/>
      <c r="S1142" s="192"/>
    </row>
    <row r="1143">
      <c r="C1143" s="192"/>
    </row>
    <row r="1145">
      <c r="S1145" s="192"/>
    </row>
    <row r="1146">
      <c r="S1146" s="192"/>
    </row>
    <row r="1147">
      <c r="S1147" s="192"/>
    </row>
    <row r="1148">
      <c r="S1148" s="192"/>
    </row>
    <row r="1152">
      <c r="S1152" s="192"/>
    </row>
    <row r="1153">
      <c r="S1153" s="192"/>
    </row>
    <row r="1154">
      <c r="S1154" s="192"/>
    </row>
    <row r="1155">
      <c r="S1155" s="192"/>
    </row>
    <row r="1157">
      <c r="S1157" s="192"/>
    </row>
    <row r="1158">
      <c r="S1158" s="192"/>
    </row>
    <row r="1159">
      <c r="S1159" s="192"/>
    </row>
    <row r="1161">
      <c r="S1161" s="192"/>
    </row>
    <row r="1162">
      <c r="S1162" s="192"/>
    </row>
    <row r="1163">
      <c r="S1163" s="192"/>
    </row>
    <row r="1164">
      <c r="S1164" s="192"/>
    </row>
    <row r="1165">
      <c r="S1165" s="192"/>
    </row>
    <row r="1166">
      <c r="S1166" s="192"/>
    </row>
    <row r="1167">
      <c r="S1167" s="192"/>
    </row>
    <row r="1168">
      <c r="S1168" s="192"/>
    </row>
    <row r="1169">
      <c r="S1169" s="192"/>
    </row>
    <row r="1170">
      <c r="S1170" s="192"/>
    </row>
    <row r="1171">
      <c r="S1171" s="192"/>
    </row>
    <row r="1172">
      <c r="S1172" s="192"/>
    </row>
    <row r="1173">
      <c r="S1173" s="192"/>
    </row>
    <row r="1174">
      <c r="S1174" s="192"/>
    </row>
    <row r="1175">
      <c r="S1175" s="192"/>
    </row>
    <row r="1176">
      <c r="S1176" s="192"/>
    </row>
    <row r="1177">
      <c r="S1177" s="192"/>
    </row>
    <row r="1178">
      <c r="S1178" s="192"/>
    </row>
    <row r="1180">
      <c r="C1180" s="192"/>
      <c r="S1180" s="192"/>
    </row>
    <row r="1181">
      <c r="C1181" s="192"/>
    </row>
    <row r="1182">
      <c r="C1182" s="192"/>
      <c r="S1182" s="192"/>
    </row>
    <row r="1183">
      <c r="C1183" s="192"/>
    </row>
    <row r="1184">
      <c r="S1184" s="192"/>
    </row>
    <row r="1185">
      <c r="S1185" s="192"/>
    </row>
    <row r="1186">
      <c r="S1186" s="192"/>
    </row>
    <row r="1189">
      <c r="S1189" s="192"/>
    </row>
    <row r="1190">
      <c r="S1190" s="192"/>
    </row>
    <row r="1192">
      <c r="S1192" s="192"/>
    </row>
    <row r="1193">
      <c r="S1193" s="192"/>
    </row>
    <row r="1194">
      <c r="S1194" s="192"/>
    </row>
    <row r="1196">
      <c r="S1196" s="192"/>
    </row>
    <row r="1197">
      <c r="S1197" s="192"/>
    </row>
    <row r="1198">
      <c r="S1198" s="192"/>
    </row>
    <row r="1200">
      <c r="S1200" s="192"/>
    </row>
    <row r="1201">
      <c r="S1201" s="192"/>
    </row>
    <row r="1202">
      <c r="S1202" s="192"/>
    </row>
    <row r="1203">
      <c r="S1203" s="192"/>
    </row>
    <row r="1209">
      <c r="S1209" s="192"/>
    </row>
    <row r="1210">
      <c r="S1210" s="192"/>
    </row>
    <row r="1211">
      <c r="S1211" s="192"/>
    </row>
    <row r="1213">
      <c r="S1213" s="192"/>
    </row>
    <row r="1214">
      <c r="S1214" s="192"/>
    </row>
    <row r="1215">
      <c r="S1215" s="192"/>
    </row>
    <row r="1216">
      <c r="S1216" s="192"/>
    </row>
    <row r="1217">
      <c r="S1217" s="192"/>
    </row>
    <row r="1218">
      <c r="S1218" s="192"/>
    </row>
    <row r="1219">
      <c r="S1219" s="192"/>
    </row>
    <row r="1220">
      <c r="S1220" s="192"/>
    </row>
    <row r="1222">
      <c r="S1222" s="192"/>
    </row>
    <row r="1224">
      <c r="S1224" s="192"/>
    </row>
    <row r="1225">
      <c r="S1225" s="192"/>
    </row>
    <row r="1226">
      <c r="S1226" s="192"/>
    </row>
    <row r="1227">
      <c r="S1227" s="192"/>
    </row>
    <row r="1228">
      <c r="S1228" s="192"/>
    </row>
    <row r="1229">
      <c r="S1229" s="192"/>
    </row>
    <row r="1230">
      <c r="S1230" s="192"/>
    </row>
    <row r="1231">
      <c r="S1231" s="192"/>
    </row>
    <row r="1232">
      <c r="S1232" s="192"/>
    </row>
    <row r="1233">
      <c r="S1233" s="192"/>
    </row>
    <row r="1234">
      <c r="S1234" s="192"/>
    </row>
    <row r="1235">
      <c r="S1235" s="192"/>
    </row>
    <row r="1237">
      <c r="S1237" s="192"/>
    </row>
    <row r="1239">
      <c r="S1239" s="192"/>
    </row>
    <row r="1240">
      <c r="S1240" s="192"/>
    </row>
    <row r="1243">
      <c r="S1243" s="192"/>
    </row>
    <row r="1244">
      <c r="S1244" s="192"/>
    </row>
    <row r="1245">
      <c r="S1245" s="192"/>
    </row>
    <row r="1246">
      <c r="S1246" s="192"/>
    </row>
    <row r="1247">
      <c r="S1247" s="192"/>
    </row>
    <row r="1248">
      <c r="C1248" s="192"/>
    </row>
    <row r="1251">
      <c r="S1251" s="192"/>
    </row>
    <row r="1253">
      <c r="S1253" s="192"/>
    </row>
    <row r="1254">
      <c r="S1254" s="192"/>
    </row>
    <row r="1255">
      <c r="S1255" s="192"/>
    </row>
    <row r="1256">
      <c r="S1256" s="192"/>
    </row>
    <row r="1258">
      <c r="S1258" s="192"/>
    </row>
    <row r="1259">
      <c r="S1259" s="192"/>
    </row>
    <row r="1260">
      <c r="S1260" s="192"/>
    </row>
    <row r="1261">
      <c r="S1261" s="192"/>
    </row>
    <row r="1262">
      <c r="S1262" s="192"/>
    </row>
    <row r="1264">
      <c r="S1264" s="192"/>
    </row>
    <row r="1265">
      <c r="S1265" s="192"/>
    </row>
    <row r="1267">
      <c r="S1267" s="192"/>
    </row>
    <row r="1268">
      <c r="S1268" s="192"/>
    </row>
    <row r="1269">
      <c r="S1269" s="192"/>
    </row>
    <row r="1270">
      <c r="S1270" s="192"/>
    </row>
    <row r="1272">
      <c r="S1272" s="192"/>
    </row>
    <row r="1273">
      <c r="S1273" s="192"/>
    </row>
    <row r="1275">
      <c r="S1275" s="192"/>
    </row>
    <row r="1277">
      <c r="S1277" s="192"/>
    </row>
    <row r="1278">
      <c r="S1278" s="192"/>
    </row>
    <row r="1279">
      <c r="S1279" s="192"/>
    </row>
    <row r="1280">
      <c r="S1280" s="192"/>
    </row>
    <row r="1281">
      <c r="S1281" s="192"/>
    </row>
    <row r="1285">
      <c r="S1285" s="192"/>
    </row>
    <row r="1286">
      <c r="S1286" s="192"/>
    </row>
    <row r="1287">
      <c r="S1287" s="192"/>
    </row>
    <row r="1288">
      <c r="S1288" s="192"/>
    </row>
    <row r="1289">
      <c r="S1289" s="192"/>
    </row>
    <row r="1290">
      <c r="S1290" s="192"/>
    </row>
    <row r="1291">
      <c r="S1291" s="192"/>
    </row>
    <row r="1421">
      <c r="C1421" s="192"/>
    </row>
    <row r="1501">
      <c r="C1501" s="192"/>
    </row>
    <row r="1571">
      <c r="C1571" s="192"/>
    </row>
    <row r="1609">
      <c r="C1609" s="192"/>
    </row>
    <row r="1611">
      <c r="C1611" s="192"/>
    </row>
    <row r="2338">
      <c r="C2338" s="192"/>
    </row>
    <row r="2495">
      <c r="C2495" s="192"/>
    </row>
    <row r="2636">
      <c r="C2636" s="192"/>
    </row>
    <row r="2777">
      <c r="C2777" s="192"/>
    </row>
    <row r="2849">
      <c r="C2849" s="192"/>
    </row>
    <row r="2992">
      <c r="C2992" s="192"/>
    </row>
    <row r="3013">
      <c r="C3013" s="192"/>
    </row>
    <row r="3213">
      <c r="C3213" s="19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9" t="s">
        <v>1</v>
      </c>
      <c r="B1" s="189" t="s">
        <v>236</v>
      </c>
      <c r="C1" s="189" t="s">
        <v>237</v>
      </c>
      <c r="D1" s="189" t="s">
        <v>238</v>
      </c>
      <c r="E1" s="189" t="s">
        <v>239</v>
      </c>
      <c r="F1" s="189" t="s">
        <v>240</v>
      </c>
      <c r="G1" s="189" t="s">
        <v>241</v>
      </c>
      <c r="H1" s="189" t="s">
        <v>242</v>
      </c>
      <c r="I1" s="189" t="s">
        <v>243</v>
      </c>
      <c r="J1" s="189" t="s">
        <v>244</v>
      </c>
      <c r="K1" s="189" t="s">
        <v>245</v>
      </c>
      <c r="L1" s="189" t="s">
        <v>246</v>
      </c>
      <c r="M1" s="189" t="s">
        <v>247</v>
      </c>
      <c r="N1" s="189" t="s">
        <v>248</v>
      </c>
      <c r="O1" s="189" t="s">
        <v>43</v>
      </c>
      <c r="P1" s="189" t="s">
        <v>59</v>
      </c>
      <c r="Q1" s="189" t="s">
        <v>16</v>
      </c>
      <c r="R1" s="189" t="s">
        <v>35</v>
      </c>
      <c r="S1" s="189" t="s">
        <v>249</v>
      </c>
      <c r="T1" s="189" t="s">
        <v>250</v>
      </c>
      <c r="U1" s="189" t="s">
        <v>251</v>
      </c>
      <c r="V1" s="189" t="s">
        <v>252</v>
      </c>
      <c r="W1" s="189" t="s">
        <v>253</v>
      </c>
      <c r="X1" s="189" t="s">
        <v>254</v>
      </c>
      <c r="Y1" s="189" t="s">
        <v>14</v>
      </c>
      <c r="Z1" s="189" t="s">
        <v>18</v>
      </c>
      <c r="AA1" s="189" t="s">
        <v>13</v>
      </c>
      <c r="AB1" s="189" t="s">
        <v>3</v>
      </c>
      <c r="AC1" s="189" t="s">
        <v>255</v>
      </c>
      <c r="AD1" s="189" t="s">
        <v>2</v>
      </c>
      <c r="AE1" s="189" t="s">
        <v>30</v>
      </c>
      <c r="AF1" s="189" t="s">
        <v>31</v>
      </c>
      <c r="AG1" s="189" t="s">
        <v>32</v>
      </c>
      <c r="AH1" s="189" t="s">
        <v>33</v>
      </c>
      <c r="AI1" s="189" t="s">
        <v>34</v>
      </c>
      <c r="AJ1" s="189" t="s">
        <v>36</v>
      </c>
      <c r="AK1" s="189" t="s">
        <v>37</v>
      </c>
      <c r="AL1" s="189" t="s">
        <v>256</v>
      </c>
      <c r="AM1" s="189" t="s">
        <v>39</v>
      </c>
      <c r="AN1" s="189" t="s">
        <v>257</v>
      </c>
      <c r="AO1" s="189" t="s">
        <v>45</v>
      </c>
      <c r="AP1" s="189" t="s">
        <v>46</v>
      </c>
      <c r="AQ1" s="189" t="s">
        <v>47</v>
      </c>
      <c r="AR1" s="189" t="s">
        <v>258</v>
      </c>
      <c r="AS1" s="189" t="s">
        <v>54</v>
      </c>
      <c r="AT1" s="189" t="s">
        <v>55</v>
      </c>
      <c r="AU1" s="189" t="s">
        <v>56</v>
      </c>
      <c r="AV1" s="189" t="s">
        <v>57</v>
      </c>
    </row>
    <row r="2">
      <c r="A2" s="193">
        <v>45524.0</v>
      </c>
      <c r="B2" s="189" t="s">
        <v>259</v>
      </c>
      <c r="C2" s="189" t="s">
        <v>260</v>
      </c>
      <c r="D2" s="194" t="s">
        <v>25</v>
      </c>
      <c r="E2" s="194" t="s">
        <v>65</v>
      </c>
      <c r="G2" s="194" t="s">
        <v>261</v>
      </c>
    </row>
    <row r="3">
      <c r="A3" s="193">
        <v>45524.0</v>
      </c>
      <c r="B3" s="189" t="s">
        <v>259</v>
      </c>
      <c r="C3" s="189" t="s">
        <v>262</v>
      </c>
      <c r="D3" s="194" t="s">
        <v>65</v>
      </c>
      <c r="E3" s="194" t="s">
        <v>29</v>
      </c>
      <c r="G3" s="194" t="s">
        <v>263</v>
      </c>
    </row>
    <row r="4">
      <c r="A4" s="193">
        <v>45524.0</v>
      </c>
      <c r="B4" s="189" t="s">
        <v>259</v>
      </c>
      <c r="H4" s="189" t="s">
        <v>264</v>
      </c>
      <c r="I4" s="194" t="s">
        <v>51</v>
      </c>
      <c r="J4" s="194" t="s">
        <v>265</v>
      </c>
      <c r="L4" s="194" t="s">
        <v>266</v>
      </c>
      <c r="M4" s="195">
        <v>9.0</v>
      </c>
    </row>
    <row r="5">
      <c r="A5" s="193">
        <v>45524.0</v>
      </c>
      <c r="B5" s="189" t="s">
        <v>259</v>
      </c>
      <c r="H5" s="189" t="s">
        <v>267</v>
      </c>
      <c r="I5" s="194" t="s">
        <v>265</v>
      </c>
      <c r="J5" s="194" t="s">
        <v>268</v>
      </c>
      <c r="L5" s="194" t="s">
        <v>269</v>
      </c>
      <c r="M5" s="195">
        <v>13.0</v>
      </c>
      <c r="N5" s="189" t="b">
        <v>1</v>
      </c>
      <c r="O5" s="195">
        <v>520.0</v>
      </c>
    </row>
    <row r="6">
      <c r="A6" s="193">
        <v>45524.0</v>
      </c>
      <c r="B6" s="189" t="s">
        <v>259</v>
      </c>
      <c r="H6" s="189" t="s">
        <v>270</v>
      </c>
      <c r="I6" s="194" t="s">
        <v>26</v>
      </c>
      <c r="J6" s="194" t="s">
        <v>29</v>
      </c>
      <c r="L6" s="194" t="s">
        <v>271</v>
      </c>
    </row>
    <row r="7">
      <c r="A7" s="193">
        <v>45524.0</v>
      </c>
      <c r="B7" s="189" t="s">
        <v>259</v>
      </c>
      <c r="P7" s="195">
        <v>7.0</v>
      </c>
      <c r="Q7" s="189" t="s">
        <v>260</v>
      </c>
      <c r="R7" s="189" t="s">
        <v>262</v>
      </c>
      <c r="S7" s="195">
        <v>8461.0</v>
      </c>
      <c r="T7" s="195">
        <v>3807.0</v>
      </c>
      <c r="U7" s="195">
        <v>8309.0</v>
      </c>
      <c r="V7" s="195">
        <v>10131.0</v>
      </c>
      <c r="W7" s="195">
        <v>1300.0</v>
      </c>
      <c r="X7" s="195">
        <v>2815.0</v>
      </c>
      <c r="Y7" s="195">
        <v>3723.0</v>
      </c>
      <c r="AA7" s="195">
        <v>1160.0</v>
      </c>
      <c r="AB7" s="195">
        <v>42831.0</v>
      </c>
      <c r="AC7" s="195">
        <v>0.0</v>
      </c>
      <c r="AD7" s="195">
        <v>0.38519359264204933</v>
      </c>
      <c r="AE7" s="195">
        <v>2000.0</v>
      </c>
      <c r="AH7" s="195">
        <v>3420.0</v>
      </c>
      <c r="AI7" s="195">
        <v>520.0</v>
      </c>
      <c r="AJ7" s="195">
        <v>0.0</v>
      </c>
      <c r="AK7" s="195">
        <v>0.0</v>
      </c>
      <c r="AL7" s="195">
        <v>7.0</v>
      </c>
      <c r="AM7" s="189" t="s">
        <v>272</v>
      </c>
      <c r="AN7" s="195">
        <v>1.0</v>
      </c>
      <c r="AO7" s="195">
        <v>107.0</v>
      </c>
      <c r="AP7" s="195">
        <v>29.0</v>
      </c>
      <c r="AQ7" s="195">
        <v>5.0</v>
      </c>
      <c r="AR7" s="195">
        <v>5.0</v>
      </c>
      <c r="AS7" s="195">
        <v>0.2413793103448276</v>
      </c>
      <c r="AT7" s="195">
        <v>5.0</v>
      </c>
      <c r="AU7" s="195">
        <v>0.7586206896551724</v>
      </c>
      <c r="AV7" s="195">
        <v>0.1724137931034483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/>
      <c r="B1" s="196"/>
      <c r="C1" s="197" t="str">
        <f>IFERROR(__xludf.DUMMYFUNCTION("IMPORTRANGE(""1TpIiNTfR1pnpn85VWQTTdvQ2Xcr0GStmWJ2UvfKxG_A"", ""Mzdy!A1:F200"")"),"#REF!")</f>
        <v>#REF!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8" t="str">
        <f>IFERROR(__xludf.DUMMYFUNCTION("IMPORTRANGE(""1TpIiNTfR1pnpn85VWQTTdvQ2Xcr0GStmWJ2UvfKxG_A"", ""Mzdy!ac1:ad200"")"),"#REF!")</f>
        <v>#REF!</v>
      </c>
      <c r="W1" s="199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</row>
    <row r="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9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</row>
    <row r="3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9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</row>
    <row r="4">
      <c r="A4" s="200" t="s">
        <v>273</v>
      </c>
      <c r="B4" s="200" t="s">
        <v>274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9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</row>
    <row r="5">
      <c r="A5" s="196" t="str">
        <f>IF(AND(B5&lt;&gt;"", C5=TRUE, E5=Report!$B$1), B5, "")</f>
        <v/>
      </c>
      <c r="B5" s="201" t="str">
        <f>IF(OR(E5=Report!$B$1, F5=Report!$B$1, G5=Report!$B$1, H5=Report!$B$1), D5, "")</f>
        <v/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9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</row>
    <row r="6">
      <c r="A6" s="196" t="str">
        <f>IF(AND(B6&lt;&gt;"", C6=TRUE, E6=Report!$B$1), B6, "")</f>
        <v/>
      </c>
      <c r="B6" s="201" t="str">
        <f>IF(OR(E6=Report!$B$1, F6=Report!$B$1, G6=Report!$B$1, H6=Report!$B$1), D6, "")</f>
        <v/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9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</row>
    <row r="7">
      <c r="A7" s="196" t="str">
        <f>IF(AND(B7&lt;&gt;"", C7=TRUE, E7=Report!$B$1), B7, "")</f>
        <v/>
      </c>
      <c r="B7" s="201" t="str">
        <f>IF(OR(E7=Report!$B$1, F7=Report!$B$1, G7=Report!$B$1, H7=Report!$B$1), D7, "")</f>
        <v/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9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</row>
    <row r="8">
      <c r="A8" s="196" t="str">
        <f>IF(AND(B8&lt;&gt;"", C8=TRUE, E8=Report!$B$1), B8, "")</f>
        <v/>
      </c>
      <c r="B8" s="201" t="str">
        <f>IF(OR(E8=Report!$B$1, F8=Report!$B$1, G8=Report!$B$1, H8=Report!$B$1), D8, "")</f>
        <v/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9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</row>
    <row r="9">
      <c r="A9" s="196" t="str">
        <f>IF(AND(B9&lt;&gt;"", C9=TRUE, E9=Report!$B$1), B9, "")</f>
        <v/>
      </c>
      <c r="B9" s="201" t="str">
        <f>IF(OR(E9=Report!$B$1, F9=Report!$B$1, G9=Report!$B$1, H9=Report!$B$1), D9, "")</f>
        <v/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9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</row>
    <row r="10">
      <c r="A10" s="196" t="str">
        <f>IF(AND(B10&lt;&gt;"", C10=TRUE, E10=Report!$B$1), B10, "")</f>
        <v/>
      </c>
      <c r="B10" s="201" t="str">
        <f>IF(OR(E10=Report!$B$1, F10=Report!$B$1, G10=Report!$B$1, H10=Report!$B$1), D10, "")</f>
        <v/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9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</row>
    <row r="11">
      <c r="A11" s="196" t="str">
        <f>IF(AND(B11&lt;&gt;"", C11=TRUE, E11=Report!$B$1), B11, "")</f>
        <v/>
      </c>
      <c r="B11" s="201" t="str">
        <f>IF(OR(E11=Report!$B$1, F11=Report!$B$1, G11=Report!$B$1, H11=Report!$B$1), D11, "")</f>
        <v/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9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</row>
    <row r="12">
      <c r="A12" s="196" t="str">
        <f>IF(AND(B12&lt;&gt;"", C12=TRUE, E12=Report!$B$1), B12, "")</f>
        <v/>
      </c>
      <c r="B12" s="201" t="str">
        <f>IF(OR(E12=Report!$B$1, F12=Report!$B$1, G12=Report!$B$1, H12=Report!$B$1), D12, "")</f>
        <v/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9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</row>
    <row r="13">
      <c r="A13" s="196" t="str">
        <f>IF(AND(B13&lt;&gt;"", C13=TRUE, E13=Report!$B$1), B13, "")</f>
        <v/>
      </c>
      <c r="B13" s="201" t="str">
        <f>IF(OR(E13=Report!$B$1, F13=Report!$B$1, G13=Report!$B$1, H13=Report!$B$1), D13, "")</f>
        <v/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9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</row>
    <row r="14">
      <c r="A14" s="196" t="str">
        <f>IF(AND(B14&lt;&gt;"", C14=TRUE, E14=Report!$B$1), B14, "")</f>
        <v/>
      </c>
      <c r="B14" s="201" t="str">
        <f>IF(OR(E14=Report!$B$1, F14=Report!$B$1, G14=Report!$B$1, H14=Report!$B$1), D14, "")</f>
        <v/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9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</row>
    <row r="15">
      <c r="A15" s="196" t="str">
        <f>IF(AND(B15&lt;&gt;"", C15=TRUE, E15=Report!$B$1), B15, "")</f>
        <v/>
      </c>
      <c r="B15" s="201" t="str">
        <f>IF(OR(E15=Report!$B$1, F15=Report!$B$1, G15=Report!$B$1, H15=Report!$B$1), D15, "")</f>
        <v/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9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</row>
    <row r="16">
      <c r="A16" s="196" t="str">
        <f>IF(AND(B16&lt;&gt;"", C16=TRUE, E16=Report!$B$1), B16, "")</f>
        <v/>
      </c>
      <c r="B16" s="201" t="str">
        <f>IF(OR(E16=Report!$B$1, F16=Report!$B$1, G16=Report!$B$1, H16=Report!$B$1), D16, "")</f>
        <v/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9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</row>
    <row r="17">
      <c r="A17" s="196" t="str">
        <f>IF(AND(B17&lt;&gt;"", C17=TRUE, E17=Report!$B$1), B17, "")</f>
        <v/>
      </c>
      <c r="B17" s="201" t="str">
        <f>IF(OR(E17=Report!$B$1, F17=Report!$B$1, G17=Report!$B$1, H17=Report!$B$1), D17, "")</f>
        <v/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9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</row>
    <row r="18">
      <c r="A18" s="196" t="str">
        <f>IF(AND(B18&lt;&gt;"", C18=TRUE, E18=Report!$B$1), B18, "")</f>
        <v/>
      </c>
      <c r="B18" s="201" t="str">
        <f>IF(OR(E18=Report!$B$1, F18=Report!$B$1, G18=Report!$B$1, H18=Report!$B$1), D18, "")</f>
        <v/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9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</row>
    <row r="19">
      <c r="A19" s="196" t="str">
        <f>IF(AND(B19&lt;&gt;"", C19=TRUE, E19=Report!$B$1), B19, "")</f>
        <v/>
      </c>
      <c r="B19" s="201" t="str">
        <f>IF(OR(E19=Report!$B$1, F19=Report!$B$1, G19=Report!$B$1, H19=Report!$B$1), D19, "")</f>
        <v/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9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</row>
    <row r="20">
      <c r="A20" s="196" t="str">
        <f>IF(AND(B20&lt;&gt;"", C20=TRUE, E20=Report!$B$1), B20, "")</f>
        <v/>
      </c>
      <c r="B20" s="201" t="str">
        <f>IF(OR(E20=Report!$B$1, F20=Report!$B$1, G20=Report!$B$1, H20=Report!$B$1), D20, "")</f>
        <v/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9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</row>
    <row r="21">
      <c r="A21" s="196" t="str">
        <f>IF(AND(B21&lt;&gt;"", C21=TRUE, E21=Report!$B$1), B21, "")</f>
        <v/>
      </c>
      <c r="B21" s="201" t="str">
        <f>IF(OR(E21=Report!$B$1, F21=Report!$B$1, G21=Report!$B$1, H21=Report!$B$1), D21, "")</f>
        <v/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9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</row>
    <row r="22">
      <c r="A22" s="196" t="str">
        <f>IF(AND(B22&lt;&gt;"", C22=TRUE, E22=Report!$B$1), B22, "")</f>
        <v/>
      </c>
      <c r="B22" s="201" t="str">
        <f>IF(OR(E22=Report!$B$1, F22=Report!$B$1, G22=Report!$B$1, H22=Report!$B$1), D22, "")</f>
        <v/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9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</row>
    <row r="23">
      <c r="A23" s="196" t="str">
        <f>IF(AND(B23&lt;&gt;"", C23=TRUE, E23=Report!$B$1), B23, "")</f>
        <v/>
      </c>
      <c r="B23" s="201" t="str">
        <f>IF(OR(E23=Report!$B$1, F23=Report!$B$1, G23=Report!$B$1, H23=Report!$B$1), D23, "")</f>
        <v/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9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</row>
    <row r="24">
      <c r="A24" s="196" t="str">
        <f>IF(AND(B24&lt;&gt;"", C24=TRUE, E24=Report!$B$1), B24, "")</f>
        <v/>
      </c>
      <c r="B24" s="201" t="str">
        <f>IF(OR(E24=Report!$B$1, F24=Report!$B$1, G24=Report!$B$1, H24=Report!$B$1), D24, "")</f>
        <v/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9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</row>
    <row r="25">
      <c r="A25" s="196" t="str">
        <f>IF(AND(B25&lt;&gt;"", C25=TRUE, E25=Report!$B$1), B25, "")</f>
        <v/>
      </c>
      <c r="B25" s="201" t="str">
        <f>IF(OR(E25=Report!$B$1, F25=Report!$B$1, G25=Report!$B$1, H25=Report!$B$1), D25, "")</f>
        <v/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9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</row>
    <row r="26">
      <c r="A26" s="196" t="str">
        <f>IF(AND(B26&lt;&gt;"", C26=TRUE, E26=Report!$B$1), B26, "")</f>
        <v/>
      </c>
      <c r="B26" s="201" t="str">
        <f>IF(OR(E26=Report!$B$1, F26=Report!$B$1, G26=Report!$B$1, H26=Report!$B$1), D26, "")</f>
        <v/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9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</row>
    <row r="27">
      <c r="A27" s="196" t="str">
        <f>IF(AND(B27&lt;&gt;"", C27=TRUE, E27=Report!$B$1), B27, "")</f>
        <v/>
      </c>
      <c r="B27" s="201" t="str">
        <f>IF(OR(E27=Report!$B$1, F27=Report!$B$1, G27=Report!$B$1, H27=Report!$B$1), D27, "")</f>
        <v/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9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</row>
    <row r="28">
      <c r="A28" s="196" t="str">
        <f>IF(AND(B28&lt;&gt;"", C28=TRUE, E28=Report!$B$1), B28, "")</f>
        <v/>
      </c>
      <c r="B28" s="201" t="str">
        <f>IF(OR(E28=Report!$B$1, F28=Report!$B$1, G28=Report!$B$1, H28=Report!$B$1), D28, "")</f>
        <v/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9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</row>
    <row r="29">
      <c r="A29" s="196" t="str">
        <f>IF(AND(B29&lt;&gt;"", C29=TRUE, E29=Report!$B$1), B29, "")</f>
        <v/>
      </c>
      <c r="B29" s="201" t="str">
        <f>IF(OR(E29=Report!$B$1, F29=Report!$B$1, G29=Report!$B$1, H29=Report!$B$1), D29, "")</f>
        <v/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9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>
      <c r="A30" s="196" t="str">
        <f>IF(AND(B30&lt;&gt;"", C30=TRUE, E30=Report!$B$1), B30, "")</f>
        <v/>
      </c>
      <c r="B30" s="201" t="str">
        <f>IF(OR(E30=Report!$B$1, F30=Report!$B$1, G30=Report!$B$1, H30=Report!$B$1), D30, "")</f>
        <v/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9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</row>
    <row r="31">
      <c r="A31" s="196" t="str">
        <f>IF(AND(B31&lt;&gt;"", C31=TRUE, E31=Report!$B$1), B31, "")</f>
        <v/>
      </c>
      <c r="B31" s="201" t="str">
        <f>IF(OR(E31=Report!$B$1, F31=Report!$B$1, G31=Report!$B$1, H31=Report!$B$1), D31, "")</f>
        <v/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9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</row>
    <row r="32">
      <c r="A32" s="196" t="str">
        <f>IF(AND(B32&lt;&gt;"", C32=TRUE, E32=Report!$B$1), B32, "")</f>
        <v/>
      </c>
      <c r="B32" s="201" t="str">
        <f>IF(OR(E32=Report!$B$1, F32=Report!$B$1, G32=Report!$B$1, H32=Report!$B$1), D32, "")</f>
        <v/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9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</row>
    <row r="33">
      <c r="A33" s="196" t="str">
        <f>IF(AND(B33&lt;&gt;"", C33=TRUE, E33=Report!$B$1), B33, "")</f>
        <v/>
      </c>
      <c r="B33" s="201" t="str">
        <f>IF(OR(E33=Report!$B$1, F33=Report!$B$1, G33=Report!$B$1, H33=Report!$B$1), D33, "")</f>
        <v/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9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</row>
    <row r="34">
      <c r="A34" s="196" t="str">
        <f>IF(AND(B34&lt;&gt;"", C34=TRUE, E34=Report!$B$1), B34, "")</f>
        <v/>
      </c>
      <c r="B34" s="201" t="str">
        <f>IF(OR(E34=Report!$B$1, F34=Report!$B$1, G34=Report!$B$1, H34=Report!$B$1), D34, "")</f>
        <v/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9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</row>
    <row r="35">
      <c r="A35" s="196" t="str">
        <f>IF(AND(B35&lt;&gt;"", C35=TRUE, E35=Report!$B$1), B35, "")</f>
        <v/>
      </c>
      <c r="B35" s="201" t="str">
        <f>IF(OR(E35=Report!$B$1, F35=Report!$B$1, G35=Report!$B$1, H35=Report!$B$1), D35, "")</f>
        <v/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9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</row>
    <row r="36">
      <c r="A36" s="196" t="str">
        <f>IF(AND(B36&lt;&gt;"", C36=TRUE, E36=Report!$B$1), B36, "")</f>
        <v/>
      </c>
      <c r="B36" s="201" t="str">
        <f>IF(OR(E36=Report!$B$1, F36=Report!$B$1, G36=Report!$B$1, H36=Report!$B$1), D36, "")</f>
        <v/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9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</row>
    <row r="37">
      <c r="A37" s="196" t="str">
        <f>IF(AND(B37&lt;&gt;"", C37=TRUE, E37=Report!$B$1), B37, "")</f>
        <v/>
      </c>
      <c r="B37" s="201" t="str">
        <f>IF(OR(E37=Report!$B$1, F37=Report!$B$1, G37=Report!$B$1, H37=Report!$B$1), D37, "")</f>
        <v/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9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</row>
    <row r="38">
      <c r="A38" s="196" t="str">
        <f>IF(AND(B38&lt;&gt;"", C38=TRUE, E38=Report!$B$1), B38, "")</f>
        <v/>
      </c>
      <c r="B38" s="201" t="str">
        <f>IF(OR(E38=Report!$B$1, F38=Report!$B$1, G38=Report!$B$1, H38=Report!$B$1), D38, "")</f>
        <v/>
      </c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9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</row>
    <row r="39">
      <c r="A39" s="196" t="str">
        <f>IF(AND(B39&lt;&gt;"", C39=TRUE, E39=Report!$B$1), B39, "")</f>
        <v/>
      </c>
      <c r="B39" s="201" t="str">
        <f>IF(OR(E39=Report!$B$1, F39=Report!$B$1, G39=Report!$B$1, H39=Report!$B$1), D39, "")</f>
        <v/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9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</row>
    <row r="40">
      <c r="A40" s="196" t="str">
        <f>IF(AND(B40&lt;&gt;"", C40=TRUE, E40=Report!$B$1), B40, "")</f>
        <v/>
      </c>
      <c r="B40" s="201" t="str">
        <f>IF(OR(E40=Report!$B$1, F40=Report!$B$1, G40=Report!$B$1, H40=Report!$B$1), D40, "")</f>
        <v/>
      </c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9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</row>
    <row r="41">
      <c r="A41" s="196" t="str">
        <f>IF(AND(B41&lt;&gt;"", C41=TRUE, E41=Report!$B$1), B41, "")</f>
        <v/>
      </c>
      <c r="B41" s="201" t="str">
        <f>IF(OR(E41=Report!$B$1, F41=Report!$B$1, G41=Report!$B$1, H41=Report!$B$1), D41, "")</f>
        <v/>
      </c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9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</row>
    <row r="42">
      <c r="A42" s="196" t="str">
        <f>IF(AND(B42&lt;&gt;"", C42=TRUE, E42=Report!$B$1), B42, "")</f>
        <v/>
      </c>
      <c r="B42" s="201" t="str">
        <f>IF(OR(E42=Report!$B$1, F42=Report!$B$1, G42=Report!$B$1, H42=Report!$B$1), D42, "")</f>
        <v/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9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</row>
    <row r="43">
      <c r="A43" s="196" t="str">
        <f>IF(AND(B43&lt;&gt;"", C43=TRUE, E43=Report!$B$1), B43, "")</f>
        <v/>
      </c>
      <c r="B43" s="201" t="str">
        <f>IF(OR(E43=Report!$B$1, F43=Report!$B$1, G43=Report!$B$1, H43=Report!$B$1), D43, "")</f>
        <v/>
      </c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9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</row>
    <row r="44">
      <c r="A44" s="196"/>
      <c r="B44" s="202" t="str">
        <f>IF(OR(E44=Report!$B$1, F44=Report!$B$1, G44=Report!$B$1, H44=Report!$B$1), D44, "")</f>
        <v/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9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</row>
    <row r="45">
      <c r="A45" s="196"/>
      <c r="B45" s="202" t="str">
        <f>IF(OR(E45=Report!$B$1, F45=Report!$B$1, G45=Report!$B$1, H45=Report!$B$1), D45, "")</f>
        <v/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9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</row>
    <row r="46">
      <c r="A46" s="196"/>
      <c r="B46" s="202" t="str">
        <f>IF(OR(E46=Report!$B$1, F46=Report!$B$1, G46=Report!$B$1, H46=Report!$B$1), D46, "")</f>
        <v/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9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</row>
    <row r="47">
      <c r="A47" s="196"/>
      <c r="B47" s="202" t="str">
        <f>IF(OR(E47=Report!$B$1, F47=Report!$B$1, G47=Report!$B$1, H47=Report!$B$1), D47, "")</f>
        <v/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9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</row>
    <row r="48">
      <c r="A48" s="196"/>
      <c r="B48" s="202" t="str">
        <f>IF(OR(E48=Report!$B$1, F48=Report!$B$1, G48=Report!$B$1, H48=Report!$B$1), D48, "")</f>
        <v/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9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</row>
    <row r="49">
      <c r="A49" s="196"/>
      <c r="B49" s="202" t="str">
        <f>IF(OR(E49=Report!$B$1, F49=Report!$B$1, G49=Report!$B$1, H49=Report!$B$1), D49, "")</f>
        <v/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9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</row>
    <row r="50">
      <c r="A50" s="196"/>
      <c r="B50" s="202" t="str">
        <f>IF(OR(E50=Report!$B$1, F50=Report!$B$1, G50=Report!$B$1, H50=Report!$B$1), D50, "")</f>
        <v/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9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</row>
    <row r="51">
      <c r="A51" s="196"/>
      <c r="B51" s="202" t="str">
        <f>IF(OR(E51=Report!$B$1, F51=Report!$B$1, G51=Report!$B$1, H51=Report!$B$1), D51, "")</f>
        <v/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9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</row>
    <row r="52">
      <c r="A52" s="196"/>
      <c r="B52" s="202" t="str">
        <f>IF(OR(E52=Report!$B$1, F52=Report!$B$1, G52=Report!$B$1, H52=Report!$B$1), D52, "")</f>
        <v/>
      </c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9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</row>
    <row r="53">
      <c r="A53" s="196"/>
      <c r="B53" s="202" t="str">
        <f>IF(OR(E53=Report!$B$1, F53=Report!$B$1, G53=Report!$B$1, H53=Report!$B$1), D53, "")</f>
        <v/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9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</row>
    <row r="54">
      <c r="A54" s="196"/>
      <c r="B54" s="202" t="str">
        <f>IF(OR(E54=Report!$B$1, F54=Report!$B$1, G54=Report!$B$1, H54=Report!$B$1), D54, "")</f>
        <v/>
      </c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9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</row>
    <row r="55">
      <c r="A55" s="196"/>
      <c r="B55" s="202" t="str">
        <f>IF(OR(E55=Report!$B$1, F55=Report!$B$1, G55=Report!$B$1, H55=Report!$B$1), D55, "")</f>
        <v/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9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</row>
    <row r="56">
      <c r="A56" s="196"/>
      <c r="B56" s="202" t="str">
        <f>IF(OR(E56=Report!$B$1, F56=Report!$B$1, G56=Report!$B$1, H56=Report!$B$1), D56, "")</f>
        <v/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9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</row>
    <row r="57">
      <c r="A57" s="196"/>
      <c r="B57" s="202" t="str">
        <f>IF(OR(E57=Report!$B$1, F57=Report!$B$1, G57=Report!$B$1, H57=Report!$B$1), D57, "")</f>
        <v/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9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</row>
    <row r="58">
      <c r="A58" s="196"/>
      <c r="B58" s="202" t="str">
        <f>IF(OR(E58=Report!$B$1, F58=Report!$B$1, G58=Report!$B$1, H58=Report!$B$1), D58, "")</f>
        <v/>
      </c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9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</row>
    <row r="59">
      <c r="A59" s="196"/>
      <c r="B59" s="202" t="str">
        <f>IF(OR(E59=Report!$B$1, F59=Report!$B$1, G59=Report!$B$1, H59=Report!$B$1), D59, "")</f>
        <v/>
      </c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9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</row>
    <row r="60">
      <c r="A60" s="196"/>
      <c r="B60" s="202" t="str">
        <f>IF(OR(E60=Report!$B$1, F60=Report!$B$1, G60=Report!$B$1, H60=Report!$B$1), D60, "")</f>
        <v/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9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</row>
    <row r="61">
      <c r="A61" s="196"/>
      <c r="B61" s="201" t="str">
        <f>IF(OR(E61=Report!$B$1, F61=Report!$B$1, G61=Report!$B$1, H61=Report!$B$1), D61, "")</f>
        <v/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9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</row>
    <row r="62">
      <c r="A62" s="196"/>
      <c r="B62" s="201" t="str">
        <f>IF(OR(E62=Report!$B$1, F62=Report!$B$1, G62=Report!$B$1, H62=Report!$B$1), D62, "")</f>
        <v/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9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</row>
    <row r="63">
      <c r="A63" s="196"/>
      <c r="B63" s="201" t="str">
        <f>IF(OR(E63=Report!$B$1, F63=Report!$B$1, G63=Report!$B$1, H63=Report!$B$1), D63, "")</f>
        <v/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9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</row>
    <row r="64">
      <c r="A64" s="196"/>
      <c r="B64" s="201" t="str">
        <f>IF(OR(E64=Report!$B$1, F64=Report!$B$1, G64=Report!$B$1, H64=Report!$B$1), D64, "")</f>
        <v/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9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</row>
    <row r="65">
      <c r="A65" s="196"/>
      <c r="B65" s="201" t="str">
        <f>IF(OR(E65=Report!$B$1, F65=Report!$B$1, G65=Report!$B$1, H65=Report!$B$1), D65, "")</f>
        <v/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9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</row>
    <row r="66">
      <c r="A66" s="196"/>
      <c r="B66" s="201" t="str">
        <f>IF(OR(E66=Report!$B$1, F66=Report!$B$1, G66=Report!$B$1, H66=Report!$B$1), D66, "")</f>
        <v/>
      </c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9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</row>
    <row r="67">
      <c r="A67" s="196"/>
      <c r="B67" s="201" t="str">
        <f>IF(OR(E67=Report!$B$1, F67=Report!$B$1, G67=Report!$B$1, H67=Report!$B$1), D67, "")</f>
        <v/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9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</row>
    <row r="68">
      <c r="A68" s="196"/>
      <c r="B68" s="201" t="str">
        <f>IF(OR(E68=Report!$B$1, F68=Report!$B$1, G68=Report!$B$1, H68=Report!$B$1), D68, "")</f>
        <v/>
      </c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9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</row>
    <row r="69">
      <c r="A69" s="196"/>
      <c r="B69" s="201" t="str">
        <f>IF(OR(E69=Report!$B$1, F69=Report!$B$1, G69=Report!$B$1, H69=Report!$B$1), D69, "")</f>
        <v/>
      </c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9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</row>
    <row r="70">
      <c r="A70" s="196"/>
      <c r="B70" s="201" t="str">
        <f>IF(OR(E70=Report!$B$1, F70=Report!$B$1, G70=Report!$B$1, H70=Report!$B$1), D70, "")</f>
        <v/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9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</row>
    <row r="71">
      <c r="A71" s="196"/>
      <c r="B71" s="201" t="str">
        <f>IF(OR(E71=Report!$B$1, F71=Report!$B$1, G71=Report!$B$1, H71=Report!$B$1), D71, "")</f>
        <v/>
      </c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9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</row>
    <row r="72">
      <c r="A72" s="196"/>
      <c r="B72" s="201" t="str">
        <f>IF(OR(E72=Report!$B$1, F72=Report!$B$1, G72=Report!$B$1, H72=Report!$B$1), D72, "")</f>
        <v/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9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</row>
    <row r="73">
      <c r="A73" s="196"/>
      <c r="B73" s="201" t="str">
        <f>IF(OR(E73=Report!$B$1, F73=Report!$B$1, G73=Report!$B$1, H73=Report!$B$1), D73, "")</f>
        <v/>
      </c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9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</row>
    <row r="74">
      <c r="A74" s="196"/>
      <c r="B74" s="201" t="str">
        <f>IF(OR(E74=Report!$B$1, F74=Report!$B$1, G74=Report!$B$1, H74=Report!$B$1), D74, "")</f>
        <v/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9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</row>
    <row r="75">
      <c r="A75" s="196"/>
      <c r="B75" s="201" t="str">
        <f>IF(OR(E75=Report!$B$1, F75=Report!$B$1, G75=Report!$B$1, H75=Report!$B$1), D75, "")</f>
        <v/>
      </c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9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</row>
    <row r="76">
      <c r="A76" s="196"/>
      <c r="B76" s="201" t="str">
        <f>IF(OR(E76=Report!$B$1, F76=Report!$B$1, G76=Report!$B$1, H76=Report!$B$1), D76, "")</f>
        <v/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9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</row>
    <row r="77">
      <c r="A77" s="196"/>
      <c r="B77" s="201" t="str">
        <f>IF(OR(E77=Report!$B$1, F77=Report!$B$1, G77=Report!$B$1, H77=Report!$B$1), D77, "")</f>
        <v/>
      </c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9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</row>
    <row r="78">
      <c r="A78" s="196"/>
      <c r="B78" s="201" t="str">
        <f>IF(OR(E78=Report!$B$1, F78=Report!$B$1, G78=Report!$B$1, H78=Report!$B$1), D78, "")</f>
        <v/>
      </c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9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</row>
    <row r="79">
      <c r="A79" s="196"/>
      <c r="B79" s="201" t="str">
        <f>IF(OR(E79=Report!$B$1, F79=Report!$B$1, G79=Report!$B$1, H79=Report!$B$1), D79, "")</f>
        <v/>
      </c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9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</row>
    <row r="80">
      <c r="A80" s="196"/>
      <c r="B80" s="201" t="str">
        <f>IF(OR(E80=Report!$B$1, F80=Report!$B$1, G80=Report!$B$1, H80=Report!$B$1), D80, "")</f>
        <v/>
      </c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9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</row>
    <row r="81">
      <c r="A81" s="196"/>
      <c r="B81" s="201" t="str">
        <f>IF(OR(E81=Report!$B$1, F81=Report!$B$1, G81=Report!$B$1, H81=Report!$B$1), D81, "")</f>
        <v/>
      </c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9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</row>
    <row r="82">
      <c r="A82" s="196"/>
      <c r="B82" s="201" t="str">
        <f>IF(OR(E82=Report!$B$1, F82=Report!$B$1, G82=Report!$B$1, H82=Report!$B$1), D82, "")</f>
        <v/>
      </c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9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</row>
    <row r="83">
      <c r="A83" s="196"/>
      <c r="B83" s="201" t="str">
        <f>IF(OR(E83=Report!$B$1, F83=Report!$B$1, G83=Report!$B$1, H83=Report!$B$1), D83, "")</f>
        <v/>
      </c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9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</row>
    <row r="84">
      <c r="A84" s="196"/>
      <c r="B84" s="201" t="str">
        <f>IF(OR(E84=Report!$B$1, F84=Report!$B$1, G84=Report!$B$1, H84=Report!$B$1), D84, "")</f>
        <v/>
      </c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9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</row>
    <row r="85">
      <c r="A85" s="196"/>
      <c r="B85" s="201" t="str">
        <f>IF(OR(E85=Report!$B$1, F85=Report!$B$1, G85=Report!$B$1, H85=Report!$B$1), D85, "")</f>
        <v/>
      </c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9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</row>
    <row r="86">
      <c r="A86" s="196"/>
      <c r="B86" s="201" t="str">
        <f>IF(OR(E86=Report!$B$1, F86=Report!$B$1, G86=Report!$B$1, H86=Report!$B$1), D86, "")</f>
        <v/>
      </c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9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</row>
    <row r="87">
      <c r="A87" s="196"/>
      <c r="B87" s="201" t="str">
        <f>IF(OR(E87=Report!$B$1, F87=Report!$B$1, G87=Report!$B$1, H87=Report!$B$1), D87, "")</f>
        <v/>
      </c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9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</row>
    <row r="88">
      <c r="A88" s="196"/>
      <c r="B88" s="201" t="str">
        <f>IF(OR(E88=Report!$B$1, F88=Report!$B$1, G88=Report!$B$1, H88=Report!$B$1), D88, "")</f>
        <v/>
      </c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9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</row>
    <row r="89">
      <c r="A89" s="196"/>
      <c r="B89" s="201" t="str">
        <f>IF(OR(E89=Report!$B$1, F89=Report!$B$1, G89=Report!$B$1, H89=Report!$B$1), D89, "")</f>
        <v/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9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</row>
    <row r="90">
      <c r="A90" s="196"/>
      <c r="B90" s="201" t="str">
        <f>IF(OR(E90=Report!$B$1, F90=Report!$B$1, G90=Report!$B$1, H90=Report!$B$1), D90, "")</f>
        <v/>
      </c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9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</row>
    <row r="91">
      <c r="A91" s="196"/>
      <c r="B91" s="201" t="str">
        <f>IF(OR(E91=Report!$B$1, F91=Report!$B$1, G91=Report!$B$1, H91=Report!$B$1), D91, "")</f>
        <v/>
      </c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9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</row>
    <row r="92">
      <c r="A92" s="196"/>
      <c r="B92" s="201" t="str">
        <f>IF(OR(E92=Report!$B$1, F92=Report!$B$1, G92=Report!$B$1, H92=Report!$B$1), D92, "")</f>
        <v/>
      </c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9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</row>
    <row r="93">
      <c r="A93" s="196"/>
      <c r="B93" s="201" t="str">
        <f>IF(OR(E93=Report!$B$1, F93=Report!$B$1, G93=Report!$B$1, H93=Report!$B$1), D93, "")</f>
        <v/>
      </c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9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</row>
    <row r="94">
      <c r="A94" s="196"/>
      <c r="B94" s="201" t="str">
        <f>IF(OR(E94=Report!$B$1, F94=Report!$B$1, G94=Report!$B$1, H94=Report!$B$1), D94, "")</f>
        <v/>
      </c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9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</row>
    <row r="95">
      <c r="A95" s="196"/>
      <c r="B95" s="201" t="str">
        <f>IF(OR(E95=Report!$B$1, F95=Report!$B$1, G95=Report!$B$1, H95=Report!$B$1), D95, "")</f>
        <v/>
      </c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9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</row>
    <row r="96">
      <c r="A96" s="196"/>
      <c r="B96" s="201" t="str">
        <f>IF(OR(E96=Report!$B$1, F96=Report!$B$1, G96=Report!$B$1, H96=Report!$B$1), D96, "")</f>
        <v/>
      </c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9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</row>
    <row r="97">
      <c r="A97" s="196"/>
      <c r="B97" s="201" t="str">
        <f>IF(OR(E97=Report!$B$1, F97=Report!$B$1, G97=Report!$B$1, H97=Report!$B$1), D97, "")</f>
        <v/>
      </c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9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</row>
    <row r="98">
      <c r="A98" s="196"/>
      <c r="B98" s="201" t="str">
        <f>IF(OR(E98=Report!$B$1, F98=Report!$B$1, G98=Report!$B$1, H98=Report!$B$1), D98, "")</f>
        <v/>
      </c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9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</row>
    <row r="99">
      <c r="A99" s="196"/>
      <c r="B99" s="201" t="str">
        <f>IF(OR(E99=Report!$B$1, F99=Report!$B$1, G99=Report!$B$1, H99=Report!$B$1), D99, "")</f>
        <v/>
      </c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9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</row>
    <row r="100">
      <c r="A100" s="196"/>
      <c r="B100" s="201" t="str">
        <f>IF(OR(E100=Report!$B$1, F100=Report!$B$1, G100=Report!$B$1, H100=Report!$B$1), D100, "")</f>
        <v/>
      </c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9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</row>
    <row r="101">
      <c r="A101" s="196"/>
      <c r="B101" s="201" t="str">
        <f>IF(OR(E101=Report!$B$1, F101=Report!$B$1, G101=Report!$B$1, H101=Report!$B$1), D101, "")</f>
        <v/>
      </c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9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</row>
    <row r="102">
      <c r="A102" s="196"/>
      <c r="B102" s="201" t="str">
        <f>IF(OR(E102=Report!$B$1, F102=Report!$B$1, G102=Report!$B$1, H102=Report!$B$1), D102, "")</f>
        <v/>
      </c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9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</row>
    <row r="103">
      <c r="A103" s="196"/>
      <c r="B103" s="201" t="str">
        <f>IF(OR(E103=Report!$B$1, F103=Report!$B$1, G103=Report!$B$1, H103=Report!$B$1), D103, "")</f>
        <v/>
      </c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9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</row>
    <row r="104">
      <c r="A104" s="196"/>
      <c r="B104" s="201" t="str">
        <f>IF(OR(E104=Report!$B$1, F104=Report!$B$1, G104=Report!$B$1, H104=Report!$B$1), D104, "")</f>
        <v/>
      </c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9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</row>
    <row r="105">
      <c r="A105" s="196"/>
      <c r="B105" s="201" t="str">
        <f>IF(OR(E105=Report!$B$1, F105=Report!$B$1, G105=Report!$B$1, H105=Report!$B$1), D105, "")</f>
        <v/>
      </c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9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</row>
    <row r="106">
      <c r="A106" s="196"/>
      <c r="B106" s="201" t="str">
        <f>IF(OR(E106=Report!$B$1, F106=Report!$B$1, G106=Report!$B$1, H106=Report!$B$1), D106, "")</f>
        <v/>
      </c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9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</row>
    <row r="107">
      <c r="A107" s="196"/>
      <c r="B107" s="201" t="str">
        <f>IF(OR(E107=Report!$B$1, F107=Report!$B$1, G107=Report!$B$1, H107=Report!$B$1), D107, "")</f>
        <v/>
      </c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9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</row>
    <row r="108">
      <c r="A108" s="196"/>
      <c r="B108" s="201" t="str">
        <f>IF(OR(E108=Report!$B$1, F108=Report!$B$1, G108=Report!$B$1, H108=Report!$B$1), D108, "")</f>
        <v/>
      </c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9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</row>
    <row r="109">
      <c r="A109" s="196"/>
      <c r="B109" s="201" t="str">
        <f>IF(OR(E109=Report!$B$1, F109=Report!$B$1, G109=Report!$B$1, H109=Report!$B$1), D109, "")</f>
        <v/>
      </c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9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</row>
    <row r="110">
      <c r="A110" s="196"/>
      <c r="B110" s="201" t="str">
        <f>IF(OR(E110=Report!$B$1, F110=Report!$B$1, G110=Report!$B$1, H110=Report!$B$1), D110, "")</f>
        <v/>
      </c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9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</row>
    <row r="111">
      <c r="A111" s="196"/>
      <c r="B111" s="201" t="str">
        <f>IF(OR(E111=Report!$B$1, F111=Report!$B$1, G111=Report!$B$1, H111=Report!$B$1), D111, "")</f>
        <v/>
      </c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9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</row>
    <row r="112">
      <c r="A112" s="196"/>
      <c r="B112" s="201" t="str">
        <f>IF(OR(E112=Report!$B$1, F112=Report!$B$1, G112=Report!$B$1, H112=Report!$B$1), D112, "")</f>
        <v/>
      </c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9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</row>
    <row r="113">
      <c r="A113" s="196"/>
      <c r="B113" s="201" t="str">
        <f>IF(OR(E113=Report!$B$1, F113=Report!$B$1, G113=Report!$B$1, H113=Report!$B$1), D113, "")</f>
        <v/>
      </c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9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</row>
    <row r="114">
      <c r="A114" s="196"/>
      <c r="B114" s="201" t="str">
        <f>IF(OR(E114=Report!$B$1, F114=Report!$B$1, G114=Report!$B$1, H114=Report!$B$1), D114, "")</f>
        <v/>
      </c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9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</row>
    <row r="115">
      <c r="A115" s="196"/>
      <c r="B115" s="201" t="str">
        <f>IF(OR(E115=Report!$B$1, F115=Report!$B$1, G115=Report!$B$1, H115=Report!$B$1), D115, "")</f>
        <v/>
      </c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9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</row>
    <row r="116">
      <c r="A116" s="196"/>
      <c r="B116" s="201" t="str">
        <f>IF(OR(E116=Report!$B$1, F116=Report!$B$1, G116=Report!$B$1, H116=Report!$B$1), D116, "")</f>
        <v/>
      </c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9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</row>
    <row r="117">
      <c r="A117" s="196"/>
      <c r="B117" s="201" t="str">
        <f>IF(OR(E117=Report!$B$1, F117=Report!$B$1, G117=Report!$B$1, H117=Report!$B$1), D117, "")</f>
        <v/>
      </c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9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</row>
    <row r="118">
      <c r="A118" s="196"/>
      <c r="B118" s="201" t="str">
        <f>IF(OR(E118=Report!$B$1, F118=Report!$B$1, G118=Report!$B$1, H118=Report!$B$1), D118, "")</f>
        <v/>
      </c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9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</row>
    <row r="119">
      <c r="A119" s="196"/>
      <c r="B119" s="201" t="str">
        <f>IF(OR(E119=Report!$B$1, F119=Report!$B$1, G119=Report!$B$1, H119=Report!$B$1), D119, "")</f>
        <v/>
      </c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9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</row>
    <row r="120">
      <c r="A120" s="196"/>
      <c r="B120" s="201" t="str">
        <f>IF(OR(E120=Report!$B$1, F120=Report!$B$1, G120=Report!$B$1, H120=Report!$B$1), D120, "")</f>
        <v/>
      </c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9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</row>
    <row r="121">
      <c r="A121" s="196"/>
      <c r="B121" s="201" t="str">
        <f>IF(OR(E121=Report!$B$1, F121=Report!$B$1, G121=Report!$B$1, H121=Report!$B$1), D121, "")</f>
        <v/>
      </c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9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</row>
    <row r="122">
      <c r="A122" s="196"/>
      <c r="B122" s="201" t="str">
        <f>IF(OR(E122=Report!$B$1, F122=Report!$B$1, G122=Report!$B$1, H122=Report!$B$1), D122, "")</f>
        <v/>
      </c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9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</row>
    <row r="123">
      <c r="A123" s="196"/>
      <c r="B123" s="201" t="str">
        <f>IF(OR(E123=Report!$B$1, F123=Report!$B$1, G123=Report!$B$1, H123=Report!$B$1), D123, "")</f>
        <v/>
      </c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9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</row>
    <row r="124">
      <c r="A124" s="196"/>
      <c r="B124" s="201" t="str">
        <f>IF(OR(E124=Report!$B$1, F124=Report!$B$1, G124=Report!$B$1, H124=Report!$B$1), D124, "")</f>
        <v/>
      </c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9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</row>
    <row r="125">
      <c r="A125" s="196"/>
      <c r="B125" s="201" t="str">
        <f>IF(OR(E125=Report!$B$1, F125=Report!$B$1, G125=Report!$B$1, H125=Report!$B$1), D125, "")</f>
        <v/>
      </c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9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</row>
    <row r="126">
      <c r="A126" s="196"/>
      <c r="B126" s="201" t="str">
        <f>IF(OR(E126=Report!$B$1, F126=Report!$B$1, G126=Report!$B$1, H126=Report!$B$1), D126, "")</f>
        <v/>
      </c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9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</row>
    <row r="127">
      <c r="A127" s="196"/>
      <c r="B127" s="201" t="str">
        <f>IF(OR(E127=Report!$B$1, F127=Report!$B$1, G127=Report!$B$1, H127=Report!$B$1), D127, "")</f>
        <v/>
      </c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9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</row>
    <row r="128">
      <c r="A128" s="196"/>
      <c r="B128" s="201" t="str">
        <f>IF(OR(E128=Report!$B$1, F128=Report!$B$1, G128=Report!$B$1, H128=Report!$B$1), D128, "")</f>
        <v/>
      </c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9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</row>
    <row r="129">
      <c r="A129" s="196"/>
      <c r="B129" s="201" t="str">
        <f>IF(OR(E129=Report!$B$1, F129=Report!$B$1, G129=Report!$B$1, H129=Report!$B$1), D129, "")</f>
        <v/>
      </c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9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</row>
    <row r="130">
      <c r="A130" s="196"/>
      <c r="B130" s="201" t="str">
        <f>IF(OR(E130=Report!$B$1, F130=Report!$B$1, G130=Report!$B$1, H130=Report!$B$1), D130, "")</f>
        <v/>
      </c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9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</row>
    <row r="131">
      <c r="A131" s="196"/>
      <c r="B131" s="201" t="str">
        <f>IF(OR(E131=Report!$B$1, F131=Report!$B$1, G131=Report!$B$1, H131=Report!$B$1), D131, "")</f>
        <v/>
      </c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9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</row>
    <row r="132">
      <c r="A132" s="196"/>
      <c r="B132" s="201" t="str">
        <f>IF(OR(E132=Report!$B$1, F132=Report!$B$1, G132=Report!$B$1, H132=Report!$B$1), D132, "")</f>
        <v/>
      </c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9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</row>
    <row r="133">
      <c r="A133" s="196"/>
      <c r="B133" s="201" t="str">
        <f>IF(OR(E133=Report!$B$1, F133=Report!$B$1, G133=Report!$B$1, H133=Report!$B$1), D133, "")</f>
        <v/>
      </c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9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</row>
    <row r="134">
      <c r="A134" s="196"/>
      <c r="B134" s="201" t="str">
        <f>IF(OR(E134=Report!$B$1, F134=Report!$B$1, G134=Report!$B$1, H134=Report!$B$1), D134, "")</f>
        <v/>
      </c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9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</row>
    <row r="135">
      <c r="A135" s="196"/>
      <c r="B135" s="201" t="str">
        <f>IF(OR(E135=Report!$B$1, F135=Report!$B$1, G135=Report!$B$1, H135=Report!$B$1), D135, "")</f>
        <v/>
      </c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9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</row>
    <row r="136">
      <c r="A136" s="196"/>
      <c r="B136" s="201" t="str">
        <f>IF(OR(E136=Report!$B$1, F136=Report!$B$1, G136=Report!$B$1, H136=Report!$B$1), D136, "")</f>
        <v/>
      </c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9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</row>
    <row r="137">
      <c r="A137" s="196"/>
      <c r="B137" s="201" t="str">
        <f>IF(OR(E137=Report!$B$1, F137=Report!$B$1, G137=Report!$B$1, H137=Report!$B$1), D137, "")</f>
        <v/>
      </c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9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</row>
    <row r="138">
      <c r="A138" s="196"/>
      <c r="B138" s="201" t="str">
        <f>IF(OR(E138=Report!$B$1, F138=Report!$B$1, G138=Report!$B$1, H138=Report!$B$1), D138, "")</f>
        <v/>
      </c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9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</row>
    <row r="139">
      <c r="A139" s="196"/>
      <c r="B139" s="201" t="str">
        <f>IF(OR(E139=Report!$B$1, F139=Report!$B$1, G139=Report!$B$1, H139=Report!$B$1), D139, "")</f>
        <v/>
      </c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9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</row>
    <row r="140">
      <c r="A140" s="196"/>
      <c r="B140" s="201" t="str">
        <f>IF(OR(E140=Report!$B$1, F140=Report!$B$1, G140=Report!$B$1, H140=Report!$B$1), D140, "")</f>
        <v/>
      </c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9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</row>
    <row r="141">
      <c r="A141" s="196"/>
      <c r="B141" s="201" t="str">
        <f>IF(OR(E141=Report!$B$1, F141=Report!$B$1, G141=Report!$B$1, H141=Report!$B$1), D141, "")</f>
        <v/>
      </c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9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</row>
    <row r="142">
      <c r="A142" s="196"/>
      <c r="B142" s="201" t="str">
        <f>IF(OR(E142=Report!$B$1, F142=Report!$B$1, G142=Report!$B$1, H142=Report!$B$1), D142, "")</f>
        <v/>
      </c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9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</row>
    <row r="143">
      <c r="A143" s="196"/>
      <c r="B143" s="201" t="str">
        <f>IF(OR(E143=Report!$B$1, F143=Report!$B$1, G143=Report!$B$1, H143=Report!$B$1), D143, "")</f>
        <v/>
      </c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9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</row>
    <row r="144">
      <c r="A144" s="196"/>
      <c r="B144" s="201" t="str">
        <f>IF(OR(E144=Report!$B$1, F144=Report!$B$1, G144=Report!$B$1, H144=Report!$B$1), D144, "")</f>
        <v/>
      </c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9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</row>
    <row r="145">
      <c r="A145" s="196"/>
      <c r="B145" s="201" t="str">
        <f>IF(OR(E145=Report!$B$1, F145=Report!$B$1, G145=Report!$B$1, H145=Report!$B$1), D145, "")</f>
        <v/>
      </c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9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</row>
    <row r="146">
      <c r="A146" s="196"/>
      <c r="B146" s="201" t="str">
        <f>IF(OR(E146=Report!$B$1, F146=Report!$B$1, G146=Report!$B$1, H146=Report!$B$1), D146, "")</f>
        <v/>
      </c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9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</row>
    <row r="147">
      <c r="A147" s="196"/>
      <c r="B147" s="201" t="str">
        <f>IF(OR(E147=Report!$B$1, F147=Report!$B$1, G147=Report!$B$1, H147=Report!$B$1), D147, "")</f>
        <v/>
      </c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9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</row>
    <row r="148">
      <c r="A148" s="196"/>
      <c r="B148" s="201" t="str">
        <f>IF(OR(E148=Report!$B$1, F148=Report!$B$1, G148=Report!$B$1, H148=Report!$B$1), D148, "")</f>
        <v/>
      </c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9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</row>
    <row r="149">
      <c r="A149" s="196"/>
      <c r="B149" s="201" t="str">
        <f>IF(OR(E149=Report!$B$1, F149=Report!$B$1, G149=Report!$B$1, H149=Report!$B$1), D149, "")</f>
        <v/>
      </c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9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</row>
    <row r="150">
      <c r="A150" s="196"/>
      <c r="B150" s="201" t="str">
        <f>IF(OR(E150=Report!$B$1, F150=Report!$B$1, G150=Report!$B$1, H150=Report!$B$1), D150, "")</f>
        <v/>
      </c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9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</row>
    <row r="151">
      <c r="A151" s="196"/>
      <c r="B151" s="201" t="str">
        <f>IF(OR(E151=Report!$B$1, F151=Report!$B$1, G151=Report!$B$1, H151=Report!$B$1), D151, "")</f>
        <v/>
      </c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9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</row>
    <row r="152">
      <c r="A152" s="196"/>
      <c r="B152" s="201" t="str">
        <f>IF(OR(E152=Report!$B$1, F152=Report!$B$1, G152=Report!$B$1, H152=Report!$B$1), D152, "")</f>
        <v/>
      </c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9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</row>
    <row r="153">
      <c r="A153" s="196"/>
      <c r="B153" s="201" t="str">
        <f>IF(OR(E153=Report!$B$1, F153=Report!$B$1, G153=Report!$B$1, H153=Report!$B$1), D153, "")</f>
        <v/>
      </c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9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</row>
    <row r="154">
      <c r="A154" s="196"/>
      <c r="B154" s="201" t="str">
        <f>IF(OR(E154=Report!$B$1, F154=Report!$B$1, G154=Report!$B$1, H154=Report!$B$1), D154, "")</f>
        <v/>
      </c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9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</row>
    <row r="155">
      <c r="A155" s="196"/>
      <c r="B155" s="201" t="str">
        <f>IF(OR(E155=Report!$B$1, F155=Report!$B$1, G155=Report!$B$1, H155=Report!$B$1), D155, "")</f>
        <v/>
      </c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9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</row>
    <row r="156">
      <c r="A156" s="196"/>
      <c r="B156" s="201" t="str">
        <f>IF(OR(E156=Report!$B$1, F156=Report!$B$1, G156=Report!$B$1, H156=Report!$B$1), D156, "")</f>
        <v/>
      </c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9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</row>
    <row r="157">
      <c r="A157" s="196"/>
      <c r="B157" s="201" t="str">
        <f>IF(OR(E157=Report!$B$1, F157=Report!$B$1, G157=Report!$B$1, H157=Report!$B$1), D157, "")</f>
        <v/>
      </c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9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</row>
    <row r="158">
      <c r="A158" s="196"/>
      <c r="B158" s="201" t="str">
        <f>IF(OR(E158=Report!$B$1, F158=Report!$B$1, G158=Report!$B$1, H158=Report!$B$1), D158, "")</f>
        <v/>
      </c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9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</row>
    <row r="159">
      <c r="A159" s="196"/>
      <c r="B159" s="201" t="str">
        <f>IF(OR(E159=Report!$B$1, F159=Report!$B$1, G159=Report!$B$1, H159=Report!$B$1), D159, "")</f>
        <v/>
      </c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9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</row>
    <row r="160">
      <c r="A160" s="196"/>
      <c r="B160" s="201" t="str">
        <f>IF(OR(E160=Report!$B$1, F160=Report!$B$1, G160=Report!$B$1, H160=Report!$B$1), D160, "")</f>
        <v/>
      </c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9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</row>
    <row r="161">
      <c r="A161" s="196"/>
      <c r="B161" s="201" t="str">
        <f>IF(OR(E161=Report!$B$1, F161=Report!$B$1, G161=Report!$B$1, H161=Report!$B$1), D161, "")</f>
        <v/>
      </c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9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</row>
    <row r="162">
      <c r="A162" s="196"/>
      <c r="B162" s="201" t="str">
        <f>IF(OR(E162=Report!$B$1, F162=Report!$B$1, G162=Report!$B$1, H162=Report!$B$1), D162, "")</f>
        <v/>
      </c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9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</row>
    <row r="163">
      <c r="A163" s="196"/>
      <c r="B163" s="201" t="str">
        <f>IF(OR(E163=Report!$B$1, F163=Report!$B$1, G163=Report!$B$1, H163=Report!$B$1), D163, "")</f>
        <v/>
      </c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9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</row>
    <row r="164">
      <c r="A164" s="196"/>
      <c r="B164" s="201" t="str">
        <f>IF(OR(E164=Report!$B$1, F164=Report!$B$1, G164=Report!$B$1, H164=Report!$B$1), D164, "")</f>
        <v/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9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</row>
    <row r="165">
      <c r="A165" s="196"/>
      <c r="B165" s="201" t="str">
        <f>IF(OR(E165=Report!$B$1, F165=Report!$B$1, G165=Report!$B$1, H165=Report!$B$1), D165, "")</f>
        <v/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9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</row>
    <row r="166">
      <c r="A166" s="196"/>
      <c r="B166" s="201" t="str">
        <f>IF(OR(E166=Report!$B$1, F166=Report!$B$1, G166=Report!$B$1, H166=Report!$B$1), D166, "")</f>
        <v/>
      </c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9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</row>
    <row r="167">
      <c r="A167" s="196"/>
      <c r="B167" s="201" t="str">
        <f>IF(OR(E167=Report!$B$1, F167=Report!$B$1, G167=Report!$B$1, H167=Report!$B$1), D167, "")</f>
        <v/>
      </c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9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</row>
    <row r="168">
      <c r="A168" s="196"/>
      <c r="B168" s="201" t="str">
        <f>IF(OR(E168=Report!$B$1, F168=Report!$B$1, G168=Report!$B$1, H168=Report!$B$1), D168, "")</f>
        <v/>
      </c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9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</row>
    <row r="169">
      <c r="A169" s="196"/>
      <c r="B169" s="201" t="str">
        <f>IF(OR(E169=Report!$B$1, F169=Report!$B$1, G169=Report!$B$1, H169=Report!$B$1), D169, "")</f>
        <v/>
      </c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9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</row>
    <row r="170">
      <c r="A170" s="196"/>
      <c r="B170" s="201" t="str">
        <f>IF(OR(E170=Report!$B$1, F170=Report!$B$1, G170=Report!$B$1, H170=Report!$B$1), D170, "")</f>
        <v/>
      </c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9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</row>
    <row r="171">
      <c r="A171" s="196"/>
      <c r="B171" s="201" t="str">
        <f>IF(OR(E171=Report!$B$1, F171=Report!$B$1, G171=Report!$B$1, H171=Report!$B$1), D171, "")</f>
        <v/>
      </c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9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</row>
    <row r="172">
      <c r="A172" s="196"/>
      <c r="B172" s="201" t="str">
        <f>IF(OR(E172=Report!$B$1, F172=Report!$B$1, G172=Report!$B$1, H172=Report!$B$1), D172, "")</f>
        <v/>
      </c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9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</row>
    <row r="173">
      <c r="A173" s="196"/>
      <c r="B173" s="201" t="str">
        <f>IF(OR(E173=Report!$B$1, F173=Report!$B$1, G173=Report!$B$1, H173=Report!$B$1), D173, "")</f>
        <v/>
      </c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9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</row>
    <row r="174">
      <c r="A174" s="196"/>
      <c r="B174" s="201" t="str">
        <f>IF(OR(E174=Report!$B$1, F174=Report!$B$1, G174=Report!$B$1, H174=Report!$B$1), D174, "")</f>
        <v/>
      </c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9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</row>
    <row r="175">
      <c r="A175" s="196"/>
      <c r="B175" s="201" t="str">
        <f>IF(OR(E175=Report!$B$1, F175=Report!$B$1, G175=Report!$B$1, H175=Report!$B$1), D175, "")</f>
        <v/>
      </c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9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</row>
    <row r="176">
      <c r="A176" s="196"/>
      <c r="B176" s="201" t="str">
        <f>IF(OR(E176=Report!$B$1, F176=Report!$B$1, G176=Report!$B$1, H176=Report!$B$1), D176, "")</f>
        <v/>
      </c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9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</row>
    <row r="177">
      <c r="A177" s="196"/>
      <c r="B177" s="201" t="str">
        <f>IF(OR(E177=Report!$B$1, F177=Report!$B$1, G177=Report!$B$1, H177=Report!$B$1), D177, "")</f>
        <v/>
      </c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9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</row>
    <row r="178">
      <c r="A178" s="196"/>
      <c r="B178" s="201" t="str">
        <f>IF(OR(E178=Report!$B$1, F178=Report!$B$1, G178=Report!$B$1, H178=Report!$B$1), D178, "")</f>
        <v/>
      </c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9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</row>
    <row r="179">
      <c r="A179" s="196"/>
      <c r="B179" s="201" t="str">
        <f>IF(OR(E179=Report!$B$1, F179=Report!$B$1, G179=Report!$B$1, H179=Report!$B$1), D179, "")</f>
        <v/>
      </c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9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9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9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9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9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9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9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9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9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9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9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9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9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9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9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9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9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9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9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9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9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9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9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9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9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9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9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9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9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9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9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9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9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9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9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9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9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9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9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9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9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9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9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9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9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9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9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9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9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9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9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9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9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9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9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9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9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9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9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9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9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9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9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9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9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9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9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9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9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9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9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9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9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9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9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9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9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9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9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9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9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9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9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9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9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9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9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9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9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9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9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9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9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9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9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9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9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9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9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9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9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9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9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9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9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9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9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9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9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9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9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9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9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9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9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9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9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9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9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9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9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9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9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9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9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9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9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9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9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9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9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9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9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9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9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9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9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9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9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9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9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9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9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9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9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9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9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9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9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9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9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9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9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9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9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9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9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9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9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9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9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9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9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9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9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9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9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9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9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9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9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9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9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9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9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9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9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9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9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9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9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9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9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9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9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9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9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9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9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9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9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9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9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9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9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9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9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9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9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9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9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9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9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9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9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9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9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9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9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9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9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9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9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9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9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9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9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9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9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9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9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9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9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9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9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9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9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9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9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9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9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9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9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9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9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9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9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9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9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9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9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9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9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9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9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9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9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9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9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9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9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9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9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9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9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9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9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9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9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9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9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9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9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9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9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9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9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9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9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9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9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9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9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9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9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9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9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9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9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9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9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9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9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9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9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9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9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9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9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9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9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9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9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9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9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9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9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9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9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9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9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9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9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9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9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9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9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9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9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9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9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9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9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9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9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9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9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9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9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9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9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9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9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9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9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9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9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9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9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9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9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9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9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9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9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9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9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9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9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9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9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9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9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9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9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9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9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9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9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9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9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9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9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9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9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9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9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9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9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9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9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9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9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9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9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9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9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9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9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9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9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9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9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9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9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9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9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9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9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9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9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9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9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9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9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9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9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9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9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9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9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9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9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9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9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9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9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9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9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9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9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9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9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9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9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9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9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9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9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9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9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9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9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9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9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9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9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9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9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9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9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9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9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9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9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9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9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9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9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9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9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9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9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9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9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9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9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9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9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9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9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9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9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9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9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9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9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9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9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9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9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9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9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9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9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9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9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9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9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9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9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9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9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9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9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9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9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9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9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9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9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9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9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9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9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9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9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9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9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9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9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9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9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9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9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9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9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9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9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9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9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9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9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9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9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9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9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9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9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9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9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9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9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9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9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9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9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9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9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9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9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9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9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9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9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9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9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9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9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9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9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9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9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9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9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9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9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9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9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9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9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9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9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9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9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9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9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9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9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9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9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9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9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9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9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9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9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9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9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9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9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9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9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9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9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9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9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9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9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9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9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9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9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9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9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9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9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9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9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9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9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9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9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9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9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9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9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9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9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9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9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9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9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9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9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9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9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9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9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9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9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9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9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9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9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9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9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9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9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9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9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9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9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9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9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9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9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9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9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9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9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9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9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9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9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9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9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9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9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9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9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9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9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9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9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9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9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9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9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9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9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9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9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9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9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9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9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9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9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9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9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9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9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9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9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9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9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9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9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9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9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9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9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9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9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9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9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9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9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9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9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9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9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9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9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9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9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9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9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9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9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9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9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9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9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9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9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9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9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9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9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9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9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9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9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9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9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9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9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9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9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9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9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9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9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9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9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9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9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9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9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9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9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9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9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9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9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9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9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9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9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9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9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9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9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9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9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9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9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9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9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9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9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9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9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9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9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9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9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9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9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9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9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9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9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9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9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9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9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9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9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9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9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9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9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9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9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9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9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9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9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9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9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9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9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9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9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9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9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9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9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9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9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9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9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9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9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9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9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9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9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9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9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9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9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9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9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9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9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9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9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9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9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9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9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9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9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9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9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9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9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9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9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9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9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9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9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9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9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9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9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9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9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9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9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9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9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9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9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9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9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9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9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9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9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9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9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9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9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</row>
    <row r="998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9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</row>
    <row r="999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9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</row>
    <row r="1000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9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6"/>
      <c r="AK1000" s="196"/>
    </row>
  </sheetData>
  <drawing r:id="rId1"/>
</worksheet>
</file>