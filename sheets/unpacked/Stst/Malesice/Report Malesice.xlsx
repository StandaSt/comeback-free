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July 2024" sheetId="1" r:id="rId5"/>
    <sheet state="hidden" name="DatabaseRestia" sheetId="2" r:id="rId6"/>
    <sheet state="hidden" name="August 2024" sheetId="3" r:id="rId7"/>
    <sheet state="visible" name="Report" sheetId="4" r:id="rId8"/>
    <sheet state="visible" name="Kontrola" sheetId="5" r:id="rId9"/>
    <sheet state="hidden" name="Směny" sheetId="6" r:id="rId10"/>
    <sheet state="hidden" name="RestiaCSV" sheetId="7" r:id="rId11"/>
    <sheet state="hidden" name="HR" sheetId="8" r:id="rId12"/>
    <sheet state="hidden" name="Denik" sheetId="9" r:id="rId13"/>
  </sheets>
  <definedNames>
    <definedName hidden="1" localSheetId="6" name="_xlnm._FilterDatabase">RestiaCSV!$A$1:$M$418</definedName>
  </definedNames>
  <calcPr/>
</workbook>
</file>

<file path=xl/sharedStrings.xml><?xml version="1.0" encoding="utf-8"?>
<sst xmlns="http://schemas.openxmlformats.org/spreadsheetml/2006/main" count="6902" uniqueCount="1993">
  <si>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</si>
  <si>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</si>
  <si>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</si>
  <si>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</si>
  <si>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</si>
  <si>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</si>
  <si>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</si>
  <si>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</si>
  <si>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</si>
  <si>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</si>
  <si>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</si>
  <si>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</si>
  <si>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</si>
  <si>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</si>
  <si>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</si>
  <si>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</si>
  <si>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</si>
  <si>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</si>
  <si>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</si>
  <si>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</si>
  <si>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</si>
  <si>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</si>
  <si>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</si>
  <si>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</si>
  <si>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</si>
  <si>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</si>
  <si>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</si>
  <si>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</si>
  <si>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</si>
  <si>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</si>
  <si>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</si>
  <si>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</si>
  <si>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</si>
  <si>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</si>
  <si>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</si>
  <si>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</si>
  <si>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</si>
  <si>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</si>
  <si>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</si>
  <si>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Pátek</t>
  </si>
  <si>
    <t>Veselý Ondřej</t>
  </si>
  <si>
    <t>10:00</t>
  </si>
  <si>
    <t>22:00</t>
  </si>
  <si>
    <t>12:00</t>
  </si>
  <si>
    <t>Michal Nedbal</t>
  </si>
  <si>
    <t>17:00</t>
  </si>
  <si>
    <t>1:00</t>
  </si>
  <si>
    <t>08:00</t>
  </si>
  <si>
    <t>Suchánek Daniel</t>
  </si>
  <si>
    <t>23:00</t>
  </si>
  <si>
    <t>13:00</t>
  </si>
  <si>
    <t>Šebesta Tomáš</t>
  </si>
  <si>
    <t>Hanakova Ayuna</t>
  </si>
  <si>
    <t>07:00</t>
  </si>
  <si>
    <t>Kučera Karel</t>
  </si>
  <si>
    <t>Černohorský Otakar</t>
  </si>
  <si>
    <t>00:30</t>
  </si>
  <si>
    <t>00:00</t>
  </si>
  <si>
    <t>23:30</t>
  </si>
  <si>
    <t>11 min 45 s</t>
  </si>
  <si>
    <t>Zadej tržbu</t>
  </si>
  <si>
    <t>Úterý</t>
  </si>
  <si>
    <t>20:00</t>
  </si>
  <si>
    <t>11:00</t>
  </si>
  <si>
    <t>06:00</t>
  </si>
  <si>
    <t>Novák Jakub</t>
  </si>
  <si>
    <t xml:space="preserve"> </t>
  </si>
  <si>
    <t>Neděle</t>
  </si>
  <si>
    <t>0:00</t>
  </si>
  <si>
    <t>Pondělí</t>
  </si>
  <si>
    <t>18:00</t>
  </si>
  <si>
    <t>Jakub Zimmer</t>
  </si>
  <si>
    <t>Trachtová Martina</t>
  </si>
  <si>
    <t>Středa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</si>
  <si>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</si>
  <si>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</si>
  <si>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</si>
  <si>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</si>
  <si>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</si>
  <si>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</si>
  <si>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</si>
  <si>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</si>
  <si>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</si>
  <si>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</si>
  <si>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</si>
  <si>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</si>
  <si>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</si>
  <si>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</si>
  <si>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wolt</t>
  </si>
  <si>
    <t>ready_pickup</t>
  </si>
  <si>
    <t>Wolt Kurýr</t>
  </si>
  <si>
    <t>external-delivery</t>
  </si>
  <si>
    <t>online</t>
  </si>
  <si>
    <t>2024-08-24T02:26:06.216+02:00</t>
  </si>
  <si>
    <t>2024-08-24T02:36:57.269+02:00</t>
  </si>
  <si>
    <t>damejidlo</t>
  </si>
  <si>
    <t>cash</t>
  </si>
  <si>
    <t>2024-08-24T01:49:47.019+02:00</t>
  </si>
  <si>
    <t>2024-08-24T01:55:39.344+02:00</t>
  </si>
  <si>
    <t>2024-08-24T01:46:19.469+02:00</t>
  </si>
  <si>
    <t>2024-08-24T01:54:00.246+02:00</t>
  </si>
  <si>
    <t>2024-08-24T01:31:47.044+02:00</t>
  </si>
  <si>
    <t>2024-08-24T01:41:46.273+02:00</t>
  </si>
  <si>
    <t>bolt</t>
  </si>
  <si>
    <t>Kuldeep</t>
  </si>
  <si>
    <t>2024-08-24T01:31:17.833+02:00</t>
  </si>
  <si>
    <t>2024-08-24T01:46:54.181+02:00</t>
  </si>
  <si>
    <t>delivered</t>
  </si>
  <si>
    <t>2024-08-24T01:20:07.722+02:00</t>
  </si>
  <si>
    <t>2024-08-24T01:27:23.215+02:00</t>
  </si>
  <si>
    <t>manual</t>
  </si>
  <si>
    <t>pickup</t>
  </si>
  <si>
    <t>2024-08-24T01:13:35.417+02:00</t>
  </si>
  <si>
    <t>2024-08-24T01:14:02.397+02:00</t>
  </si>
  <si>
    <t>2024-08-24T01:11:04.401+02:00</t>
  </si>
  <si>
    <t>2024-08-24T01:26:36.285+02:00</t>
  </si>
  <si>
    <t>generic</t>
  </si>
  <si>
    <t>2024-08-24T00:59:03.033+02:00</t>
  </si>
  <si>
    <t>2024-08-24T01:11:21.995+02:00</t>
  </si>
  <si>
    <t>Shirshak</t>
  </si>
  <si>
    <t>2024-08-24T00:55:11.648+02:00</t>
  </si>
  <si>
    <t>2024-08-24T01:04:47.133+02:00</t>
  </si>
  <si>
    <t>Volodymyr</t>
  </si>
  <si>
    <t>2024-08-24T00:40:52.520+02:00</t>
  </si>
  <si>
    <t>2024-08-24T01:03:21.084+02:00</t>
  </si>
  <si>
    <t>2024-08-24T00:30:50.156+02:00</t>
  </si>
  <si>
    <t>2024-08-24T00:32:40.988+02:00</t>
  </si>
  <si>
    <t>2024-08-24T00:30:45.992+02:00</t>
  </si>
  <si>
    <t>2024-08-24T00:49:17.672+02:00</t>
  </si>
  <si>
    <t>2024-08-24T00:25:55.526+02:00</t>
  </si>
  <si>
    <t>2024-08-24T00:47:58.140+02:00</t>
  </si>
  <si>
    <t>Zilolahon</t>
  </si>
  <si>
    <t>2024-08-24T00:25:37.925+02:00</t>
  </si>
  <si>
    <t>2024-08-24T00:45:36.099+02:00</t>
  </si>
  <si>
    <t>2024-08-24T00:21:46.024+02:00</t>
  </si>
  <si>
    <t>2024-08-24T00:36:40.313+02:00</t>
  </si>
  <si>
    <t>2024-08-24T00:21:04.648+02:00</t>
  </si>
  <si>
    <t>2024-08-24T00:54:35.008+02:00</t>
  </si>
  <si>
    <t>2024-08-24T00:20:45.503+02:00</t>
  </si>
  <si>
    <t>2024-08-24T00:33:39.369+02:00</t>
  </si>
  <si>
    <t>2024-08-24T00:20:21.251+02:00</t>
  </si>
  <si>
    <t>2024-08-24T00:52:46.081+02:00</t>
  </si>
  <si>
    <t>2024-08-24T00:19:47.525+02:00</t>
  </si>
  <si>
    <t>2024-08-24T00:49:49.999+02:00</t>
  </si>
  <si>
    <t>2024-08-24T00:19:23.248+02:00</t>
  </si>
  <si>
    <t>2024-08-24T00:45:55.976+02:00</t>
  </si>
  <si>
    <t>2024-08-24T00:18:27.940+02:00</t>
  </si>
  <si>
    <t>2024-08-24T00:40:30.013+02:00</t>
  </si>
  <si>
    <t>2024-08-24T00:17:46.098+02:00</t>
  </si>
  <si>
    <t>2024-08-24T00:29:20.267+02:00</t>
  </si>
  <si>
    <t>2024-08-24T00:15:45.602+02:00</t>
  </si>
  <si>
    <t>2024-08-24T00:25:16.444+02:00</t>
  </si>
  <si>
    <t>2024-08-24T00:14:37.658+02:00</t>
  </si>
  <si>
    <t>2024-08-24T00:23:58.169+02:00</t>
  </si>
  <si>
    <t>2024-08-24T00:07:03.036+02:00</t>
  </si>
  <si>
    <t>2024-08-24T00:13:59.002+02:00</t>
  </si>
  <si>
    <t>2024-08-23T23:46:55.346+02:00</t>
  </si>
  <si>
    <t>2024-08-24T00:06:01.208+02:00</t>
  </si>
  <si>
    <t>2024-08-23T23:43:45.093+02:00</t>
  </si>
  <si>
    <t>2024-08-24T00:01:46.355+02:00</t>
  </si>
  <si>
    <t>2024-08-23T23:41:44.727+02:00</t>
  </si>
  <si>
    <t>2024-08-23T23:57:45.386+02:00</t>
  </si>
  <si>
    <t>2024-08-23T23:41:44.678+02:00</t>
  </si>
  <si>
    <t>2024-08-23T23:49:40.491+02:00</t>
  </si>
  <si>
    <t>2024-08-23T23:39:45.699+02:00</t>
  </si>
  <si>
    <t>2024-08-23T23:48:05.551+02:00</t>
  </si>
  <si>
    <t>2024-08-23T23:23:48.037+02:00</t>
  </si>
  <si>
    <t>2024-08-23T23:31:31.287+02:00</t>
  </si>
  <si>
    <t>2024-08-23T23:17:51.235+02:00</t>
  </si>
  <si>
    <t>2024-08-23T23:19:44.998+02:00</t>
  </si>
  <si>
    <t>2024-08-23T23:13:47.229+02:00</t>
  </si>
  <si>
    <t>2024-08-23T23:15:42.031+02:00</t>
  </si>
  <si>
    <t>2024-08-23T23:11:43.987+02:00</t>
  </si>
  <si>
    <t>2024-08-23T23:20:02.508+02:00</t>
  </si>
  <si>
    <t>Čech Dominik</t>
  </si>
  <si>
    <t>delivery</t>
  </si>
  <si>
    <t>2024-08-23T23:04:02.973+02:00</t>
  </si>
  <si>
    <t>2024-08-23T23:22:10.029+02:00</t>
  </si>
  <si>
    <t>2024-08-23T23:29:41.605+02:00</t>
  </si>
  <si>
    <t>2024-08-23T23:04:03.599+02:00</t>
  </si>
  <si>
    <t>2024-08-23T22:56:45.092+02:00</t>
  </si>
  <si>
    <t>2024-08-23T23:17:32.262+02:00</t>
  </si>
  <si>
    <t>2024-08-23T22:55:07.053+02:00</t>
  </si>
  <si>
    <t>2024-08-23T23:12:34.408+02:00</t>
  </si>
  <si>
    <t>2024-08-23T23:12:34.407+02:00</t>
  </si>
  <si>
    <t>2024-08-23T22:52:44.762+02:00</t>
  </si>
  <si>
    <t>2024-08-23T23:09:34.381+02:00</t>
  </si>
  <si>
    <t>Jamser</t>
  </si>
  <si>
    <t>2024-08-23T22:51:59.097+02:00</t>
  </si>
  <si>
    <t>2024-08-23T23:06:44.147+02:00</t>
  </si>
  <si>
    <t>2024-08-23T22:50:23.528+02:00</t>
  </si>
  <si>
    <t>2024-08-23T22:57:50.009+02:00</t>
  </si>
  <si>
    <t>2024-08-23T22:49:44.254+02:00</t>
  </si>
  <si>
    <t>2024-08-23T23:02:37.281+02:00</t>
  </si>
  <si>
    <t>card</t>
  </si>
  <si>
    <t>2024-08-23T22:47:02.162+02:00</t>
  </si>
  <si>
    <t>2024-08-23T23:05:31.995+02:00</t>
  </si>
  <si>
    <t>2024-08-23T22:43:32.318+02:00</t>
  </si>
  <si>
    <t>2024-08-23T22:56:45.214+02:00</t>
  </si>
  <si>
    <t>2024-08-23T22:41:34.389+02:00</t>
  </si>
  <si>
    <t>2024-08-23T22:49:18.246+02:00</t>
  </si>
  <si>
    <t>2024-08-23T22:39:02.752+02:00</t>
  </si>
  <si>
    <t>2024-08-23T22:47:39.989+02:00</t>
  </si>
  <si>
    <t>2024-08-23T22:35:32.535+02:00</t>
  </si>
  <si>
    <t>2024-08-23T22:45:07.161+02:00</t>
  </si>
  <si>
    <t>2024-08-23T22:33:01.992+02:00</t>
  </si>
  <si>
    <t>2024-08-23T22:46:47.982+02:00</t>
  </si>
  <si>
    <t>2024-08-23T22:29:03.809+02:00</t>
  </si>
  <si>
    <t>2024-08-23T22:44:29.038+02:00</t>
  </si>
  <si>
    <t>2024-08-23T23:00:11.287+02:00</t>
  </si>
  <si>
    <t>2024-08-23T22:29:04.395+02:00</t>
  </si>
  <si>
    <t>2024-08-23T22:28:50.156+02:00</t>
  </si>
  <si>
    <t>2024-08-23T22:32:30.003+02:00</t>
  </si>
  <si>
    <t>2024-08-23T22:27:03.438+02:00</t>
  </si>
  <si>
    <t>2024-08-23T22:28:48.033+02:00</t>
  </si>
  <si>
    <t>2024-08-23T22:18:21.599+02:00</t>
  </si>
  <si>
    <t>2024-08-23T22:26:33.257+02:00</t>
  </si>
  <si>
    <t>2024-08-23T22:11:44.311+02:00</t>
  </si>
  <si>
    <t>2024-08-23T22:22:23.308+02:00</t>
  </si>
  <si>
    <t>2024-08-23T22:10:24.376+02:00</t>
  </si>
  <si>
    <t>2024-08-23T22:20:59.144+02:00</t>
  </si>
  <si>
    <t>2024-08-23T21:56:02.747+02:00</t>
  </si>
  <si>
    <t>2024-08-23T22:13:54.981+02:00</t>
  </si>
  <si>
    <t>2024-08-23T21:55:43.707+02:00</t>
  </si>
  <si>
    <t>2024-08-23T22:12:16.367+02:00</t>
  </si>
  <si>
    <t>2024-08-23T21:52:02.871+02:00</t>
  </si>
  <si>
    <t>2024-08-23T22:11:53.097+02:00</t>
  </si>
  <si>
    <t>2024-08-23T22:21:09.872+02:00</t>
  </si>
  <si>
    <t>2024-08-23T21:52:03.448+02:00</t>
  </si>
  <si>
    <t>Abdurashid</t>
  </si>
  <si>
    <t>2024-08-23T21:47:14.764+02:00</t>
  </si>
  <si>
    <t>2024-08-23T21:53:03.192+02:00</t>
  </si>
  <si>
    <t>2024-08-23T21:44:03.105+02:00</t>
  </si>
  <si>
    <t>2024-08-23T21:52:01.969+02:00</t>
  </si>
  <si>
    <t>2024-08-23T21:43:13.397+02:00</t>
  </si>
  <si>
    <t>2024-08-23T21:50:42.131+02:00</t>
  </si>
  <si>
    <t>2024-08-23T21:32:40.138+02:00</t>
  </si>
  <si>
    <t>2024-08-23T21:42:54.229+02:00</t>
  </si>
  <si>
    <t>2024-08-23T21:32:01.917+02:00</t>
  </si>
  <si>
    <t>2024-08-23T21:46:11.028+02:00</t>
  </si>
  <si>
    <t>2024-08-23T21:57:00.619+02:00</t>
  </si>
  <si>
    <t>2024-08-23T21:32:02.744+02:00</t>
  </si>
  <si>
    <t>canceled</t>
  </si>
  <si>
    <t>2024-08-23T21:26:46.063+02:00</t>
  </si>
  <si>
    <t>2024-08-23T21:36:33.255+02:00</t>
  </si>
  <si>
    <t>2024-08-23T21:26:06.473+02:00</t>
  </si>
  <si>
    <t>2024-08-23T21:38:10.149+02:00</t>
  </si>
  <si>
    <t>Mykola</t>
  </si>
  <si>
    <t>2024-08-23T21:17:40.611+02:00</t>
  </si>
  <si>
    <t>2024-08-23T21:26:14.092+02:00</t>
  </si>
  <si>
    <t>Ashok</t>
  </si>
  <si>
    <t>2024-08-23T21:17:17.952+02:00</t>
  </si>
  <si>
    <t>2024-08-23T21:24:37.116+02:00</t>
  </si>
  <si>
    <t>2024-08-23T21:08:01.790+02:00</t>
  </si>
  <si>
    <t>2024-08-23T21:16:30.977+02:00</t>
  </si>
  <si>
    <t>2024-08-23T21:06:53.198+02:00</t>
  </si>
  <si>
    <t>2024-08-23T21:11:31.954+02:00</t>
  </si>
  <si>
    <t>2024-08-23T21:02:01.906+02:00</t>
  </si>
  <si>
    <t>2024-08-23T21:07:58.079+02:00</t>
  </si>
  <si>
    <t>2024-08-23T21:00:23.096+02:00</t>
  </si>
  <si>
    <t>2024-08-23T21:02:57.980+02:00</t>
  </si>
  <si>
    <t>2024-08-23T20:58:03.166+02:00</t>
  </si>
  <si>
    <t>2024-08-23T21:18:24.054+02:00</t>
  </si>
  <si>
    <t>2024-08-23T21:33:44.871+02:00</t>
  </si>
  <si>
    <t>2024-08-23T20:58:04.064+02:00</t>
  </si>
  <si>
    <t>2024-08-23T20:48:43.904+02:00</t>
  </si>
  <si>
    <t>2024-08-23T20:58:33.310+02:00</t>
  </si>
  <si>
    <t>2024-08-23T20:40:22.884+02:00</t>
  </si>
  <si>
    <t>2024-08-23T20:49:57.163+02:00</t>
  </si>
  <si>
    <t>2024-08-23T20:37:46.047+02:00</t>
  </si>
  <si>
    <t>2024-08-23T20:47:16.318+02:00</t>
  </si>
  <si>
    <t>2024-08-23T20:26:21.328+02:00</t>
  </si>
  <si>
    <t>2024-08-23T20:35:42.312+02:00</t>
  </si>
  <si>
    <t>2024-08-23T20:25:02.684+02:00</t>
  </si>
  <si>
    <t>2024-08-23T20:36:31.972+02:00</t>
  </si>
  <si>
    <t>2024-08-23T20:20:45.376+02:00</t>
  </si>
  <si>
    <t>2024-08-23T20:21:24.982+02:00</t>
  </si>
  <si>
    <t>2024-08-23T20:20:02.297+02:00</t>
  </si>
  <si>
    <t>2024-08-23T20:32:23.028+02:00</t>
  </si>
  <si>
    <t>2024-08-23T20:49:41.434+02:00</t>
  </si>
  <si>
    <t>2024-08-23T20:20:02.817+02:00</t>
  </si>
  <si>
    <t>2024-08-23T20:19:23.936+02:00</t>
  </si>
  <si>
    <t>2024-08-23T20:24:52.047+02:00</t>
  </si>
  <si>
    <t>2024-08-23T20:18:02.843+02:00</t>
  </si>
  <si>
    <t>2024-08-23T20:27:51.254+02:00</t>
  </si>
  <si>
    <t>2024-08-23T20:16:01.927+02:00</t>
  </si>
  <si>
    <t>2024-08-23T20:33:25.028+02:00</t>
  </si>
  <si>
    <t>2024-08-23T20:56:06.429+02:00</t>
  </si>
  <si>
    <t>2024-08-23T20:16:02.591+02:00</t>
  </si>
  <si>
    <t>2024-08-23T20:09:02.611+02:00</t>
  </si>
  <si>
    <t>2024-08-23T20:20:08.022+02:00</t>
  </si>
  <si>
    <t>2024-08-23T20:43:07.077+02:00</t>
  </si>
  <si>
    <t>2024-08-23T20:09:03.424+02:00</t>
  </si>
  <si>
    <t>2024-08-23T20:00:44.621+02:00</t>
  </si>
  <si>
    <t>2024-08-23T20:12:09.181+02:00</t>
  </si>
  <si>
    <t>2024-08-23T20:00:02.609+02:00</t>
  </si>
  <si>
    <t>2024-08-23T20:14:31.151+02:00</t>
  </si>
  <si>
    <t>2024-08-23T20:34:12.229+02:00</t>
  </si>
  <si>
    <t>2024-08-23T20:08:37.186+02:00</t>
  </si>
  <si>
    <t>2024-08-23T19:59:44.495+02:00</t>
  </si>
  <si>
    <t>2024-08-23T20:10:45.278+02:00</t>
  </si>
  <si>
    <t>2024-08-23T19:58:40.598+02:00</t>
  </si>
  <si>
    <t>2024-08-23T20:09:24.274+02:00</t>
  </si>
  <si>
    <t>2024-08-23T19:55:02.513+02:00</t>
  </si>
  <si>
    <t>2024-08-23T20:24:57.102+02:00</t>
  </si>
  <si>
    <t>2024-08-23T20:41:10.221+02:00</t>
  </si>
  <si>
    <t>2024-08-23T20:15:14.727+02:00</t>
  </si>
  <si>
    <t>2024-08-23T19:40:08.909+02:00</t>
  </si>
  <si>
    <t>2024-08-23T19:49:03.192+02:00</t>
  </si>
  <si>
    <t>2024-08-23T19:38:21.448+02:00</t>
  </si>
  <si>
    <t>2024-08-23T19:49:46.978+02:00</t>
  </si>
  <si>
    <t>2024-08-23T19:30:06.010+02:00</t>
  </si>
  <si>
    <t>2024-08-23T19:41:16.270+02:00</t>
  </si>
  <si>
    <t>2024-08-23T19:30:02.960+02:00</t>
  </si>
  <si>
    <t>2024-08-23T19:51:35.011+02:00</t>
  </si>
  <si>
    <t>2024-08-23T19:59:20.980+02:00</t>
  </si>
  <si>
    <t>2024-08-23T19:30:03.431+02:00</t>
  </si>
  <si>
    <t>Miroslava</t>
  </si>
  <si>
    <t>2024-08-23T19:23:07.355+02:00</t>
  </si>
  <si>
    <t>2024-08-23T19:38:57.052+02:00</t>
  </si>
  <si>
    <t>2024-08-23T19:20:14.694+02:00</t>
  </si>
  <si>
    <t>2024-08-23T19:26:08.221+02:00</t>
  </si>
  <si>
    <t>2024-08-23T19:18:43.851+02:00</t>
  </si>
  <si>
    <t>2024-08-23T19:29:00.198+02:00</t>
  </si>
  <si>
    <t>2024-08-23T19:17:30.144+02:00</t>
  </si>
  <si>
    <t>2024-08-23T19:34:59.176+02:00</t>
  </si>
  <si>
    <t>2024-08-23T19:15:47.862+02:00</t>
  </si>
  <si>
    <t>2024-08-23T19:22:34.239+02:00</t>
  </si>
  <si>
    <t>2024-08-23T19:09:52.767+02:00</t>
  </si>
  <si>
    <t>2024-08-23T19:19:28.451+02:00</t>
  </si>
  <si>
    <t>2024-08-23T19:04:02.577+02:00</t>
  </si>
  <si>
    <t>2024-08-23T19:43:30.984+02:00</t>
  </si>
  <si>
    <t>2024-08-23T20:13:50.725+02:00</t>
  </si>
  <si>
    <t>2024-08-23T19:04:03.279+02:00</t>
  </si>
  <si>
    <t>2024-08-23T19:02:43.692+02:00</t>
  </si>
  <si>
    <t>2024-08-23T19:16:16.309+02:00</t>
  </si>
  <si>
    <t>2024-08-23T19:01:58.747+02:00</t>
  </si>
  <si>
    <t>2024-08-23T19:11:23.240+02:00</t>
  </si>
  <si>
    <t>2024-08-23T18:52:27.198+02:00</t>
  </si>
  <si>
    <t>2024-08-23T19:06:48.411+02:00</t>
  </si>
  <si>
    <t>2024-08-23T18:50:02.599+02:00</t>
  </si>
  <si>
    <t>2024-08-23T19:08:47.996+02:00</t>
  </si>
  <si>
    <t>2024-08-23T19:33:18.570+02:00</t>
  </si>
  <si>
    <t>2024-08-23T19:09:51.838+02:00</t>
  </si>
  <si>
    <t>2024-08-23T18:42:42.858+02:00</t>
  </si>
  <si>
    <t>2024-08-23T18:56:44.351+02:00</t>
  </si>
  <si>
    <t>2024-08-23T18:39:21.543+02:00</t>
  </si>
  <si>
    <t>2024-08-23T19:00:45.207+02:00</t>
  </si>
  <si>
    <t>2024-08-23T18:34:17.721+02:00</t>
  </si>
  <si>
    <t>2024-08-23T18:44:23.267+02:00</t>
  </si>
  <si>
    <t>Mukhibillaev</t>
  </si>
  <si>
    <t>2024-08-23T18:31:41.274+02:00</t>
  </si>
  <si>
    <t>2024-08-23T18:49:33.165+02:00</t>
  </si>
  <si>
    <t>Ashish</t>
  </si>
  <si>
    <t>2024-08-23T18:31:37.118+02:00</t>
  </si>
  <si>
    <t>2024-08-23T18:42:15.075+02:00</t>
  </si>
  <si>
    <t>2024-08-23T18:26:02.125+02:00</t>
  </si>
  <si>
    <t>2024-08-23T18:41:09.962+02:00</t>
  </si>
  <si>
    <t>2024-08-23T18:25:39.481+02:00</t>
  </si>
  <si>
    <t>2024-08-23T18:41:30.012+02:00</t>
  </si>
  <si>
    <t>2024-08-23T19:02:58.914+02:00</t>
  </si>
  <si>
    <t>2024-08-23T18:25:40.219+02:00</t>
  </si>
  <si>
    <t>Esanov</t>
  </si>
  <si>
    <t>2024-08-23T18:21:34.000+02:00</t>
  </si>
  <si>
    <t>2024-08-23T18:35:06.074+02:00</t>
  </si>
  <si>
    <t>2024-08-23T18:18:42.836+02:00</t>
  </si>
  <si>
    <t>2024-08-23T18:26:25.367+02:00</t>
  </si>
  <si>
    <t>Pavel</t>
  </si>
  <si>
    <t>2024-08-23T18:13:19.162+02:00</t>
  </si>
  <si>
    <t>2024-08-23T18:23:40.079+02:00</t>
  </si>
  <si>
    <t>2024-08-23T18:08:22.235+02:00</t>
  </si>
  <si>
    <t>2024-08-23T18:15:26.139+02:00</t>
  </si>
  <si>
    <t>2024-08-23T17:55:03.103+02:00</t>
  </si>
  <si>
    <t>2024-08-23T18:02:28.151+02:00</t>
  </si>
  <si>
    <t>2024-08-23T17:24:02.845+02:00</t>
  </si>
  <si>
    <t>2024-08-23T18:20:35.988+02:00</t>
  </si>
  <si>
    <t>2024-08-23T17:19:02.019+02:00</t>
  </si>
  <si>
    <t>2024-08-23T17:25:49.302+02:00</t>
  </si>
  <si>
    <t>2024-08-23T17:13:02.821+02:00</t>
  </si>
  <si>
    <t>2024-08-23T17:21:16.110+02:00</t>
  </si>
  <si>
    <t>2024-08-23T17:48:56.762+02:00</t>
  </si>
  <si>
    <t>2024-08-23T17:19:54.490+02:00</t>
  </si>
  <si>
    <t>2024-08-23T17:11:47.068+02:00</t>
  </si>
  <si>
    <t>2024-08-23T17:20:19.144+02:00</t>
  </si>
  <si>
    <t>2024-08-23T17:00:11.956+02:00</t>
  </si>
  <si>
    <t>2024-08-23T17:07:27.196+02:00</t>
  </si>
  <si>
    <t>Melmer David</t>
  </si>
  <si>
    <t>2024-08-23T16:57:02.142+02:00</t>
  </si>
  <si>
    <t>2024-08-23T17:05:27.997+02:00</t>
  </si>
  <si>
    <t>2024-08-23T17:28:03.702+02:00</t>
  </si>
  <si>
    <t>2024-08-23T16:57:02.778+02:00</t>
  </si>
  <si>
    <t>2024-08-23T16:42:38.306+02:00</t>
  </si>
  <si>
    <t>2024-08-23T16:50:12.291+02:00</t>
  </si>
  <si>
    <t>2024-08-23T16:41:45.519+02:00</t>
  </si>
  <si>
    <t>2024-08-23T16:47:39.328+02:00</t>
  </si>
  <si>
    <t>2024-08-23T16:34:38.962+02:00</t>
  </si>
  <si>
    <t>2024-08-23T16:41:12.233+02:00</t>
  </si>
  <si>
    <t>2024-08-23T16:29:02.098+02:00</t>
  </si>
  <si>
    <t>2024-08-23T16:38:37.001+02:00</t>
  </si>
  <si>
    <t>2024-08-23T16:58:31.346+02:00</t>
  </si>
  <si>
    <t>2024-08-23T16:29:02.604+02:00</t>
  </si>
  <si>
    <t>2024-08-23T16:18:55.656+02:00</t>
  </si>
  <si>
    <t>2024-08-23T16:24:11.670+02:00</t>
  </si>
  <si>
    <t>2024-08-23T16:04:02.040+02:00</t>
  </si>
  <si>
    <t>2024-08-23T16:08:57.015+02:00</t>
  </si>
  <si>
    <t>2024-08-23T15:39:43.434+02:00</t>
  </si>
  <si>
    <t>2024-08-23T15:43:00.157+02:00</t>
  </si>
  <si>
    <t>2024-08-23T15:09:04.984+02:00</t>
  </si>
  <si>
    <t>2024-08-23T15:16:28.613+02:00</t>
  </si>
  <si>
    <t>2024-08-23T14:55:29.993+02:00</t>
  </si>
  <si>
    <t>2024-08-23T15:02:28.135+02:00</t>
  </si>
  <si>
    <t>2024-08-23T14:55:12.097+02:00</t>
  </si>
  <si>
    <t>2024-08-23T15:01:32.068+02:00</t>
  </si>
  <si>
    <t>2024-08-23T14:49:52.219+02:00</t>
  </si>
  <si>
    <t>2024-08-23T14:56:06.999+02:00</t>
  </si>
  <si>
    <t>2024-08-23T14:34:02.756+02:00</t>
  </si>
  <si>
    <t>2024-08-23T14:42:41.903+02:00</t>
  </si>
  <si>
    <t>2024-08-23T14:25:21.017+02:00</t>
  </si>
  <si>
    <t>2024-08-23T14:34:31.181+02:00</t>
  </si>
  <si>
    <t>2024-08-23T13:55:40.364+02:00</t>
  </si>
  <si>
    <t>2024-08-23T14:15:33.572+02:00</t>
  </si>
  <si>
    <t>2024-08-23T13:41:23.488+02:00</t>
  </si>
  <si>
    <t>2024-08-23T13:49:19.233+02:00</t>
  </si>
  <si>
    <t>2024-08-23T13:39:02.605+02:00</t>
  </si>
  <si>
    <t>2024-08-23T13:45:43.902+02:00</t>
  </si>
  <si>
    <t>2024-08-23T13:12:02.635+02:00</t>
  </si>
  <si>
    <t>2024-08-23T13:21:07.711+02:00</t>
  </si>
  <si>
    <t>2024-08-23T13:06:02.653+02:00</t>
  </si>
  <si>
    <t>2024-08-23T13:12:26.866+02:00</t>
  </si>
  <si>
    <t>2024-08-23T12:52:26.410+02:00</t>
  </si>
  <si>
    <t>2024-08-23T12:59:28.052+02:00</t>
  </si>
  <si>
    <t>2024-08-23T12:49:27.067+02:00</t>
  </si>
  <si>
    <t>2024-08-23T12:56:36.994+02:00</t>
  </si>
  <si>
    <t>2024-08-23T12:44:50.589+02:00</t>
  </si>
  <si>
    <t>2024-08-23T12:50:17.322+02:00</t>
  </si>
  <si>
    <t>2024-08-23T12:25:44.803+02:00</t>
  </si>
  <si>
    <t>2024-08-23T12:36:02.991+02:00</t>
  </si>
  <si>
    <t>2024-08-23T11:54:48.689+02:00</t>
  </si>
  <si>
    <t>2024-08-23T12:03:48.126+02:00</t>
  </si>
  <si>
    <t>2024-08-23T11:49:53.792+02:00</t>
  </si>
  <si>
    <t>2024-08-23T11:56:51.018+02:00</t>
  </si>
  <si>
    <t>2024-08-23T11:49:09.101+02:00</t>
  </si>
  <si>
    <t>2024-08-23T12:04:34.951+02:00</t>
  </si>
  <si>
    <t>2024-08-23T11:47:02.755+02:00</t>
  </si>
  <si>
    <t>2024-08-23T11:57:43.803+02:00</t>
  </si>
  <si>
    <t>2024-08-23T11:44:55.226+02:00</t>
  </si>
  <si>
    <t>2024-08-23T11:54:51.009+02:00</t>
  </si>
  <si>
    <t>2024-08-23T11:35:14.186+02:00</t>
  </si>
  <si>
    <t>2024-08-23T11:43:43.123+02:00</t>
  </si>
  <si>
    <t>2024-08-23T11:29:45.652+02:00</t>
  </si>
  <si>
    <t>2024-08-23T11:37:47.361+02:00</t>
  </si>
  <si>
    <t>2024-08-23T11:18:07.375+02:00</t>
  </si>
  <si>
    <t>2024-08-23T11:18:46.790+02:00</t>
  </si>
  <si>
    <t>Esayas</t>
  </si>
  <si>
    <t>2024-08-23T11:13:05.793+02:00</t>
  </si>
  <si>
    <t>2024-08-23T11:20:13.049+02:00</t>
  </si>
  <si>
    <t>2024-08-23T11:06:00.940+02:00</t>
  </si>
  <si>
    <t>2024-08-23T11:12:36.750+02:00</t>
  </si>
  <si>
    <t>2024-08-23T11:02:02.087+02:00</t>
  </si>
  <si>
    <t>2024-08-23T11:27:43.860+02:00</t>
  </si>
  <si>
    <t>2024-08-23T11:38:16.882+02:00</t>
  </si>
  <si>
    <t>2024-08-23T11:02:02.740+02:00</t>
  </si>
  <si>
    <t>2024-08-23T10:55:02.358+02:00</t>
  </si>
  <si>
    <t>2024-08-23T11:14:17.806+02:00</t>
  </si>
  <si>
    <t>2024-08-23T10:33:02.689+02:00</t>
  </si>
  <si>
    <t>2024-08-23T11:03:27.855+02:00</t>
  </si>
  <si>
    <t>2024-08-23T11:14:52.203+02:00</t>
  </si>
  <si>
    <t>2024-08-23T10:33:03.569+02:00</t>
  </si>
  <si>
    <t>2024-08-25T23:14:56.916+02:00</t>
  </si>
  <si>
    <t>2024-08-25T23:31:55.139+02:00</t>
  </si>
  <si>
    <t>2024-08-25T23:13:26.707+02:00</t>
  </si>
  <si>
    <t>2024-08-25T23:31:57.766+02:00</t>
  </si>
  <si>
    <t>Bunyodbek</t>
  </si>
  <si>
    <t>2024-08-25T23:01:08.412+02:00</t>
  </si>
  <si>
    <t>2024-08-25T23:07:07.703+02:00</t>
  </si>
  <si>
    <t>2024-08-25T22:54:41.626+02:00</t>
  </si>
  <si>
    <t>2024-08-25T23:01:41.927+02:00</t>
  </si>
  <si>
    <t>2024-08-25T22:47:47.183+02:00</t>
  </si>
  <si>
    <t>2024-08-25T22:53:59.746+02:00</t>
  </si>
  <si>
    <t>2024-08-25T22:46:46.392+02:00</t>
  </si>
  <si>
    <t>2024-08-25T22:53:15.833+02:00</t>
  </si>
  <si>
    <t>2024-08-25T22:42:44.727+02:00</t>
  </si>
  <si>
    <t>2024-08-25T22:48:45.841+02:00</t>
  </si>
  <si>
    <t>Samandar</t>
  </si>
  <si>
    <t>2024-08-25T22:40:23.495+02:00</t>
  </si>
  <si>
    <t>2024-08-25T22:45:45.754+02:00</t>
  </si>
  <si>
    <t>2024-08-25T22:36:24.513+02:00</t>
  </si>
  <si>
    <t>2024-08-25T22:43:52.876+02:00</t>
  </si>
  <si>
    <t>Vitaly</t>
  </si>
  <si>
    <t>2024-08-25T22:35:17.251+02:00</t>
  </si>
  <si>
    <t>2024-08-25T22:42:17.831+02:00</t>
  </si>
  <si>
    <t>Miroslav</t>
  </si>
  <si>
    <t>2024-08-25T22:27:25.456+02:00</t>
  </si>
  <si>
    <t>2024-08-25T22:34:23.886+02:00</t>
  </si>
  <si>
    <t>2024-08-25T22:24:25.153+02:00</t>
  </si>
  <si>
    <t>2024-08-25T22:31:30.966+02:00</t>
  </si>
  <si>
    <t>2024-08-25T22:18:40.562+02:00</t>
  </si>
  <si>
    <t>2024-08-25T22:26:31.879+02:00</t>
  </si>
  <si>
    <t>2024-08-25T22:12:02.469+02:00</t>
  </si>
  <si>
    <t>2024-08-25T22:18:35.736+02:00</t>
  </si>
  <si>
    <t>2024-08-25T22:08:31.453+02:00</t>
  </si>
  <si>
    <t>2024-08-25T22:16:54.067+02:00</t>
  </si>
  <si>
    <t>2024-08-25T22:01:02.729+02:00</t>
  </si>
  <si>
    <t>2024-08-25T22:07:24.584+02:00</t>
  </si>
  <si>
    <t>2024-08-25T22:14:15.924+02:00</t>
  </si>
  <si>
    <t>2024-08-25T22:01:03.336+02:00</t>
  </si>
  <si>
    <t>Nurillo</t>
  </si>
  <si>
    <t>2024-08-25T21:57:12.279+02:00</t>
  </si>
  <si>
    <t>2024-08-25T22:04:34.681+02:00</t>
  </si>
  <si>
    <t>Pankaj</t>
  </si>
  <si>
    <t>2024-08-25T21:53:47.265+02:00</t>
  </si>
  <si>
    <t>2024-08-25T21:59:49.760+02:00</t>
  </si>
  <si>
    <t>2024-08-25T21:39:52.179+02:00</t>
  </si>
  <si>
    <t>2024-08-25T21:46:31.888+02:00</t>
  </si>
  <si>
    <t>2024-08-25T21:26:18.408+02:00</t>
  </si>
  <si>
    <t>2024-08-25T21:34:04.737+02:00</t>
  </si>
  <si>
    <t>2024-08-25T21:25:15.523+02:00</t>
  </si>
  <si>
    <t>2024-08-25T21:31:05.719+02:00</t>
  </si>
  <si>
    <t>2024-08-25T21:22:15.509+02:00</t>
  </si>
  <si>
    <t>2024-08-25T21:27:29.773+02:00</t>
  </si>
  <si>
    <t>2024-08-25T21:14:02.920+02:00</t>
  </si>
  <si>
    <t>2024-08-25T21:24:45.976+02:00</t>
  </si>
  <si>
    <t>2024-08-25T21:38:48.551+02:00</t>
  </si>
  <si>
    <t>2024-08-25T21:14:03.553+02:00</t>
  </si>
  <si>
    <t>2024-08-25T21:09:02.620+02:00</t>
  </si>
  <si>
    <t>2024-08-25T21:15:29.552+02:00</t>
  </si>
  <si>
    <t>2024-08-25T21:03:21.887+02:00</t>
  </si>
  <si>
    <t>2024-08-25T21:13:30.937+02:00</t>
  </si>
  <si>
    <t>2024-08-25T21:00:47.791+02:00</t>
  </si>
  <si>
    <t>2024-08-25T21:09:34.137+02:00</t>
  </si>
  <si>
    <t>2024-08-25T20:38:01.959+02:00</t>
  </si>
  <si>
    <t>2024-08-25T20:46:00.539+02:00</t>
  </si>
  <si>
    <t>2024-08-25T21:04:07.281+02:00</t>
  </si>
  <si>
    <t>2024-08-25T20:38:02.954+02:00</t>
  </si>
  <si>
    <t>2024-08-25T20:34:14.365+02:00</t>
  </si>
  <si>
    <t>2024-08-25T20:42:56.764+02:00</t>
  </si>
  <si>
    <t>2024-08-25T20:33:08.900+02:00</t>
  </si>
  <si>
    <t>2024-08-25T20:41:01.932+02:00</t>
  </si>
  <si>
    <t>Rakhmonjon</t>
  </si>
  <si>
    <t>2024-08-25T20:33:02.685+02:00</t>
  </si>
  <si>
    <t>2024-08-25T20:42:11.696+02:00</t>
  </si>
  <si>
    <t>2024-08-25T20:28:01.911+02:00</t>
  </si>
  <si>
    <t>2024-08-25T20:35:00.603+02:00</t>
  </si>
  <si>
    <t>2024-08-25T20:47:39.451+02:00</t>
  </si>
  <si>
    <t>2024-08-25T20:28:02.590+02:00</t>
  </si>
  <si>
    <t>2024-08-25T19:53:20.773+02:00</t>
  </si>
  <si>
    <t>2024-08-25T20:03:58.796+02:00</t>
  </si>
  <si>
    <t>Ladislav</t>
  </si>
  <si>
    <t>2024-08-25T19:51:08.837+02:00</t>
  </si>
  <si>
    <t>2024-08-25T20:03:10.756+02:00</t>
  </si>
  <si>
    <t>2024-08-25T19:39:21.821+02:00</t>
  </si>
  <si>
    <t>2024-08-25T19:50:59.774+02:00</t>
  </si>
  <si>
    <t>2024-08-25T19:37:19.199+02:00</t>
  </si>
  <si>
    <t>2024-08-25T19:48:42.431+02:00</t>
  </si>
  <si>
    <t>2024-08-25T19:32:01.749+02:00</t>
  </si>
  <si>
    <t>2024-08-25T19:40:01.586+02:00</t>
  </si>
  <si>
    <t>2024-08-25T20:00:52.127+02:00</t>
  </si>
  <si>
    <t>2024-08-25T19:32:40.567+02:00</t>
  </si>
  <si>
    <t>2024-08-25T19:27:02.551+02:00</t>
  </si>
  <si>
    <t>2024-08-25T19:33:14.568+02:00</t>
  </si>
  <si>
    <t>2024-08-25T19:46:23.620+02:00</t>
  </si>
  <si>
    <t>2024-08-25T19:27:03.030+02:00</t>
  </si>
  <si>
    <t>2024-08-25T19:18:02.538+02:00</t>
  </si>
  <si>
    <t>2024-08-25T19:34:31.506+02:00</t>
  </si>
  <si>
    <t>2024-08-25T19:54:39.728+02:00</t>
  </si>
  <si>
    <t>2024-08-25T19:18:03.176+02:00</t>
  </si>
  <si>
    <t>2024-08-25T19:16:16.050+02:00</t>
  </si>
  <si>
    <t>2024-08-25T19:28:28.760+02:00</t>
  </si>
  <si>
    <t>2024-08-25T19:13:56.956+02:00</t>
  </si>
  <si>
    <t>2024-08-25T19:26:06.795+02:00</t>
  </si>
  <si>
    <t>2024-08-25T19:06:50.590+02:00</t>
  </si>
  <si>
    <t>2024-08-25T19:24:11.799+02:00</t>
  </si>
  <si>
    <t>2024-08-25T19:02:02.495+02:00</t>
  </si>
  <si>
    <t>2024-08-25T19:20:27.546+02:00</t>
  </si>
  <si>
    <t>2024-08-25T19:32:01.166+02:00</t>
  </si>
  <si>
    <t>2024-08-25T19:02:03.221+02:00</t>
  </si>
  <si>
    <t>2024-08-25T18:58:40.445+02:00</t>
  </si>
  <si>
    <t>2024-08-25T19:17:55.682+02:00</t>
  </si>
  <si>
    <t>2024-08-25T18:50:10.984+02:00</t>
  </si>
  <si>
    <t>2024-08-25T18:58:34.492+02:00</t>
  </si>
  <si>
    <t>2024-08-25T18:46:06.467+02:00</t>
  </si>
  <si>
    <t>2024-08-25T18:54:39.679+02:00</t>
  </si>
  <si>
    <t>2024-08-25T18:45:09.332+02:00</t>
  </si>
  <si>
    <t>2024-08-25T18:55:49.698+02:00</t>
  </si>
  <si>
    <t>Soibjon</t>
  </si>
  <si>
    <t>2024-08-25T18:44:04.113+02:00</t>
  </si>
  <si>
    <t>2024-08-25T18:52:52.567+02:00</t>
  </si>
  <si>
    <t>2024-08-25T18:42:07.472+02:00</t>
  </si>
  <si>
    <t>2024-08-25T18:49:58.687+02:00</t>
  </si>
  <si>
    <t>2024-08-25T18:39:40.394+02:00</t>
  </si>
  <si>
    <t>2024-08-25T18:48:53.687+02:00</t>
  </si>
  <si>
    <t>2024-08-25T18:34:03.091+02:00</t>
  </si>
  <si>
    <t>2024-08-25T18:40:09.535+02:00</t>
  </si>
  <si>
    <t>2024-08-25T18:30:03.843+02:00</t>
  </si>
  <si>
    <t>2024-08-25T18:35:34.986+02:00</t>
  </si>
  <si>
    <t>2024-08-25T18:24:04.493+02:00</t>
  </si>
  <si>
    <t>2024-08-25T18:31:27.678+02:00</t>
  </si>
  <si>
    <t>2024-08-25T18:17:16.125+02:00</t>
  </si>
  <si>
    <t>2024-08-25T18:23:35.524+02:00</t>
  </si>
  <si>
    <t>2024-08-25T18:15:46.564+02:00</t>
  </si>
  <si>
    <t>2024-08-25T18:30:31.823+02:00</t>
  </si>
  <si>
    <t>2024-08-25T17:58:54.541+02:00</t>
  </si>
  <si>
    <t>2024-08-25T18:05:53.639+02:00</t>
  </si>
  <si>
    <t>2024-08-25T17:54:02.163+02:00</t>
  </si>
  <si>
    <t>2024-08-25T18:08:10.502+02:00</t>
  </si>
  <si>
    <t>2024-08-25T18:21:36.049+02:00</t>
  </si>
  <si>
    <t>2024-08-25T17:54:02.885+02:00</t>
  </si>
  <si>
    <t>2024-08-25T17:53:28.342+02:00</t>
  </si>
  <si>
    <t>2024-08-25T17:59:38.725+02:00</t>
  </si>
  <si>
    <t>2024-08-25T17:52:39.158+02:00</t>
  </si>
  <si>
    <t>2024-08-25T18:02:28.921+02:00</t>
  </si>
  <si>
    <t>2024-08-25T17:52:02.534+02:00</t>
  </si>
  <si>
    <t>2024-08-25T18:04:43.475+02:00</t>
  </si>
  <si>
    <t>2024-08-25T17:40:48.071+02:00</t>
  </si>
  <si>
    <t>2024-08-25T17:46:55.738+02:00</t>
  </si>
  <si>
    <t>2024-08-25T17:37:18.470+02:00</t>
  </si>
  <si>
    <t>2024-08-25T17:45:40.846+02:00</t>
  </si>
  <si>
    <t>2024-08-25T17:34:02.465+02:00</t>
  </si>
  <si>
    <t>2024-08-25T17:50:14.529+02:00</t>
  </si>
  <si>
    <t>2024-08-25T18:14:19.633+02:00</t>
  </si>
  <si>
    <t>2024-08-25T17:34:03.080+02:00</t>
  </si>
  <si>
    <t>2024-08-25T17:33:48.706+02:00</t>
  </si>
  <si>
    <t>2024-08-25T17:39:55.641+02:00</t>
  </si>
  <si>
    <t>2024-08-25T17:27:47.993+02:00</t>
  </si>
  <si>
    <t>2024-08-25T17:34:28.652+02:00</t>
  </si>
  <si>
    <t>2024-08-25T17:21:02.831+02:00</t>
  </si>
  <si>
    <t>2024-08-25T17:32:57.526+02:00</t>
  </si>
  <si>
    <t>2024-08-25T17:18:46.187+02:00</t>
  </si>
  <si>
    <t>2024-08-25T17:25:50.764+02:00</t>
  </si>
  <si>
    <t>2024-08-25T17:09:02.290+02:00</t>
  </si>
  <si>
    <t>2024-08-25T17:29:30.529+02:00</t>
  </si>
  <si>
    <t>2024-08-25T17:46:35.316+02:00</t>
  </si>
  <si>
    <t>2024-08-25T17:09:03.127+02:00</t>
  </si>
  <si>
    <t>2024-08-25T17:08:03.671+02:00</t>
  </si>
  <si>
    <t>2024-08-25T17:13:45.539+02:00</t>
  </si>
  <si>
    <t>2024-08-25T17:20:15.739+02:00</t>
  </si>
  <si>
    <t>2024-08-25T17:08:04.179+02:00</t>
  </si>
  <si>
    <t>2024-08-25T16:51:47.057+02:00</t>
  </si>
  <si>
    <t>2024-08-25T16:59:58.160+02:00</t>
  </si>
  <si>
    <t>2024-08-25T16:30:02.598+02:00</t>
  </si>
  <si>
    <t>2024-08-25T16:30:09.564+02:00</t>
  </si>
  <si>
    <t>2024-08-25T16:22:36.688+02:00</t>
  </si>
  <si>
    <t>2024-08-25T16:35:58.849+02:00</t>
  </si>
  <si>
    <t>2024-08-25T16:16:51.574+02:00</t>
  </si>
  <si>
    <t>2024-08-25T16:24:34.718+02:00</t>
  </si>
  <si>
    <t>2024-08-25T16:13:52.058+02:00</t>
  </si>
  <si>
    <t>2024-08-25T16:22:35.230+02:00</t>
  </si>
  <si>
    <t>2024-08-25T15:59:02.027+02:00</t>
  </si>
  <si>
    <t>2024-08-25T16:14:44.471+02:00</t>
  </si>
  <si>
    <t>2024-08-25T15:18:03.885+02:00</t>
  </si>
  <si>
    <t>2024-08-25T15:27:04.973+02:00</t>
  </si>
  <si>
    <t>2024-08-25T15:15:02.325+02:00</t>
  </si>
  <si>
    <t>2024-08-25T15:29:39.510+02:00</t>
  </si>
  <si>
    <t>2024-08-25T16:21:11.488+02:00</t>
  </si>
  <si>
    <t>2024-08-25T15:30:48.677+02:00</t>
  </si>
  <si>
    <t>2024-08-25T15:11:03.020+02:00</t>
  </si>
  <si>
    <t>2024-08-25T15:36:51.631+02:00</t>
  </si>
  <si>
    <t>2024-08-25T15:49:05.722+02:00</t>
  </si>
  <si>
    <t>2024-08-25T15:11:03.708+02:00</t>
  </si>
  <si>
    <t>2024-08-25T14:54:07.908+02:00</t>
  </si>
  <si>
    <t>2024-08-25T15:05:55.783+02:00</t>
  </si>
  <si>
    <t>2024-08-25T14:40:50.116+02:00</t>
  </si>
  <si>
    <t>2024-08-25T14:52:57.660+02:00</t>
  </si>
  <si>
    <t>2024-08-25T14:26:54.930+02:00</t>
  </si>
  <si>
    <t>2024-08-25T14:29:52.823+02:00</t>
  </si>
  <si>
    <t>Rahmatulla</t>
  </si>
  <si>
    <t>2024-08-25T14:19:02.911+02:00</t>
  </si>
  <si>
    <t>2024-08-25T14:25:34.661+02:00</t>
  </si>
  <si>
    <t>Sajjan</t>
  </si>
  <si>
    <t>2024-08-25T14:12:50.511+02:00</t>
  </si>
  <si>
    <t>2024-08-25T14:23:58.578+02:00</t>
  </si>
  <si>
    <t>2024-08-25T14:01:46.040+02:00</t>
  </si>
  <si>
    <t>2024-08-25T14:13:26.457+02:00</t>
  </si>
  <si>
    <t>2024-08-25T13:55:02.207+02:00</t>
  </si>
  <si>
    <t>2024-08-25T14:15:42.518+02:00</t>
  </si>
  <si>
    <t>2024-08-25T14:30:40.191+02:00</t>
  </si>
  <si>
    <t>2024-08-25T13:55:02.819+02:00</t>
  </si>
  <si>
    <t>2024-08-25T13:40:29.375+02:00</t>
  </si>
  <si>
    <t>2024-08-25T13:57:52.611+02:00</t>
  </si>
  <si>
    <t>2024-08-25T13:33:02.230+02:00</t>
  </si>
  <si>
    <t>2024-08-25T13:54:10.525+02:00</t>
  </si>
  <si>
    <t>2024-08-25T14:06:47.043+02:00</t>
  </si>
  <si>
    <t>2024-08-25T13:33:02.903+02:00</t>
  </si>
  <si>
    <t>2024-08-25T13:21:26.789+02:00</t>
  </si>
  <si>
    <t>2024-08-25T13:32:37.667+02:00</t>
  </si>
  <si>
    <t>2024-08-25T13:21:01.414+02:00</t>
  </si>
  <si>
    <t>2024-08-25T13:34:21.694+02:00</t>
  </si>
  <si>
    <t>2024-08-25T13:17:02.298+02:00</t>
  </si>
  <si>
    <t>2024-08-25T13:35:27.483+02:00</t>
  </si>
  <si>
    <t>2024-08-25T13:42:22.395+02:00</t>
  </si>
  <si>
    <t>2024-08-25T13:17:02.884+02:00</t>
  </si>
  <si>
    <t>2024-08-25T13:03:46.664+02:00</t>
  </si>
  <si>
    <t>2024-08-25T13:22:28.636+02:00</t>
  </si>
  <si>
    <t>2024-08-25T13:00:46.503+02:00</t>
  </si>
  <si>
    <t>2024-08-25T13:14:55.704+02:00</t>
  </si>
  <si>
    <t>2024-08-25T12:58:48.163+02:00</t>
  </si>
  <si>
    <t>2024-08-25T13:12:14.998+02:00</t>
  </si>
  <si>
    <t>2024-08-25T12:58:00.979+02:00</t>
  </si>
  <si>
    <t>2024-08-25T13:09:35.632+02:00</t>
  </si>
  <si>
    <t>2024-08-25T12:54:48.763+02:00</t>
  </si>
  <si>
    <t>2024-08-25T13:02:17.507+02:00</t>
  </si>
  <si>
    <t>2024-08-25T12:45:02.051+02:00</t>
  </si>
  <si>
    <t>2024-08-25T12:58:44.450+02:00</t>
  </si>
  <si>
    <t>2024-08-25T13:22:07.826+02:00</t>
  </si>
  <si>
    <t>2024-08-25T12:45:02.956+02:00</t>
  </si>
  <si>
    <t>2024-08-25T12:44:33.556+02:00</t>
  </si>
  <si>
    <t>2024-08-25T12:54:15.483+02:00</t>
  </si>
  <si>
    <t>2024-08-25T12:35:03.319+02:00</t>
  </si>
  <si>
    <t>2024-08-25T12:51:36.500+02:00</t>
  </si>
  <si>
    <t>2024-08-25T13:10:52.347+02:00</t>
  </si>
  <si>
    <t>2024-08-25T12:35:03.913+02:00</t>
  </si>
  <si>
    <t>2024-08-25T12:25:42.327+02:00</t>
  </si>
  <si>
    <t>2024-08-25T12:38:49.782+02:00</t>
  </si>
  <si>
    <t>Kakhramon</t>
  </si>
  <si>
    <t>2024-08-25T12:23:04.508+02:00</t>
  </si>
  <si>
    <t>2024-08-25T12:35:01.691+02:00</t>
  </si>
  <si>
    <t>2024-08-25T12:05:02.585+02:00</t>
  </si>
  <si>
    <t>2024-08-25T12:34:08.525+02:00</t>
  </si>
  <si>
    <t>2024-08-25T12:59:23.198+02:00</t>
  </si>
  <si>
    <t>2024-08-25T12:37:48.129+02:00</t>
  </si>
  <si>
    <t>2024-08-25T12:01:04.580+02:00</t>
  </si>
  <si>
    <t>2024-08-25T12:20:38.582+02:00</t>
  </si>
  <si>
    <t>Mukhammadyusuf</t>
  </si>
  <si>
    <t>2024-08-25T11:59:26.404+02:00</t>
  </si>
  <si>
    <t>2024-08-25T12:26:37.651+02:00</t>
  </si>
  <si>
    <t>2024-08-25T11:57:02.987+02:00</t>
  </si>
  <si>
    <t>2024-08-25T12:12:50.430+02:00</t>
  </si>
  <si>
    <t>2024-08-25T12:40:32.119+02:00</t>
  </si>
  <si>
    <t>2024-08-25T11:57:03.799+02:00</t>
  </si>
  <si>
    <t>2024-08-25T11:57:02.473+02:00</t>
  </si>
  <si>
    <t>2024-08-25T12:17:08.911+02:00</t>
  </si>
  <si>
    <t>Sagar</t>
  </si>
  <si>
    <t>2024-08-25T11:55:56.255+02:00</t>
  </si>
  <si>
    <t>2024-08-25T12:22:59.641+02:00</t>
  </si>
  <si>
    <t>2024-08-25T11:54:02.233+02:00</t>
  </si>
  <si>
    <t>2024-08-25T12:06:43.538+02:00</t>
  </si>
  <si>
    <t>2024-08-25T12:17:38.560+02:00</t>
  </si>
  <si>
    <t>2024-08-25T11:58:26.179+02:00</t>
  </si>
  <si>
    <t>2024-08-25T11:51:02.811+02:00</t>
  </si>
  <si>
    <t>2024-08-25T12:00:21.412+02:00</t>
  </si>
  <si>
    <t>Rumyana</t>
  </si>
  <si>
    <t>2024-08-25T11:39:07.255+02:00</t>
  </si>
  <si>
    <t>2024-08-25T11:49:20.551+02:00</t>
  </si>
  <si>
    <t>2024-08-25T11:33:03.835+02:00</t>
  </si>
  <si>
    <t>2024-08-25T11:32:36.841+02:00</t>
  </si>
  <si>
    <t>2024-08-25T11:34:02.399+02:00</t>
  </si>
  <si>
    <t>2024-08-25T11:31:02.472+02:00</t>
  </si>
  <si>
    <t>2024-08-25T12:11:25.482+02:00</t>
  </si>
  <si>
    <t>2024-08-25T12:27:19.021+02:00</t>
  </si>
  <si>
    <t>2024-08-25T11:31:03.101+02:00</t>
  </si>
  <si>
    <t>Adriana</t>
  </si>
  <si>
    <t>2024-08-25T11:24:47.452+02:00</t>
  </si>
  <si>
    <t>2024-08-25T11:35:34.556+02:00</t>
  </si>
  <si>
    <t>2024-08-25T11:03:02.185+02:00</t>
  </si>
  <si>
    <t>2024-08-25T11:15:09.687+02:00</t>
  </si>
  <si>
    <t>2024-08-25T11:33:33.634+02:00</t>
  </si>
  <si>
    <t>2024-08-25T11:03:02.862+02:00</t>
  </si>
  <si>
    <t>2024-08-25T05:08:02.765+02:00</t>
  </si>
  <si>
    <t>2024-08-25T05:08:03.687+02:00</t>
  </si>
  <si>
    <t>2024-08-28T00:24:42.168+02:00</t>
  </si>
  <si>
    <t>2024-08-28T00:30:49.889+02:00</t>
  </si>
  <si>
    <t>2024-08-28T00:19:42.550+02:00</t>
  </si>
  <si>
    <t>2024-08-28T00:26:19.903+02:00</t>
  </si>
  <si>
    <t>Sheikh Nazmul</t>
  </si>
  <si>
    <t>2024-08-28T00:15:32.405+02:00</t>
  </si>
  <si>
    <t>2024-08-28T00:23:39.056+02:00</t>
  </si>
  <si>
    <t>2024-08-28T00:13:53.004+02:00</t>
  </si>
  <si>
    <t>2024-08-28T00:21:53.796+02:00</t>
  </si>
  <si>
    <t>2024-08-28T00:02:18.846+02:00</t>
  </si>
  <si>
    <t>2024-08-28T00:13:05.864+02:00</t>
  </si>
  <si>
    <t>2024-08-27T23:52:16.562+02:00</t>
  </si>
  <si>
    <t>2024-08-27T23:56:17.846+02:00</t>
  </si>
  <si>
    <t>2024-08-27T23:48:13.728+02:00</t>
  </si>
  <si>
    <t>2024-08-27T23:54:48.852+02:00</t>
  </si>
  <si>
    <t>Pešta Milan</t>
  </si>
  <si>
    <t>2024-08-27T23:43:02.522+02:00</t>
  </si>
  <si>
    <t>2024-08-27T23:50:50.651+02:00</t>
  </si>
  <si>
    <t>2024-08-28T00:01:50.508+02:00</t>
  </si>
  <si>
    <t>2024-08-27T23:43:03.203+02:00</t>
  </si>
  <si>
    <t>2024-08-27T23:41:39.906+02:00</t>
  </si>
  <si>
    <t>2024-08-27T23:52:05.907+02:00</t>
  </si>
  <si>
    <t>2024-08-27T23:33:02.494+02:00</t>
  </si>
  <si>
    <t>2024-08-27T23:38:03.638+02:00</t>
  </si>
  <si>
    <t>2024-08-27T23:45:57.914+02:00</t>
  </si>
  <si>
    <t>2024-08-27T23:33:03.062+02:00</t>
  </si>
  <si>
    <t>Azamjon</t>
  </si>
  <si>
    <t>2024-08-27T23:24:55.119+02:00</t>
  </si>
  <si>
    <t>2024-08-27T23:32:15.719+02:00</t>
  </si>
  <si>
    <t>2024-08-27T23:23:41.608+02:00</t>
  </si>
  <si>
    <t>2024-08-27T23:28:38.172+02:00</t>
  </si>
  <si>
    <t>2024-08-27T23:16:26.360+02:00</t>
  </si>
  <si>
    <t>2024-08-27T23:23:12.128+02:00</t>
  </si>
  <si>
    <t>2024-08-27T23:07:50.853+02:00</t>
  </si>
  <si>
    <t>2024-08-27T23:12:22.803+02:00</t>
  </si>
  <si>
    <t>2024-08-27T22:48:43.506+02:00</t>
  </si>
  <si>
    <t>2024-08-27T23:01:26.831+02:00</t>
  </si>
  <si>
    <t>2024-08-27T22:39:02.713+02:00</t>
  </si>
  <si>
    <t>2024-08-27T22:49:39.591+02:00</t>
  </si>
  <si>
    <t>2024-08-27T22:38:44.328+02:00</t>
  </si>
  <si>
    <t>2024-08-27T22:45:59.788+02:00</t>
  </si>
  <si>
    <t>2024-08-27T22:03:41.977+02:00</t>
  </si>
  <si>
    <t>2024-08-27T22:20:20.171+02:00</t>
  </si>
  <si>
    <t>2024-08-27T21:57:47.221+02:00</t>
  </si>
  <si>
    <t>2024-08-27T22:05:38.549+02:00</t>
  </si>
  <si>
    <t>2024-08-27T21:56:37.225+02:00</t>
  </si>
  <si>
    <t>2024-08-27T22:05:51.721+02:00</t>
  </si>
  <si>
    <t>2024-08-27T21:50:00.651+02:00</t>
  </si>
  <si>
    <t>2024-08-27T22:00:42.728+02:00</t>
  </si>
  <si>
    <t>Kismat</t>
  </si>
  <si>
    <t>2024-08-27T21:42:44.713+02:00</t>
  </si>
  <si>
    <t>2024-08-27T21:58:52.647+02:00</t>
  </si>
  <si>
    <t>Petro</t>
  </si>
  <si>
    <t>2024-08-27T21:39:07.764+02:00</t>
  </si>
  <si>
    <t>2024-08-27T22:00:41.717+02:00</t>
  </si>
  <si>
    <t>2024-08-27T21:37:17.798+02:00</t>
  </si>
  <si>
    <t>2024-08-27T21:49:30.730+02:00</t>
  </si>
  <si>
    <t>2024-08-27T21:34:57.412+02:00</t>
  </si>
  <si>
    <t>2024-08-27T21:47:13.643+02:00</t>
  </si>
  <si>
    <t>2024-08-27T21:15:41.383+02:00</t>
  </si>
  <si>
    <t>2024-08-27T21:26:34.798+02:00</t>
  </si>
  <si>
    <t>2024-08-27T21:13:02.824+02:00</t>
  </si>
  <si>
    <t>2024-08-27T21:22:25.523+02:00</t>
  </si>
  <si>
    <t>2024-08-27T21:37:18.544+02:00</t>
  </si>
  <si>
    <t>2024-08-27T21:13:03.443+02:00</t>
  </si>
  <si>
    <t>2024-08-27T21:06:03.940+02:00</t>
  </si>
  <si>
    <t>2024-08-27T21:15:35.530+02:00</t>
  </si>
  <si>
    <t>2024-08-27T21:02:43.243+02:00</t>
  </si>
  <si>
    <t>2024-08-27T21:13:34.742+02:00</t>
  </si>
  <si>
    <t>2024-08-27T21:01:41.714+02:00</t>
  </si>
  <si>
    <t>2024-08-27T21:11:46.950+02:00</t>
  </si>
  <si>
    <t>2024-08-27T21:01:40.497+02:00</t>
  </si>
  <si>
    <t>2024-08-27T21:09:59.032+02:00</t>
  </si>
  <si>
    <t>2024-08-27T20:29:02.390+02:00</t>
  </si>
  <si>
    <t>2024-08-27T20:35:55.546+02:00</t>
  </si>
  <si>
    <t>2024-08-27T20:56:01.493+02:00</t>
  </si>
  <si>
    <t>2024-08-27T20:29:02.937+02:00</t>
  </si>
  <si>
    <t>Azizbek</t>
  </si>
  <si>
    <t>2024-08-27T20:22:17.266+02:00</t>
  </si>
  <si>
    <t>2024-08-27T20:32:56.657+02:00</t>
  </si>
  <si>
    <t>2024-08-27T20:11:41.750+02:00</t>
  </si>
  <si>
    <t>2024-08-27T20:19:05.784+02:00</t>
  </si>
  <si>
    <t>2024-08-27T20:08:40.760+02:00</t>
  </si>
  <si>
    <t>2024-08-27T20:16:22.708+02:00</t>
  </si>
  <si>
    <t>2024-08-27T20:07:43.318+02:00</t>
  </si>
  <si>
    <t>2024-08-27T20:15:08.923+02:00</t>
  </si>
  <si>
    <t>2024-08-27T20:03:02.258+02:00</t>
  </si>
  <si>
    <t>2024-08-27T20:11:26.520+02:00</t>
  </si>
  <si>
    <t>2024-08-27T20:27:28.552+02:00</t>
  </si>
  <si>
    <t>2024-08-27T20:03:02.882+02:00</t>
  </si>
  <si>
    <t>2024-08-27T19:56:02.021+02:00</t>
  </si>
  <si>
    <t>2024-08-27T20:08:43.569+02:00</t>
  </si>
  <si>
    <t>2024-08-27T20:22:01.680+02:00</t>
  </si>
  <si>
    <t>2024-08-27T19:56:02.628+02:00</t>
  </si>
  <si>
    <t>2024-08-27T19:55:12.722+02:00</t>
  </si>
  <si>
    <t>2024-08-27T20:02:58.463+02:00</t>
  </si>
  <si>
    <t>2024-08-27T19:54:06.560+02:00</t>
  </si>
  <si>
    <t>2024-08-27T20:06:41.524+02:00</t>
  </si>
  <si>
    <t>2024-08-27T19:53:13.197+02:00</t>
  </si>
  <si>
    <t>2024-08-27T20:02:54.525+02:00</t>
  </si>
  <si>
    <t>2024-08-27T19:52:41.262+02:00</t>
  </si>
  <si>
    <t>2024-08-27T20:04:13.738+02:00</t>
  </si>
  <si>
    <t>2024-08-27T19:49:04.071+02:00</t>
  </si>
  <si>
    <t>2024-08-27T19:54:10.513+02:00</t>
  </si>
  <si>
    <t>2024-08-27T19:48:45.481+02:00</t>
  </si>
  <si>
    <t>2024-08-27T19:57:51.486+02:00</t>
  </si>
  <si>
    <t>2024-08-27T19:48:00.564+02:00</t>
  </si>
  <si>
    <t>2024-08-27T19:56:00.782+02:00</t>
  </si>
  <si>
    <t>2024-08-27T19:43:50.902+02:00</t>
  </si>
  <si>
    <t>2024-08-27T19:52:27.715+02:00</t>
  </si>
  <si>
    <t>2024-08-27T19:42:42.210+02:00</t>
  </si>
  <si>
    <t>2024-08-27T19:52:58.706+02:00</t>
  </si>
  <si>
    <t>2024-08-27T19:33:52.458+02:00</t>
  </si>
  <si>
    <t>2024-08-27T19:47:10.658+02:00</t>
  </si>
  <si>
    <t>2024-08-27T19:33:02.352+02:00</t>
  </si>
  <si>
    <t>2024-08-27T19:45:17.502+02:00</t>
  </si>
  <si>
    <t>2024-08-27T19:24:55.299+02:00</t>
  </si>
  <si>
    <t>2024-08-27T19:34:05.443+02:00</t>
  </si>
  <si>
    <t>2024-08-27T19:20:02.697+02:00</t>
  </si>
  <si>
    <t>2024-08-27T19:28:32.458+02:00</t>
  </si>
  <si>
    <t>2024-08-27T19:14:02.740+02:00</t>
  </si>
  <si>
    <t>2024-08-27T19:27:17.474+02:00</t>
  </si>
  <si>
    <t>2024-08-27T19:43:58.945+02:00</t>
  </si>
  <si>
    <t>2024-08-27T19:14:03.355+02:00</t>
  </si>
  <si>
    <t>2024-08-27T19:10:05.571+02:00</t>
  </si>
  <si>
    <t>2024-08-27T19:15:39.617+02:00</t>
  </si>
  <si>
    <t>2024-08-27T19:04:24.167+02:00</t>
  </si>
  <si>
    <t>2024-08-27T19:13:34.432+02:00</t>
  </si>
  <si>
    <t>Fakhriddin</t>
  </si>
  <si>
    <t>2024-08-27T19:02:03.606+02:00</t>
  </si>
  <si>
    <t>2024-08-27T19:15:32.660+02:00</t>
  </si>
  <si>
    <t>2024-08-27T18:59:02.855+02:00</t>
  </si>
  <si>
    <t>2024-08-27T19:11:17.471+02:00</t>
  </si>
  <si>
    <t>2024-08-27T19:18:41.631+02:00</t>
  </si>
  <si>
    <t>2024-08-27T18:59:03.446+02:00</t>
  </si>
  <si>
    <t>2024-08-27T18:58:29.926+02:00</t>
  </si>
  <si>
    <t>2024-08-27T19:05:16.582+02:00</t>
  </si>
  <si>
    <t>2024-08-27T18:44:02.516+02:00</t>
  </si>
  <si>
    <t>2024-08-27T18:53:33.699+02:00</t>
  </si>
  <si>
    <t>2024-08-27T18:08:50.316+02:00</t>
  </si>
  <si>
    <t>2024-08-27T18:17:26.389+02:00</t>
  </si>
  <si>
    <t>2024-08-27T18:00:36.611+02:00</t>
  </si>
  <si>
    <t>2024-08-27T18:16:01.671+02:00</t>
  </si>
  <si>
    <t>2024-08-27T17:57:01.943+02:00</t>
  </si>
  <si>
    <t>2024-08-27T18:05:42.367+02:00</t>
  </si>
  <si>
    <t>Furkatjon</t>
  </si>
  <si>
    <t>2024-08-27T17:47:24.520+02:00</t>
  </si>
  <si>
    <t>2024-08-27T17:53:13.496+02:00</t>
  </si>
  <si>
    <t>2024-08-27T17:44:36.377+02:00</t>
  </si>
  <si>
    <t>2024-08-27T17:51:09.592+02:00</t>
  </si>
  <si>
    <t>2024-08-27T17:40:02.500+02:00</t>
  </si>
  <si>
    <t>2024-08-27T17:49:46.387+02:00</t>
  </si>
  <si>
    <t>2024-08-27T17:30:34.573+02:00</t>
  </si>
  <si>
    <t>2024-08-27T17:43:28.432+02:00</t>
  </si>
  <si>
    <t>2024-08-27T17:21:02.775+02:00</t>
  </si>
  <si>
    <t>2024-08-27T17:27:02.344+02:00</t>
  </si>
  <si>
    <t>2024-08-27T17:05:51.800+02:00</t>
  </si>
  <si>
    <t>2024-08-27T17:12:48.619+02:00</t>
  </si>
  <si>
    <t>2024-08-27T16:21:39.287+02:00</t>
  </si>
  <si>
    <t>2024-08-27T16:28:01.850+02:00</t>
  </si>
  <si>
    <t>2024-08-27T15:48:03.277+02:00</t>
  </si>
  <si>
    <t>2024-08-27T15:54:00.407+02:00</t>
  </si>
  <si>
    <t>2024-08-27T16:08:39.748+02:00</t>
  </si>
  <si>
    <t>2024-08-27T15:48:03.828+02:00</t>
  </si>
  <si>
    <t>2024-08-27T15:36:32.638+02:00</t>
  </si>
  <si>
    <t>2024-08-27T15:47:29.436+02:00</t>
  </si>
  <si>
    <t>2024-08-27T14:47:39.324+02:00</t>
  </si>
  <si>
    <t>2024-08-27T14:54:08.765+02:00</t>
  </si>
  <si>
    <t>2024-08-27T14:34:37.303+02:00</t>
  </si>
  <si>
    <t>2024-08-27T14:41:45.549+02:00</t>
  </si>
  <si>
    <t>Roman</t>
  </si>
  <si>
    <t>2024-08-27T14:31:48.928+02:00</t>
  </si>
  <si>
    <t>2024-08-27T14:39:42.445+02:00</t>
  </si>
  <si>
    <t>2024-08-27T14:13:31.708+02:00</t>
  </si>
  <si>
    <t>2024-08-27T14:28:34.519+02:00</t>
  </si>
  <si>
    <t>2024-08-27T14:13:02.993+02:00</t>
  </si>
  <si>
    <t>2024-08-27T14:25:13.282+02:00</t>
  </si>
  <si>
    <t>2024-08-27T14:00:26.597+02:00</t>
  </si>
  <si>
    <t>2024-08-27T14:11:18.515+02:00</t>
  </si>
  <si>
    <t>2024-08-27T13:52:03.040+02:00</t>
  </si>
  <si>
    <t>2024-08-27T13:59:53.252+02:00</t>
  </si>
  <si>
    <t>2024-08-27T13:47:52.938+02:00</t>
  </si>
  <si>
    <t>2024-08-27T13:53:20.277+02:00</t>
  </si>
  <si>
    <t>Hosen</t>
  </si>
  <si>
    <t>2024-08-27T13:42:28.102+02:00</t>
  </si>
  <si>
    <t>2024-08-27T13:55:58.440+02:00</t>
  </si>
  <si>
    <t>2024-08-27T13:40:31.640+02:00</t>
  </si>
  <si>
    <t>2024-08-27T13:50:37.533+02:00</t>
  </si>
  <si>
    <t>2024-08-27T13:38:30.425+02:00</t>
  </si>
  <si>
    <t>2024-08-27T13:46:25.943+02:00</t>
  </si>
  <si>
    <t>2024-08-27T12:51:02.320+02:00</t>
  </si>
  <si>
    <t>2024-08-27T13:03:56.306+02:00</t>
  </si>
  <si>
    <t>2024-08-27T13:19:09.535+02:00</t>
  </si>
  <si>
    <t>2024-08-27T13:01:13.559+02:00</t>
  </si>
  <si>
    <t>2024-08-27T12:28:02.037+02:00</t>
  </si>
  <si>
    <t>2024-08-27T12:35:23.258+02:00</t>
  </si>
  <si>
    <t>2024-08-27T12:13:02.401+02:00</t>
  </si>
  <si>
    <t>2024-08-27T12:25:03.356+02:00</t>
  </si>
  <si>
    <t>2024-08-27T12:39:16.925+02:00</t>
  </si>
  <si>
    <t>2024-08-27T12:20:16.546+02:00</t>
  </si>
  <si>
    <t>2024-08-27T12:10:02.648+02:00</t>
  </si>
  <si>
    <t>2024-08-27T12:21:07.248+02:00</t>
  </si>
  <si>
    <t>2024-08-27T12:08:03.114+02:00</t>
  </si>
  <si>
    <t>2024-08-27T12:16:36.278+02:00</t>
  </si>
  <si>
    <t>2024-08-27T12:34:55.858+02:00</t>
  </si>
  <si>
    <t>2024-08-27T12:17:53.854+02:00</t>
  </si>
  <si>
    <t>2024-08-27T12:04:32.294+02:00</t>
  </si>
  <si>
    <t>2024-08-27T12:12:29.750+02:00</t>
  </si>
  <si>
    <t>2024-08-27T11:51:02.934+02:00</t>
  </si>
  <si>
    <t>2024-08-27T12:04:35.238+02:00</t>
  </si>
  <si>
    <t>2024-08-27T11:49:33.246+02:00</t>
  </si>
  <si>
    <t>2024-08-27T11:58:39.608+02:00</t>
  </si>
  <si>
    <t>2024-08-27T11:25:02.136+02:00</t>
  </si>
  <si>
    <t>2024-08-27T11:41:22.200+02:00</t>
  </si>
  <si>
    <t>2024-08-27T11:18:05.635+02:00</t>
  </si>
  <si>
    <t>2024-08-27T11:37:30.273+02:00</t>
  </si>
  <si>
    <t>2024-08-27T11:50:09.582+02:00</t>
  </si>
  <si>
    <t>2024-08-27T11:18:06.238+02:00</t>
  </si>
  <si>
    <t>2024-08-27T11:16:37.137+02:00</t>
  </si>
  <si>
    <t>2024-08-27T11:34:15.477+02:00</t>
  </si>
  <si>
    <t>2024-08-27T11:15:34.663+02:00</t>
  </si>
  <si>
    <t>2024-08-27T11:28:29.506+02:00</t>
  </si>
  <si>
    <t>2024-08-27T11:15:10.767+02:00</t>
  </si>
  <si>
    <t>2024-08-27T11:23:34.250+02:00</t>
  </si>
  <si>
    <t>2024-08-27T11:10:02.758+02:00</t>
  </si>
  <si>
    <t>2024-08-27T11:37:38.248+02:00</t>
  </si>
  <si>
    <t>2024-08-27T11:58:19.704+02:00</t>
  </si>
  <si>
    <t>2024-08-27T11:10:03.861+02:00</t>
  </si>
  <si>
    <t>2024-08-29T00:35:23.373+02:00</t>
  </si>
  <si>
    <t>2024-08-29T00:36:44.081+02:00</t>
  </si>
  <si>
    <t>2024-08-29T00:24:02.772+02:00</t>
  </si>
  <si>
    <t>2024-08-29T00:32:04.484+02:00</t>
  </si>
  <si>
    <t>2024-08-29T00:18:03.583+02:00</t>
  </si>
  <si>
    <t>2024-08-29T00:25:39.934+02:00</t>
  </si>
  <si>
    <t>2024-08-29T00:51:34.435+02:00</t>
  </si>
  <si>
    <t>2024-08-29T00:19:20.843+02:00</t>
  </si>
  <si>
    <t>2024-08-29T00:16:03.076+02:00</t>
  </si>
  <si>
    <t>2024-08-29T00:23:37.036+02:00</t>
  </si>
  <si>
    <t>2024-08-29T00:14:46.179+02:00</t>
  </si>
  <si>
    <t>2024-08-29T00:27:16.024+02:00</t>
  </si>
  <si>
    <t>2024-08-29T00:00:51.872+02:00</t>
  </si>
  <si>
    <t>2024-08-29T00:08:23.141+02:00</t>
  </si>
  <si>
    <t>2024-08-28T23:32:51.541+02:00</t>
  </si>
  <si>
    <t>2024-08-28T23:41:50.302+02:00</t>
  </si>
  <si>
    <t>2024-08-28T23:31:02.812+02:00</t>
  </si>
  <si>
    <t>2024-08-28T23:38:05.348+02:00</t>
  </si>
  <si>
    <t>2024-08-28T23:24:47.045+02:00</t>
  </si>
  <si>
    <t>2024-08-28T23:32:31.264+02:00</t>
  </si>
  <si>
    <t>2024-08-28T23:24:02.698+02:00</t>
  </si>
  <si>
    <t>2024-08-28T23:30:06.398+02:00</t>
  </si>
  <si>
    <t>Petr</t>
  </si>
  <si>
    <t>2024-08-28T23:18:44.520+02:00</t>
  </si>
  <si>
    <t>2024-08-28T23:28:58.157+02:00</t>
  </si>
  <si>
    <t>2024-08-28T23:18:05.843+02:00</t>
  </si>
  <si>
    <t>2024-08-28T23:26:28.577+02:00</t>
  </si>
  <si>
    <t>2024-08-28T23:10:10.203+02:00</t>
  </si>
  <si>
    <t>2024-08-28T23:19:08.338+02:00</t>
  </si>
  <si>
    <t>2024-08-28T23:07:27.008+02:00</t>
  </si>
  <si>
    <t>2024-08-28T23:12:55.014+02:00</t>
  </si>
  <si>
    <t>2024-08-28T23:07:08.655+02:00</t>
  </si>
  <si>
    <t>2024-08-28T23:16:24.350+02:00</t>
  </si>
  <si>
    <t>2024-08-28T23:07:02.719+02:00</t>
  </si>
  <si>
    <t>2024-08-28T23:15:11.114+02:00</t>
  </si>
  <si>
    <t>Mohit</t>
  </si>
  <si>
    <t>2024-08-28T22:58:10.824+02:00</t>
  </si>
  <si>
    <t>2024-08-28T23:03:18.452+02:00</t>
  </si>
  <si>
    <t>2024-08-28T22:49:41.425+02:00</t>
  </si>
  <si>
    <t>2024-08-28T22:54:15.958+02:00</t>
  </si>
  <si>
    <t>2024-08-28T22:19:48.693+02:00</t>
  </si>
  <si>
    <t>2024-08-28T22:33:57.787+02:00</t>
  </si>
  <si>
    <t>2024-08-28T22:16:18.486+02:00</t>
  </si>
  <si>
    <t>2024-08-28T22:33:55.392+02:00</t>
  </si>
  <si>
    <t>2024-08-28T22:16:01.673+02:00</t>
  </si>
  <si>
    <t>2024-08-28T22:28:09.619+02:00</t>
  </si>
  <si>
    <t>2024-08-28T22:14:01.990+02:00</t>
  </si>
  <si>
    <t>2024-08-28T22:30:42.562+02:00</t>
  </si>
  <si>
    <t>2024-08-28T22:10:45.755+02:00</t>
  </si>
  <si>
    <t>2024-08-28T22:21:18.496+02:00</t>
  </si>
  <si>
    <t>2024-08-28T22:04:48.835+02:00</t>
  </si>
  <si>
    <t>2024-08-28T22:08:27.326+02:00</t>
  </si>
  <si>
    <t>2024-08-28T21:58:02.717+02:00</t>
  </si>
  <si>
    <t>2024-08-28T22:14:41.497+02:00</t>
  </si>
  <si>
    <t>2024-08-28T21:58:00.616+02:00</t>
  </si>
  <si>
    <t>2024-08-28T22:07:02.570+02:00</t>
  </si>
  <si>
    <t>2024-08-28T21:58:00.526+02:00</t>
  </si>
  <si>
    <t>2024-08-28T22:08:04.454+02:00</t>
  </si>
  <si>
    <t>2024-08-28T21:52:03.112+02:00</t>
  </si>
  <si>
    <t>2024-08-28T21:58:57.641+02:00</t>
  </si>
  <si>
    <t>2024-08-28T22:21:54.162+02:00</t>
  </si>
  <si>
    <t>2024-08-28T21:52:03.765+02:00</t>
  </si>
  <si>
    <t>Emmanuel</t>
  </si>
  <si>
    <t>2024-08-28T21:50:28.833+02:00</t>
  </si>
  <si>
    <t>2024-08-28T22:00:30.501+02:00</t>
  </si>
  <si>
    <t>2024-08-28T21:48:01.828+02:00</t>
  </si>
  <si>
    <t>2024-08-28T21:56:08.319+02:00</t>
  </si>
  <si>
    <t>2024-08-28T22:12:53.337+02:00</t>
  </si>
  <si>
    <t>2024-08-28T21:48:02.465+02:00</t>
  </si>
  <si>
    <t>2024-08-28T21:22:02.063+02:00</t>
  </si>
  <si>
    <t>2024-08-28T21:30:27.341+02:00</t>
  </si>
  <si>
    <t>2024-08-28T21:37:14.061+02:00</t>
  </si>
  <si>
    <t>2024-08-28T21:22:02.702+02:00</t>
  </si>
  <si>
    <t>2024-08-28T20:50:03.819+02:00</t>
  </si>
  <si>
    <t>2024-08-28T20:56:19.626+02:00</t>
  </si>
  <si>
    <t>2024-08-28T20:39:45.380+02:00</t>
  </si>
  <si>
    <t>2024-08-28T20:50:45.444+02:00</t>
  </si>
  <si>
    <t>2024-08-28T20:39:45.037+02:00</t>
  </si>
  <si>
    <t>2024-08-28T20:48:24.299+02:00</t>
  </si>
  <si>
    <t>2024-08-28T20:28:10.872+02:00</t>
  </si>
  <si>
    <t>2024-08-28T20:35:53.312+02:00</t>
  </si>
  <si>
    <t>2024-08-28T20:25:43.725+02:00</t>
  </si>
  <si>
    <t>2024-08-28T20:32:53.318+02:00</t>
  </si>
  <si>
    <t>2024-08-28T20:19:40.707+02:00</t>
  </si>
  <si>
    <t>2024-08-28T20:26:17.441+02:00</t>
  </si>
  <si>
    <t>2024-08-28T20:04:37.956+02:00</t>
  </si>
  <si>
    <t>2024-08-28T20:11:54.325+02:00</t>
  </si>
  <si>
    <t>2024-08-28T19:58:06.654+02:00</t>
  </si>
  <si>
    <t>2024-08-28T20:06:52.312+02:00</t>
  </si>
  <si>
    <t>2024-08-28T19:58:03.139+02:00</t>
  </si>
  <si>
    <t>2024-08-28T20:05:54.425+02:00</t>
  </si>
  <si>
    <t>2024-08-28T19:53:02.612+02:00</t>
  </si>
  <si>
    <t>2024-08-28T19:59:51.118+02:00</t>
  </si>
  <si>
    <t>2024-08-28T20:06:42.203+02:00</t>
  </si>
  <si>
    <t>2024-08-28T19:53:03.599+02:00</t>
  </si>
  <si>
    <t>2024-08-28T19:31:01.762+02:00</t>
  </si>
  <si>
    <t>2024-08-28T19:43:40.094+02:00</t>
  </si>
  <si>
    <t>2024-08-28T19:30:03.014+02:00</t>
  </si>
  <si>
    <t>2024-08-28T19:37:26.142+02:00</t>
  </si>
  <si>
    <t>2024-08-28T19:43:17.271+02:00</t>
  </si>
  <si>
    <t>2024-08-28T19:30:03.835+02:00</t>
  </si>
  <si>
    <t>Yogiraj</t>
  </si>
  <si>
    <t>2024-08-28T19:25:28.317+02:00</t>
  </si>
  <si>
    <t>2024-08-28T19:34:08.227+02:00</t>
  </si>
  <si>
    <t>2024-08-28T19:18:05.950+02:00</t>
  </si>
  <si>
    <t>2024-08-28T19:23:11.385+02:00</t>
  </si>
  <si>
    <t>2024-08-28T19:18:02.033+02:00</t>
  </si>
  <si>
    <t>2024-08-28T19:26:07.106+02:00</t>
  </si>
  <si>
    <t>2024-08-28T19:12:09.433+02:00</t>
  </si>
  <si>
    <t>2024-08-28T19:20:15.899+02:00</t>
  </si>
  <si>
    <t>2024-08-28T18:59:34.168+02:00</t>
  </si>
  <si>
    <t>2024-08-28T19:05:48.060+02:00</t>
  </si>
  <si>
    <t>2024-08-28T18:57:42.960+02:00</t>
  </si>
  <si>
    <t>2024-08-28T19:06:10.265+02:00</t>
  </si>
  <si>
    <t>2024-08-28T18:55:04.503+02:00</t>
  </si>
  <si>
    <t>2024-08-28T19:03:50.475+02:00</t>
  </si>
  <si>
    <t>2024-08-28T18:53:02.966+02:00</t>
  </si>
  <si>
    <t>2024-08-28T19:01:11.473+02:00</t>
  </si>
  <si>
    <t>2024-08-28T18:44:02.890+02:00</t>
  </si>
  <si>
    <t>2024-08-28T18:51:48.360+02:00</t>
  </si>
  <si>
    <t>2024-08-28T18:39:07.024+02:00</t>
  </si>
  <si>
    <t>2024-08-28T18:45:23.248+02:00</t>
  </si>
  <si>
    <t>2024-08-28T18:29:04.869+02:00</t>
  </si>
  <si>
    <t>2024-08-28T18:38:16.255+02:00</t>
  </si>
  <si>
    <t>2024-08-28T18:28:01.187+02:00</t>
  </si>
  <si>
    <t>2024-08-28T18:35:11.006+02:00</t>
  </si>
  <si>
    <t>2024-08-28T18:27:39.285+02:00</t>
  </si>
  <si>
    <t>2024-08-28T18:35:08.121+02:00</t>
  </si>
  <si>
    <t>Nika</t>
  </si>
  <si>
    <t>2024-08-28T18:21:53.907+02:00</t>
  </si>
  <si>
    <t>2024-08-28T18:28:49.183+02:00</t>
  </si>
  <si>
    <t>2024-08-28T18:19:02.954+02:00</t>
  </si>
  <si>
    <t>2024-08-28T18:25:38.112+02:00</t>
  </si>
  <si>
    <t>2024-08-28T18:39:06.804+02:00</t>
  </si>
  <si>
    <t>2024-08-28T18:19:03.489+02:00</t>
  </si>
  <si>
    <t>2024-08-28T18:09:33.882+02:00</t>
  </si>
  <si>
    <t>2024-08-28T18:15:51.266+02:00</t>
  </si>
  <si>
    <t>2024-08-28T18:00:25.674+02:00</t>
  </si>
  <si>
    <t>2024-08-28T18:06:24.276+02:00</t>
  </si>
  <si>
    <t>2024-08-28T17:49:59.585+02:00</t>
  </si>
  <si>
    <t>2024-08-28T17:59:51.955+02:00</t>
  </si>
  <si>
    <t>2024-08-28T17:49:03.150+02:00</t>
  </si>
  <si>
    <t>2024-08-28T17:55:40.934+02:00</t>
  </si>
  <si>
    <t>2024-08-28T17:39:56.234+02:00</t>
  </si>
  <si>
    <t>2024-08-28T17:50:54.662+02:00</t>
  </si>
  <si>
    <t>2024-08-28T17:32:18.903+02:00</t>
  </si>
  <si>
    <t>2024-08-28T17:41:35.162+02:00</t>
  </si>
  <si>
    <t>2024-08-28T17:27:59.711+02:00</t>
  </si>
  <si>
    <t>2024-08-28T17:39:08.594+02:00</t>
  </si>
  <si>
    <t>2024-08-28T17:26:56.916+02:00</t>
  </si>
  <si>
    <t>2024-08-28T17:34:05.123+02:00</t>
  </si>
  <si>
    <t>2024-08-28T17:24:51.897+02:00</t>
  </si>
  <si>
    <t>2024-08-28T17:25:25.845+02:00</t>
  </si>
  <si>
    <t>2024-08-28T17:09:02.798+02:00</t>
  </si>
  <si>
    <t>2024-08-28T17:46:07.955+02:00</t>
  </si>
  <si>
    <t>2024-08-28T16:56:02.736+02:00</t>
  </si>
  <si>
    <t>2024-08-28T17:02:12.937+02:00</t>
  </si>
  <si>
    <t>2024-08-28T16:51:34.068+02:00</t>
  </si>
  <si>
    <t>2024-08-28T16:55:23.868+02:00</t>
  </si>
  <si>
    <t>2024-08-28T16:36:02.311+02:00</t>
  </si>
  <si>
    <t>2024-08-28T16:43:01.921+02:00</t>
  </si>
  <si>
    <t>2024-08-28T16:55:10.309+02:00</t>
  </si>
  <si>
    <t>2024-08-28T16:36:02.849+02:00</t>
  </si>
  <si>
    <t>2024-08-28T16:33:24.773+02:00</t>
  </si>
  <si>
    <t>2024-08-28T16:39:52.024+02:00</t>
  </si>
  <si>
    <t>2024-08-28T16:27:24.463+02:00</t>
  </si>
  <si>
    <t>2024-08-28T16:35:26.457+02:00</t>
  </si>
  <si>
    <t>2024-08-28T15:46:38.439+02:00</t>
  </si>
  <si>
    <t>2024-08-28T15:55:32.101+02:00</t>
  </si>
  <si>
    <t>2024-08-28T15:46:03.689+02:00</t>
  </si>
  <si>
    <t>2024-08-28T15:58:25.079+02:00</t>
  </si>
  <si>
    <t>2024-08-28T15:34:22.113+02:00</t>
  </si>
  <si>
    <t>2024-08-28T15:39:46.820+02:00</t>
  </si>
  <si>
    <t>2024-08-28T15:33:42.355+02:00</t>
  </si>
  <si>
    <t>2024-08-28T15:39:35.793+02:00</t>
  </si>
  <si>
    <t>2024-08-28T15:29:27.038+02:00</t>
  </si>
  <si>
    <t>2024-08-28T15:38:46.160+02:00</t>
  </si>
  <si>
    <t>2024-08-28T14:33:02.009+02:00</t>
  </si>
  <si>
    <t>2024-08-28T14:40:40.222+02:00</t>
  </si>
  <si>
    <t>2024-08-28T14:24:01.865+02:00</t>
  </si>
  <si>
    <t>2024-08-28T14:32:33.491+02:00</t>
  </si>
  <si>
    <t>2024-08-28T13:58:02.935+02:00</t>
  </si>
  <si>
    <t>2024-08-28T14:05:08.826+02:00</t>
  </si>
  <si>
    <t>2024-08-28T14:13:56.208+02:00</t>
  </si>
  <si>
    <t>2024-08-28T13:58:03.689+02:00</t>
  </si>
  <si>
    <t>2024-08-28T13:49:41.679+02:00</t>
  </si>
  <si>
    <t>2024-08-28T13:57:24.195+02:00</t>
  </si>
  <si>
    <t>2024-08-28T13:34:03.835+02:00</t>
  </si>
  <si>
    <t>2024-08-28T13:55:24.074+02:00</t>
  </si>
  <si>
    <t>2024-08-28T13:29:02.536+02:00</t>
  </si>
  <si>
    <t>2024-08-28T13:41:29.826+02:00</t>
  </si>
  <si>
    <t>2024-08-28T13:49:24.489+02:00</t>
  </si>
  <si>
    <t>2024-08-28T13:29:03.082+02:00</t>
  </si>
  <si>
    <t>2024-08-28T13:27:28.367+02:00</t>
  </si>
  <si>
    <t>2024-08-28T13:37:24.809+02:00</t>
  </si>
  <si>
    <t>2024-08-28T13:20:39.206+02:00</t>
  </si>
  <si>
    <t>2024-08-28T13:28:54.891+02:00</t>
  </si>
  <si>
    <t>2024-08-28T13:12:21.773+02:00</t>
  </si>
  <si>
    <t>2024-08-28T13:26:11.179+02:00</t>
  </si>
  <si>
    <t>2024-08-28T13:06:20.070+02:00</t>
  </si>
  <si>
    <t>2024-08-28T13:18:24.970+02:00</t>
  </si>
  <si>
    <t>2024-08-28T13:06:20.047+02:00</t>
  </si>
  <si>
    <t>2024-08-28T13:17:11.024+02:00</t>
  </si>
  <si>
    <t>2024-08-28T12:58:03.523+02:00</t>
  </si>
  <si>
    <t>2024-08-28T13:04:39.832+02:00</t>
  </si>
  <si>
    <t>2024-08-28T13:18:32.352+02:00</t>
  </si>
  <si>
    <t>2024-08-28T12:58:04.201+02:00</t>
  </si>
  <si>
    <t>2024-08-28T12:57:51.440+02:00</t>
  </si>
  <si>
    <t>2024-08-28T13:10:30.043+02:00</t>
  </si>
  <si>
    <t>2024-08-28T12:54:02.602+02:00</t>
  </si>
  <si>
    <t>2024-08-28T13:02:30.850+02:00</t>
  </si>
  <si>
    <t>2024-08-28T13:11:07.221+02:00</t>
  </si>
  <si>
    <t>2024-08-28T12:54:03.127+02:00</t>
  </si>
  <si>
    <t>2024-08-28T12:37:10.446+02:00</t>
  </si>
  <si>
    <t>2024-08-28T12:50:46.154+02:00</t>
  </si>
  <si>
    <t>2024-08-28T12:37:02.380+02:00</t>
  </si>
  <si>
    <t>2024-08-28T12:53:34.786+02:00</t>
  </si>
  <si>
    <t>2024-08-28T12:19:12.895+02:00</t>
  </si>
  <si>
    <t>2024-08-28T12:28:00.311+02:00</t>
  </si>
  <si>
    <t>2024-08-28T12:06:07.758+02:00</t>
  </si>
  <si>
    <t>2024-08-28T12:11:19.804+02:00</t>
  </si>
  <si>
    <t>2024-08-28T11:53:01.824+02:00</t>
  </si>
  <si>
    <t>2024-08-28T12:02:05.829+02:00</t>
  </si>
  <si>
    <t>2024-08-28T11:41:09.442+02:00</t>
  </si>
  <si>
    <t>2024-08-28T11:53:23.004+02:00</t>
  </si>
  <si>
    <t>2024-08-28T11:38:02.084+02:00</t>
  </si>
  <si>
    <t>2024-08-28T11:55:10.536+02:00</t>
  </si>
  <si>
    <t>2024-08-28T12:05:17.108+02:00</t>
  </si>
  <si>
    <t>2024-08-28T11:38:02.786+02:00</t>
  </si>
  <si>
    <t>2024-08-28T11:30:26.922+02:00</t>
  </si>
  <si>
    <t>2024-08-28T11:51:07.922+02:00</t>
  </si>
  <si>
    <t>2024-08-28T11:30:08.861+02:00</t>
  </si>
  <si>
    <t>2024-08-28T11:40:52.082+02:00</t>
  </si>
  <si>
    <t>2024-08-28T11:24:54.349+02:00</t>
  </si>
  <si>
    <t>2024-08-28T11:47:46.246+02:00</t>
  </si>
  <si>
    <t>2024-08-28T11:21:37.268+02:00</t>
  </si>
  <si>
    <t>2024-08-28T11:34:01.043+02:00</t>
  </si>
  <si>
    <t>Murodkhon</t>
  </si>
  <si>
    <t>2024-08-28T11:18:34.614+02:00</t>
  </si>
  <si>
    <t>2024-08-28T11:32:16.911+02:00</t>
  </si>
  <si>
    <t>2024-08-28T11:17:07.538+02:00</t>
  </si>
  <si>
    <t>2024-08-28T11:25:43.317+02:00</t>
  </si>
  <si>
    <t>2024-08-28T11:14:54.747+02:00</t>
  </si>
  <si>
    <t>2024-08-28T11:24:28.932+02:00</t>
  </si>
  <si>
    <t>2024-08-28T10:06:11.668+02:00</t>
  </si>
  <si>
    <t>2024-08-28T11:57:54.911+02:00</t>
  </si>
  <si>
    <t>Murat</t>
  </si>
  <si>
    <t>2024-08-31T01:53:13.548+02:00</t>
  </si>
  <si>
    <t>2024-08-31T02:00:57.613+02:00</t>
  </si>
  <si>
    <t>2024-08-31T01:50:59.107+02:00</t>
  </si>
  <si>
    <t>2024-08-31T01:51:08.528+02:00</t>
  </si>
  <si>
    <t>Nazar</t>
  </si>
  <si>
    <t>2024-08-31T01:25:31.577+02:00</t>
  </si>
  <si>
    <t>2024-08-31T01:32:44.574+02:00</t>
  </si>
  <si>
    <t>2024-08-31T01:21:02.970+02:00</t>
  </si>
  <si>
    <t>2024-08-31T01:27:05.734+02:00</t>
  </si>
  <si>
    <t>2024-08-31T01:14:41.010+02:00</t>
  </si>
  <si>
    <t>2024-08-31T01:24:19.600+02:00</t>
  </si>
  <si>
    <t>2024-08-31T01:13:02.153+02:00</t>
  </si>
  <si>
    <t>2024-08-31T01:21:27.821+02:00</t>
  </si>
  <si>
    <t>2024-08-31T01:10:56.867+02:00</t>
  </si>
  <si>
    <t>2024-08-31T01:17:08.430+02:00</t>
  </si>
  <si>
    <t>2024-08-31T01:06:03.311+02:00</t>
  </si>
  <si>
    <t>2024-08-31T01:18:14.445+02:00</t>
  </si>
  <si>
    <t>2024-08-31T01:30:34.857+02:00</t>
  </si>
  <si>
    <t>2024-08-31T01:06:03.837+02:00</t>
  </si>
  <si>
    <t>2024-08-31T00:50:01.497+02:00</t>
  </si>
  <si>
    <t>2024-08-31T00:56:51.718+02:00</t>
  </si>
  <si>
    <t>2024-08-31T00:46:53.616+02:00</t>
  </si>
  <si>
    <t>2024-08-31T00:55:21.597+02:00</t>
  </si>
  <si>
    <t>2024-08-31T00:44:03.429+02:00</t>
  </si>
  <si>
    <t>2024-08-31T00:51:41.456+02:00</t>
  </si>
  <si>
    <t>2024-08-31T01:00:59.607+02:00</t>
  </si>
  <si>
    <t>2024-08-31T00:44:04.118+02:00</t>
  </si>
  <si>
    <t>2024-08-31T00:44:03.418+02:00</t>
  </si>
  <si>
    <t>2024-08-31T00:54:13.403+02:00</t>
  </si>
  <si>
    <t>Saikhanbayar</t>
  </si>
  <si>
    <t>2024-08-31T00:39:41.363+02:00</t>
  </si>
  <si>
    <t>2024-08-31T00:50:29.529+02:00</t>
  </si>
  <si>
    <t>2024-08-31T00:38:03.375+02:00</t>
  </si>
  <si>
    <t>2024-08-31T00:47:01.451+02:00</t>
  </si>
  <si>
    <t>2024-08-31T01:08:31.588+02:00</t>
  </si>
  <si>
    <t>2024-08-31T00:38:03.958+02:00</t>
  </si>
  <si>
    <t>2024-08-31T00:33:01.806+02:00</t>
  </si>
  <si>
    <t>2024-08-31T00:40:07.702+02:00</t>
  </si>
  <si>
    <t>2024-08-31T00:32:16.780+02:00</t>
  </si>
  <si>
    <t>2024-08-31T00:42:09.618+02:00</t>
  </si>
  <si>
    <t>2024-08-31T00:32:16.374+02:00</t>
  </si>
  <si>
    <t>2024-08-31T00:38:56.668+02:00</t>
  </si>
  <si>
    <t>2024-08-31T00:26:00.884+02:00</t>
  </si>
  <si>
    <t>2024-08-31T00:33:29.063+02:00</t>
  </si>
  <si>
    <t>2024-08-31T00:13:34.981+02:00</t>
  </si>
  <si>
    <t>2024-08-31T00:21:22.598+02:00</t>
  </si>
  <si>
    <t>2024-08-31T00:04:00.472+02:00</t>
  </si>
  <si>
    <t>2024-08-31T00:13:38.706+02:00</t>
  </si>
  <si>
    <t>2024-08-30T23:44:13.995+02:00</t>
  </si>
  <si>
    <t>2024-08-30T23:52:19.648+02:00</t>
  </si>
  <si>
    <t>2024-08-30T23:22:01.037+02:00</t>
  </si>
  <si>
    <t>2024-08-30T23:27:28.948+02:00</t>
  </si>
  <si>
    <t>2024-08-30T23:13:14.295+02:00</t>
  </si>
  <si>
    <t>2024-08-30T23:18:41.413+02:00</t>
  </si>
  <si>
    <t>2024-08-30T23:12:03.164+02:00</t>
  </si>
  <si>
    <t>2024-08-30T23:21:55.469+02:00</t>
  </si>
  <si>
    <t>2024-08-30T23:43:51.635+02:00</t>
  </si>
  <si>
    <t>2024-08-30T23:12:04.053+02:00</t>
  </si>
  <si>
    <t>2024-08-30T23:06:17.055+02:00</t>
  </si>
  <si>
    <t>2024-08-30T23:15:53.629+02:00</t>
  </si>
  <si>
    <t>2024-08-30T22:52:48.900+02:00</t>
  </si>
  <si>
    <t>2024-08-30T22:58:56.763+02:00</t>
  </si>
  <si>
    <t>2024-08-30T22:46:44.816+02:00</t>
  </si>
  <si>
    <t>2024-08-30T22:56:04.678+02:00</t>
  </si>
  <si>
    <t>2024-08-30T22:46:16.432+02:00</t>
  </si>
  <si>
    <t>2024-08-30T22:53:33.405+02:00</t>
  </si>
  <si>
    <t>2024-08-30T22:44:29.235+02:00</t>
  </si>
  <si>
    <t>2024-08-30T22:50:49.428+02:00</t>
  </si>
  <si>
    <t>2024-08-30T22:32:02.667+02:00</t>
  </si>
  <si>
    <t>2024-08-30T22:43:21.452+02:00</t>
  </si>
  <si>
    <t>2024-08-30T22:52:00.101+02:00</t>
  </si>
  <si>
    <t>2024-08-30T22:32:03.575+02:00</t>
  </si>
  <si>
    <t>2024-08-30T22:31:08.877+02:00</t>
  </si>
  <si>
    <t>2024-08-30T22:39:19.863+02:00</t>
  </si>
  <si>
    <t>2024-08-30T22:30:01.987+02:00</t>
  </si>
  <si>
    <t>2024-08-30T22:36:59.397+02:00</t>
  </si>
  <si>
    <t>2024-08-30T23:07:22.614+02:00</t>
  </si>
  <si>
    <t>2024-08-30T22:30:02.802+02:00</t>
  </si>
  <si>
    <t>Coufal Jakub</t>
  </si>
  <si>
    <t>2024-08-30T22:27:40.984+02:00</t>
  </si>
  <si>
    <t>2024-08-30T22:33:51.519+02:00</t>
  </si>
  <si>
    <t>2024-08-30T22:21:35.963+02:00</t>
  </si>
  <si>
    <t>2024-08-30T22:32:30.620+02:00</t>
  </si>
  <si>
    <t>2024-08-30T21:57:31.367+02:00</t>
  </si>
  <si>
    <t>2024-08-30T22:04:22.732+02:00</t>
  </si>
  <si>
    <t>2024-08-30T21:52:03.176+02:00</t>
  </si>
  <si>
    <t>2024-08-30T22:03:02.434+02:00</t>
  </si>
  <si>
    <t>2024-08-30T21:46:03.625+02:00</t>
  </si>
  <si>
    <t>2024-08-30T21:55:49.373+02:00</t>
  </si>
  <si>
    <t>2024-08-30T21:40:52.454+02:00</t>
  </si>
  <si>
    <t>2024-08-30T21:47:49.698+02:00</t>
  </si>
  <si>
    <t>Richard</t>
  </si>
  <si>
    <t>2024-08-30T21:36:02.799+02:00</t>
  </si>
  <si>
    <t>2024-08-30T21:41:37.542+02:00</t>
  </si>
  <si>
    <t>2024-08-30T21:31:59.947+02:00</t>
  </si>
  <si>
    <t>2024-08-30T21:39:52.727+02:00</t>
  </si>
  <si>
    <t>2024-08-30T21:24:03.167+02:00</t>
  </si>
  <si>
    <t>2024-08-30T21:50:17.369+02:00</t>
  </si>
  <si>
    <t>2024-08-30T21:23:03.199+02:00</t>
  </si>
  <si>
    <t>2024-08-30T21:28:23.390+02:00</t>
  </si>
  <si>
    <t>2024-08-30T21:38:51.602+02:00</t>
  </si>
  <si>
    <t>2024-08-30T21:23:03.713+02:00</t>
  </si>
  <si>
    <t>2024-08-30T21:22:03.833+02:00</t>
  </si>
  <si>
    <t>2024-08-30T21:29:36.383+02:00</t>
  </si>
  <si>
    <t>2024-08-30T21:16:00.796+02:00</t>
  </si>
  <si>
    <t>2024-08-30T21:25:17.624+02:00</t>
  </si>
  <si>
    <t>2024-08-30T21:06:48.653+02:00</t>
  </si>
  <si>
    <t>2024-08-30T21:18:35.559+02:00</t>
  </si>
  <si>
    <t>Nikolche</t>
  </si>
  <si>
    <t>2024-08-30T21:00:32.609+02:00</t>
  </si>
  <si>
    <t>2024-08-30T21:05:25.761+02:00</t>
  </si>
  <si>
    <t>2024-08-30T20:53:01.968+02:00</t>
  </si>
  <si>
    <t>2024-08-30T20:59:10.659+02:00</t>
  </si>
  <si>
    <t>Adebayo</t>
  </si>
  <si>
    <t>2024-08-30T20:52:02.575+02:00</t>
  </si>
  <si>
    <t>2024-08-30T20:59:18.447+02:00</t>
  </si>
  <si>
    <t>2024-08-30T20:49:08.872+02:00</t>
  </si>
  <si>
    <t>2024-08-30T20:57:16.547+02:00</t>
  </si>
  <si>
    <t>2024-08-30T20:38:06.199+02:00</t>
  </si>
  <si>
    <t>2024-08-30T20:46:44.608+02:00</t>
  </si>
  <si>
    <t>2024-08-30T20:38:05.954+02:00</t>
  </si>
  <si>
    <t>2024-08-30T20:52:18.718+02:00</t>
  </si>
  <si>
    <t>2024-08-30T20:28:01.194+02:00</t>
  </si>
  <si>
    <t>2024-08-30T20:36:12.702+02:00</t>
  </si>
  <si>
    <t>2024-08-30T20:27:02.345+02:00</t>
  </si>
  <si>
    <t>2024-08-30T20:46:24.339+02:00</t>
  </si>
  <si>
    <t>2024-08-30T20:25:08.332+02:00</t>
  </si>
  <si>
    <t>2024-08-30T20:43:44.431+02:00</t>
  </si>
  <si>
    <t>2024-08-30T20:25:02.457+02:00</t>
  </si>
  <si>
    <t>2024-08-30T20:40:57.351+02:00</t>
  </si>
  <si>
    <t>2024-08-30T20:24:01.687+02:00</t>
  </si>
  <si>
    <t>2024-08-30T20:37:49.608+02:00</t>
  </si>
  <si>
    <t>2024-08-30T20:23:02.979+02:00</t>
  </si>
  <si>
    <t>2024-08-30T20:31:45.339+02:00</t>
  </si>
  <si>
    <t>2024-08-30T20:22:02.172+02:00</t>
  </si>
  <si>
    <t>2024-08-30T20:31:22.354+02:00</t>
  </si>
  <si>
    <t>2024-08-30T20:49:03.113+02:00</t>
  </si>
  <si>
    <t>2024-08-30T20:22:02.687+02:00</t>
  </si>
  <si>
    <t>2024-08-30T20:20:02.268+02:00</t>
  </si>
  <si>
    <t>2024-08-30T20:26:08.426+02:00</t>
  </si>
  <si>
    <t>2024-08-30T20:59:05.173+02:00</t>
  </si>
  <si>
    <t>2024-08-30T20:20:02.781+02:00</t>
  </si>
  <si>
    <t>2024-08-30T20:10:00.415+02:00</t>
  </si>
  <si>
    <t>2024-08-30T20:20:27.586+02:00</t>
  </si>
  <si>
    <t>2024-08-30T20:08:00.082+02:00</t>
  </si>
  <si>
    <t>2024-08-30T20:20:53.630+02:00</t>
  </si>
  <si>
    <t>2024-08-30T20:07:59.955+02:00</t>
  </si>
  <si>
    <t>2024-08-30T20:17:28.684+02:00</t>
  </si>
  <si>
    <t>2024-08-30T20:07:59.800+02:00</t>
  </si>
  <si>
    <t>2024-08-30T20:17:10.699+02:00</t>
  </si>
  <si>
    <t>2024-08-30T20:07:39.778+02:00</t>
  </si>
  <si>
    <t>2024-08-30T20:16:07.608+02:00</t>
  </si>
  <si>
    <t>2024-08-30T20:07:20.133+02:00</t>
  </si>
  <si>
    <t>2024-08-30T20:14:06.507+02:00</t>
  </si>
  <si>
    <t>2024-08-30T20:02:03.578+02:00</t>
  </si>
  <si>
    <t>2024-08-30T20:11:33.346+02:00</t>
  </si>
  <si>
    <t>2024-08-30T20:30:48.140+02:00</t>
  </si>
  <si>
    <t>2024-08-30T20:02:04.708+02:00</t>
  </si>
  <si>
    <t>2024-08-30T19:59:19.744+02:00</t>
  </si>
  <si>
    <t>2024-08-30T20:06:43.539+02:00</t>
  </si>
  <si>
    <t>2024-08-30T19:54:50.089+02:00</t>
  </si>
  <si>
    <t>2024-08-30T20:02:25.552+02:00</t>
  </si>
  <si>
    <t>2024-08-30T19:52:01.026+02:00</t>
  </si>
  <si>
    <t>2024-08-30T20:03:20.615+02:00</t>
  </si>
  <si>
    <t>2024-08-30T19:37:02.485+02:00</t>
  </si>
  <si>
    <t>2024-08-30T19:43:06.374+02:00</t>
  </si>
  <si>
    <t>2024-08-30T20:00:37.190+02:00</t>
  </si>
  <si>
    <t>2024-08-30T19:37:03.077+02:00</t>
  </si>
  <si>
    <t>2024-08-30T19:32:22.880+02:00</t>
  </si>
  <si>
    <t>2024-08-30T19:40:03.614+02:00</t>
  </si>
  <si>
    <t>2024-08-30T19:32:00.098+02:00</t>
  </si>
  <si>
    <t>2024-08-30T19:38:36.597+02:00</t>
  </si>
  <si>
    <t>2024-08-30T19:31:00.274+02:00</t>
  </si>
  <si>
    <t>2024-08-30T19:38:22.626+02:00</t>
  </si>
  <si>
    <t>2024-08-30T19:20:02.587+02:00</t>
  </si>
  <si>
    <t>2024-08-30T19:32:17.368+02:00</t>
  </si>
  <si>
    <t>2024-08-30T19:40:42.032+02:00</t>
  </si>
  <si>
    <t>2024-08-30T19:20:03.191+02:00</t>
  </si>
  <si>
    <t>2024-08-30T19:19:02.442+02:00</t>
  </si>
  <si>
    <t>2024-08-30T19:28:42.642+02:00</t>
  </si>
  <si>
    <t>2024-08-30T19:19:02.234+02:00</t>
  </si>
  <si>
    <t>2024-08-30T19:27:00.578+02:00</t>
  </si>
  <si>
    <t>2024-08-30T19:18:00.198+02:00</t>
  </si>
  <si>
    <t>2024-08-30T19:26:34.623+02:00</t>
  </si>
  <si>
    <t>Emil</t>
  </si>
  <si>
    <t>2024-08-30T19:15:54.007+02:00</t>
  </si>
  <si>
    <t>2024-08-30T19:30:30.462+02:00</t>
  </si>
  <si>
    <t>2024-08-30T19:03:06.034+02:00</t>
  </si>
  <si>
    <t>2024-08-30T19:08:26.481+02:00</t>
  </si>
  <si>
    <t>2024-08-30T19:00:02.257+02:00</t>
  </si>
  <si>
    <t>2024-08-30T19:07:08.438+02:00</t>
  </si>
  <si>
    <t>2024-08-30T19:24:03.945+02:00</t>
  </si>
  <si>
    <t>2024-08-30T19:00:02.863+02:00</t>
  </si>
  <si>
    <t>2024-08-30T18:59:03.217+02:00</t>
  </si>
  <si>
    <t>2024-08-30T19:03:53.305+02:00</t>
  </si>
  <si>
    <t>2024-08-30T18:54:39.329+02:00</t>
  </si>
  <si>
    <t>2024-08-30T19:01:24.791+02:00</t>
  </si>
  <si>
    <t>2024-08-30T18:50:02.052+02:00</t>
  </si>
  <si>
    <t>2024-08-30T18:57:36.476+02:00</t>
  </si>
  <si>
    <t>2024-08-30T19:20:59.166+02:00</t>
  </si>
  <si>
    <t>2024-08-30T18:54:28.929+02:00</t>
  </si>
  <si>
    <t>2024-08-30T18:48:02.799+02:00</t>
  </si>
  <si>
    <t>2024-08-30T18:56:38.303+02:00</t>
  </si>
  <si>
    <t>2024-08-30T18:45:02.445+02:00</t>
  </si>
  <si>
    <t>2024-08-30T18:52:04.588+02:00</t>
  </si>
  <si>
    <t>2024-08-30T18:41:02.586+02:00</t>
  </si>
  <si>
    <t>2024-08-30T18:50:26.317+02:00</t>
  </si>
  <si>
    <t>2024-08-30T19:16:50.511+02:00</t>
  </si>
  <si>
    <t>2024-08-30T18:41:03.151+02:00</t>
  </si>
  <si>
    <t>Marian</t>
  </si>
  <si>
    <t>2024-08-30T18:32:33.914+02:00</t>
  </si>
  <si>
    <t>2024-08-30T18:40:05.414+02:00</t>
  </si>
  <si>
    <t>2024-08-30T18:28:02.962+02:00</t>
  </si>
  <si>
    <t>2024-08-30T18:37:34.339+02:00</t>
  </si>
  <si>
    <t>2024-08-30T18:47:40.544+02:00</t>
  </si>
  <si>
    <t>2024-08-30T18:28:03.644+02:00</t>
  </si>
  <si>
    <t>2024-08-30T18:25:59.212+02:00</t>
  </si>
  <si>
    <t>2024-08-30T18:33:02.501+02:00</t>
  </si>
  <si>
    <t>2024-08-30T18:22:54.603+02:00</t>
  </si>
  <si>
    <t>2024-08-30T18:29:30.567+02:00</t>
  </si>
  <si>
    <t>2024-08-30T18:21:19.439+02:00</t>
  </si>
  <si>
    <t>2024-08-30T18:28:36.012+02:00</t>
  </si>
  <si>
    <t>2024-08-30T18:06:02.120+02:00</t>
  </si>
  <si>
    <t>2024-08-30T18:15:54.300+02:00</t>
  </si>
  <si>
    <t>2024-08-30T18:05:57.079+02:00</t>
  </si>
  <si>
    <t>2024-08-30T18:12:55.657+02:00</t>
  </si>
  <si>
    <t>2024-08-30T18:01:02.237+02:00</t>
  </si>
  <si>
    <t>2024-08-30T18:09:39.291+02:00</t>
  </si>
  <si>
    <t>2024-08-30T18:00:05.157+02:00</t>
  </si>
  <si>
    <t>2024-08-30T18:07:41.286+02:00</t>
  </si>
  <si>
    <t>2024-08-30T17:56:51.713+02:00</t>
  </si>
  <si>
    <t>2024-08-30T18:07:05.451+02:00</t>
  </si>
  <si>
    <t>2024-08-30T17:54:56.997+02:00</t>
  </si>
  <si>
    <t>2024-08-30T18:05:47.600+02:00</t>
  </si>
  <si>
    <t>2024-08-30T17:37:58.809+02:00</t>
  </si>
  <si>
    <t>2024-08-30T17:44:10.533+02:00</t>
  </si>
  <si>
    <t>Marek</t>
  </si>
  <si>
    <t>2024-08-30T17:36:30.099+02:00</t>
  </si>
  <si>
    <t>2024-08-30T17:43:31.436+02:00</t>
  </si>
  <si>
    <t>2024-08-30T17:26:57.930+02:00</t>
  </si>
  <si>
    <t>2024-08-30T17:33:46.599+02:00</t>
  </si>
  <si>
    <t>2024-08-30T17:25:36.060+02:00</t>
  </si>
  <si>
    <t>2024-08-30T17:32:47.540+02:00</t>
  </si>
  <si>
    <t>2024-08-30T17:25:02.567+02:00</t>
  </si>
  <si>
    <t>2024-08-30T17:36:01.326+02:00</t>
  </si>
  <si>
    <t>2024-08-30T17:57:24.540+02:00</t>
  </si>
  <si>
    <t>2024-08-30T17:25:03.155+02:00</t>
  </si>
  <si>
    <t>2024-08-30T17:08:02.548+02:00</t>
  </si>
  <si>
    <t>2024-08-30T17:14:36.406+02:00</t>
  </si>
  <si>
    <t>2024-08-30T17:28:09.440+02:00</t>
  </si>
  <si>
    <t>2024-08-30T17:10:09.329+02:00</t>
  </si>
  <si>
    <t>2024-08-30T17:05:54.727+02:00</t>
  </si>
  <si>
    <t>2024-08-30T17:13:45.571+02:00</t>
  </si>
  <si>
    <t>2024-08-30T16:50:02.687+02:00</t>
  </si>
  <si>
    <t>2024-08-30T16:57:37.308+02:00</t>
  </si>
  <si>
    <t>2024-08-30T17:17:40.646+02:00</t>
  </si>
  <si>
    <t>2024-08-30T16:50:03.562+02:00</t>
  </si>
  <si>
    <t>2024-08-30T16:46:01.893+02:00</t>
  </si>
  <si>
    <t>2024-08-30T16:55:13.273+02:00</t>
  </si>
  <si>
    <t>2024-08-30T15:18:02.707+02:00</t>
  </si>
  <si>
    <t>2024-08-30T15:22:55.215+02:00</t>
  </si>
  <si>
    <t>2024-08-30T14:17:36.883+02:00</t>
  </si>
  <si>
    <t>2024-08-30T14:27:36.416+02:00</t>
  </si>
  <si>
    <t>2024-08-30T14:05:03.458+02:00</t>
  </si>
  <si>
    <t>2024-08-30T14:14:30.337+02:00</t>
  </si>
  <si>
    <t>2024-08-30T13:48:02.424+02:00</t>
  </si>
  <si>
    <t>2024-08-30T13:56:11.243+02:00</t>
  </si>
  <si>
    <t>2024-08-30T13:42:57.584+02:00</t>
  </si>
  <si>
    <t>2024-08-30T13:49:29.601+02:00</t>
  </si>
  <si>
    <t>2024-08-30T13:41:02.908+02:00</t>
  </si>
  <si>
    <t>2024-08-30T13:48:43.241+02:00</t>
  </si>
  <si>
    <t>2024-08-30T13:55:06.639+02:00</t>
  </si>
  <si>
    <t>2024-08-30T13:41:03.518+02:00</t>
  </si>
  <si>
    <t>2024-08-30T13:27:56.855+02:00</t>
  </si>
  <si>
    <t>2024-08-30T13:38:33.517+02:00</t>
  </si>
  <si>
    <t>2024-08-30T13:24:02.475+02:00</t>
  </si>
  <si>
    <t>2024-08-30T13:32:02.528+02:00</t>
  </si>
  <si>
    <t>2024-08-30T13:12:02.857+02:00</t>
  </si>
  <si>
    <t>2024-08-30T13:21:20.239+02:00</t>
  </si>
  <si>
    <t>2024-08-30T13:10:59.928+02:00</t>
  </si>
  <si>
    <t>2024-08-30T13:11:34.221+02:00</t>
  </si>
  <si>
    <t>2024-08-30T13:03:46.354+02:00</t>
  </si>
  <si>
    <t>2024-08-30T13:09:50.456+02:00</t>
  </si>
  <si>
    <t>2024-08-30T12:48:42.775+02:00</t>
  </si>
  <si>
    <t>2024-08-30T12:55:11.496+02:00</t>
  </si>
  <si>
    <t>2024-08-30T12:27:02.027+02:00</t>
  </si>
  <si>
    <t>2024-08-30T12:37:31.296+02:00</t>
  </si>
  <si>
    <t>2024-08-30T12:54:22.734+02:00</t>
  </si>
  <si>
    <t>2024-08-30T12:27:02.842+02:00</t>
  </si>
  <si>
    <t>2024-08-30T12:06:54.390+02:00</t>
  </si>
  <si>
    <t>2024-08-30T12:14:07.517+02:00</t>
  </si>
  <si>
    <t>2024-08-30T11:59:03.407+02:00</t>
  </si>
  <si>
    <t>2024-08-30T12:06:42.067+02:00</t>
  </si>
  <si>
    <t>Valeriy</t>
  </si>
  <si>
    <t>2024-08-30T11:46:13.851+02:00</t>
  </si>
  <si>
    <t>2024-08-30T11:51:39.363+02:00</t>
  </si>
  <si>
    <t>2024-08-30T11:34:07.713+02:00</t>
  </si>
  <si>
    <t>2024-08-30T11:44:31.550+02:00</t>
  </si>
  <si>
    <t>2024-08-30T11:30:23.395+02:00</t>
  </si>
  <si>
    <t>2024-08-30T11:43:07.391+02:00</t>
  </si>
  <si>
    <t>2024-08-30T11:27:51.536+02:00</t>
  </si>
  <si>
    <t>2024-08-30T11:41:39.479+02:00</t>
  </si>
  <si>
    <t>2024-08-30T11:19:02.116+02:00</t>
  </si>
  <si>
    <t>2024-08-30T11:39:02.220+02:00</t>
  </si>
  <si>
    <t>2024-08-30T11:53:31.643+02:00</t>
  </si>
  <si>
    <t>2024-08-30T11:19:02.900+02:00</t>
  </si>
  <si>
    <t>2024-08-30T11:12:52.896+02:00</t>
  </si>
  <si>
    <t>2024-08-30T11:20:40.480+02:00</t>
  </si>
  <si>
    <t>2024-08-30T11:05:02.714+02:00</t>
  </si>
  <si>
    <t>2024-08-30T11:16:20.234+02:00</t>
  </si>
  <si>
    <t>2024-08-30T11:25:57.995+02:00</t>
  </si>
  <si>
    <t>2024-08-30T11:05:03.372+02:00</t>
  </si>
  <si>
    <t>2024-08-30T11:04:14.421+02:00</t>
  </si>
  <si>
    <t>2024-08-30T11:19:15.502+02:00</t>
  </si>
  <si>
    <t>2024-08-30T11:02:41.877+02:00</t>
  </si>
  <si>
    <t>2024-08-30T11:14:58.807+02:00</t>
  </si>
  <si>
    <t>2024-09-01T02:07:09.511+02:00</t>
  </si>
  <si>
    <t>2024-09-01T02:14:55.242+02:00</t>
  </si>
  <si>
    <t>2024-09-01T02:02:03.217+02:00</t>
  </si>
  <si>
    <t>2024-09-01T02:12:20.024+02:00</t>
  </si>
  <si>
    <t>2024-09-01T02:01:07.880+02:00</t>
  </si>
  <si>
    <t>2024-09-01T02:09:29.264+02:00</t>
  </si>
  <si>
    <t>Myakhailo</t>
  </si>
  <si>
    <t>2024-09-01T01:53:36.726+02:00</t>
  </si>
  <si>
    <t>2024-09-01T02:00:39.194+02:00</t>
  </si>
  <si>
    <t>2024-09-01T01:52:03.282+02:00</t>
  </si>
  <si>
    <t>2024-09-01T01:58:28.037+02:00</t>
  </si>
  <si>
    <t>2024-09-01T01:43:23.040+02:00</t>
  </si>
  <si>
    <t>2024-09-01T01:51:31.331+02:00</t>
  </si>
  <si>
    <t>2024-09-01T01:42:59.959+02:00</t>
  </si>
  <si>
    <t>2024-09-01T01:55:15.271+02:00</t>
  </si>
  <si>
    <t>2024-09-01T01:42:22.736+02:00</t>
  </si>
  <si>
    <t>2024-09-01T01:49:22.289+02:00</t>
  </si>
  <si>
    <t>Abdumajid</t>
  </si>
  <si>
    <t>2024-09-01T01:39:59.380+02:00</t>
  </si>
  <si>
    <t>2024-09-01T01:49:07.211+02:00</t>
  </si>
  <si>
    <t>2024-09-01T01:20:22.167+02:00</t>
  </si>
  <si>
    <t>2024-09-01T01:28:49.772+02:00</t>
  </si>
  <si>
    <t>2024-09-01T01:20:20.922+02:00</t>
  </si>
  <si>
    <t>2024-09-01T01:29:45.382+02:00</t>
  </si>
  <si>
    <t>2024-09-01T01:18:03.396+02:00</t>
  </si>
  <si>
    <t>2024-09-01T01:34:53.051+02:00</t>
  </si>
  <si>
    <t>2024-09-01T01:17:21.596+02:00</t>
  </si>
  <si>
    <t>2024-09-01T01:27:17.723+02:00</t>
  </si>
  <si>
    <t>2024-09-01T01:16:15.053+02:00</t>
  </si>
  <si>
    <t>2024-09-01T01:22:49.298+02:00</t>
  </si>
  <si>
    <t>2024-09-01T01:12:15.592+02:00</t>
  </si>
  <si>
    <t>2024-09-01T01:16:18.349+02:00</t>
  </si>
  <si>
    <t>2024-09-01T00:57:58.549+02:00</t>
  </si>
  <si>
    <t>2024-09-01T01:03:34.120+02:00</t>
  </si>
  <si>
    <t>2024-09-01T00:46:54.785+02:00</t>
  </si>
  <si>
    <t>2024-09-01T00:53:03.144+02:00</t>
  </si>
  <si>
    <t>2024-09-01T00:40:21.718+02:00</t>
  </si>
  <si>
    <t>2024-09-01T00:48:16.348+02:00</t>
  </si>
  <si>
    <t>2024-09-01T00:40:04.648+02:00</t>
  </si>
  <si>
    <t>2024-09-01T00:44:43.328+02:00</t>
  </si>
  <si>
    <t>2024-09-01T00:27:56.745+02:00</t>
  </si>
  <si>
    <t>2024-09-01T00:34:10.254+02:00</t>
  </si>
  <si>
    <t>2024-09-01T00:27:02.230+02:00</t>
  </si>
  <si>
    <t>2024-09-01T00:32:11.056+02:00</t>
  </si>
  <si>
    <t>2024-09-01T00:24:12.571+02:00</t>
  </si>
  <si>
    <t>2024-09-01T00:24:15.805+02:00</t>
  </si>
  <si>
    <t>2024-09-01T00:18:38.616+02:00</t>
  </si>
  <si>
    <t>2024-09-01T00:24:27.137+02:00</t>
  </si>
  <si>
    <t>2024-08-31T23:52:03.541+02:00</t>
  </si>
  <si>
    <t>2024-08-31T23:58:33.045+02:00</t>
  </si>
  <si>
    <t>2024-08-31T23:32:09.779+02:00</t>
  </si>
  <si>
    <t>2024-08-31T23:38:09.313+02:00</t>
  </si>
  <si>
    <t>2024-08-31T23:25:03.191+02:00</t>
  </si>
  <si>
    <t>2024-08-31T23:30:55.156+02:00</t>
  </si>
  <si>
    <t>2024-08-31T23:43:24.882+02:00</t>
  </si>
  <si>
    <t>2024-08-31T23:27:58.620+02:00</t>
  </si>
  <si>
    <t>2024-08-31T23:22:14.487+02:00</t>
  </si>
  <si>
    <t>2024-08-31T23:25:37.033+02:00</t>
  </si>
  <si>
    <t>2024-08-31T23:18:02.661+02:00</t>
  </si>
  <si>
    <t>2024-08-31T23:25:36.143+02:00</t>
  </si>
  <si>
    <t>2024-08-31T23:46:07.462+02:00</t>
  </si>
  <si>
    <t>2024-08-31T23:25:03.399+02:00</t>
  </si>
  <si>
    <t>2024-08-31T23:16:32.889+02:00</t>
  </si>
  <si>
    <t>2024-08-31T23:23:41.185+02:00</t>
  </si>
  <si>
    <t>2024-08-31T23:14:06.824+02:00</t>
  </si>
  <si>
    <t>2024-08-31T23:22:47.325+02:00</t>
  </si>
  <si>
    <t>2024-08-31T23:08:57.967+02:00</t>
  </si>
  <si>
    <t>2024-08-31T23:18:00.198+02:00</t>
  </si>
  <si>
    <t>2024-08-31T23:08:27.681+02:00</t>
  </si>
  <si>
    <t>2024-08-31T23:16:17.643+02:00</t>
  </si>
  <si>
    <t>2024-08-31T23:03:29.713+02:00</t>
  </si>
  <si>
    <t>2024-08-31T23:17:45.277+02:00</t>
  </si>
  <si>
    <t>2024-08-31T22:59:37.640+02:00</t>
  </si>
  <si>
    <t>2024-08-31T23:04:48.131+02:00</t>
  </si>
  <si>
    <t>2024-08-31T23:34:54.770+02:00</t>
  </si>
  <si>
    <t>2024-08-31T22:59:38.280+02:00</t>
  </si>
  <si>
    <t>2024-08-31T22:58:18.118+02:00</t>
  </si>
  <si>
    <t>2024-08-31T23:04:02.294+02:00</t>
  </si>
  <si>
    <t>Daniil</t>
  </si>
  <si>
    <t>2024-08-31T22:56:16.209+02:00</t>
  </si>
  <si>
    <t>2024-08-31T23:02:47.191+02:00</t>
  </si>
  <si>
    <t>2024-08-31T22:54:03.809+02:00</t>
  </si>
  <si>
    <t>2024-08-31T23:00:48.058+02:00</t>
  </si>
  <si>
    <t>2024-08-31T23:11:18.115+02:00</t>
  </si>
  <si>
    <t>2024-08-31T22:54:04.340+02:00</t>
  </si>
  <si>
    <t>2024-08-31T22:50:23.212+02:00</t>
  </si>
  <si>
    <t>2024-08-31T22:58:16.250+02:00</t>
  </si>
  <si>
    <t>2024-08-31T22:48:22.959+02:00</t>
  </si>
  <si>
    <t>2024-08-31T22:54:59.215+02:00</t>
  </si>
  <si>
    <t>2024-08-31T22:46:20.006+02:00</t>
  </si>
  <si>
    <t>2024-08-31T22:51:16.013+02:00</t>
  </si>
  <si>
    <t>2024-08-31T22:41:02.867+02:00</t>
  </si>
  <si>
    <t>2024-08-31T22:47:21.065+02:00</t>
  </si>
  <si>
    <t>2024-08-31T22:33:10.120+02:00</t>
  </si>
  <si>
    <t>2024-08-31T22:40:29.304+02:00</t>
  </si>
  <si>
    <t>2024-08-31T22:24:58.114+02:00</t>
  </si>
  <si>
    <t>2024-08-31T22:32:48.141+02:00</t>
  </si>
  <si>
    <t>2024-08-31T22:23:02.242+02:00</t>
  </si>
  <si>
    <t>2024-08-31T22:30:44.055+02:00</t>
  </si>
  <si>
    <t>2024-08-31T22:37:18.484+02:00</t>
  </si>
  <si>
    <t>2024-08-31T22:23:02.789+02:00</t>
  </si>
  <si>
    <t>Dionisie</t>
  </si>
  <si>
    <t>2024-08-31T22:16:22.142+02:00</t>
  </si>
  <si>
    <t>2024-08-31T22:24:25.223+02:00</t>
  </si>
  <si>
    <t>2024-08-31T22:16:00.275+02:00</t>
  </si>
  <si>
    <t>2024-08-31T22:25:05.295+02:00</t>
  </si>
  <si>
    <t>2024-08-31T22:15:27.549+02:00</t>
  </si>
  <si>
    <t>2024-08-31T22:23:08.365+02:00</t>
  </si>
  <si>
    <t>Maksim</t>
  </si>
  <si>
    <t>2024-08-31T22:01:22.056+02:00</t>
  </si>
  <si>
    <t>2024-08-31T22:07:00.400+02:00</t>
  </si>
  <si>
    <t>2024-08-31T21:53:28.623+02:00</t>
  </si>
  <si>
    <t>2024-08-31T21:59:25.621+02:00</t>
  </si>
  <si>
    <t>2024-08-31T21:47:04.472+02:00</t>
  </si>
  <si>
    <t>2024-08-31T21:53:12.183+02:00</t>
  </si>
  <si>
    <t>Rana</t>
  </si>
  <si>
    <t>2024-08-31T21:42:34.043+02:00</t>
  </si>
  <si>
    <t>2024-08-31T21:52:18.128+02:00</t>
  </si>
  <si>
    <t>2024-08-31T21:39:30.418+02:00</t>
  </si>
  <si>
    <t>2024-08-31T21:49:18.303+02:00</t>
  </si>
  <si>
    <t>2024-08-31T21:38:11.985+02:00</t>
  </si>
  <si>
    <t>2024-08-31T21:46:39.172+02:00</t>
  </si>
  <si>
    <t>2024-08-31T21:35:36.021+02:00</t>
  </si>
  <si>
    <t>2024-08-31T21:41:39.174+02:00</t>
  </si>
  <si>
    <t>2024-08-31T21:35:02.002+02:00</t>
  </si>
  <si>
    <t>2024-08-31T21:42:27.075+02:00</t>
  </si>
  <si>
    <t>2024-08-31T22:02:10.811+02:00</t>
  </si>
  <si>
    <t>2024-08-31T21:35:02.602+02:00</t>
  </si>
  <si>
    <t>2024-08-31T21:29:38.203+02:00</t>
  </si>
  <si>
    <t>2024-08-31T21:33:52.008+02:00</t>
  </si>
  <si>
    <t>2024-08-31T21:29:31.377+02:00</t>
  </si>
  <si>
    <t>2024-08-31T21:38:15.385+02:00</t>
  </si>
  <si>
    <t>2024-08-31T21:23:26.339+02:00</t>
  </si>
  <si>
    <t>2024-08-31T21:27:57.037+02:00</t>
  </si>
  <si>
    <t>2024-08-31T21:42:14.700+02:00</t>
  </si>
  <si>
    <t>2024-08-31T21:23:27.087+02:00</t>
  </si>
  <si>
    <t>2024-08-31T21:16:54.171+02:00</t>
  </si>
  <si>
    <t>2024-08-31T21:24:15.325+02:00</t>
  </si>
  <si>
    <t>2024-08-31T21:14:32.837+02:00</t>
  </si>
  <si>
    <t>2024-08-31T21:22:17.130+02:00</t>
  </si>
  <si>
    <t>2024-08-31T20:56:31.818+02:00</t>
  </si>
  <si>
    <t>2024-08-31T21:04:45.158+02:00</t>
  </si>
  <si>
    <t>2024-08-31T20:56:03.082+02:00</t>
  </si>
  <si>
    <t>2024-08-31T21:02:37.281+02:00</t>
  </si>
  <si>
    <t>2024-08-31T20:34:02.106+02:00</t>
  </si>
  <si>
    <t>2024-08-31T20:40:11.024+02:00</t>
  </si>
  <si>
    <t>2024-08-31T20:33:02.940+02:00</t>
  </si>
  <si>
    <t>2024-08-31T20:39:02.051+02:00</t>
  </si>
  <si>
    <t>2024-08-31T20:27:38.129+02:00</t>
  </si>
  <si>
    <t>2024-08-31T20:33:50.386+02:00</t>
  </si>
  <si>
    <t>2024-08-31T20:20:38.682+02:00</t>
  </si>
  <si>
    <t>2024-08-31T20:26:27.627+02:00</t>
  </si>
  <si>
    <t>2024-08-31T20:17:36.042+02:00</t>
  </si>
  <si>
    <t>2024-08-31T20:25:43.267+02:00</t>
  </si>
  <si>
    <t>2024-08-31T20:13:03.126+02:00</t>
  </si>
  <si>
    <t>2024-08-31T20:17:48.982+02:00</t>
  </si>
  <si>
    <t>Karapetyan</t>
  </si>
  <si>
    <t>2024-08-31T19:53:25.606+02:00</t>
  </si>
  <si>
    <t>2024-08-31T20:08:36.133+02:00</t>
  </si>
  <si>
    <t>2024-08-31T19:53:23.229+02:00</t>
  </si>
  <si>
    <t>2024-08-31T20:05:42.295+02:00</t>
  </si>
  <si>
    <t>2024-08-31T19:53:23.175+02:00</t>
  </si>
  <si>
    <t>2024-08-31T20:02:35.705+02:00</t>
  </si>
  <si>
    <t>2024-08-31T19:49:03.735+02:00</t>
  </si>
  <si>
    <t>2024-08-31T19:59:44.973+02:00</t>
  </si>
  <si>
    <t>2024-08-31T19:47:55.177+02:00</t>
  </si>
  <si>
    <t>2024-08-31T19:57:52.228+02:00</t>
  </si>
  <si>
    <t>2024-08-31T19:42:25.351+02:00</t>
  </si>
  <si>
    <t>2024-08-31T19:48:27.701+02:00</t>
  </si>
  <si>
    <t>2024-08-31T19:40:26.884+02:00</t>
  </si>
  <si>
    <t>2024-08-31T19:46:21.320+02:00</t>
  </si>
  <si>
    <t>2024-08-31T19:37:01.688+02:00</t>
  </si>
  <si>
    <t>2024-08-31T19:44:49.137+02:00</t>
  </si>
  <si>
    <t>2024-08-31T19:55:45.536+02:00</t>
  </si>
  <si>
    <t>2024-08-31T19:37:02.407+02:00</t>
  </si>
  <si>
    <t>2024-08-31T19:30:03.073+02:00</t>
  </si>
  <si>
    <t>2024-08-31T19:35:42.964+02:00</t>
  </si>
  <si>
    <t>2024-08-31T18:52:07.452+02:00</t>
  </si>
  <si>
    <t>2024-08-31T19:01:18.289+02:00</t>
  </si>
  <si>
    <t>2024-08-31T18:43:00.727+02:00</t>
  </si>
  <si>
    <t>2024-08-31T18:50:55.954+02:00</t>
  </si>
  <si>
    <t>2024-08-31T18:41:02.258+02:00</t>
  </si>
  <si>
    <t>2024-08-31T18:48:35.793+02:00</t>
  </si>
  <si>
    <t>2024-08-31T19:14:45.059+02:00</t>
  </si>
  <si>
    <t>2024-08-31T18:41:02.749+02:00</t>
  </si>
  <si>
    <t>2024-08-31T18:32:02.096+02:00</t>
  </si>
  <si>
    <t>2024-08-31T18:46:07.751+02:00</t>
  </si>
  <si>
    <t>2024-08-31T18:30:26.340+02:00</t>
  </si>
  <si>
    <t>2024-08-31T18:36:14.182+02:00</t>
  </si>
  <si>
    <t>2024-08-31T18:24:02.600+02:00</t>
  </si>
  <si>
    <t>2024-08-31T18:32:11.769+02:00</t>
  </si>
  <si>
    <t>2024-08-31T18:14:25.951+02:00</t>
  </si>
  <si>
    <t>2024-08-31T18:28:29.259+02:00</t>
  </si>
  <si>
    <t>2024-08-31T18:14:25.862+02:00</t>
  </si>
  <si>
    <t>2024-08-31T18:26:22.373+02:00</t>
  </si>
  <si>
    <t>2024-08-31T18:10:51.975+02:00</t>
  </si>
  <si>
    <t>2024-08-31T18:44:09.757+02:00</t>
  </si>
  <si>
    <t>2024-08-31T18:10:02.346+02:00</t>
  </si>
  <si>
    <t>2024-08-31T18:29:07.753+02:00</t>
  </si>
  <si>
    <t>2024-08-31T18:08:22.993+02:00</t>
  </si>
  <si>
    <t>2024-08-31T18:13:47.892+02:00</t>
  </si>
  <si>
    <t>2024-08-31T18:04:39.121+02:00</t>
  </si>
  <si>
    <t>2024-08-31T18:12:04.890+02:00</t>
  </si>
  <si>
    <t>2024-08-31T18:03:02.135+02:00</t>
  </si>
  <si>
    <t>2024-08-31T18:17:39.800+02:00</t>
  </si>
  <si>
    <t>2024-08-31T18:00:02.500+02:00</t>
  </si>
  <si>
    <t>2024-08-31T18:10:53.747+02:00</t>
  </si>
  <si>
    <t>2024-08-31T17:53:48.523+02:00</t>
  </si>
  <si>
    <t>2024-08-31T18:02:46.027+02:00</t>
  </si>
  <si>
    <t>2024-08-31T17:53:47.987+02:00</t>
  </si>
  <si>
    <t>2024-08-31T18:07:03.999+02:00</t>
  </si>
  <si>
    <t>2024-08-31T17:53:27.080+02:00</t>
  </si>
  <si>
    <t>2024-08-31T18:01:31.980+02:00</t>
  </si>
  <si>
    <t>2024-08-31T17:53:02.931+02:00</t>
  </si>
  <si>
    <t>2024-08-31T18:24:16.803+02:00</t>
  </si>
  <si>
    <t>2024-08-31T18:42:12.835+02:00</t>
  </si>
  <si>
    <t>2024-08-31T17:53:04.031+02:00</t>
  </si>
  <si>
    <t>2024-08-31T17:52:25.276+02:00</t>
  </si>
  <si>
    <t>2024-08-31T18:01:09.050+02:00</t>
  </si>
  <si>
    <t>2024-08-31T17:42:35.163+02:00</t>
  </si>
  <si>
    <t>2024-08-31T17:46:43.765+02:00</t>
  </si>
  <si>
    <t>2024-08-31T17:41:14.876+02:00</t>
  </si>
  <si>
    <t>2024-08-31T17:47:28.881+02:00</t>
  </si>
  <si>
    <t>2024-08-31T17:38:02.302+02:00</t>
  </si>
  <si>
    <t>2024-08-31T17:44:58.798+02:00</t>
  </si>
  <si>
    <t>2024-08-31T17:55:39.934+02:00</t>
  </si>
  <si>
    <t>2024-08-31T17:38:02.800+02:00</t>
  </si>
  <si>
    <t>2024-08-31T17:30:02.584+02:00</t>
  </si>
  <si>
    <t>2024-08-31T17:37:37.730+02:00</t>
  </si>
  <si>
    <t>2024-08-31T17:27:02.416+02:00</t>
  </si>
  <si>
    <t>2024-08-31T17:33:38.800+02:00</t>
  </si>
  <si>
    <t>2024-08-31T17:14:02.468+02:00</t>
  </si>
  <si>
    <t>2024-08-31T17:20:13.891+02:00</t>
  </si>
  <si>
    <t>2024-08-31T17:43:55.267+02:00</t>
  </si>
  <si>
    <t>2024-08-31T17:16:24.826+02:00</t>
  </si>
  <si>
    <t>2024-08-31T17:03:56.497+02:00</t>
  </si>
  <si>
    <t>2024-08-31T17:10:41.003+02:00</t>
  </si>
  <si>
    <t>2024-08-31T17:03:49.847+02:00</t>
  </si>
  <si>
    <t>2024-08-31T17:04:42.800+02:00</t>
  </si>
  <si>
    <t>2024-08-31T17:02:01.988+02:00</t>
  </si>
  <si>
    <t>2024-08-31T17:17:19.783+02:00</t>
  </si>
  <si>
    <t>2024-08-31T17:41:36.509+02:00</t>
  </si>
  <si>
    <t>2024-08-31T17:02:02.449+02:00</t>
  </si>
  <si>
    <t>2024-08-31T17:01:04.982+02:00</t>
  </si>
  <si>
    <t>2024-08-31T17:02:58.765+02:00</t>
  </si>
  <si>
    <t>2024-08-31T16:53:02.446+02:00</t>
  </si>
  <si>
    <t>2024-08-31T16:59:34.748+02:00</t>
  </si>
  <si>
    <t>2024-08-31T16:49:02.022+02:00</t>
  </si>
  <si>
    <t>2024-08-31T17:02:16.761+02:00</t>
  </si>
  <si>
    <t>2024-08-31T17:17:46.626+02:00</t>
  </si>
  <si>
    <t>2024-08-31T16:49:02.847+02:00</t>
  </si>
  <si>
    <t>2024-08-31T16:45:23.259+02:00</t>
  </si>
  <si>
    <t>2024-08-31T16:57:19.988+02:00</t>
  </si>
  <si>
    <t>2024-08-31T16:22:03.783+02:00</t>
  </si>
  <si>
    <t>2024-08-31T16:30:39.852+02:00</t>
  </si>
  <si>
    <t>2024-08-31T16:37:47.538+02:00</t>
  </si>
  <si>
    <t>2024-08-31T16:22:04.313+02:00</t>
  </si>
  <si>
    <t>2024-08-31T16:10:34.851+02:00</t>
  </si>
  <si>
    <t>2024-08-31T16:19:14.118+02:00</t>
  </si>
  <si>
    <t>2024-08-31T15:38:22.279+02:00</t>
  </si>
  <si>
    <t>2024-08-31T15:46:54.099+02:00</t>
  </si>
  <si>
    <t>2024-08-31T15:35:21.655+02:00</t>
  </si>
  <si>
    <t>2024-08-31T15:45:03.957+02:00</t>
  </si>
  <si>
    <t>2024-08-31T15:35:21.643+02:00</t>
  </si>
  <si>
    <t>2024-08-31T15:43:32.344+02:00</t>
  </si>
  <si>
    <t>2024-08-31T15:20:23.918+02:00</t>
  </si>
  <si>
    <t>2024-08-31T15:25:15.787+02:00</t>
  </si>
  <si>
    <t>2024-08-31T15:05:45.415+02:00</t>
  </si>
  <si>
    <t>2024-08-31T15:16:20.964+02:00</t>
  </si>
  <si>
    <t>2024-08-31T14:52:02.073+02:00</t>
  </si>
  <si>
    <t>2024-08-31T14:58:17.807+02:00</t>
  </si>
  <si>
    <t>2024-08-31T15:11:32.253+02:00</t>
  </si>
  <si>
    <t>2024-08-31T14:52:02.525+02:00</t>
  </si>
  <si>
    <t>2024-08-31T14:35:02.305+02:00</t>
  </si>
  <si>
    <t>2024-08-31T14:40:01.790+02:00</t>
  </si>
  <si>
    <t>2024-08-31T14:54:19.637+02:00</t>
  </si>
  <si>
    <t>2024-08-31T14:35:03.246+02:00</t>
  </si>
  <si>
    <t>2024-08-31T14:28:57.908+02:00</t>
  </si>
  <si>
    <t>2024-08-31T14:37:50.060+02:00</t>
  </si>
  <si>
    <t>2024-08-31T14:19:21.596+02:00</t>
  </si>
  <si>
    <t>2024-08-31T14:29:53.066+02:00</t>
  </si>
  <si>
    <t>2024-08-31T13:49:18.696+02:00</t>
  </si>
  <si>
    <t>2024-08-31T13:55:59.991+02:00</t>
  </si>
  <si>
    <t>2024-08-31T13:48:02.540+02:00</t>
  </si>
  <si>
    <t>2024-08-31T13:56:02.763+02:00</t>
  </si>
  <si>
    <t>2024-08-31T14:06:42.059+02:00</t>
  </si>
  <si>
    <t>2024-08-31T13:48:03.055+02:00</t>
  </si>
  <si>
    <t>2024-08-31T13:43:49.183+02:00</t>
  </si>
  <si>
    <t>2024-08-31T13:53:16.047+02:00</t>
  </si>
  <si>
    <t>2024-08-31T13:25:47.144+02:00</t>
  </si>
  <si>
    <t>2024-08-31T13:31:18.313+02:00</t>
  </si>
  <si>
    <t>2024-08-31T13:20:01.925+02:00</t>
  </si>
  <si>
    <t>2024-08-31T13:28:29.136+02:00</t>
  </si>
  <si>
    <t>2024-08-31T13:38:10.419+02:00</t>
  </si>
  <si>
    <t>2024-08-31T13:20:02.464+02:00</t>
  </si>
  <si>
    <t>2024-08-31T12:59:02.724+02:00</t>
  </si>
  <si>
    <t>2024-08-31T13:07:09.702+02:00</t>
  </si>
  <si>
    <t>2024-08-31T12:55:24.669+02:00</t>
  </si>
  <si>
    <t>2024-08-31T13:03:32.067+02:00</t>
  </si>
  <si>
    <t>2024-08-31T12:47:34.378+02:00</t>
  </si>
  <si>
    <t>2024-08-31T12:56:06.909+02:00</t>
  </si>
  <si>
    <t>2024-08-31T12:42:26.385+02:00</t>
  </si>
  <si>
    <t>2024-08-31T12:49:43.991+02:00</t>
  </si>
  <si>
    <t>2024-08-31T12:31:35.852+02:00</t>
  </si>
  <si>
    <t>2024-08-31T12:39:49.767+02:00</t>
  </si>
  <si>
    <t>2024-08-31T12:13:21.694+02:00</t>
  </si>
  <si>
    <t>2024-08-31T12:29:49.082+02:00</t>
  </si>
  <si>
    <t>2024-08-31T11:42:02.443+02:00</t>
  </si>
  <si>
    <t>2024-08-31T11:49:50.683+02:00</t>
  </si>
  <si>
    <t>2024-08-31T11:29:43.938+02:00</t>
  </si>
  <si>
    <t>2024-08-31T11:40:06.645+02:00</t>
  </si>
  <si>
    <t>2024-08-31T11:28:25.687+02:00</t>
  </si>
  <si>
    <t>2024-08-31T11:46:36.823+02:00</t>
  </si>
  <si>
    <t>2024-08-31T11:27:36.208+02:00</t>
  </si>
  <si>
    <t>2024-08-31T11:37:37.014+02:00</t>
  </si>
  <si>
    <t>2024-08-31T11:10:02.296+02:00</t>
  </si>
  <si>
    <t>2024-08-31T11:23:46.710+02:00</t>
  </si>
  <si>
    <t>2024-08-31T11:38:57.542+02:00</t>
  </si>
  <si>
    <t>2024-08-31T11:10:02.889+02:00</t>
  </si>
  <si>
    <t>2024-08-31T11:07:02.607+02:00</t>
  </si>
  <si>
    <t>2024-08-31T11:18:52.699+02:00</t>
  </si>
  <si>
    <t>2024-08-31T11:31:33.231+02:00</t>
  </si>
  <si>
    <t>2024-08-31T11:07:03.156+02:00</t>
  </si>
  <si>
    <t>2024-08-31T11:04:12.594+02:00</t>
  </si>
  <si>
    <t>2024-08-31T11:17:37.982+02:00</t>
  </si>
  <si>
    <t>Vlastní vůz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</si>
  <si>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</si>
  <si>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</si>
  <si>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</si>
  <si>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</si>
  <si>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</si>
  <si>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</si>
  <si>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</si>
  <si>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</si>
  <si>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Čtvrtek</t>
  </si>
  <si>
    <t>Kinkorová Petra</t>
  </si>
  <si>
    <t>Kořínek Dominik</t>
  </si>
  <si>
    <t>01:00</t>
  </si>
  <si>
    <t>Jáklová Dominika</t>
  </si>
  <si>
    <t>01:30</t>
  </si>
  <si>
    <t>08:30</t>
  </si>
  <si>
    <t>16:00</t>
  </si>
  <si>
    <t>05:00</t>
  </si>
  <si>
    <t>11 min 17 s</t>
  </si>
  <si>
    <t>03:00</t>
  </si>
  <si>
    <t>18:30</t>
  </si>
  <si>
    <t>Mirga Simon</t>
  </si>
  <si>
    <t>16:30</t>
  </si>
  <si>
    <t>05:30</t>
  </si>
  <si>
    <t>10:30</t>
  </si>
  <si>
    <t>10 min 45 s</t>
  </si>
  <si>
    <t>Sobota</t>
  </si>
  <si>
    <t>03:30</t>
  </si>
  <si>
    <t>Roth Stanislav</t>
  </si>
  <si>
    <t>21:00</t>
  </si>
  <si>
    <t>11 min 32 s</t>
  </si>
  <si>
    <t>10 min 57 s</t>
  </si>
  <si>
    <t>15:30</t>
  </si>
  <si>
    <t>07:30</t>
  </si>
  <si>
    <t>11 min 38 s</t>
  </si>
  <si>
    <t>19:00</t>
  </si>
  <si>
    <t>06:30</t>
  </si>
  <si>
    <t>8 min 57 s</t>
  </si>
  <si>
    <t>9 min 48 s</t>
  </si>
  <si>
    <t>11 min 34 s</t>
  </si>
  <si>
    <t>04:00</t>
  </si>
  <si>
    <t>09:00</t>
  </si>
  <si>
    <t>17:30</t>
  </si>
  <si>
    <t>11 min 56 s</t>
  </si>
  <si>
    <t>10 min 12 s</t>
  </si>
  <si>
    <t>15 min 30 s</t>
  </si>
  <si>
    <t>15:00</t>
  </si>
  <si>
    <t>Lisý Robert</t>
  </si>
  <si>
    <t>Pešová Hana</t>
  </si>
  <si>
    <t>Ahurieva Viktoriia</t>
  </si>
  <si>
    <t>19:30</t>
  </si>
  <si>
    <t>11 min 01 s</t>
  </si>
  <si>
    <t>8 min 56 s</t>
  </si>
  <si>
    <t>11:30</t>
  </si>
  <si>
    <t>9 min 46 s</t>
  </si>
  <si>
    <t>10 min 53 s</t>
  </si>
  <si>
    <t>10 min 55 s</t>
  </si>
  <si>
    <t>12 min 32 s</t>
  </si>
  <si>
    <t>10 min 42 s</t>
  </si>
  <si>
    <t>3:00</t>
  </si>
  <si>
    <t>11 min 60 s</t>
  </si>
  <si>
    <t>11 min 16 s</t>
  </si>
  <si>
    <t>9 min 56 s</t>
  </si>
  <si>
    <t>10 min 21 s</t>
  </si>
  <si>
    <t>Malešice</t>
  </si>
  <si>
    <t>Online Platby</t>
  </si>
  <si>
    <t>Wolt</t>
  </si>
  <si>
    <t>Bolt</t>
  </si>
  <si>
    <t>Dáme jídlo</t>
  </si>
  <si>
    <t xml:space="preserve">     Napiš vzkaz  ⬇️    📖   Deník   📖     ⬇️ Včerejší vzkaz</t>
  </si>
  <si>
    <t>Web</t>
  </si>
  <si>
    <t>Wolt drive cash</t>
  </si>
  <si>
    <t>dfdfdfdfdf</t>
  </si>
  <si>
    <t>DJ Cash</t>
  </si>
  <si>
    <t>Instor</t>
  </si>
  <si>
    <t>Pokladna</t>
  </si>
  <si>
    <t>Jméno</t>
  </si>
  <si>
    <t>Začátek směny</t>
  </si>
  <si>
    <t>Konec směny</t>
  </si>
  <si>
    <t>pauza</t>
  </si>
  <si>
    <t>Počet hodin</t>
  </si>
  <si>
    <t>Výdaje</t>
  </si>
  <si>
    <t>Yarushynskyi Vladyslav</t>
  </si>
  <si>
    <t>Počet zpožděných našich rozvozů +5 min</t>
  </si>
  <si>
    <t>Počet rozvozů</t>
  </si>
  <si>
    <t xml:space="preserve">Vlastní vůz </t>
  </si>
  <si>
    <t>počet výdajových dokadů</t>
  </si>
  <si>
    <t>Hendrych Rostislav</t>
  </si>
  <si>
    <t>Woltrdive zpožděný kvůli našemu pozdnímu přiřazení</t>
  </si>
  <si>
    <t>Vyber datum    &lt;----------&gt;</t>
  </si>
  <si>
    <t>Celkem hodin Instor</t>
  </si>
  <si>
    <t>Celkem hodin Kurýr</t>
  </si>
  <si>
    <t>Počet dní</t>
  </si>
  <si>
    <t>6:00</t>
  </si>
  <si>
    <t>29:00</t>
  </si>
  <si>
    <t>14:00</t>
  </si>
  <si>
    <t>Strauss Daniel</t>
  </si>
  <si>
    <t>7:30</t>
  </si>
  <si>
    <t>8:00</t>
  </si>
  <si>
    <t>7:00</t>
  </si>
  <si>
    <t>Sem zadej směnu pro tento týden z CSV - Směny -&gt; Naplánované směny -&gt; Aktuální nebo Následující týden -&gt; Stáhnout CSV (v pravo nahoře ) -&gt; otevřív v excelu -&gt; oznacit všechny buňky a dvojklikem na dělící přepážku mezi A a B přizpůsob buňky velikosti textu. Poté tabulku zkopíruj do této tabulky do bunky A2, označeno modře.</t>
  </si>
  <si>
    <t>Pracovníci</t>
  </si>
  <si>
    <t>10:00 - 1:00 (Instor)</t>
  </si>
  <si>
    <t>10:00 - 17:00 (Instor)</t>
  </si>
  <si>
    <t>17:00 - 3:00 (Instor)</t>
  </si>
  <si>
    <t>17:00 - 1:00 (Instor)</t>
  </si>
  <si>
    <t>17:00 - 0:00 (Instor)</t>
  </si>
  <si>
    <t>Reischl Jan</t>
  </si>
  <si>
    <t>11:00 - 17:00 (Kurýr)</t>
  </si>
  <si>
    <t>Hanibal Filip</t>
  </si>
  <si>
    <t>17:00 - 1:00 (Kurýr)</t>
  </si>
  <si>
    <t xml:space="preserve">Fux Vojtěch </t>
  </si>
  <si>
    <t>Pergl Jan</t>
  </si>
  <si>
    <t>Kalina Filip</t>
  </si>
  <si>
    <t>17:00 - 0:00 (Kurýr)</t>
  </si>
  <si>
    <t>11:00 - 17:00 (Instor)</t>
  </si>
  <si>
    <t>Manažeři</t>
  </si>
  <si>
    <t>Zamestnanci pobocky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</si>
</sst>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.mm.yyyy"/>
    <numFmt numFmtId="165" formatCode="dd&quot;-&quot;mm&quot;-&quot;yyyy"/>
    <numFmt numFmtId="166" formatCode="#,##0\ [$Kč-405]"/>
    <numFmt numFmtId="167" formatCode="&quot;/&quot;d&quot;/&quot;myy"/>
    <numFmt numFmtId="168" formatCode="d.m.yyyy"/>
    <numFmt numFmtId="169" formatCode="H:mm:ss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sz val="10.0"/>
      <color theme="1"/>
      <name val="Arial"/>
    </font>
    <font>
      <b/>
      <sz val="17.0"/>
      <color theme="1"/>
      <name val="&quot;Google Sans Mono&quot;"/>
    </font>
    <font/>
    <font>
      <b/>
      <sz val="26.0"/>
      <color theme="1"/>
      <name val="Arial"/>
    </font>
    <font>
      <b/>
      <sz val="14.0"/>
      <color theme="1"/>
      <name val="Arial"/>
    </font>
    <font>
      <b/>
      <sz val="25.0"/>
      <color theme="1"/>
      <name val="Google Sans Mono"/>
    </font>
    <font>
      <b/>
      <sz val="12.0"/>
      <color theme="1"/>
      <name val="Arial"/>
    </font>
    <font>
      <sz val="12.0"/>
      <color theme="1"/>
      <name val="Arial"/>
    </font>
    <font>
      <b/>
      <sz val="21.0"/>
      <color theme="1"/>
      <name val="Arial"/>
    </font>
    <font>
      <b/>
      <sz val="15.0"/>
      <color theme="1"/>
      <name val="Arial"/>
    </font>
    <font>
      <b/>
      <sz val="11.0"/>
      <color theme="1"/>
      <name val="Arial"/>
    </font>
    <font>
      <sz val="22.0"/>
      <color theme="1"/>
      <name val="Arial"/>
    </font>
    <font>
      <b/>
      <sz val="23.0"/>
      <color theme="1"/>
      <name val="Arial"/>
    </font>
    <font>
      <sz val="9.0"/>
      <color theme="1"/>
      <name val="Google Sans Mono"/>
    </font>
    <font>
      <sz val="12.0"/>
      <color rgb="FF000000"/>
      <name val="Arial"/>
      <scheme val="minor"/>
    </font>
    <font>
      <sz val="11.0"/>
      <color theme="1"/>
      <name val="Arial"/>
    </font>
    <font>
      <b/>
      <sz val="11.0"/>
      <color rgb="FFEFEFEF"/>
      <name val="Arial"/>
    </font>
    <font>
      <color rgb="FFCCCCCC"/>
      <name val="Arial"/>
    </font>
    <font>
      <b/>
      <sz val="13.0"/>
      <color rgb="FF000000"/>
      <name val="Arial"/>
    </font>
    <font>
      <b/>
      <sz val="14.0"/>
      <color theme="1"/>
      <name val="Arial"/>
      <scheme val="minor"/>
    </font>
    <font>
      <b/>
      <sz val="13.0"/>
      <color theme="1"/>
      <name val="Google Sans Mono"/>
    </font>
    <font>
      <b/>
      <sz val="25.0"/>
      <color rgb="FF000000"/>
      <name val="&quot;Google Sans Mono&quot;"/>
    </font>
    <font>
      <b/>
      <color theme="1"/>
      <name val="Arial"/>
    </font>
  </fonts>
  <fills count="2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B4A7D6"/>
        <bgColor rgb="FFB4A7D6"/>
      </patternFill>
    </fill>
    <fill>
      <patternFill patternType="solid">
        <fgColor rgb="FF000000"/>
        <bgColor rgb="FF000000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00FF"/>
        <bgColor rgb="FFFF00FF"/>
      </patternFill>
    </fill>
  </fills>
  <borders count="50">
    <border/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top style="thick">
        <color rgb="FF000000"/>
      </top>
    </border>
    <border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1" fillId="2" fontId="2" numFmtId="2" xfId="0" applyAlignment="1" applyBorder="1" applyFill="1" applyFont="1" applyNumberFormat="1">
      <alignment horizontal="center" readingOrder="0" vertical="center"/>
    </xf>
    <xf borderId="2" fillId="3" fontId="3" numFmtId="2" xfId="0" applyAlignment="1" applyBorder="1" applyFill="1" applyFont="1" applyNumberFormat="1">
      <alignment horizontal="center" readingOrder="0" vertical="center"/>
    </xf>
    <xf borderId="2" fillId="3" fontId="4" numFmtId="0" xfId="0" applyAlignment="1" applyBorder="1" applyFont="1">
      <alignment horizontal="center" vertical="center"/>
    </xf>
    <xf borderId="3" fillId="3" fontId="5" numFmtId="165" xfId="0" applyAlignment="1" applyBorder="1" applyFont="1" applyNumberFormat="1">
      <alignment horizontal="center" readingOrder="0" vertical="center"/>
    </xf>
    <xf borderId="4" fillId="0" fontId="6" numFmtId="0" xfId="0" applyBorder="1" applyFont="1"/>
    <xf borderId="5" fillId="4" fontId="7" numFmtId="0" xfId="0" applyAlignment="1" applyBorder="1" applyFill="1" applyFont="1">
      <alignment horizontal="center" vertical="center"/>
    </xf>
    <xf borderId="5" fillId="0" fontId="6" numFmtId="0" xfId="0" applyBorder="1" applyFont="1"/>
    <xf borderId="6" fillId="0" fontId="6" numFmtId="0" xfId="0" applyBorder="1" applyFont="1"/>
    <xf borderId="7" fillId="4" fontId="8" numFmtId="0" xfId="0" applyAlignment="1" applyBorder="1" applyFont="1">
      <alignment horizontal="center" vertical="center"/>
    </xf>
    <xf borderId="8" fillId="0" fontId="6" numFmtId="0" xfId="0" applyBorder="1" applyFont="1"/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0" fillId="5" fontId="9" numFmtId="10" xfId="0" applyAlignment="1" applyFill="1" applyFont="1" applyNumberFormat="1">
      <alignment horizontal="center" vertical="center"/>
    </xf>
    <xf borderId="1" fillId="0" fontId="6" numFmtId="0" xfId="0" applyBorder="1" applyFont="1"/>
    <xf borderId="0" fillId="6" fontId="7" numFmtId="166" xfId="0" applyAlignment="1" applyFill="1" applyFont="1" applyNumberFormat="1">
      <alignment horizontal="center" readingOrder="0" vertical="center"/>
    </xf>
    <xf borderId="12" fillId="7" fontId="10" numFmtId="0" xfId="0" applyAlignment="1" applyBorder="1" applyFill="1" applyFont="1">
      <alignment horizontal="center" vertical="center"/>
    </xf>
    <xf borderId="13" fillId="6" fontId="11" numFmtId="166" xfId="0" applyAlignment="1" applyBorder="1" applyFont="1" applyNumberFormat="1">
      <alignment horizontal="center"/>
    </xf>
    <xf borderId="1" fillId="2" fontId="2" numFmtId="2" xfId="0" applyAlignment="1" applyBorder="1" applyFont="1" applyNumberFormat="1">
      <alignment horizontal="center" vertical="center"/>
    </xf>
    <xf borderId="3" fillId="3" fontId="12" numFmtId="167" xfId="0" applyAlignment="1" applyBorder="1" applyFont="1" applyNumberForma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3" fillId="8" fontId="7" numFmtId="0" xfId="0" applyAlignment="1" applyBorder="1" applyFill="1" applyFont="1">
      <alignment horizontal="left" readingOrder="0" vertical="center"/>
    </xf>
    <xf borderId="16" fillId="7" fontId="10" numFmtId="0" xfId="0" applyAlignment="1" applyBorder="1" applyFont="1">
      <alignment horizontal="center" readingOrder="0" vertical="center"/>
    </xf>
    <xf borderId="3" fillId="9" fontId="2" numFmtId="0" xfId="0" applyAlignment="1" applyBorder="1" applyFill="1" applyFont="1">
      <alignment horizontal="center" readingOrder="0" vertical="center"/>
    </xf>
    <xf borderId="0" fillId="9" fontId="2" numFmtId="0" xfId="0" applyAlignment="1" applyFont="1">
      <alignment horizontal="center" readingOrder="0" vertical="center"/>
    </xf>
    <xf borderId="3" fillId="10" fontId="2" numFmtId="0" xfId="0" applyAlignment="1" applyBorder="1" applyFill="1" applyFont="1">
      <alignment vertical="bottom"/>
    </xf>
    <xf borderId="17" fillId="7" fontId="10" numFmtId="0" xfId="0" applyAlignment="1" applyBorder="1" applyFont="1">
      <alignment horizontal="center" vertical="center"/>
    </xf>
    <xf borderId="1" fillId="6" fontId="11" numFmtId="166" xfId="0" applyAlignment="1" applyBorder="1" applyFont="1" applyNumberFormat="1">
      <alignment horizontal="center"/>
    </xf>
    <xf borderId="18" fillId="0" fontId="6" numFmtId="0" xfId="0" applyBorder="1" applyFont="1"/>
    <xf borderId="19" fillId="4" fontId="8" numFmtId="0" xfId="0" applyAlignment="1" applyBorder="1" applyFont="1">
      <alignment horizontal="center" vertical="center"/>
    </xf>
    <xf borderId="13" fillId="9" fontId="11" numFmtId="166" xfId="0" applyAlignment="1" applyBorder="1" applyFont="1" applyNumberFormat="1">
      <alignment horizontal="center" readingOrder="0" vertical="center"/>
    </xf>
    <xf borderId="10" fillId="4" fontId="13" numFmtId="0" xfId="0" applyAlignment="1" applyBorder="1" applyFont="1">
      <alignment horizontal="center" readingOrder="0" vertical="center"/>
    </xf>
    <xf borderId="15" fillId="4" fontId="8" numFmtId="0" xfId="0" applyAlignment="1" applyBorder="1" applyFont="1">
      <alignment horizontal="center" readingOrder="0" vertical="center"/>
    </xf>
    <xf borderId="10" fillId="4" fontId="13" numFmtId="0" xfId="0" applyAlignment="1" applyBorder="1" applyFont="1">
      <alignment horizontal="center"/>
    </xf>
    <xf borderId="16" fillId="0" fontId="14" numFmtId="0" xfId="0" applyAlignment="1" applyBorder="1" applyFont="1">
      <alignment horizontal="center" readingOrder="0" vertical="center"/>
    </xf>
    <xf borderId="12" fillId="0" fontId="14" numFmtId="20" xfId="0" applyAlignment="1" applyBorder="1" applyFont="1" applyNumberFormat="1">
      <alignment horizontal="center" vertical="center"/>
    </xf>
    <xf borderId="13" fillId="0" fontId="14" numFmtId="0" xfId="0" applyAlignment="1" applyBorder="1" applyFont="1">
      <alignment horizontal="center" vertical="center"/>
    </xf>
    <xf borderId="0" fillId="9" fontId="15" numFmtId="0" xfId="0" applyAlignment="1" applyFont="1">
      <alignment horizontal="center" readingOrder="0" vertical="center"/>
    </xf>
    <xf borderId="3" fillId="11" fontId="16" numFmtId="166" xfId="0" applyAlignment="1" applyBorder="1" applyFill="1" applyFont="1" applyNumberFormat="1">
      <alignment horizontal="center" vertical="center"/>
    </xf>
    <xf borderId="20" fillId="7" fontId="10" numFmtId="0" xfId="0" applyAlignment="1" applyBorder="1" applyFont="1">
      <alignment horizontal="center" vertical="center"/>
    </xf>
    <xf borderId="11" fillId="9" fontId="11" numFmtId="166" xfId="0" applyAlignment="1" applyBorder="1" applyFont="1" applyNumberFormat="1">
      <alignment horizontal="center" readingOrder="0" vertical="center"/>
    </xf>
    <xf borderId="0" fillId="5" fontId="17" numFmtId="2" xfId="0" applyAlignment="1" applyFont="1" applyNumberFormat="1">
      <alignment horizontal="center"/>
    </xf>
    <xf borderId="16" fillId="9" fontId="2" numFmtId="0" xfId="0" applyAlignment="1" applyBorder="1" applyFont="1">
      <alignment horizontal="center" readingOrder="0" vertical="center"/>
    </xf>
    <xf borderId="12" fillId="9" fontId="2" numFmtId="49" xfId="0" applyAlignment="1" applyBorder="1" applyFont="1" applyNumberFormat="1">
      <alignment horizontal="center" readingOrder="0" vertical="center"/>
    </xf>
    <xf borderId="21" fillId="9" fontId="2" numFmtId="49" xfId="0" applyAlignment="1" applyBorder="1" applyFont="1" applyNumberFormat="1">
      <alignment horizontal="center" readingOrder="0" vertical="center"/>
    </xf>
    <xf borderId="22" fillId="12" fontId="18" numFmtId="0" xfId="0" applyAlignment="1" applyBorder="1" applyFill="1" applyFont="1">
      <alignment horizontal="center" readingOrder="0" vertical="center"/>
    </xf>
    <xf borderId="15" fillId="4" fontId="8" numFmtId="0" xfId="0" applyAlignment="1" applyBorder="1" applyFont="1">
      <alignment horizontal="center" vertical="center"/>
    </xf>
    <xf borderId="21" fillId="9" fontId="2" numFmtId="0" xfId="0" applyAlignment="1" applyBorder="1" applyFont="1">
      <alignment horizontal="center" readingOrder="0" vertical="center"/>
    </xf>
    <xf borderId="0" fillId="8" fontId="2" numFmtId="0" xfId="0" applyAlignment="1" applyFont="1">
      <alignment horizontal="center" readingOrder="0" vertical="center"/>
    </xf>
    <xf borderId="12" fillId="7" fontId="14" numFmtId="0" xfId="0" applyAlignment="1" applyBorder="1" applyFont="1">
      <alignment horizontal="center" vertical="center"/>
    </xf>
    <xf borderId="21" fillId="9" fontId="2" numFmtId="20" xfId="0" applyAlignment="1" applyBorder="1" applyFont="1" applyNumberFormat="1">
      <alignment horizontal="center" readingOrder="0" vertical="center"/>
    </xf>
    <xf borderId="21" fillId="9" fontId="2" numFmtId="20" xfId="0" applyAlignment="1" applyBorder="1" applyFont="1" applyNumberFormat="1">
      <alignment horizontal="center" vertical="center"/>
    </xf>
    <xf borderId="20" fillId="7" fontId="14" numFmtId="0" xfId="0" applyAlignment="1" applyBorder="1" applyFont="1">
      <alignment horizontal="center" readingOrder="0" vertical="center"/>
    </xf>
    <xf borderId="11" fillId="12" fontId="11" numFmtId="166" xfId="0" applyAlignment="1" applyBorder="1" applyFont="1" applyNumberFormat="1">
      <alignment horizontal="center" vertical="center"/>
    </xf>
    <xf borderId="0" fillId="10" fontId="19" numFmtId="0" xfId="0" applyAlignment="1" applyFont="1">
      <alignment horizontal="center" readingOrder="0" shrinkToFit="0" vertical="center" wrapText="1"/>
    </xf>
    <xf borderId="17" fillId="0" fontId="6" numFmtId="0" xfId="0" applyBorder="1" applyFont="1"/>
    <xf borderId="12" fillId="9" fontId="2" numFmtId="20" xfId="0" applyAlignment="1" applyBorder="1" applyFont="1" applyNumberFormat="1">
      <alignment horizontal="center" readingOrder="0" vertical="center"/>
    </xf>
    <xf borderId="22" fillId="9" fontId="2" numFmtId="46" xfId="0" applyAlignment="1" applyBorder="1" applyFont="1" applyNumberFormat="1">
      <alignment horizontal="center" readingOrder="0" vertical="center"/>
    </xf>
    <xf borderId="23" fillId="9" fontId="2" numFmtId="0" xfId="0" applyAlignment="1" applyBorder="1" applyFont="1">
      <alignment horizontal="center" readingOrder="0" vertical="center"/>
    </xf>
    <xf borderId="22" fillId="9" fontId="2" numFmtId="49" xfId="0" applyAlignment="1" applyBorder="1" applyFont="1" applyNumberFormat="1">
      <alignment horizontal="center" readingOrder="0" vertical="center"/>
    </xf>
    <xf borderId="20" fillId="9" fontId="2" numFmtId="20" xfId="0" applyAlignment="1" applyBorder="1" applyFont="1" applyNumberFormat="1">
      <alignment horizontal="center" readingOrder="0" vertical="center"/>
    </xf>
    <xf borderId="15" fillId="9" fontId="2" numFmtId="20" xfId="0" applyAlignment="1" applyBorder="1" applyFont="1" applyNumberFormat="1">
      <alignment horizontal="center" vertical="center"/>
    </xf>
    <xf borderId="24" fillId="12" fontId="18" numFmtId="0" xfId="0" applyAlignment="1" applyBorder="1" applyFont="1">
      <alignment horizontal="center" readingOrder="0" vertical="center"/>
    </xf>
    <xf borderId="1" fillId="5" fontId="2" numFmtId="2" xfId="0" applyBorder="1" applyFont="1" applyNumberFormat="1"/>
    <xf borderId="10" fillId="10" fontId="2" numFmtId="0" xfId="0" applyAlignment="1" applyBorder="1" applyFont="1">
      <alignment horizontal="center" vertical="center"/>
    </xf>
    <xf borderId="22" fillId="10" fontId="19" numFmtId="0" xfId="0" applyAlignment="1" applyBorder="1" applyFont="1">
      <alignment horizontal="center" shrinkToFit="0" wrapText="1"/>
    </xf>
    <xf borderId="22" fillId="10" fontId="14" numFmtId="0" xfId="0" applyAlignment="1" applyBorder="1" applyFont="1">
      <alignment horizontal="center" shrinkToFit="0" wrapText="1"/>
    </xf>
    <xf borderId="18" fillId="4" fontId="13" numFmtId="0" xfId="0" applyAlignment="1" applyBorder="1" applyFont="1">
      <alignment horizontal="center" readingOrder="0" vertical="center"/>
    </xf>
    <xf borderId="22" fillId="13" fontId="19" numFmtId="0" xfId="0" applyAlignment="1" applyBorder="1" applyFill="1" applyFont="1">
      <alignment horizontal="center" shrinkToFit="0" wrapText="1"/>
    </xf>
    <xf borderId="22" fillId="13" fontId="19" numFmtId="166" xfId="0" applyAlignment="1" applyBorder="1" applyFont="1" applyNumberFormat="1">
      <alignment horizontal="center" shrinkToFit="0" wrapText="1"/>
    </xf>
    <xf borderId="22" fillId="13" fontId="2" numFmtId="0" xfId="0" applyAlignment="1" applyBorder="1" applyFont="1">
      <alignment horizontal="center"/>
    </xf>
    <xf borderId="25" fillId="0" fontId="14" numFmtId="0" xfId="0" applyAlignment="1" applyBorder="1" applyFont="1">
      <alignment horizontal="center" readingOrder="0" vertical="center"/>
    </xf>
    <xf borderId="26" fillId="0" fontId="14" numFmtId="20" xfId="0" applyAlignment="1" applyBorder="1" applyFont="1" applyNumberFormat="1">
      <alignment horizontal="center" vertical="center"/>
    </xf>
    <xf borderId="26" fillId="0" fontId="14" numFmtId="0" xfId="0" applyAlignment="1" applyBorder="1" applyFont="1">
      <alignment horizontal="center" vertical="center"/>
    </xf>
    <xf borderId="27" fillId="0" fontId="14" numFmtId="0" xfId="0" applyAlignment="1" applyBorder="1" applyFont="1">
      <alignment horizontal="center" vertical="center"/>
    </xf>
    <xf borderId="28" fillId="10" fontId="14" numFmtId="0" xfId="0" applyAlignment="1" applyBorder="1" applyFont="1">
      <alignment horizontal="center" shrinkToFit="0" wrapText="1"/>
    </xf>
    <xf borderId="28" fillId="10" fontId="19" numFmtId="0" xfId="0" applyAlignment="1" applyBorder="1" applyFont="1">
      <alignment horizontal="center" shrinkToFit="0" wrapText="1"/>
    </xf>
    <xf borderId="12" fillId="6" fontId="2" numFmtId="0" xfId="0" applyAlignment="1" applyBorder="1" applyFont="1">
      <alignment horizontal="center" readingOrder="0" vertical="center"/>
    </xf>
    <xf borderId="12" fillId="14" fontId="20" numFmtId="0" xfId="0" applyAlignment="1" applyBorder="1" applyFill="1" applyFont="1">
      <alignment horizontal="center" readingOrder="0" vertical="center"/>
    </xf>
    <xf borderId="21" fillId="12" fontId="14" numFmtId="0" xfId="0" applyAlignment="1" applyBorder="1" applyFont="1">
      <alignment horizontal="center" vertical="center"/>
    </xf>
    <xf borderId="29" fillId="0" fontId="6" numFmtId="0" xfId="0" applyBorder="1" applyFont="1"/>
    <xf borderId="22" fillId="9" fontId="2" numFmtId="20" xfId="0" applyAlignment="1" applyBorder="1" applyFont="1" applyNumberFormat="1">
      <alignment horizontal="center" vertical="center"/>
    </xf>
    <xf borderId="13" fillId="12" fontId="14" numFmtId="0" xfId="0" applyAlignment="1" applyBorder="1" applyFont="1">
      <alignment horizontal="center" vertical="center"/>
    </xf>
    <xf borderId="22" fillId="15" fontId="19" numFmtId="0" xfId="0" applyAlignment="1" applyBorder="1" applyFill="1" applyFont="1">
      <alignment horizontal="center" shrinkToFit="0" wrapText="1"/>
    </xf>
    <xf borderId="22" fillId="16" fontId="2" numFmtId="0" xfId="0" applyAlignment="1" applyBorder="1" applyFill="1" applyFont="1">
      <alignment horizontal="center"/>
    </xf>
    <xf borderId="30" fillId="10" fontId="14" numFmtId="0" xfId="0" applyAlignment="1" applyBorder="1" applyFont="1">
      <alignment horizontal="center" shrinkToFit="0" wrapText="1"/>
    </xf>
    <xf borderId="31" fillId="0" fontId="6" numFmtId="0" xfId="0" applyBorder="1" applyFont="1"/>
    <xf borderId="32" fillId="0" fontId="6" numFmtId="0" xfId="0" applyBorder="1" applyFont="1"/>
    <xf borderId="12" fillId="0" fontId="6" numFmtId="0" xfId="0" applyBorder="1" applyFont="1"/>
    <xf borderId="22" fillId="9" fontId="2" numFmtId="20" xfId="0" applyAlignment="1" applyBorder="1" applyFont="1" applyNumberFormat="1">
      <alignment horizontal="center" readingOrder="0" vertical="center"/>
    </xf>
    <xf borderId="33" fillId="16" fontId="2" numFmtId="0" xfId="0" applyAlignment="1" applyBorder="1" applyFont="1">
      <alignment horizontal="center"/>
    </xf>
    <xf borderId="34" fillId="0" fontId="6" numFmtId="0" xfId="0" applyBorder="1" applyFont="1"/>
    <xf borderId="22" fillId="13" fontId="2" numFmtId="10" xfId="0" applyAlignment="1" applyBorder="1" applyFont="1" applyNumberFormat="1">
      <alignment horizontal="center"/>
    </xf>
    <xf borderId="22" fillId="9" fontId="2" numFmtId="20" xfId="0" applyAlignment="1" applyBorder="1" applyFont="1" applyNumberFormat="1">
      <alignment horizontal="center" readingOrder="0" vertical="center"/>
    </xf>
    <xf borderId="0" fillId="17" fontId="2" numFmtId="0" xfId="0" applyFill="1" applyFont="1"/>
    <xf borderId="16" fillId="9" fontId="2" numFmtId="0" xfId="0" applyAlignment="1" applyBorder="1" applyFont="1">
      <alignment horizontal="center" vertical="center"/>
    </xf>
    <xf borderId="0" fillId="2" fontId="21" numFmtId="2" xfId="0" applyAlignment="1" applyFont="1" applyNumberFormat="1">
      <alignment horizontal="center" vertical="center"/>
    </xf>
    <xf borderId="23" fillId="18" fontId="14" numFmtId="0" xfId="0" applyAlignment="1" applyBorder="1" applyFill="1" applyFont="1">
      <alignment horizontal="center" readingOrder="0" vertical="center"/>
    </xf>
    <xf borderId="10" fillId="18" fontId="14" numFmtId="0" xfId="0" applyAlignment="1" applyBorder="1" applyFont="1">
      <alignment horizontal="center" vertical="center"/>
    </xf>
    <xf borderId="20" fillId="0" fontId="6" numFmtId="0" xfId="0" applyBorder="1" applyFont="1"/>
    <xf borderId="20" fillId="6" fontId="14" numFmtId="0" xfId="0" applyAlignment="1" applyBorder="1" applyFont="1">
      <alignment horizontal="center" readingOrder="0" vertical="center"/>
    </xf>
    <xf borderId="20" fillId="18" fontId="14" numFmtId="0" xfId="0" applyAlignment="1" applyBorder="1" applyFont="1">
      <alignment horizontal="center" vertical="center"/>
    </xf>
    <xf borderId="11" fillId="18" fontId="14" numFmtId="0" xfId="0" applyAlignment="1" applyBorder="1" applyFont="1">
      <alignment horizontal="center" vertical="center"/>
    </xf>
    <xf borderId="21" fillId="17" fontId="2" numFmtId="0" xfId="0" applyBorder="1" applyFont="1"/>
    <xf borderId="0" fillId="12" fontId="3" numFmtId="2" xfId="0" applyAlignment="1" applyFont="1" applyNumberFormat="1">
      <alignment horizontal="center" vertical="center"/>
    </xf>
    <xf borderId="2" fillId="12" fontId="3" numFmtId="2" xfId="0" applyAlignment="1" applyBorder="1" applyFont="1" applyNumberFormat="1">
      <alignment horizontal="center" vertical="center"/>
    </xf>
    <xf borderId="0" fillId="5" fontId="22" numFmtId="168" xfId="0" applyAlignment="1" applyFont="1" applyNumberFormat="1">
      <alignment horizontal="center" readingOrder="0" vertical="center"/>
    </xf>
    <xf borderId="2" fillId="19" fontId="23" numFmtId="0" xfId="0" applyAlignment="1" applyBorder="1" applyFill="1" applyFont="1">
      <alignment horizontal="center" readingOrder="0" shrinkToFit="0" vertical="center" wrapText="1"/>
    </xf>
    <xf borderId="4" fillId="5" fontId="24" numFmtId="168" xfId="0" applyAlignment="1" applyBorder="1" applyFont="1" applyNumberFormat="1">
      <alignment horizontal="center" readingOrder="0" shrinkToFit="0" vertical="center" wrapText="0"/>
    </xf>
    <xf borderId="5" fillId="5" fontId="7" numFmtId="0" xfId="0" applyAlignment="1" applyBorder="1" applyFont="1">
      <alignment horizontal="center" vertical="center"/>
    </xf>
    <xf borderId="0" fillId="5" fontId="8" numFmtId="0" xfId="0" applyAlignment="1" applyFont="1">
      <alignment horizontal="center" vertical="center"/>
    </xf>
    <xf borderId="0" fillId="5" fontId="25" numFmtId="10" xfId="0" applyAlignment="1" applyFont="1" applyNumberFormat="1">
      <alignment horizontal="center" readingOrder="0" vertical="center"/>
    </xf>
    <xf borderId="0" fillId="5" fontId="7" numFmtId="166" xfId="0" applyAlignment="1" applyFont="1" applyNumberFormat="1">
      <alignment horizontal="center" readingOrder="0" vertical="center"/>
    </xf>
    <xf borderId="25" fillId="5" fontId="10" numFmtId="0" xfId="0" applyAlignment="1" applyBorder="1" applyFont="1">
      <alignment horizontal="center" vertical="center"/>
    </xf>
    <xf borderId="35" fillId="5" fontId="11" numFmtId="166" xfId="0" applyAlignment="1" applyBorder="1" applyFont="1" applyNumberFormat="1">
      <alignment horizontal="center" readingOrder="0" vertical="center"/>
    </xf>
    <xf borderId="0" fillId="5" fontId="11" numFmtId="166" xfId="0" applyAlignment="1" applyFont="1" applyNumberFormat="1">
      <alignment horizontal="center" readingOrder="0" vertical="center"/>
    </xf>
    <xf borderId="0" fillId="5" fontId="12" numFmtId="167" xfId="0" applyAlignment="1" applyFont="1" applyNumberFormat="1">
      <alignment horizontal="center" readingOrder="0" vertical="center"/>
    </xf>
    <xf borderId="3" fillId="5" fontId="12" numFmtId="167" xfId="0" applyAlignment="1" applyBorder="1" applyFont="1" applyNumberFormat="1">
      <alignment horizontal="center" readingOrder="0" vertical="center"/>
    </xf>
    <xf borderId="16" fillId="5" fontId="10" numFmtId="0" xfId="0" applyAlignment="1" applyBorder="1" applyFont="1">
      <alignment horizontal="center" vertical="center"/>
    </xf>
    <xf borderId="13" fillId="5" fontId="11" numFmtId="166" xfId="0" applyAlignment="1" applyBorder="1" applyFont="1" applyNumberFormat="1">
      <alignment horizontal="center" readingOrder="0" vertical="center"/>
    </xf>
    <xf borderId="0" fillId="5" fontId="7" numFmtId="0" xfId="0" applyAlignment="1" applyFont="1">
      <alignment horizontal="left" readingOrder="0" vertical="center"/>
    </xf>
    <xf borderId="3" fillId="5" fontId="7" numFmtId="0" xfId="0" applyAlignment="1" applyBorder="1" applyFont="1">
      <alignment horizontal="left" readingOrder="0" vertical="center"/>
    </xf>
    <xf borderId="14" fillId="5" fontId="7" numFmtId="0" xfId="0" applyAlignment="1" applyBorder="1" applyFont="1">
      <alignment horizontal="left" readingOrder="0" vertical="center"/>
    </xf>
    <xf borderId="16" fillId="5" fontId="10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10" fillId="5" fontId="8" numFmtId="1" xfId="0" applyAlignment="1" applyBorder="1" applyFont="1" applyNumberFormat="1">
      <alignment horizontal="center" readingOrder="0" vertical="center"/>
    </xf>
    <xf borderId="19" fillId="5" fontId="8" numFmtId="1" xfId="0" applyAlignment="1" applyBorder="1" applyFont="1" applyNumberFormat="1">
      <alignment horizontal="center" readingOrder="0" vertical="center"/>
    </xf>
    <xf borderId="0" fillId="14" fontId="1" numFmtId="0" xfId="0" applyFont="1"/>
    <xf borderId="36" fillId="5" fontId="10" numFmtId="0" xfId="0" applyAlignment="1" applyBorder="1" applyFont="1">
      <alignment horizontal="center" vertical="center"/>
    </xf>
    <xf borderId="37" fillId="5" fontId="11" numFmtId="166" xfId="0" applyAlignment="1" applyBorder="1" applyFont="1" applyNumberFormat="1">
      <alignment horizontal="center" readingOrder="0" vertical="center"/>
    </xf>
    <xf borderId="0" fillId="5" fontId="13" numFmtId="0" xfId="0" applyAlignment="1" applyFont="1">
      <alignment horizontal="center" readingOrder="0" vertical="center"/>
    </xf>
    <xf borderId="19" fillId="5" fontId="13" numFmtId="0" xfId="0" applyAlignment="1" applyBorder="1" applyFont="1">
      <alignment horizontal="center" readingOrder="0" vertical="center"/>
    </xf>
    <xf borderId="5" fillId="5" fontId="14" numFmtId="0" xfId="0" applyAlignment="1" applyBorder="1" applyFont="1">
      <alignment horizontal="center" readingOrder="0" vertical="center"/>
    </xf>
    <xf borderId="3" fillId="5" fontId="13" numFmtId="0" xfId="0" applyAlignment="1" applyBorder="1" applyFont="1">
      <alignment horizontal="center" vertical="center"/>
    </xf>
    <xf borderId="19" fillId="5" fontId="8" numFmtId="0" xfId="0" applyAlignment="1" applyBorder="1" applyFont="1">
      <alignment horizontal="center" vertical="center"/>
    </xf>
    <xf borderId="0" fillId="5" fontId="14" numFmtId="0" xfId="0" applyAlignment="1" applyFont="1">
      <alignment horizontal="center" readingOrder="0" vertical="center"/>
    </xf>
    <xf borderId="16" fillId="5" fontId="14" numFmtId="0" xfId="0" applyAlignment="1" applyBorder="1" applyFont="1">
      <alignment horizontal="center" readingOrder="0" vertical="center"/>
    </xf>
    <xf borderId="12" fillId="5" fontId="14" numFmtId="0" xfId="0" applyAlignment="1" applyBorder="1" applyFont="1">
      <alignment horizontal="center" readingOrder="0" vertical="center"/>
    </xf>
    <xf borderId="12" fillId="14" fontId="14" numFmtId="20" xfId="0" applyAlignment="1" applyBorder="1" applyFont="1" applyNumberFormat="1">
      <alignment horizontal="center" vertical="center"/>
    </xf>
    <xf borderId="38" fillId="5" fontId="14" numFmtId="0" xfId="0" applyAlignment="1" applyBorder="1" applyFont="1">
      <alignment horizontal="center" readingOrder="0" vertical="center"/>
    </xf>
    <xf borderId="3" fillId="5" fontId="16" numFmtId="0" xfId="0" applyAlignment="1" applyBorder="1" applyFont="1">
      <alignment horizontal="center" readingOrder="0" vertical="center"/>
    </xf>
    <xf borderId="12" fillId="5" fontId="10" numFmtId="0" xfId="0" applyAlignment="1" applyBorder="1" applyFont="1">
      <alignment horizontal="center" vertical="center"/>
    </xf>
    <xf borderId="0" fillId="5" fontId="2" numFmtId="0" xfId="0" applyAlignment="1" applyFont="1">
      <alignment horizontal="center" readingOrder="0" vertical="center"/>
    </xf>
    <xf borderId="16" fillId="5" fontId="2" numFmtId="49" xfId="0" applyAlignment="1" applyBorder="1" applyFont="1" applyNumberFormat="1">
      <alignment horizontal="center" readingOrder="0" vertical="center"/>
    </xf>
    <xf borderId="12" fillId="5" fontId="2" numFmtId="49" xfId="0" applyAlignment="1" applyBorder="1" applyFont="1" applyNumberFormat="1">
      <alignment horizontal="center" readingOrder="0" vertical="center"/>
    </xf>
    <xf quotePrefix="1" borderId="21" fillId="14" fontId="2" numFmtId="49" xfId="0" applyAlignment="1" applyBorder="1" applyFont="1" applyNumberFormat="1">
      <alignment horizontal="center" readingOrder="0" vertical="center"/>
    </xf>
    <xf borderId="38" fillId="5" fontId="14" numFmtId="49" xfId="0" applyAlignment="1" applyBorder="1" applyFont="1" applyNumberFormat="1">
      <alignment horizontal="center" readingOrder="0" vertical="center"/>
    </xf>
    <xf borderId="20" fillId="5" fontId="10" numFmtId="0" xfId="0" applyAlignment="1" applyBorder="1" applyFont="1">
      <alignment horizontal="center" vertical="center"/>
    </xf>
    <xf borderId="11" fillId="5" fontId="11" numFmtId="166" xfId="0" applyAlignment="1" applyBorder="1" applyFont="1" applyNumberFormat="1">
      <alignment horizontal="center" readingOrder="0" vertical="center"/>
    </xf>
    <xf borderId="15" fillId="5" fontId="8" numFmtId="0" xfId="0" applyAlignment="1" applyBorder="1" applyFont="1">
      <alignment horizontal="center" vertical="center"/>
    </xf>
    <xf borderId="12" fillId="5" fontId="14" numFmtId="0" xfId="0" applyAlignment="1" applyBorder="1" applyFont="1">
      <alignment horizontal="center" vertical="center"/>
    </xf>
    <xf borderId="21" fillId="14" fontId="2" numFmtId="49" xfId="0" applyAlignment="1" applyBorder="1" applyFont="1" applyNumberFormat="1">
      <alignment horizontal="center" readingOrder="0" vertical="center"/>
    </xf>
    <xf borderId="20" fillId="5" fontId="14" numFmtId="0" xfId="0" applyAlignment="1" applyBorder="1" applyFont="1">
      <alignment horizontal="center" readingOrder="0" vertical="center"/>
    </xf>
    <xf borderId="1" fillId="5" fontId="11" numFmtId="166" xfId="0" applyAlignment="1" applyBorder="1" applyFont="1" applyNumberFormat="1">
      <alignment horizontal="center" readingOrder="0" vertical="center"/>
    </xf>
    <xf borderId="19" fillId="5" fontId="2" numFmtId="0" xfId="0" applyBorder="1" applyFont="1"/>
    <xf borderId="0" fillId="5" fontId="19" numFmtId="0" xfId="0" applyAlignment="1" applyFont="1">
      <alignment horizontal="center" readingOrder="0" shrinkToFit="0" vertical="top" wrapText="1"/>
    </xf>
    <xf borderId="39" fillId="10" fontId="19" numFmtId="0" xfId="0" applyAlignment="1" applyBorder="1" applyFont="1">
      <alignment horizontal="center" shrinkToFit="0" wrapText="1"/>
    </xf>
    <xf borderId="40" fillId="10" fontId="19" numFmtId="0" xfId="0" applyAlignment="1" applyBorder="1" applyFont="1">
      <alignment horizontal="center" shrinkToFit="0" wrapText="1"/>
    </xf>
    <xf borderId="40" fillId="10" fontId="14" numFmtId="0" xfId="0" applyAlignment="1" applyBorder="1" applyFont="1">
      <alignment horizontal="center" shrinkToFit="0" wrapText="1"/>
    </xf>
    <xf borderId="41" fillId="10" fontId="14" numFmtId="0" xfId="0" applyAlignment="1" applyBorder="1" applyFont="1">
      <alignment horizontal="center" shrinkToFit="0" wrapText="1"/>
    </xf>
    <xf borderId="0" fillId="0" fontId="1" numFmtId="49" xfId="0" applyFont="1" applyNumberFormat="1"/>
    <xf borderId="16" fillId="0" fontId="6" numFmtId="0" xfId="0" applyBorder="1" applyFont="1"/>
    <xf borderId="42" fillId="0" fontId="6" numFmtId="0" xfId="0" applyBorder="1" applyFont="1"/>
    <xf borderId="43" fillId="13" fontId="19" numFmtId="0" xfId="0" applyAlignment="1" applyBorder="1" applyFont="1">
      <alignment horizontal="center" readingOrder="0" shrinkToFit="0" wrapText="1"/>
    </xf>
    <xf borderId="22" fillId="13" fontId="19" numFmtId="166" xfId="0" applyAlignment="1" applyBorder="1" applyFont="1" applyNumberFormat="1">
      <alignment horizontal="center" readingOrder="0" shrinkToFit="0" wrapText="1"/>
    </xf>
    <xf borderId="22" fillId="13" fontId="2" numFmtId="0" xfId="0" applyAlignment="1" applyBorder="1" applyFont="1">
      <alignment horizontal="center" readingOrder="0"/>
    </xf>
    <xf borderId="44" fillId="13" fontId="19" numFmtId="0" xfId="0" applyAlignment="1" applyBorder="1" applyFont="1">
      <alignment horizontal="center" readingOrder="0" shrinkToFit="0" wrapText="1"/>
    </xf>
    <xf borderId="45" fillId="10" fontId="14" numFmtId="0" xfId="0" applyAlignment="1" applyBorder="1" applyFont="1">
      <alignment horizontal="center" shrinkToFit="0" wrapText="1"/>
    </xf>
    <xf borderId="46" fillId="10" fontId="19" numFmtId="0" xfId="0" applyAlignment="1" applyBorder="1" applyFont="1">
      <alignment horizontal="center" shrinkToFit="0" wrapText="1"/>
    </xf>
    <xf borderId="43" fillId="15" fontId="19" numFmtId="0" xfId="0" applyAlignment="1" applyBorder="1" applyFont="1">
      <alignment horizontal="center" readingOrder="0" shrinkToFit="0" wrapText="1"/>
    </xf>
    <xf borderId="44" fillId="20" fontId="2" numFmtId="0" xfId="0" applyAlignment="1" applyBorder="1" applyFill="1" applyFont="1">
      <alignment horizontal="center" readingOrder="0"/>
    </xf>
    <xf borderId="47" fillId="10" fontId="14" numFmtId="0" xfId="0" applyAlignment="1" applyBorder="1" applyFont="1">
      <alignment horizontal="center" shrinkToFit="0" wrapText="1"/>
    </xf>
    <xf borderId="28" fillId="10" fontId="14" numFmtId="169" xfId="0" applyAlignment="1" applyBorder="1" applyFont="1" applyNumberFormat="1">
      <alignment horizontal="center" shrinkToFit="0" wrapText="1"/>
    </xf>
    <xf borderId="46" fillId="10" fontId="19" numFmtId="169" xfId="0" applyAlignment="1" applyBorder="1" applyFont="1" applyNumberFormat="1">
      <alignment horizontal="center" shrinkToFit="0" wrapText="1"/>
    </xf>
    <xf borderId="48" fillId="0" fontId="6" numFmtId="0" xfId="0" applyBorder="1" applyFont="1"/>
    <xf borderId="49" fillId="20" fontId="2" numFmtId="0" xfId="0" applyAlignment="1" applyBorder="1" applyFont="1">
      <alignment horizontal="center" readingOrder="0"/>
    </xf>
    <xf borderId="22" fillId="13" fontId="2" numFmtId="10" xfId="0" applyAlignment="1" applyBorder="1" applyFont="1" applyNumberFormat="1">
      <alignment horizontal="center" readingOrder="0"/>
    </xf>
    <xf borderId="44" fillId="13" fontId="2" numFmtId="0" xfId="0" applyAlignment="1" applyBorder="1" applyFont="1">
      <alignment horizontal="center" readingOrder="0"/>
    </xf>
    <xf borderId="18" fillId="17" fontId="2" numFmtId="169" xfId="0" applyBorder="1" applyFont="1" applyNumberFormat="1"/>
    <xf borderId="28" fillId="10" fontId="19" numFmtId="169" xfId="0" applyAlignment="1" applyBorder="1" applyFont="1" applyNumberFormat="1">
      <alignment horizontal="center" shrinkToFit="0" wrapText="1"/>
    </xf>
    <xf borderId="24" fillId="13" fontId="2" numFmtId="10" xfId="0" applyAlignment="1" applyBorder="1" applyFont="1" applyNumberFormat="1">
      <alignment horizontal="center" readingOrder="0"/>
    </xf>
    <xf borderId="37" fillId="13" fontId="2" numFmtId="10" xfId="0" applyAlignment="1" applyBorder="1" applyFont="1" applyNumberFormat="1">
      <alignment horizontal="center" readingOrder="0"/>
    </xf>
    <xf borderId="19" fillId="21" fontId="26" numFmtId="0" xfId="0" applyAlignment="1" applyBorder="1" applyFill="1" applyFont="1">
      <alignment readingOrder="0" shrinkToFit="0" vertical="bottom" wrapText="1"/>
    </xf>
    <xf borderId="0" fillId="5" fontId="26" numFmtId="0" xfId="0" applyAlignment="1" applyFont="1">
      <alignment shrinkToFit="0" vertical="bottom" wrapText="1"/>
    </xf>
    <xf borderId="0" fillId="0" fontId="1" numFmtId="0" xfId="0" applyFon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vertical="bottom"/>
    </xf>
    <xf borderId="0" fillId="22" fontId="2" numFmtId="0" xfId="0" applyAlignment="1" applyFill="1" applyFont="1">
      <alignment vertical="bottom"/>
    </xf>
    <xf borderId="0" fillId="22" fontId="2" numFmtId="0" xfId="0" applyAlignment="1" applyFont="1">
      <alignment horizontal="right" vertical="bottom"/>
    </xf>
    <xf borderId="0" fillId="0" fontId="2" numFmtId="166" xfId="0" applyAlignment="1" applyFont="1" applyNumberFormat="1">
      <alignment vertical="bottom"/>
    </xf>
    <xf borderId="0" fillId="16" fontId="2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657225</xdr:colOff>
      <xdr:row>16</xdr:row>
      <xdr:rowOff>228600</xdr:rowOff>
    </xdr:from>
    <xdr:ext cx="1514475" cy="1009650"/>
    <xdr:sp>
      <xdr:nvSpPr>
        <xdr:cNvPr id="3" name="Shape 3"/>
        <xdr:cNvSpPr/>
      </xdr:nvSpPr>
      <xdr:spPr>
        <a:xfrm>
          <a:off x="3735850" y="1355250"/>
          <a:ext cx="1497900" cy="980700"/>
        </a:xfrm>
        <a:prstGeom prst="rect">
          <a:avLst/>
        </a:prstGeom>
        <a:solidFill>
          <a:srgbClr val="FF9900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Vlož Restii</a:t>
          </a:r>
          <a:endParaRPr b="1" sz="1600"/>
        </a:p>
      </xdr:txBody>
    </xdr:sp>
    <xdr:clientData fLocksWithSheet="0"/>
  </xdr:oneCellAnchor>
  <xdr:oneCellAnchor>
    <xdr:from>
      <xdr:col>1</xdr:col>
      <xdr:colOff>0</xdr:colOff>
      <xdr:row>20</xdr:row>
      <xdr:rowOff>276225</xdr:rowOff>
    </xdr:from>
    <xdr:ext cx="2447925" cy="561975"/>
    <xdr:sp>
      <xdr:nvSpPr>
        <xdr:cNvPr id="4" name="Shape 4"/>
        <xdr:cNvSpPr/>
      </xdr:nvSpPr>
      <xdr:spPr>
        <a:xfrm>
          <a:off x="3239525" y="1892150"/>
          <a:ext cx="2427300" cy="544800"/>
        </a:xfrm>
        <a:prstGeom prst="rect">
          <a:avLst/>
        </a:prstGeom>
        <a:solidFill>
          <a:srgbClr val="FF9900"/>
        </a:solidFill>
        <a:ln cap="flat" cmpd="sng" w="762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Nahraj dnešní směny</a:t>
          </a:r>
          <a:endParaRPr b="1" sz="1300"/>
        </a:p>
      </xdr:txBody>
    </xdr:sp>
    <xdr:clientData fLocksWithSheet="0"/>
  </xdr:oneCellAnchor>
  <xdr:oneCellAnchor>
    <xdr:from>
      <xdr:col>7</xdr:col>
      <xdr:colOff>342900</xdr:colOff>
      <xdr:row>20</xdr:row>
      <xdr:rowOff>266700</xdr:rowOff>
    </xdr:from>
    <xdr:ext cx="1571625" cy="581025"/>
    <xdr:sp>
      <xdr:nvSpPr>
        <xdr:cNvPr id="5" name="Shape 5"/>
        <xdr:cNvSpPr/>
      </xdr:nvSpPr>
      <xdr:spPr>
        <a:xfrm>
          <a:off x="2764000" y="891625"/>
          <a:ext cx="1555500" cy="564600"/>
        </a:xfrm>
        <a:prstGeom prst="rect">
          <a:avLst/>
        </a:prstGeom>
        <a:solidFill>
          <a:srgbClr val="D5A6BD"/>
        </a:solidFill>
        <a:ln cap="flat" cmpd="sng" w="3810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Vlož směny na celý týden</a:t>
          </a:r>
          <a:endParaRPr b="1"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0</xdr:row>
      <xdr:rowOff>0</xdr:rowOff>
    </xdr:from>
    <xdr:ext cx="981075" cy="666750"/>
    <xdr:sp>
      <xdr:nvSpPr>
        <xdr:cNvPr id="6" name="Shape 6"/>
        <xdr:cNvSpPr/>
      </xdr:nvSpPr>
      <xdr:spPr>
        <a:xfrm>
          <a:off x="3140475" y="1505825"/>
          <a:ext cx="1089900" cy="802500"/>
        </a:xfrm>
        <a:prstGeom prst="rect">
          <a:avLst/>
        </a:prstGeom>
        <a:solidFill>
          <a:srgbClr val="00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/>
            <a:t>Vyber datum</a:t>
          </a:r>
          <a:endParaRPr b="1"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2400"/>
            <a:t>&lt;&lt;  &gt;&gt;</a:t>
          </a:r>
          <a:endParaRPr sz="2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b">
        <v>1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</row>
    <row r="2">
      <c r="A2" s="2">
        <v>45499.0</v>
      </c>
      <c r="B2" s="1" t="s">
        <v>39</v>
      </c>
      <c r="C2" s="1" t="s">
        <v>40</v>
      </c>
      <c r="D2" s="3" t="s">
        <v>41</v>
      </c>
      <c r="E2" s="3" t="s">
        <v>42</v>
      </c>
      <c r="G2" s="3" t="s">
        <v>43</v>
      </c>
    </row>
    <row r="3">
      <c r="A3" s="2">
        <v>45499.0</v>
      </c>
      <c r="B3" s="1" t="s">
        <v>39</v>
      </c>
      <c r="C3" s="1" t="s">
        <v>44</v>
      </c>
      <c r="D3" s="3" t="s">
        <v>45</v>
      </c>
      <c r="E3" s="3" t="s">
        <v>46</v>
      </c>
      <c r="G3" s="3" t="s">
        <v>47</v>
      </c>
    </row>
    <row r="4">
      <c r="A4" s="2">
        <v>45499.0</v>
      </c>
      <c r="B4" s="1" t="s">
        <v>39</v>
      </c>
      <c r="C4" s="1" t="s">
        <v>48</v>
      </c>
      <c r="D4" s="3" t="s">
        <v>41</v>
      </c>
      <c r="E4" s="3" t="s">
        <v>49</v>
      </c>
      <c r="G4" s="3" t="s">
        <v>50</v>
      </c>
    </row>
    <row r="5">
      <c r="A5" s="2">
        <v>45499.0</v>
      </c>
      <c r="B5" s="1" t="s">
        <v>39</v>
      </c>
      <c r="C5" s="1" t="s">
        <v>51</v>
      </c>
      <c r="D5" s="3" t="s">
        <v>41</v>
      </c>
      <c r="E5" s="3" t="s">
        <v>49</v>
      </c>
      <c r="G5" s="3" t="s">
        <v>50</v>
      </c>
    </row>
    <row r="6">
      <c r="A6" s="2">
        <v>45499.0</v>
      </c>
      <c r="B6" s="1" t="s">
        <v>39</v>
      </c>
      <c r="C6" s="1" t="s">
        <v>52</v>
      </c>
      <c r="D6" s="3" t="s">
        <v>41</v>
      </c>
      <c r="E6" s="3" t="s">
        <v>45</v>
      </c>
      <c r="G6" s="3" t="s">
        <v>53</v>
      </c>
    </row>
    <row r="7">
      <c r="A7" s="2">
        <v>45499.0</v>
      </c>
      <c r="B7" s="1" t="s">
        <v>39</v>
      </c>
      <c r="H7" s="1" t="s">
        <v>54</v>
      </c>
      <c r="I7" s="3" t="s">
        <v>45</v>
      </c>
      <c r="J7" s="3" t="s">
        <v>46</v>
      </c>
      <c r="L7" s="3" t="s">
        <v>47</v>
      </c>
      <c r="M7" s="4">
        <v>10.0</v>
      </c>
      <c r="N7" s="1" t="b">
        <v>1</v>
      </c>
      <c r="O7" s="4">
        <v>400.0</v>
      </c>
    </row>
    <row r="8">
      <c r="A8" s="2">
        <v>45499.0</v>
      </c>
      <c r="B8" s="1" t="s">
        <v>39</v>
      </c>
      <c r="H8" s="1" t="s">
        <v>55</v>
      </c>
      <c r="I8" s="3" t="s">
        <v>56</v>
      </c>
      <c r="J8" s="3" t="s">
        <v>57</v>
      </c>
      <c r="L8" s="3" t="s">
        <v>58</v>
      </c>
      <c r="M8" s="4">
        <v>1.0</v>
      </c>
    </row>
    <row r="9">
      <c r="A9" s="2">
        <v>45499.0</v>
      </c>
      <c r="B9" s="1" t="s">
        <v>39</v>
      </c>
      <c r="S9" s="4">
        <v>10.0</v>
      </c>
      <c r="T9" s="4">
        <v>20.0</v>
      </c>
      <c r="U9" s="4">
        <v>30.0</v>
      </c>
      <c r="V9" s="4">
        <v>4.0</v>
      </c>
      <c r="W9" s="4">
        <v>5.0</v>
      </c>
      <c r="X9" s="4">
        <v>6.0</v>
      </c>
      <c r="Y9" s="4">
        <v>7.0</v>
      </c>
      <c r="Z9" s="4">
        <v>8.0</v>
      </c>
      <c r="AA9" s="4">
        <v>9.0</v>
      </c>
      <c r="AB9" s="4">
        <v>50000.0</v>
      </c>
      <c r="AC9" s="4">
        <v>-37157.0</v>
      </c>
      <c r="AD9" s="4">
        <v>0.4927615702709678</v>
      </c>
      <c r="AE9" s="4">
        <v>11.0</v>
      </c>
      <c r="AF9" s="4">
        <v>111.0</v>
      </c>
      <c r="AG9" s="4">
        <v>1111.0</v>
      </c>
      <c r="AH9" s="4">
        <v>11111.0</v>
      </c>
      <c r="AI9" s="4">
        <v>400.0</v>
      </c>
      <c r="AL9" s="1">
        <v>5.0</v>
      </c>
      <c r="AM9" s="1" t="s">
        <v>59</v>
      </c>
      <c r="AN9" s="4">
        <v>1.0</v>
      </c>
    </row>
    <row r="10">
      <c r="A10" s="2">
        <v>45499.0</v>
      </c>
      <c r="B10" s="1" t="s">
        <v>39</v>
      </c>
      <c r="AC10" s="4">
        <v>0.0</v>
      </c>
      <c r="AD10" s="1" t="s">
        <v>60</v>
      </c>
      <c r="AI10" s="4">
        <v>0.0</v>
      </c>
      <c r="AN10" s="4">
        <v>1.0</v>
      </c>
    </row>
    <row r="11">
      <c r="A11" s="2">
        <v>45496.0</v>
      </c>
      <c r="B11" s="1" t="s">
        <v>61</v>
      </c>
      <c r="C11" s="1" t="s">
        <v>54</v>
      </c>
      <c r="D11" s="3" t="s">
        <v>41</v>
      </c>
      <c r="E11" s="3" t="s">
        <v>45</v>
      </c>
      <c r="G11" s="3" t="s">
        <v>53</v>
      </c>
      <c r="AJ11" s="1">
        <v>1.0</v>
      </c>
      <c r="AK11" s="1">
        <v>5.0</v>
      </c>
      <c r="AM11" s="1" t="s">
        <v>59</v>
      </c>
    </row>
    <row r="12">
      <c r="A12" s="2">
        <v>45496.0</v>
      </c>
      <c r="B12" s="1" t="s">
        <v>61</v>
      </c>
      <c r="C12" s="1" t="s">
        <v>40</v>
      </c>
      <c r="D12" s="3" t="s">
        <v>41</v>
      </c>
      <c r="E12" s="3" t="s">
        <v>62</v>
      </c>
      <c r="G12" s="3" t="s">
        <v>41</v>
      </c>
      <c r="AJ12" s="1">
        <v>1.0</v>
      </c>
      <c r="AK12" s="1">
        <v>2.0</v>
      </c>
    </row>
    <row r="13">
      <c r="A13" s="2">
        <v>45496.0</v>
      </c>
      <c r="B13" s="1" t="s">
        <v>61</v>
      </c>
      <c r="C13" s="1" t="s">
        <v>44</v>
      </c>
      <c r="D13" s="3" t="s">
        <v>45</v>
      </c>
      <c r="E13" s="3" t="s">
        <v>46</v>
      </c>
      <c r="G13" s="3" t="s">
        <v>47</v>
      </c>
      <c r="AJ13" s="1">
        <v>1.0</v>
      </c>
      <c r="AK13" s="1">
        <v>1.0</v>
      </c>
      <c r="AM13" s="1" t="s">
        <v>59</v>
      </c>
      <c r="AN13" s="1">
        <v>2.0</v>
      </c>
    </row>
    <row r="14">
      <c r="A14" s="2">
        <v>45496.0</v>
      </c>
      <c r="B14" s="1" t="s">
        <v>61</v>
      </c>
      <c r="H14" s="1" t="s">
        <v>55</v>
      </c>
      <c r="I14" s="3" t="s">
        <v>63</v>
      </c>
      <c r="J14" s="3" t="s">
        <v>45</v>
      </c>
      <c r="L14" s="3" t="s">
        <v>64</v>
      </c>
    </row>
    <row r="15">
      <c r="A15" s="2">
        <v>45496.0</v>
      </c>
      <c r="B15" s="1" t="s">
        <v>61</v>
      </c>
      <c r="H15" s="1" t="s">
        <v>65</v>
      </c>
      <c r="I15" s="3" t="s">
        <v>45</v>
      </c>
      <c r="J15" s="3" t="s">
        <v>46</v>
      </c>
      <c r="L15" s="3" t="s">
        <v>47</v>
      </c>
      <c r="M15" s="1" t="s">
        <v>66</v>
      </c>
    </row>
    <row r="16">
      <c r="A16" s="2">
        <v>45496.0</v>
      </c>
      <c r="B16" s="1" t="s">
        <v>61</v>
      </c>
      <c r="S16" s="4">
        <v>9060.0</v>
      </c>
      <c r="T16" s="4">
        <v>3651.0</v>
      </c>
      <c r="U16" s="4">
        <v>14729.0</v>
      </c>
      <c r="V16" s="4">
        <v>10695.0</v>
      </c>
      <c r="W16" s="4">
        <v>374.0</v>
      </c>
      <c r="X16" s="4">
        <v>368.0</v>
      </c>
      <c r="AB16" s="4">
        <v>41872.0</v>
      </c>
      <c r="AC16" s="4">
        <v>-2995.0</v>
      </c>
      <c r="AD16" s="4">
        <v>0.2383436710343043</v>
      </c>
      <c r="AI16" s="4">
        <v>0.0</v>
      </c>
      <c r="AN16" s="4">
        <v>0.0</v>
      </c>
    </row>
    <row r="17">
      <c r="A17" s="2">
        <v>45501.0</v>
      </c>
      <c r="B17" s="1" t="s">
        <v>67</v>
      </c>
      <c r="C17" s="1" t="s">
        <v>40</v>
      </c>
      <c r="D17" s="3" t="s">
        <v>45</v>
      </c>
      <c r="E17" s="3" t="s">
        <v>68</v>
      </c>
      <c r="G17" s="3" t="s">
        <v>53</v>
      </c>
    </row>
    <row r="18">
      <c r="A18" s="2">
        <v>45501.0</v>
      </c>
      <c r="B18" s="1" t="s">
        <v>67</v>
      </c>
      <c r="C18" s="1" t="s">
        <v>44</v>
      </c>
      <c r="D18" s="3" t="s">
        <v>45</v>
      </c>
      <c r="E18" s="3" t="s">
        <v>68</v>
      </c>
      <c r="G18" s="3" t="s">
        <v>53</v>
      </c>
    </row>
    <row r="19">
      <c r="A19" s="2">
        <v>45501.0</v>
      </c>
      <c r="B19" s="1" t="s">
        <v>67</v>
      </c>
      <c r="H19" s="1" t="s">
        <v>54</v>
      </c>
      <c r="I19" s="3" t="s">
        <v>63</v>
      </c>
      <c r="J19" s="3" t="s">
        <v>45</v>
      </c>
      <c r="L19" s="3" t="s">
        <v>64</v>
      </c>
    </row>
    <row r="20">
      <c r="A20" s="2">
        <v>45501.0</v>
      </c>
      <c r="B20" s="1" t="s">
        <v>67</v>
      </c>
      <c r="H20" s="1" t="s">
        <v>65</v>
      </c>
      <c r="I20" s="3" t="s">
        <v>45</v>
      </c>
      <c r="J20" s="3" t="s">
        <v>68</v>
      </c>
      <c r="L20" s="3" t="s">
        <v>53</v>
      </c>
    </row>
    <row r="21">
      <c r="A21" s="2">
        <v>45501.0</v>
      </c>
      <c r="B21" s="1" t="s">
        <v>67</v>
      </c>
      <c r="AC21" s="4">
        <v>0.0</v>
      </c>
      <c r="AD21" s="1" t="s">
        <v>60</v>
      </c>
      <c r="AI21" s="4">
        <v>0.0</v>
      </c>
    </row>
    <row r="22">
      <c r="A22" s="2">
        <v>45502.0</v>
      </c>
      <c r="B22" s="1" t="s">
        <v>69</v>
      </c>
      <c r="C22" s="1" t="s">
        <v>52</v>
      </c>
      <c r="D22" s="3" t="s">
        <v>45</v>
      </c>
      <c r="E22" s="3" t="s">
        <v>68</v>
      </c>
      <c r="G22" s="3" t="s">
        <v>53</v>
      </c>
    </row>
    <row r="23">
      <c r="A23" s="2">
        <v>45502.0</v>
      </c>
      <c r="B23" s="1" t="s">
        <v>69</v>
      </c>
      <c r="C23" s="1" t="s">
        <v>55</v>
      </c>
      <c r="D23" s="3" t="s">
        <v>45</v>
      </c>
      <c r="E23" s="3" t="s">
        <v>68</v>
      </c>
      <c r="G23" s="3" t="s">
        <v>53</v>
      </c>
    </row>
    <row r="24">
      <c r="A24" s="2">
        <v>45502.0</v>
      </c>
      <c r="B24" s="1" t="s">
        <v>69</v>
      </c>
      <c r="H24" s="1" t="s">
        <v>54</v>
      </c>
      <c r="I24" s="3" t="s">
        <v>63</v>
      </c>
      <c r="J24" s="3" t="s">
        <v>70</v>
      </c>
      <c r="L24" s="3" t="s">
        <v>53</v>
      </c>
    </row>
    <row r="25">
      <c r="A25" s="2">
        <v>45502.0</v>
      </c>
      <c r="B25" s="1" t="s">
        <v>69</v>
      </c>
      <c r="H25" s="1" t="s">
        <v>71</v>
      </c>
      <c r="I25" s="3" t="s">
        <v>70</v>
      </c>
      <c r="J25" s="3" t="s">
        <v>68</v>
      </c>
      <c r="L25" s="3" t="s">
        <v>64</v>
      </c>
    </row>
    <row r="26">
      <c r="A26" s="2">
        <v>45502.0</v>
      </c>
      <c r="B26" s="1" t="s">
        <v>69</v>
      </c>
      <c r="AC26" s="4">
        <v>0.0</v>
      </c>
      <c r="AD26" s="1" t="s">
        <v>60</v>
      </c>
      <c r="AI26" s="4">
        <v>0.0</v>
      </c>
    </row>
    <row r="27">
      <c r="A27" s="2">
        <v>45503.0</v>
      </c>
      <c r="B27" s="1" t="s">
        <v>61</v>
      </c>
      <c r="C27" s="1" t="s">
        <v>54</v>
      </c>
      <c r="D27" s="3" t="s">
        <v>63</v>
      </c>
      <c r="E27" s="3" t="s">
        <v>45</v>
      </c>
      <c r="G27" s="3" t="s">
        <v>64</v>
      </c>
    </row>
    <row r="28">
      <c r="A28" s="2">
        <v>45503.0</v>
      </c>
      <c r="B28" s="1" t="s">
        <v>61</v>
      </c>
      <c r="C28" s="1" t="s">
        <v>72</v>
      </c>
      <c r="D28" s="3" t="s">
        <v>41</v>
      </c>
      <c r="E28" s="3" t="s">
        <v>45</v>
      </c>
      <c r="G28" s="3" t="s">
        <v>53</v>
      </c>
    </row>
    <row r="29">
      <c r="A29" s="2">
        <v>45503.0</v>
      </c>
      <c r="B29" s="1" t="s">
        <v>61</v>
      </c>
      <c r="C29" s="1" t="s">
        <v>40</v>
      </c>
      <c r="D29" s="3" t="s">
        <v>45</v>
      </c>
      <c r="E29" s="3" t="s">
        <v>68</v>
      </c>
      <c r="G29" s="3" t="s">
        <v>53</v>
      </c>
    </row>
    <row r="30">
      <c r="A30" s="2">
        <v>45503.0</v>
      </c>
      <c r="B30" s="1" t="s">
        <v>61</v>
      </c>
      <c r="H30" s="1" t="s">
        <v>65</v>
      </c>
      <c r="I30" s="3" t="s">
        <v>45</v>
      </c>
      <c r="J30" s="3" t="s">
        <v>68</v>
      </c>
      <c r="L30" s="3" t="s">
        <v>53</v>
      </c>
    </row>
    <row r="31">
      <c r="A31" s="2">
        <v>45503.0</v>
      </c>
      <c r="B31" s="1" t="s">
        <v>61</v>
      </c>
      <c r="AC31" s="4">
        <v>0.0</v>
      </c>
      <c r="AD31" s="1" t="s">
        <v>60</v>
      </c>
      <c r="AI31" s="4">
        <v>0.0</v>
      </c>
    </row>
    <row r="32">
      <c r="A32" s="2">
        <v>45504.0</v>
      </c>
      <c r="B32" s="1" t="s">
        <v>73</v>
      </c>
      <c r="C32" s="1" t="s">
        <v>52</v>
      </c>
      <c r="D32" s="3" t="s">
        <v>45</v>
      </c>
      <c r="E32" s="3" t="s">
        <v>68</v>
      </c>
      <c r="G32" s="3" t="s">
        <v>53</v>
      </c>
    </row>
    <row r="33">
      <c r="A33" s="2">
        <v>45504.0</v>
      </c>
      <c r="B33" s="1" t="s">
        <v>73</v>
      </c>
      <c r="H33" s="1" t="s">
        <v>65</v>
      </c>
      <c r="I33" s="3" t="s">
        <v>63</v>
      </c>
      <c r="J33" s="3" t="s">
        <v>70</v>
      </c>
      <c r="L33" s="3" t="s">
        <v>53</v>
      </c>
    </row>
    <row r="34">
      <c r="A34" s="2">
        <v>45504.0</v>
      </c>
      <c r="B34" s="1" t="s">
        <v>73</v>
      </c>
      <c r="H34" s="1" t="s">
        <v>71</v>
      </c>
      <c r="L34" s="3" t="s">
        <v>68</v>
      </c>
      <c r="M34" s="4">
        <v>4.0</v>
      </c>
    </row>
    <row r="35">
      <c r="A35" s="2">
        <v>45504.0</v>
      </c>
      <c r="B35" s="1" t="s">
        <v>73</v>
      </c>
      <c r="P35" s="4">
        <v>3.0</v>
      </c>
      <c r="S35" s="4">
        <v>9414.0</v>
      </c>
      <c r="T35" s="4">
        <v>3907.0</v>
      </c>
      <c r="U35" s="4">
        <v>9081.0</v>
      </c>
      <c r="V35" s="4">
        <v>4024.0</v>
      </c>
      <c r="W35" s="4">
        <v>1310.0</v>
      </c>
      <c r="X35" s="4">
        <v>2052.0</v>
      </c>
      <c r="AB35" s="4">
        <v>38044.0</v>
      </c>
      <c r="AC35" s="4">
        <v>-8256.0</v>
      </c>
      <c r="AD35" s="4">
        <v>0.2549108220362839</v>
      </c>
      <c r="AI35" s="4">
        <v>0.0</v>
      </c>
      <c r="AN35" s="4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</row>
    <row r="2">
      <c r="A2" s="5">
        <v>45527.0</v>
      </c>
      <c r="B2" s="1" t="s">
        <v>88</v>
      </c>
      <c r="C2" s="1" t="s">
        <v>89</v>
      </c>
      <c r="D2" s="4">
        <v>377.0</v>
      </c>
      <c r="E2" s="4">
        <v>0.0</v>
      </c>
      <c r="F2" s="1" t="s">
        <v>90</v>
      </c>
      <c r="G2" s="1" t="s">
        <v>91</v>
      </c>
      <c r="H2" s="1" t="s">
        <v>92</v>
      </c>
      <c r="I2" s="1" t="s">
        <v>93</v>
      </c>
      <c r="J2" s="1" t="s">
        <v>94</v>
      </c>
      <c r="K2" s="1" t="s">
        <v>94</v>
      </c>
      <c r="M2" s="4">
        <v>-4.0</v>
      </c>
      <c r="O2" s="4">
        <v>10.850883333333334</v>
      </c>
    </row>
    <row r="3">
      <c r="A3" s="5">
        <v>45527.0</v>
      </c>
      <c r="B3" s="1" t="s">
        <v>95</v>
      </c>
      <c r="C3" s="1" t="s">
        <v>89</v>
      </c>
      <c r="D3" s="4">
        <v>271.0</v>
      </c>
      <c r="E3" s="4">
        <v>50.0</v>
      </c>
      <c r="G3" s="1" t="s">
        <v>91</v>
      </c>
      <c r="H3" s="1" t="s">
        <v>96</v>
      </c>
      <c r="I3" s="1" t="s">
        <v>97</v>
      </c>
      <c r="J3" s="1" t="s">
        <v>98</v>
      </c>
      <c r="K3" s="1" t="s">
        <v>98</v>
      </c>
      <c r="M3" s="4">
        <v>-2.0</v>
      </c>
      <c r="O3" s="4">
        <v>5.872083333333333</v>
      </c>
    </row>
    <row r="4">
      <c r="A4" s="5">
        <v>45527.0</v>
      </c>
      <c r="B4" s="1" t="s">
        <v>95</v>
      </c>
      <c r="C4" s="1" t="s">
        <v>89</v>
      </c>
      <c r="D4" s="4">
        <v>273.0</v>
      </c>
      <c r="E4" s="4">
        <v>0.0</v>
      </c>
      <c r="G4" s="1" t="s">
        <v>91</v>
      </c>
      <c r="H4" s="1" t="s">
        <v>96</v>
      </c>
      <c r="I4" s="1" t="s">
        <v>99</v>
      </c>
      <c r="J4" s="1" t="s">
        <v>100</v>
      </c>
      <c r="K4" s="1" t="s">
        <v>100</v>
      </c>
      <c r="M4" s="4">
        <v>0.0</v>
      </c>
      <c r="O4" s="4">
        <v>7.679616666666667</v>
      </c>
    </row>
    <row r="5">
      <c r="A5" s="5">
        <v>45527.0</v>
      </c>
      <c r="B5" s="1" t="s">
        <v>95</v>
      </c>
      <c r="C5" s="1" t="s">
        <v>89</v>
      </c>
      <c r="D5" s="4">
        <v>498.0</v>
      </c>
      <c r="E5" s="4">
        <v>0.0</v>
      </c>
      <c r="G5" s="1" t="s">
        <v>91</v>
      </c>
      <c r="H5" s="1" t="s">
        <v>92</v>
      </c>
      <c r="I5" s="1" t="s">
        <v>101</v>
      </c>
      <c r="J5" s="1" t="s">
        <v>102</v>
      </c>
      <c r="K5" s="1" t="s">
        <v>102</v>
      </c>
      <c r="M5" s="4">
        <v>1.0</v>
      </c>
      <c r="O5" s="4">
        <v>9.98715</v>
      </c>
    </row>
    <row r="6">
      <c r="A6" s="5">
        <v>45527.0</v>
      </c>
      <c r="B6" s="1" t="s">
        <v>103</v>
      </c>
      <c r="C6" s="1" t="s">
        <v>89</v>
      </c>
      <c r="D6" s="4">
        <v>329.0</v>
      </c>
      <c r="E6" s="4">
        <v>0.0</v>
      </c>
      <c r="F6" s="1" t="s">
        <v>104</v>
      </c>
      <c r="G6" s="1" t="s">
        <v>91</v>
      </c>
      <c r="H6" s="1" t="s">
        <v>92</v>
      </c>
      <c r="I6" s="1" t="s">
        <v>105</v>
      </c>
      <c r="J6" s="1" t="s">
        <v>106</v>
      </c>
      <c r="K6" s="1" t="s">
        <v>106</v>
      </c>
      <c r="M6" s="4">
        <v>0.0</v>
      </c>
      <c r="O6" s="4">
        <v>15.6058</v>
      </c>
    </row>
    <row r="7">
      <c r="A7" s="5">
        <v>45527.0</v>
      </c>
      <c r="B7" s="1" t="s">
        <v>88</v>
      </c>
      <c r="C7" s="1" t="s">
        <v>107</v>
      </c>
      <c r="D7" s="4">
        <v>289.0</v>
      </c>
      <c r="E7" s="4">
        <v>0.0</v>
      </c>
      <c r="F7" s="1" t="s">
        <v>90</v>
      </c>
      <c r="G7" s="1" t="s">
        <v>91</v>
      </c>
      <c r="H7" s="1" t="s">
        <v>92</v>
      </c>
      <c r="I7" s="1" t="s">
        <v>108</v>
      </c>
      <c r="J7" s="1" t="s">
        <v>109</v>
      </c>
      <c r="K7" s="1" t="s">
        <v>109</v>
      </c>
      <c r="M7" s="4">
        <v>-7.0</v>
      </c>
      <c r="O7" s="4">
        <v>7.258216666666667</v>
      </c>
    </row>
    <row r="8">
      <c r="A8" s="5">
        <v>45527.0</v>
      </c>
      <c r="B8" s="1" t="s">
        <v>110</v>
      </c>
      <c r="C8" s="1" t="s">
        <v>107</v>
      </c>
      <c r="D8" s="4">
        <v>80.0</v>
      </c>
      <c r="E8" s="4">
        <v>0.0</v>
      </c>
      <c r="G8" s="1" t="s">
        <v>111</v>
      </c>
      <c r="H8" s="1" t="s">
        <v>96</v>
      </c>
      <c r="I8" s="1" t="s">
        <v>112</v>
      </c>
      <c r="J8" s="1" t="s">
        <v>113</v>
      </c>
      <c r="K8" s="1" t="s">
        <v>113</v>
      </c>
      <c r="M8" s="4">
        <v>-4.0</v>
      </c>
      <c r="O8" s="4">
        <v>0.44966666666666666</v>
      </c>
    </row>
    <row r="9">
      <c r="A9" s="5">
        <v>45527.0</v>
      </c>
      <c r="B9" s="1" t="s">
        <v>88</v>
      </c>
      <c r="C9" s="1" t="s">
        <v>107</v>
      </c>
      <c r="D9" s="4">
        <v>399.0</v>
      </c>
      <c r="E9" s="4">
        <v>0.0</v>
      </c>
      <c r="F9" s="1" t="s">
        <v>90</v>
      </c>
      <c r="G9" s="1" t="s">
        <v>91</v>
      </c>
      <c r="H9" s="1" t="s">
        <v>92</v>
      </c>
      <c r="I9" s="1" t="s">
        <v>114</v>
      </c>
      <c r="J9" s="1" t="s">
        <v>115</v>
      </c>
      <c r="K9" s="1" t="s">
        <v>115</v>
      </c>
      <c r="M9" s="4">
        <v>0.0</v>
      </c>
      <c r="O9" s="4">
        <v>15.5314</v>
      </c>
    </row>
    <row r="10">
      <c r="A10" s="5">
        <v>45527.0</v>
      </c>
      <c r="B10" s="1" t="s">
        <v>116</v>
      </c>
      <c r="C10" s="1" t="s">
        <v>107</v>
      </c>
      <c r="D10" s="4">
        <v>245.0</v>
      </c>
      <c r="E10" s="4">
        <v>61.0</v>
      </c>
      <c r="G10" s="1" t="s">
        <v>111</v>
      </c>
      <c r="H10" s="1" t="s">
        <v>96</v>
      </c>
      <c r="I10" s="1" t="s">
        <v>117</v>
      </c>
      <c r="J10" s="1" t="s">
        <v>118</v>
      </c>
      <c r="K10" s="1" t="s">
        <v>118</v>
      </c>
      <c r="M10" s="4">
        <v>-6.0</v>
      </c>
      <c r="O10" s="4">
        <v>12.316033333333333</v>
      </c>
    </row>
    <row r="11">
      <c r="A11" s="5">
        <v>45527.0</v>
      </c>
      <c r="B11" s="1" t="s">
        <v>103</v>
      </c>
      <c r="C11" s="1" t="s">
        <v>89</v>
      </c>
      <c r="D11" s="4">
        <v>321.0</v>
      </c>
      <c r="E11" s="4">
        <v>0.0</v>
      </c>
      <c r="F11" s="1" t="s">
        <v>119</v>
      </c>
      <c r="G11" s="1" t="s">
        <v>91</v>
      </c>
      <c r="H11" s="1" t="s">
        <v>92</v>
      </c>
      <c r="I11" s="1" t="s">
        <v>120</v>
      </c>
      <c r="J11" s="1" t="s">
        <v>121</v>
      </c>
      <c r="K11" s="1" t="s">
        <v>121</v>
      </c>
      <c r="M11" s="4">
        <v>-5.0</v>
      </c>
      <c r="O11" s="4">
        <v>9.591416666666667</v>
      </c>
    </row>
    <row r="12">
      <c r="A12" s="5">
        <v>45527.0</v>
      </c>
      <c r="B12" s="1" t="s">
        <v>103</v>
      </c>
      <c r="C12" s="1" t="s">
        <v>89</v>
      </c>
      <c r="D12" s="4">
        <v>723.0</v>
      </c>
      <c r="E12" s="4">
        <v>0.0</v>
      </c>
      <c r="F12" s="1" t="s">
        <v>122</v>
      </c>
      <c r="G12" s="1" t="s">
        <v>91</v>
      </c>
      <c r="H12" s="1" t="s">
        <v>92</v>
      </c>
      <c r="I12" s="1" t="s">
        <v>123</v>
      </c>
      <c r="J12" s="1" t="s">
        <v>124</v>
      </c>
      <c r="K12" s="1" t="s">
        <v>124</v>
      </c>
      <c r="M12" s="4">
        <v>2.0</v>
      </c>
      <c r="O12" s="4">
        <v>22.476066666666668</v>
      </c>
    </row>
    <row r="13">
      <c r="A13" s="5">
        <v>45527.0</v>
      </c>
      <c r="B13" s="1" t="s">
        <v>110</v>
      </c>
      <c r="C13" s="1" t="s">
        <v>89</v>
      </c>
      <c r="D13" s="4">
        <v>49.0</v>
      </c>
      <c r="E13" s="4">
        <v>0.0</v>
      </c>
      <c r="G13" s="1" t="s">
        <v>111</v>
      </c>
      <c r="H13" s="1" t="s">
        <v>96</v>
      </c>
      <c r="I13" s="1" t="s">
        <v>125</v>
      </c>
      <c r="J13" s="1" t="s">
        <v>126</v>
      </c>
      <c r="K13" s="1" t="s">
        <v>126</v>
      </c>
      <c r="M13" s="4">
        <v>-3.0</v>
      </c>
      <c r="O13" s="4">
        <v>1.8472</v>
      </c>
    </row>
    <row r="14">
      <c r="A14" s="5">
        <v>45527.0</v>
      </c>
      <c r="B14" s="1" t="s">
        <v>95</v>
      </c>
      <c r="C14" s="1" t="s">
        <v>89</v>
      </c>
      <c r="D14" s="4">
        <v>264.0</v>
      </c>
      <c r="E14" s="4">
        <v>100.0</v>
      </c>
      <c r="G14" s="1" t="s">
        <v>91</v>
      </c>
      <c r="H14" s="1" t="s">
        <v>92</v>
      </c>
      <c r="I14" s="1" t="s">
        <v>127</v>
      </c>
      <c r="J14" s="1" t="s">
        <v>128</v>
      </c>
      <c r="K14" s="1" t="s">
        <v>128</v>
      </c>
      <c r="M14" s="4">
        <v>9.0</v>
      </c>
      <c r="O14" s="4">
        <v>18.528</v>
      </c>
    </row>
    <row r="15">
      <c r="A15" s="5">
        <v>45527.0</v>
      </c>
      <c r="B15" s="1" t="s">
        <v>103</v>
      </c>
      <c r="C15" s="1" t="s">
        <v>89</v>
      </c>
      <c r="D15" s="4">
        <v>394.0</v>
      </c>
      <c r="E15" s="4">
        <v>0.0</v>
      </c>
      <c r="F15" s="1" t="s">
        <v>119</v>
      </c>
      <c r="G15" s="1" t="s">
        <v>91</v>
      </c>
      <c r="H15" s="1" t="s">
        <v>92</v>
      </c>
      <c r="I15" s="1" t="s">
        <v>129</v>
      </c>
      <c r="J15" s="1" t="s">
        <v>130</v>
      </c>
      <c r="K15" s="1" t="s">
        <v>130</v>
      </c>
      <c r="M15" s="4">
        <v>7.0</v>
      </c>
      <c r="O15" s="4">
        <v>22.043566666666667</v>
      </c>
    </row>
    <row r="16">
      <c r="A16" s="5">
        <v>45527.0</v>
      </c>
      <c r="B16" s="1" t="s">
        <v>103</v>
      </c>
      <c r="C16" s="1" t="s">
        <v>89</v>
      </c>
      <c r="D16" s="4">
        <v>289.0</v>
      </c>
      <c r="E16" s="4">
        <v>0.0</v>
      </c>
      <c r="F16" s="1" t="s">
        <v>131</v>
      </c>
      <c r="G16" s="1" t="s">
        <v>91</v>
      </c>
      <c r="H16" s="1" t="s">
        <v>92</v>
      </c>
      <c r="I16" s="1" t="s">
        <v>132</v>
      </c>
      <c r="J16" s="1" t="s">
        <v>133</v>
      </c>
      <c r="K16" s="1" t="s">
        <v>133</v>
      </c>
      <c r="M16" s="4">
        <v>4.0</v>
      </c>
      <c r="O16" s="4">
        <v>19.969566666666665</v>
      </c>
    </row>
    <row r="17">
      <c r="A17" s="5">
        <v>45527.0</v>
      </c>
      <c r="B17" s="1" t="s">
        <v>95</v>
      </c>
      <c r="C17" s="1" t="s">
        <v>89</v>
      </c>
      <c r="D17" s="4">
        <v>373.0</v>
      </c>
      <c r="E17" s="4">
        <v>150.0</v>
      </c>
      <c r="G17" s="1" t="s">
        <v>91</v>
      </c>
      <c r="H17" s="1" t="s">
        <v>92</v>
      </c>
      <c r="I17" s="1" t="s">
        <v>134</v>
      </c>
      <c r="J17" s="1" t="s">
        <v>135</v>
      </c>
      <c r="K17" s="1" t="s">
        <v>135</v>
      </c>
      <c r="M17" s="4">
        <v>5.0</v>
      </c>
      <c r="O17" s="4">
        <v>14.904816666666667</v>
      </c>
    </row>
    <row r="18">
      <c r="A18" s="5">
        <v>45527.0</v>
      </c>
      <c r="B18" s="1" t="s">
        <v>110</v>
      </c>
      <c r="C18" s="1" t="s">
        <v>89</v>
      </c>
      <c r="D18" s="4">
        <v>309.0</v>
      </c>
      <c r="E18" s="4">
        <v>0.0</v>
      </c>
      <c r="G18" s="1" t="s">
        <v>111</v>
      </c>
      <c r="H18" s="1" t="s">
        <v>96</v>
      </c>
      <c r="I18" s="1" t="s">
        <v>136</v>
      </c>
      <c r="J18" s="1" t="s">
        <v>137</v>
      </c>
      <c r="K18" s="1" t="s">
        <v>137</v>
      </c>
      <c r="M18" s="4">
        <v>28.0</v>
      </c>
      <c r="O18" s="4">
        <v>33.506</v>
      </c>
    </row>
    <row r="19">
      <c r="A19" s="5">
        <v>45527.0</v>
      </c>
      <c r="B19" s="1" t="s">
        <v>95</v>
      </c>
      <c r="C19" s="1" t="s">
        <v>89</v>
      </c>
      <c r="D19" s="4">
        <v>508.0</v>
      </c>
      <c r="E19" s="4">
        <v>150.0</v>
      </c>
      <c r="G19" s="1" t="s">
        <v>91</v>
      </c>
      <c r="H19" s="1" t="s">
        <v>92</v>
      </c>
      <c r="I19" s="1" t="s">
        <v>138</v>
      </c>
      <c r="J19" s="1" t="s">
        <v>139</v>
      </c>
      <c r="K19" s="1" t="s">
        <v>139</v>
      </c>
      <c r="M19" s="4">
        <v>1.0</v>
      </c>
      <c r="O19" s="4">
        <v>12.897766666666667</v>
      </c>
    </row>
    <row r="20">
      <c r="A20" s="5">
        <v>45527.0</v>
      </c>
      <c r="B20" s="1" t="s">
        <v>110</v>
      </c>
      <c r="C20" s="1" t="s">
        <v>89</v>
      </c>
      <c r="D20" s="4">
        <v>249.0</v>
      </c>
      <c r="E20" s="4">
        <v>0.0</v>
      </c>
      <c r="G20" s="1" t="s">
        <v>111</v>
      </c>
      <c r="H20" s="1" t="s">
        <v>96</v>
      </c>
      <c r="I20" s="1" t="s">
        <v>140</v>
      </c>
      <c r="J20" s="1" t="s">
        <v>141</v>
      </c>
      <c r="K20" s="1" t="s">
        <v>141</v>
      </c>
      <c r="M20" s="4">
        <v>27.0</v>
      </c>
      <c r="O20" s="4">
        <v>32.413833333333336</v>
      </c>
    </row>
    <row r="21">
      <c r="A21" s="5">
        <v>45527.0</v>
      </c>
      <c r="B21" s="1" t="s">
        <v>110</v>
      </c>
      <c r="C21" s="1" t="s">
        <v>89</v>
      </c>
      <c r="D21" s="4">
        <v>249.0</v>
      </c>
      <c r="E21" s="4">
        <v>0.0</v>
      </c>
      <c r="G21" s="1" t="s">
        <v>111</v>
      </c>
      <c r="H21" s="1" t="s">
        <v>96</v>
      </c>
      <c r="I21" s="1" t="s">
        <v>142</v>
      </c>
      <c r="J21" s="1" t="s">
        <v>143</v>
      </c>
      <c r="K21" s="1" t="s">
        <v>143</v>
      </c>
      <c r="M21" s="4">
        <v>25.0</v>
      </c>
      <c r="O21" s="4">
        <v>30.041233333333334</v>
      </c>
    </row>
    <row r="22">
      <c r="A22" s="5">
        <v>45527.0</v>
      </c>
      <c r="B22" s="1" t="s">
        <v>110</v>
      </c>
      <c r="C22" s="1" t="s">
        <v>89</v>
      </c>
      <c r="D22" s="4">
        <v>249.0</v>
      </c>
      <c r="E22" s="4">
        <v>0.0</v>
      </c>
      <c r="G22" s="1" t="s">
        <v>111</v>
      </c>
      <c r="H22" s="1" t="s">
        <v>96</v>
      </c>
      <c r="I22" s="1" t="s">
        <v>144</v>
      </c>
      <c r="J22" s="1" t="s">
        <v>145</v>
      </c>
      <c r="K22" s="1" t="s">
        <v>145</v>
      </c>
      <c r="M22" s="4">
        <v>21.0</v>
      </c>
      <c r="O22" s="4">
        <v>26.545466666666666</v>
      </c>
    </row>
    <row r="23">
      <c r="A23" s="5">
        <v>45527.0</v>
      </c>
      <c r="B23" s="1" t="s">
        <v>110</v>
      </c>
      <c r="C23" s="1" t="s">
        <v>89</v>
      </c>
      <c r="D23" s="4">
        <v>498.0</v>
      </c>
      <c r="E23" s="4">
        <v>0.0</v>
      </c>
      <c r="G23" s="1" t="s">
        <v>111</v>
      </c>
      <c r="H23" s="1" t="s">
        <v>96</v>
      </c>
      <c r="I23" s="1" t="s">
        <v>146</v>
      </c>
      <c r="J23" s="1" t="s">
        <v>147</v>
      </c>
      <c r="K23" s="1" t="s">
        <v>147</v>
      </c>
      <c r="M23" s="4">
        <v>17.0</v>
      </c>
      <c r="O23" s="4">
        <v>22.03455</v>
      </c>
    </row>
    <row r="24">
      <c r="A24" s="5">
        <v>45527.0</v>
      </c>
      <c r="B24" s="1" t="s">
        <v>95</v>
      </c>
      <c r="C24" s="1" t="s">
        <v>89</v>
      </c>
      <c r="D24" s="4">
        <v>758.0</v>
      </c>
      <c r="E24" s="4">
        <v>0.0</v>
      </c>
      <c r="G24" s="1" t="s">
        <v>91</v>
      </c>
      <c r="H24" s="1" t="s">
        <v>96</v>
      </c>
      <c r="I24" s="1" t="s">
        <v>148</v>
      </c>
      <c r="J24" s="1" t="s">
        <v>149</v>
      </c>
      <c r="K24" s="1" t="s">
        <v>149</v>
      </c>
      <c r="M24" s="4">
        <v>0.0</v>
      </c>
      <c r="O24" s="4">
        <v>11.569483333333332</v>
      </c>
    </row>
    <row r="25">
      <c r="A25" s="5">
        <v>45527.0</v>
      </c>
      <c r="B25" s="1" t="s">
        <v>95</v>
      </c>
      <c r="C25" s="1" t="s">
        <v>89</v>
      </c>
      <c r="D25" s="4">
        <v>313.0</v>
      </c>
      <c r="E25" s="4">
        <v>100.0</v>
      </c>
      <c r="G25" s="1" t="s">
        <v>91</v>
      </c>
      <c r="H25" s="1" t="s">
        <v>96</v>
      </c>
      <c r="I25" s="1" t="s">
        <v>150</v>
      </c>
      <c r="J25" s="1" t="s">
        <v>151</v>
      </c>
      <c r="K25" s="1" t="s">
        <v>151</v>
      </c>
      <c r="M25" s="4">
        <v>1.0</v>
      </c>
      <c r="O25" s="4">
        <v>9.514033333333334</v>
      </c>
    </row>
    <row r="26">
      <c r="A26" s="5">
        <v>45527.0</v>
      </c>
      <c r="B26" s="1" t="s">
        <v>88</v>
      </c>
      <c r="C26" s="1" t="s">
        <v>107</v>
      </c>
      <c r="D26" s="4">
        <v>378.0</v>
      </c>
      <c r="E26" s="4">
        <v>0.0</v>
      </c>
      <c r="F26" s="1" t="s">
        <v>90</v>
      </c>
      <c r="G26" s="1" t="s">
        <v>91</v>
      </c>
      <c r="H26" s="1" t="s">
        <v>92</v>
      </c>
      <c r="I26" s="1" t="s">
        <v>152</v>
      </c>
      <c r="J26" s="1" t="s">
        <v>153</v>
      </c>
      <c r="K26" s="1" t="s">
        <v>153</v>
      </c>
      <c r="M26" s="4">
        <v>-5.0</v>
      </c>
      <c r="O26" s="4">
        <v>9.34185</v>
      </c>
    </row>
    <row r="27">
      <c r="A27" s="5">
        <v>45527.0</v>
      </c>
      <c r="B27" s="1" t="s">
        <v>110</v>
      </c>
      <c r="C27" s="1" t="s">
        <v>89</v>
      </c>
      <c r="D27" s="4">
        <v>239.0</v>
      </c>
      <c r="E27" s="4">
        <v>239.0</v>
      </c>
      <c r="G27" s="1" t="s">
        <v>111</v>
      </c>
      <c r="H27" s="1" t="s">
        <v>96</v>
      </c>
      <c r="I27" s="1" t="s">
        <v>154</v>
      </c>
      <c r="J27" s="1" t="s">
        <v>155</v>
      </c>
      <c r="K27" s="1" t="s">
        <v>155</v>
      </c>
      <c r="M27" s="4">
        <v>1.0</v>
      </c>
      <c r="O27" s="4">
        <v>6.932766666666667</v>
      </c>
    </row>
    <row r="28">
      <c r="A28" s="5">
        <v>45527.0</v>
      </c>
      <c r="B28" s="1" t="s">
        <v>88</v>
      </c>
      <c r="C28" s="1" t="s">
        <v>107</v>
      </c>
      <c r="D28" s="4">
        <v>618.0</v>
      </c>
      <c r="E28" s="4">
        <v>0.0</v>
      </c>
      <c r="F28" s="1" t="s">
        <v>90</v>
      </c>
      <c r="G28" s="1" t="s">
        <v>91</v>
      </c>
      <c r="H28" s="1" t="s">
        <v>92</v>
      </c>
      <c r="I28" s="1" t="s">
        <v>156</v>
      </c>
      <c r="J28" s="1" t="s">
        <v>157</v>
      </c>
      <c r="K28" s="1" t="s">
        <v>157</v>
      </c>
      <c r="M28" s="4">
        <v>0.0</v>
      </c>
      <c r="O28" s="4">
        <v>19.0977</v>
      </c>
    </row>
    <row r="29">
      <c r="A29" s="5">
        <v>45527.0</v>
      </c>
      <c r="B29" s="1" t="s">
        <v>95</v>
      </c>
      <c r="C29" s="1" t="s">
        <v>107</v>
      </c>
      <c r="D29" s="4">
        <v>313.0</v>
      </c>
      <c r="E29" s="4">
        <v>0.0</v>
      </c>
      <c r="G29" s="1" t="s">
        <v>91</v>
      </c>
      <c r="H29" s="1" t="s">
        <v>96</v>
      </c>
      <c r="I29" s="1" t="s">
        <v>158</v>
      </c>
      <c r="J29" s="1" t="s">
        <v>159</v>
      </c>
      <c r="K29" s="1" t="s">
        <v>159</v>
      </c>
      <c r="M29" s="4">
        <v>9.0</v>
      </c>
      <c r="O29" s="4">
        <v>18.02103333333333</v>
      </c>
    </row>
    <row r="30">
      <c r="A30" s="5">
        <v>45527.0</v>
      </c>
      <c r="B30" s="1" t="s">
        <v>95</v>
      </c>
      <c r="C30" s="1" t="s">
        <v>107</v>
      </c>
      <c r="D30" s="4">
        <v>658.0</v>
      </c>
      <c r="E30" s="4">
        <v>0.0</v>
      </c>
      <c r="G30" s="1" t="s">
        <v>91</v>
      </c>
      <c r="H30" s="1" t="s">
        <v>92</v>
      </c>
      <c r="I30" s="1" t="s">
        <v>160</v>
      </c>
      <c r="J30" s="1" t="s">
        <v>161</v>
      </c>
      <c r="K30" s="1" t="s">
        <v>161</v>
      </c>
      <c r="M30" s="4">
        <v>6.0</v>
      </c>
      <c r="O30" s="4">
        <v>16.010983333333332</v>
      </c>
    </row>
    <row r="31">
      <c r="A31" s="5">
        <v>45527.0</v>
      </c>
      <c r="B31" s="1" t="s">
        <v>95</v>
      </c>
      <c r="C31" s="1" t="s">
        <v>107</v>
      </c>
      <c r="D31" s="4">
        <v>434.0</v>
      </c>
      <c r="E31" s="4">
        <v>0.0</v>
      </c>
      <c r="G31" s="1" t="s">
        <v>91</v>
      </c>
      <c r="H31" s="1" t="s">
        <v>96</v>
      </c>
      <c r="I31" s="1" t="s">
        <v>162</v>
      </c>
      <c r="J31" s="1" t="s">
        <v>163</v>
      </c>
      <c r="K31" s="1" t="s">
        <v>163</v>
      </c>
      <c r="M31" s="4">
        <v>-1.0</v>
      </c>
      <c r="O31" s="4">
        <v>7.9302166666666665</v>
      </c>
    </row>
    <row r="32">
      <c r="A32" s="5">
        <v>45527.0</v>
      </c>
      <c r="B32" s="1" t="s">
        <v>95</v>
      </c>
      <c r="C32" s="1" t="s">
        <v>107</v>
      </c>
      <c r="D32" s="4">
        <v>433.0</v>
      </c>
      <c r="E32" s="4">
        <v>0.0</v>
      </c>
      <c r="G32" s="1" t="s">
        <v>91</v>
      </c>
      <c r="H32" s="1" t="s">
        <v>92</v>
      </c>
      <c r="I32" s="1" t="s">
        <v>164</v>
      </c>
      <c r="J32" s="1" t="s">
        <v>165</v>
      </c>
      <c r="K32" s="1" t="s">
        <v>165</v>
      </c>
      <c r="M32" s="4">
        <v>0.0</v>
      </c>
      <c r="O32" s="4">
        <v>8.330866666666667</v>
      </c>
    </row>
    <row r="33">
      <c r="A33" s="5">
        <v>45527.0</v>
      </c>
      <c r="B33" s="1" t="s">
        <v>88</v>
      </c>
      <c r="C33" s="1" t="s">
        <v>107</v>
      </c>
      <c r="D33" s="4">
        <v>264.0</v>
      </c>
      <c r="E33" s="4">
        <v>0.0</v>
      </c>
      <c r="F33" s="1" t="s">
        <v>90</v>
      </c>
      <c r="G33" s="1" t="s">
        <v>91</v>
      </c>
      <c r="H33" s="1" t="s">
        <v>92</v>
      </c>
      <c r="I33" s="1" t="s">
        <v>166</v>
      </c>
      <c r="J33" s="1" t="s">
        <v>167</v>
      </c>
      <c r="K33" s="1" t="s">
        <v>167</v>
      </c>
      <c r="M33" s="4">
        <v>-7.0</v>
      </c>
      <c r="O33" s="4">
        <v>7.720833333333333</v>
      </c>
    </row>
    <row r="34">
      <c r="A34" s="5">
        <v>45527.0</v>
      </c>
      <c r="B34" s="1" t="s">
        <v>110</v>
      </c>
      <c r="C34" s="1" t="s">
        <v>107</v>
      </c>
      <c r="D34" s="4">
        <v>39.0</v>
      </c>
      <c r="E34" s="4">
        <v>0.0</v>
      </c>
      <c r="G34" s="1" t="s">
        <v>111</v>
      </c>
      <c r="H34" s="1" t="s">
        <v>96</v>
      </c>
      <c r="I34" s="1" t="s">
        <v>168</v>
      </c>
      <c r="J34" s="1" t="s">
        <v>169</v>
      </c>
      <c r="K34" s="1" t="s">
        <v>169</v>
      </c>
      <c r="M34" s="4">
        <v>-3.0</v>
      </c>
      <c r="O34" s="4">
        <v>1.89605</v>
      </c>
    </row>
    <row r="35">
      <c r="A35" s="5">
        <v>45527.0</v>
      </c>
      <c r="B35" s="1" t="s">
        <v>110</v>
      </c>
      <c r="C35" s="1" t="s">
        <v>107</v>
      </c>
      <c r="D35" s="4">
        <v>39.0</v>
      </c>
      <c r="E35" s="4">
        <v>0.0</v>
      </c>
      <c r="G35" s="1" t="s">
        <v>111</v>
      </c>
      <c r="H35" s="1" t="s">
        <v>96</v>
      </c>
      <c r="I35" s="1" t="s">
        <v>170</v>
      </c>
      <c r="J35" s="1" t="s">
        <v>171</v>
      </c>
      <c r="K35" s="1" t="s">
        <v>171</v>
      </c>
      <c r="M35" s="4">
        <v>-3.0</v>
      </c>
      <c r="O35" s="4">
        <v>1.9133666666666667</v>
      </c>
    </row>
    <row r="36">
      <c r="A36" s="5">
        <v>45527.0</v>
      </c>
      <c r="B36" s="1" t="s">
        <v>95</v>
      </c>
      <c r="C36" s="1" t="s">
        <v>89</v>
      </c>
      <c r="D36" s="4">
        <v>585.0</v>
      </c>
      <c r="E36" s="4">
        <v>0.0</v>
      </c>
      <c r="G36" s="1" t="s">
        <v>91</v>
      </c>
      <c r="H36" s="1" t="s">
        <v>92</v>
      </c>
      <c r="I36" s="1" t="s">
        <v>172</v>
      </c>
      <c r="J36" s="1" t="s">
        <v>173</v>
      </c>
      <c r="K36" s="1" t="s">
        <v>173</v>
      </c>
      <c r="M36" s="4">
        <v>-2.0</v>
      </c>
      <c r="O36" s="4">
        <v>8.308683333333333</v>
      </c>
    </row>
    <row r="37">
      <c r="A37" s="5">
        <v>45527.0</v>
      </c>
      <c r="B37" s="1" t="s">
        <v>116</v>
      </c>
      <c r="C37" s="1" t="s">
        <v>107</v>
      </c>
      <c r="D37" s="4">
        <v>250.0</v>
      </c>
      <c r="E37" s="4">
        <v>0.0</v>
      </c>
      <c r="F37" s="1" t="s">
        <v>174</v>
      </c>
      <c r="G37" s="1" t="s">
        <v>175</v>
      </c>
      <c r="H37" s="1" t="s">
        <v>92</v>
      </c>
      <c r="I37" s="1" t="s">
        <v>176</v>
      </c>
      <c r="J37" s="1" t="s">
        <v>177</v>
      </c>
      <c r="K37" s="1" t="s">
        <v>178</v>
      </c>
      <c r="L37" s="1" t="s">
        <v>179</v>
      </c>
      <c r="M37" s="4">
        <v>-1.0</v>
      </c>
      <c r="N37" s="4">
        <v>0.010433333333333333</v>
      </c>
      <c r="O37" s="4">
        <v>18.1176</v>
      </c>
    </row>
    <row r="38">
      <c r="A38" s="5">
        <v>45527.0</v>
      </c>
      <c r="B38" s="1" t="s">
        <v>95</v>
      </c>
      <c r="C38" s="1" t="s">
        <v>89</v>
      </c>
      <c r="D38" s="4">
        <v>474.0</v>
      </c>
      <c r="E38" s="4">
        <v>0.0</v>
      </c>
      <c r="G38" s="1" t="s">
        <v>91</v>
      </c>
      <c r="H38" s="1" t="s">
        <v>96</v>
      </c>
      <c r="I38" s="1" t="s">
        <v>180</v>
      </c>
      <c r="J38" s="1" t="s">
        <v>181</v>
      </c>
      <c r="K38" s="1" t="s">
        <v>181</v>
      </c>
      <c r="M38" s="4">
        <v>11.0</v>
      </c>
      <c r="O38" s="4">
        <v>20.786166666666666</v>
      </c>
    </row>
    <row r="39">
      <c r="A39" s="5">
        <v>45527.0</v>
      </c>
      <c r="B39" s="1" t="s">
        <v>95</v>
      </c>
      <c r="C39" s="1" t="s">
        <v>89</v>
      </c>
      <c r="D39" s="4">
        <v>394.0</v>
      </c>
      <c r="E39" s="4">
        <v>0.0</v>
      </c>
      <c r="G39" s="1" t="s">
        <v>91</v>
      </c>
      <c r="H39" s="1" t="s">
        <v>92</v>
      </c>
      <c r="I39" s="1" t="s">
        <v>182</v>
      </c>
      <c r="J39" s="1" t="s">
        <v>183</v>
      </c>
      <c r="K39" s="1" t="s">
        <v>184</v>
      </c>
      <c r="M39" s="4">
        <v>9.0</v>
      </c>
      <c r="O39" s="4">
        <v>17.455916666666667</v>
      </c>
    </row>
    <row r="40">
      <c r="A40" s="5">
        <v>45527.0</v>
      </c>
      <c r="B40" s="1" t="s">
        <v>95</v>
      </c>
      <c r="C40" s="1" t="s">
        <v>89</v>
      </c>
      <c r="D40" s="4">
        <v>364.0</v>
      </c>
      <c r="E40" s="4">
        <v>0.0</v>
      </c>
      <c r="G40" s="1" t="s">
        <v>91</v>
      </c>
      <c r="H40" s="1" t="s">
        <v>92</v>
      </c>
      <c r="I40" s="1" t="s">
        <v>185</v>
      </c>
      <c r="J40" s="1" t="s">
        <v>186</v>
      </c>
      <c r="K40" s="1" t="s">
        <v>186</v>
      </c>
      <c r="M40" s="4">
        <v>8.0</v>
      </c>
      <c r="O40" s="4">
        <v>16.826983333333335</v>
      </c>
    </row>
    <row r="41">
      <c r="A41" s="5">
        <v>45527.0</v>
      </c>
      <c r="B41" s="1" t="s">
        <v>103</v>
      </c>
      <c r="C41" s="1" t="s">
        <v>89</v>
      </c>
      <c r="D41" s="4">
        <v>273.0</v>
      </c>
      <c r="E41" s="4">
        <v>0.0</v>
      </c>
      <c r="F41" s="1" t="s">
        <v>187</v>
      </c>
      <c r="G41" s="1" t="s">
        <v>91</v>
      </c>
      <c r="H41" s="1" t="s">
        <v>92</v>
      </c>
      <c r="I41" s="1" t="s">
        <v>188</v>
      </c>
      <c r="J41" s="1" t="s">
        <v>189</v>
      </c>
      <c r="K41" s="1" t="s">
        <v>189</v>
      </c>
      <c r="M41" s="4">
        <v>0.0</v>
      </c>
      <c r="O41" s="4">
        <v>14.750833333333333</v>
      </c>
    </row>
    <row r="42">
      <c r="A42" s="5">
        <v>45527.0</v>
      </c>
      <c r="B42" s="1" t="s">
        <v>110</v>
      </c>
      <c r="C42" s="1" t="s">
        <v>107</v>
      </c>
      <c r="D42" s="4">
        <v>209.0</v>
      </c>
      <c r="E42" s="4">
        <v>0.0</v>
      </c>
      <c r="G42" s="1" t="s">
        <v>111</v>
      </c>
      <c r="H42" s="1" t="s">
        <v>96</v>
      </c>
      <c r="I42" s="1" t="s">
        <v>190</v>
      </c>
      <c r="J42" s="1" t="s">
        <v>191</v>
      </c>
      <c r="K42" s="1" t="s">
        <v>191</v>
      </c>
      <c r="M42" s="4">
        <v>2.0</v>
      </c>
      <c r="O42" s="4">
        <v>7.44135</v>
      </c>
    </row>
    <row r="43">
      <c r="A43" s="5">
        <v>45527.0</v>
      </c>
      <c r="B43" s="1" t="s">
        <v>95</v>
      </c>
      <c r="C43" s="1" t="s">
        <v>89</v>
      </c>
      <c r="D43" s="4">
        <v>693.0</v>
      </c>
      <c r="E43" s="4">
        <v>0.0</v>
      </c>
      <c r="G43" s="1" t="s">
        <v>91</v>
      </c>
      <c r="H43" s="1" t="s">
        <v>92</v>
      </c>
      <c r="I43" s="1" t="s">
        <v>192</v>
      </c>
      <c r="J43" s="1" t="s">
        <v>193</v>
      </c>
      <c r="K43" s="1" t="s">
        <v>193</v>
      </c>
      <c r="M43" s="4">
        <v>2.0</v>
      </c>
      <c r="O43" s="4">
        <v>12.883783333333334</v>
      </c>
    </row>
    <row r="44">
      <c r="A44" s="5">
        <v>45527.0</v>
      </c>
      <c r="B44" s="1" t="s">
        <v>116</v>
      </c>
      <c r="C44" s="1" t="s">
        <v>107</v>
      </c>
      <c r="D44" s="4">
        <v>279.0</v>
      </c>
      <c r="E44" s="4">
        <v>70.0</v>
      </c>
      <c r="G44" s="1" t="s">
        <v>111</v>
      </c>
      <c r="H44" s="1" t="s">
        <v>194</v>
      </c>
      <c r="I44" s="1" t="s">
        <v>195</v>
      </c>
      <c r="J44" s="1" t="s">
        <v>196</v>
      </c>
      <c r="K44" s="1" t="s">
        <v>196</v>
      </c>
      <c r="M44" s="4">
        <v>0.0</v>
      </c>
      <c r="O44" s="4">
        <v>18.497216666666667</v>
      </c>
    </row>
    <row r="45">
      <c r="A45" s="5">
        <v>45527.0</v>
      </c>
      <c r="B45" s="1" t="s">
        <v>88</v>
      </c>
      <c r="C45" s="1" t="s">
        <v>107</v>
      </c>
      <c r="D45" s="4">
        <v>765.0</v>
      </c>
      <c r="E45" s="4">
        <v>0.0</v>
      </c>
      <c r="F45" s="1" t="s">
        <v>90</v>
      </c>
      <c r="G45" s="1" t="s">
        <v>91</v>
      </c>
      <c r="H45" s="1" t="s">
        <v>92</v>
      </c>
      <c r="I45" s="1" t="s">
        <v>197</v>
      </c>
      <c r="J45" s="1" t="s">
        <v>198</v>
      </c>
      <c r="K45" s="1" t="s">
        <v>198</v>
      </c>
      <c r="M45" s="4">
        <v>-6.0</v>
      </c>
      <c r="O45" s="4">
        <v>13.214933333333333</v>
      </c>
    </row>
    <row r="46">
      <c r="A46" s="5">
        <v>45527.0</v>
      </c>
      <c r="B46" s="1" t="s">
        <v>88</v>
      </c>
      <c r="C46" s="1" t="s">
        <v>107</v>
      </c>
      <c r="D46" s="4">
        <v>313.0</v>
      </c>
      <c r="E46" s="4">
        <v>0.0</v>
      </c>
      <c r="F46" s="1" t="s">
        <v>90</v>
      </c>
      <c r="G46" s="1" t="s">
        <v>91</v>
      </c>
      <c r="H46" s="1" t="s">
        <v>92</v>
      </c>
      <c r="I46" s="1" t="s">
        <v>199</v>
      </c>
      <c r="J46" s="1" t="s">
        <v>200</v>
      </c>
      <c r="K46" s="1" t="s">
        <v>200</v>
      </c>
      <c r="M46" s="4">
        <v>-7.0</v>
      </c>
      <c r="O46" s="4">
        <v>7.73095</v>
      </c>
    </row>
    <row r="47">
      <c r="A47" s="5">
        <v>45527.0</v>
      </c>
      <c r="B47" s="1" t="s">
        <v>116</v>
      </c>
      <c r="C47" s="1" t="s">
        <v>107</v>
      </c>
      <c r="D47" s="4">
        <v>199.0</v>
      </c>
      <c r="E47" s="4">
        <v>50.0</v>
      </c>
      <c r="G47" s="1" t="s">
        <v>111</v>
      </c>
      <c r="H47" s="1" t="s">
        <v>194</v>
      </c>
      <c r="I47" s="1" t="s">
        <v>201</v>
      </c>
      <c r="J47" s="1" t="s">
        <v>202</v>
      </c>
      <c r="K47" s="1" t="s">
        <v>202</v>
      </c>
      <c r="M47" s="4">
        <v>-10.0</v>
      </c>
      <c r="O47" s="4">
        <v>8.620616666666667</v>
      </c>
    </row>
    <row r="48">
      <c r="A48" s="5">
        <v>45527.0</v>
      </c>
      <c r="B48" s="1" t="s">
        <v>88</v>
      </c>
      <c r="C48" s="1" t="s">
        <v>107</v>
      </c>
      <c r="D48" s="4">
        <v>329.0</v>
      </c>
      <c r="E48" s="4">
        <v>0.0</v>
      </c>
      <c r="F48" s="1" t="s">
        <v>90</v>
      </c>
      <c r="G48" s="1" t="s">
        <v>91</v>
      </c>
      <c r="H48" s="1" t="s">
        <v>92</v>
      </c>
      <c r="I48" s="1" t="s">
        <v>203</v>
      </c>
      <c r="J48" s="1" t="s">
        <v>204</v>
      </c>
      <c r="K48" s="1" t="s">
        <v>204</v>
      </c>
      <c r="M48" s="4">
        <v>-5.0</v>
      </c>
      <c r="O48" s="4">
        <v>9.5771</v>
      </c>
    </row>
    <row r="49">
      <c r="A49" s="5">
        <v>45527.0</v>
      </c>
      <c r="B49" s="1" t="s">
        <v>116</v>
      </c>
      <c r="C49" s="1" t="s">
        <v>107</v>
      </c>
      <c r="D49" s="4">
        <v>245.0</v>
      </c>
      <c r="E49" s="4">
        <v>61.0</v>
      </c>
      <c r="G49" s="1" t="s">
        <v>111</v>
      </c>
      <c r="H49" s="1" t="s">
        <v>92</v>
      </c>
      <c r="I49" s="1" t="s">
        <v>205</v>
      </c>
      <c r="J49" s="1" t="s">
        <v>206</v>
      </c>
      <c r="K49" s="1" t="s">
        <v>206</v>
      </c>
      <c r="M49" s="4">
        <v>-5.0</v>
      </c>
      <c r="O49" s="4">
        <v>13.7665</v>
      </c>
    </row>
    <row r="50">
      <c r="A50" s="5">
        <v>45527.0</v>
      </c>
      <c r="B50" s="1" t="s">
        <v>116</v>
      </c>
      <c r="C50" s="1" t="s">
        <v>107</v>
      </c>
      <c r="D50" s="4">
        <v>299.0</v>
      </c>
      <c r="E50" s="4">
        <v>0.0</v>
      </c>
      <c r="F50" s="1" t="s">
        <v>174</v>
      </c>
      <c r="G50" s="1" t="s">
        <v>175</v>
      </c>
      <c r="H50" s="1" t="s">
        <v>92</v>
      </c>
      <c r="I50" s="1" t="s">
        <v>207</v>
      </c>
      <c r="J50" s="1" t="s">
        <v>208</v>
      </c>
      <c r="K50" s="1" t="s">
        <v>209</v>
      </c>
      <c r="L50" s="1" t="s">
        <v>210</v>
      </c>
      <c r="M50" s="4">
        <v>-17.0</v>
      </c>
      <c r="N50" s="4">
        <v>0.009766666666666667</v>
      </c>
      <c r="O50" s="4">
        <v>15.420483333333333</v>
      </c>
    </row>
    <row r="51">
      <c r="A51" s="5">
        <v>45527.0</v>
      </c>
      <c r="B51" s="1" t="s">
        <v>110</v>
      </c>
      <c r="C51" s="1" t="s">
        <v>107</v>
      </c>
      <c r="D51" s="4">
        <v>39.0</v>
      </c>
      <c r="E51" s="4">
        <v>0.0</v>
      </c>
      <c r="G51" s="1" t="s">
        <v>111</v>
      </c>
      <c r="H51" s="1" t="s">
        <v>96</v>
      </c>
      <c r="I51" s="1" t="s">
        <v>211</v>
      </c>
      <c r="J51" s="1" t="s">
        <v>212</v>
      </c>
      <c r="K51" s="1" t="s">
        <v>212</v>
      </c>
      <c r="M51" s="4">
        <v>-1.0</v>
      </c>
      <c r="O51" s="4">
        <v>3.6641166666666667</v>
      </c>
    </row>
    <row r="52">
      <c r="A52" s="5">
        <v>45527.0</v>
      </c>
      <c r="B52" s="1" t="s">
        <v>110</v>
      </c>
      <c r="C52" s="1" t="s">
        <v>107</v>
      </c>
      <c r="D52" s="4">
        <v>119.0</v>
      </c>
      <c r="E52" s="4">
        <v>0.0</v>
      </c>
      <c r="G52" s="1" t="s">
        <v>111</v>
      </c>
      <c r="H52" s="1" t="s">
        <v>96</v>
      </c>
      <c r="I52" s="1" t="s">
        <v>213</v>
      </c>
      <c r="J52" s="1" t="s">
        <v>214</v>
      </c>
      <c r="K52" s="1" t="s">
        <v>214</v>
      </c>
      <c r="M52" s="4">
        <v>-3.0</v>
      </c>
      <c r="O52" s="4">
        <v>1.74325</v>
      </c>
    </row>
    <row r="53">
      <c r="A53" s="5">
        <v>45527.0</v>
      </c>
      <c r="B53" s="1" t="s">
        <v>95</v>
      </c>
      <c r="C53" s="1" t="s">
        <v>89</v>
      </c>
      <c r="D53" s="4">
        <v>329.0</v>
      </c>
      <c r="E53" s="4">
        <v>0.0</v>
      </c>
      <c r="G53" s="1" t="s">
        <v>91</v>
      </c>
      <c r="H53" s="1" t="s">
        <v>92</v>
      </c>
      <c r="I53" s="1" t="s">
        <v>215</v>
      </c>
      <c r="J53" s="1" t="s">
        <v>216</v>
      </c>
      <c r="K53" s="1" t="s">
        <v>216</v>
      </c>
      <c r="M53" s="4">
        <v>0.0</v>
      </c>
      <c r="O53" s="4">
        <v>8.1943</v>
      </c>
    </row>
    <row r="54">
      <c r="A54" s="5">
        <v>45527.0</v>
      </c>
      <c r="B54" s="1" t="s">
        <v>95</v>
      </c>
      <c r="C54" s="1" t="s">
        <v>89</v>
      </c>
      <c r="D54" s="4">
        <v>264.0</v>
      </c>
      <c r="E54" s="4">
        <v>0.0</v>
      </c>
      <c r="G54" s="1" t="s">
        <v>91</v>
      </c>
      <c r="H54" s="1" t="s">
        <v>92</v>
      </c>
      <c r="I54" s="1" t="s">
        <v>217</v>
      </c>
      <c r="J54" s="1" t="s">
        <v>218</v>
      </c>
      <c r="K54" s="1" t="s">
        <v>218</v>
      </c>
      <c r="M54" s="4">
        <v>2.0</v>
      </c>
      <c r="O54" s="4">
        <v>10.64995</v>
      </c>
    </row>
    <row r="55">
      <c r="A55" s="5">
        <v>45527.0</v>
      </c>
      <c r="B55" s="1" t="s">
        <v>88</v>
      </c>
      <c r="C55" s="1" t="s">
        <v>107</v>
      </c>
      <c r="D55" s="4">
        <v>329.0</v>
      </c>
      <c r="E55" s="4">
        <v>0.0</v>
      </c>
      <c r="F55" s="1" t="s">
        <v>90</v>
      </c>
      <c r="G55" s="1" t="s">
        <v>91</v>
      </c>
      <c r="H55" s="1" t="s">
        <v>92</v>
      </c>
      <c r="I55" s="1" t="s">
        <v>219</v>
      </c>
      <c r="J55" s="1" t="s">
        <v>220</v>
      </c>
      <c r="K55" s="1" t="s">
        <v>220</v>
      </c>
      <c r="M55" s="4">
        <v>-4.0</v>
      </c>
      <c r="O55" s="4">
        <v>10.579466666666667</v>
      </c>
    </row>
    <row r="56">
      <c r="A56" s="5">
        <v>45527.0</v>
      </c>
      <c r="B56" s="1" t="s">
        <v>116</v>
      </c>
      <c r="C56" s="1" t="s">
        <v>107</v>
      </c>
      <c r="D56" s="4">
        <v>368.0</v>
      </c>
      <c r="E56" s="4">
        <v>70.0</v>
      </c>
      <c r="G56" s="1" t="s">
        <v>111</v>
      </c>
      <c r="H56" s="1" t="s">
        <v>92</v>
      </c>
      <c r="I56" s="1" t="s">
        <v>221</v>
      </c>
      <c r="J56" s="1" t="s">
        <v>222</v>
      </c>
      <c r="K56" s="1" t="s">
        <v>222</v>
      </c>
      <c r="M56" s="4">
        <v>0.0</v>
      </c>
      <c r="O56" s="4">
        <v>17.870566666666665</v>
      </c>
    </row>
    <row r="57">
      <c r="A57" s="5">
        <v>45527.0</v>
      </c>
      <c r="B57" s="1" t="s">
        <v>95</v>
      </c>
      <c r="C57" s="1" t="s">
        <v>89</v>
      </c>
      <c r="D57" s="4">
        <v>1309.0</v>
      </c>
      <c r="E57" s="4">
        <v>0.0</v>
      </c>
      <c r="G57" s="1" t="s">
        <v>91</v>
      </c>
      <c r="H57" s="1" t="s">
        <v>92</v>
      </c>
      <c r="I57" s="1" t="s">
        <v>223</v>
      </c>
      <c r="J57" s="1" t="s">
        <v>224</v>
      </c>
      <c r="K57" s="1" t="s">
        <v>224</v>
      </c>
      <c r="M57" s="4">
        <v>2.0</v>
      </c>
      <c r="O57" s="4">
        <v>16.544333333333334</v>
      </c>
    </row>
    <row r="58">
      <c r="A58" s="5">
        <v>45527.0</v>
      </c>
      <c r="B58" s="1" t="s">
        <v>116</v>
      </c>
      <c r="C58" s="1" t="s">
        <v>107</v>
      </c>
      <c r="D58" s="4">
        <v>359.0</v>
      </c>
      <c r="E58" s="4">
        <v>0.0</v>
      </c>
      <c r="F58" s="1" t="s">
        <v>174</v>
      </c>
      <c r="G58" s="1" t="s">
        <v>175</v>
      </c>
      <c r="H58" s="1" t="s">
        <v>92</v>
      </c>
      <c r="I58" s="1" t="s">
        <v>225</v>
      </c>
      <c r="J58" s="1" t="s">
        <v>226</v>
      </c>
      <c r="K58" s="1" t="s">
        <v>227</v>
      </c>
      <c r="L58" s="1" t="s">
        <v>228</v>
      </c>
      <c r="M58" s="4">
        <v>1.0</v>
      </c>
      <c r="N58" s="4">
        <v>0.009616666666666667</v>
      </c>
      <c r="O58" s="4">
        <v>19.8371</v>
      </c>
    </row>
    <row r="59">
      <c r="A59" s="5">
        <v>45527.0</v>
      </c>
      <c r="B59" s="1" t="s">
        <v>103</v>
      </c>
      <c r="C59" s="1" t="s">
        <v>89</v>
      </c>
      <c r="D59" s="4">
        <v>264.0</v>
      </c>
      <c r="E59" s="4">
        <v>0.0</v>
      </c>
      <c r="F59" s="1" t="s">
        <v>229</v>
      </c>
      <c r="G59" s="1" t="s">
        <v>91</v>
      </c>
      <c r="H59" s="1" t="s">
        <v>92</v>
      </c>
      <c r="I59" s="1" t="s">
        <v>230</v>
      </c>
      <c r="J59" s="1" t="s">
        <v>231</v>
      </c>
      <c r="K59" s="1" t="s">
        <v>231</v>
      </c>
      <c r="M59" s="4">
        <v>-9.0</v>
      </c>
      <c r="O59" s="4">
        <v>5.807133333333334</v>
      </c>
    </row>
    <row r="60">
      <c r="A60" s="5">
        <v>45527.0</v>
      </c>
      <c r="B60" s="1" t="s">
        <v>116</v>
      </c>
      <c r="C60" s="1" t="s">
        <v>107</v>
      </c>
      <c r="D60" s="4">
        <v>199.0</v>
      </c>
      <c r="E60" s="4">
        <v>50.0</v>
      </c>
      <c r="G60" s="1" t="s">
        <v>111</v>
      </c>
      <c r="H60" s="1" t="s">
        <v>92</v>
      </c>
      <c r="I60" s="1" t="s">
        <v>232</v>
      </c>
      <c r="J60" s="1" t="s">
        <v>233</v>
      </c>
      <c r="K60" s="1" t="s">
        <v>233</v>
      </c>
      <c r="M60" s="4">
        <v>-11.0</v>
      </c>
      <c r="O60" s="4">
        <v>7.981066666666667</v>
      </c>
    </row>
    <row r="61">
      <c r="A61" s="5">
        <v>45527.0</v>
      </c>
      <c r="B61" s="1" t="s">
        <v>88</v>
      </c>
      <c r="C61" s="1" t="s">
        <v>107</v>
      </c>
      <c r="D61" s="4">
        <v>364.0</v>
      </c>
      <c r="E61" s="4">
        <v>0.0</v>
      </c>
      <c r="F61" s="1" t="s">
        <v>90</v>
      </c>
      <c r="G61" s="1" t="s">
        <v>91</v>
      </c>
      <c r="H61" s="1" t="s">
        <v>92</v>
      </c>
      <c r="I61" s="1" t="s">
        <v>234</v>
      </c>
      <c r="J61" s="1" t="s">
        <v>235</v>
      </c>
      <c r="K61" s="1" t="s">
        <v>235</v>
      </c>
      <c r="M61" s="4">
        <v>-7.0</v>
      </c>
      <c r="O61" s="4">
        <v>7.4789</v>
      </c>
    </row>
    <row r="62">
      <c r="A62" s="5">
        <v>45527.0</v>
      </c>
      <c r="B62" s="1" t="s">
        <v>88</v>
      </c>
      <c r="C62" s="1" t="s">
        <v>107</v>
      </c>
      <c r="D62" s="4">
        <v>608.0</v>
      </c>
      <c r="E62" s="4">
        <v>0.0</v>
      </c>
      <c r="F62" s="1" t="s">
        <v>90</v>
      </c>
      <c r="G62" s="1" t="s">
        <v>91</v>
      </c>
      <c r="H62" s="1" t="s">
        <v>92</v>
      </c>
      <c r="I62" s="1" t="s">
        <v>236</v>
      </c>
      <c r="J62" s="1" t="s">
        <v>237</v>
      </c>
      <c r="K62" s="1" t="s">
        <v>237</v>
      </c>
      <c r="M62" s="4">
        <v>-9.0</v>
      </c>
      <c r="O62" s="4">
        <v>10.23485</v>
      </c>
    </row>
    <row r="63">
      <c r="A63" s="5">
        <v>45527.0</v>
      </c>
      <c r="B63" s="1" t="s">
        <v>116</v>
      </c>
      <c r="C63" s="1" t="s">
        <v>107</v>
      </c>
      <c r="D63" s="4">
        <v>407.0</v>
      </c>
      <c r="E63" s="4">
        <v>0.0</v>
      </c>
      <c r="F63" s="1" t="s">
        <v>174</v>
      </c>
      <c r="G63" s="1" t="s">
        <v>175</v>
      </c>
      <c r="H63" s="1" t="s">
        <v>92</v>
      </c>
      <c r="I63" s="1" t="s">
        <v>238</v>
      </c>
      <c r="J63" s="1" t="s">
        <v>239</v>
      </c>
      <c r="K63" s="1" t="s">
        <v>240</v>
      </c>
      <c r="L63" s="1" t="s">
        <v>241</v>
      </c>
      <c r="M63" s="4">
        <v>-2.0</v>
      </c>
      <c r="N63" s="4">
        <v>0.013783333333333333</v>
      </c>
      <c r="O63" s="4">
        <v>14.15185</v>
      </c>
    </row>
    <row r="64">
      <c r="A64" s="5">
        <v>45527.0</v>
      </c>
      <c r="B64" s="1" t="s">
        <v>95</v>
      </c>
      <c r="C64" s="1" t="s">
        <v>242</v>
      </c>
      <c r="D64" s="4">
        <v>394.0</v>
      </c>
      <c r="E64" s="4">
        <v>0.0</v>
      </c>
      <c r="G64" s="1" t="s">
        <v>91</v>
      </c>
      <c r="H64" s="1" t="s">
        <v>92</v>
      </c>
      <c r="I64" s="1" t="s">
        <v>243</v>
      </c>
      <c r="J64" s="1" t="s">
        <v>244</v>
      </c>
      <c r="K64" s="1" t="s">
        <v>244</v>
      </c>
      <c r="M64" s="4">
        <v>1.0</v>
      </c>
      <c r="O64" s="4">
        <v>9.786533333333333</v>
      </c>
    </row>
    <row r="65">
      <c r="A65" s="5">
        <v>45527.0</v>
      </c>
      <c r="B65" s="1" t="s">
        <v>88</v>
      </c>
      <c r="C65" s="1" t="s">
        <v>107</v>
      </c>
      <c r="D65" s="4">
        <v>528.0</v>
      </c>
      <c r="E65" s="4">
        <v>0.0</v>
      </c>
      <c r="F65" s="1" t="s">
        <v>90</v>
      </c>
      <c r="G65" s="1" t="s">
        <v>91</v>
      </c>
      <c r="H65" s="1" t="s">
        <v>92</v>
      </c>
      <c r="I65" s="1" t="s">
        <v>245</v>
      </c>
      <c r="J65" s="1" t="s">
        <v>246</v>
      </c>
      <c r="K65" s="1" t="s">
        <v>246</v>
      </c>
      <c r="M65" s="4">
        <v>-7.0</v>
      </c>
      <c r="O65" s="4">
        <v>12.061266666666667</v>
      </c>
    </row>
    <row r="66">
      <c r="A66" s="5">
        <v>45527.0</v>
      </c>
      <c r="B66" s="1" t="s">
        <v>103</v>
      </c>
      <c r="C66" s="1" t="s">
        <v>89</v>
      </c>
      <c r="D66" s="4">
        <v>338.0</v>
      </c>
      <c r="E66" s="4">
        <v>0.0</v>
      </c>
      <c r="F66" s="1" t="s">
        <v>247</v>
      </c>
      <c r="G66" s="1" t="s">
        <v>91</v>
      </c>
      <c r="H66" s="1" t="s">
        <v>92</v>
      </c>
      <c r="I66" s="1" t="s">
        <v>248</v>
      </c>
      <c r="J66" s="1" t="s">
        <v>249</v>
      </c>
      <c r="K66" s="1" t="s">
        <v>249</v>
      </c>
      <c r="M66" s="4">
        <v>-6.0</v>
      </c>
      <c r="O66" s="4">
        <v>8.558016666666667</v>
      </c>
    </row>
    <row r="67">
      <c r="A67" s="5">
        <v>45527.0</v>
      </c>
      <c r="B67" s="1" t="s">
        <v>103</v>
      </c>
      <c r="C67" s="1" t="s">
        <v>89</v>
      </c>
      <c r="D67" s="4">
        <v>448.0</v>
      </c>
      <c r="E67" s="4">
        <v>0.0</v>
      </c>
      <c r="F67" s="1" t="s">
        <v>250</v>
      </c>
      <c r="G67" s="1" t="s">
        <v>91</v>
      </c>
      <c r="H67" s="1" t="s">
        <v>92</v>
      </c>
      <c r="I67" s="1" t="s">
        <v>251</v>
      </c>
      <c r="J67" s="1" t="s">
        <v>252</v>
      </c>
      <c r="K67" s="1" t="s">
        <v>252</v>
      </c>
      <c r="M67" s="4">
        <v>-7.0</v>
      </c>
      <c r="O67" s="4">
        <v>7.3194</v>
      </c>
    </row>
    <row r="68">
      <c r="A68" s="5">
        <v>45527.0</v>
      </c>
      <c r="B68" s="1" t="s">
        <v>116</v>
      </c>
      <c r="C68" s="1" t="s">
        <v>107</v>
      </c>
      <c r="D68" s="4">
        <v>188.0</v>
      </c>
      <c r="E68" s="4">
        <v>61.0</v>
      </c>
      <c r="G68" s="1" t="s">
        <v>111</v>
      </c>
      <c r="H68" s="1" t="s">
        <v>194</v>
      </c>
      <c r="I68" s="1" t="s">
        <v>253</v>
      </c>
      <c r="J68" s="1" t="s">
        <v>254</v>
      </c>
      <c r="K68" s="1" t="s">
        <v>254</v>
      </c>
      <c r="M68" s="4">
        <v>-11.0</v>
      </c>
      <c r="O68" s="4">
        <v>8.48645</v>
      </c>
    </row>
    <row r="69">
      <c r="A69" s="5">
        <v>45527.0</v>
      </c>
      <c r="B69" s="1" t="s">
        <v>110</v>
      </c>
      <c r="C69" s="1" t="s">
        <v>107</v>
      </c>
      <c r="D69" s="4">
        <v>498.0</v>
      </c>
      <c r="E69" s="4">
        <v>0.0</v>
      </c>
      <c r="G69" s="1" t="s">
        <v>111</v>
      </c>
      <c r="H69" s="1" t="s">
        <v>96</v>
      </c>
      <c r="I69" s="1" t="s">
        <v>255</v>
      </c>
      <c r="J69" s="1" t="s">
        <v>256</v>
      </c>
      <c r="K69" s="1" t="s">
        <v>256</v>
      </c>
      <c r="M69" s="4">
        <v>0.0</v>
      </c>
      <c r="O69" s="4">
        <v>4.645933333333334</v>
      </c>
    </row>
    <row r="70">
      <c r="A70" s="5">
        <v>45527.0</v>
      </c>
      <c r="B70" s="1" t="s">
        <v>116</v>
      </c>
      <c r="C70" s="1" t="s">
        <v>107</v>
      </c>
      <c r="D70" s="4">
        <v>247.0</v>
      </c>
      <c r="E70" s="4">
        <v>62.0</v>
      </c>
      <c r="G70" s="1" t="s">
        <v>111</v>
      </c>
      <c r="H70" s="1" t="s">
        <v>92</v>
      </c>
      <c r="I70" s="1" t="s">
        <v>257</v>
      </c>
      <c r="J70" s="1" t="s">
        <v>258</v>
      </c>
      <c r="K70" s="1" t="s">
        <v>258</v>
      </c>
      <c r="M70" s="4">
        <v>-12.0</v>
      </c>
      <c r="O70" s="4">
        <v>5.936216666666667</v>
      </c>
    </row>
    <row r="71">
      <c r="A71" s="5">
        <v>45527.0</v>
      </c>
      <c r="B71" s="1" t="s">
        <v>110</v>
      </c>
      <c r="C71" s="1" t="s">
        <v>107</v>
      </c>
      <c r="D71" s="4">
        <v>249.0</v>
      </c>
      <c r="E71" s="4">
        <v>0.0</v>
      </c>
      <c r="G71" s="1" t="s">
        <v>111</v>
      </c>
      <c r="H71" s="1" t="s">
        <v>96</v>
      </c>
      <c r="I71" s="1" t="s">
        <v>259</v>
      </c>
      <c r="J71" s="1" t="s">
        <v>260</v>
      </c>
      <c r="K71" s="1" t="s">
        <v>260</v>
      </c>
      <c r="M71" s="4">
        <v>-2.0</v>
      </c>
      <c r="O71" s="4">
        <v>2.5814</v>
      </c>
    </row>
    <row r="72">
      <c r="A72" s="5">
        <v>45527.0</v>
      </c>
      <c r="B72" s="1" t="s">
        <v>116</v>
      </c>
      <c r="C72" s="1" t="s">
        <v>107</v>
      </c>
      <c r="D72" s="4">
        <v>393.0</v>
      </c>
      <c r="E72" s="4">
        <v>0.0</v>
      </c>
      <c r="F72" s="1" t="s">
        <v>174</v>
      </c>
      <c r="G72" s="1" t="s">
        <v>175</v>
      </c>
      <c r="H72" s="1" t="s">
        <v>96</v>
      </c>
      <c r="I72" s="1" t="s">
        <v>261</v>
      </c>
      <c r="J72" s="1" t="s">
        <v>262</v>
      </c>
      <c r="K72" s="1" t="s">
        <v>263</v>
      </c>
      <c r="L72" s="1" t="s">
        <v>264</v>
      </c>
      <c r="M72" s="4">
        <v>-13.0</v>
      </c>
      <c r="N72" s="4">
        <v>0.014966666666666666</v>
      </c>
      <c r="O72" s="4">
        <v>20.348133333333333</v>
      </c>
    </row>
    <row r="73">
      <c r="A73" s="5">
        <v>45527.0</v>
      </c>
      <c r="B73" s="1" t="s">
        <v>95</v>
      </c>
      <c r="C73" s="1" t="s">
        <v>89</v>
      </c>
      <c r="D73" s="4">
        <v>758.0</v>
      </c>
      <c r="E73" s="4">
        <v>0.0</v>
      </c>
      <c r="G73" s="1" t="s">
        <v>91</v>
      </c>
      <c r="H73" s="1" t="s">
        <v>92</v>
      </c>
      <c r="I73" s="1" t="s">
        <v>265</v>
      </c>
      <c r="J73" s="1" t="s">
        <v>266</v>
      </c>
      <c r="K73" s="1" t="s">
        <v>266</v>
      </c>
      <c r="M73" s="4">
        <v>-1.0</v>
      </c>
      <c r="O73" s="4">
        <v>9.823433333333334</v>
      </c>
    </row>
    <row r="74">
      <c r="A74" s="5">
        <v>45527.0</v>
      </c>
      <c r="B74" s="1" t="s">
        <v>88</v>
      </c>
      <c r="C74" s="1" t="s">
        <v>107</v>
      </c>
      <c r="D74" s="4">
        <v>289.0</v>
      </c>
      <c r="E74" s="4">
        <v>0.0</v>
      </c>
      <c r="F74" s="1" t="s">
        <v>90</v>
      </c>
      <c r="G74" s="1" t="s">
        <v>91</v>
      </c>
      <c r="H74" s="1" t="s">
        <v>92</v>
      </c>
      <c r="I74" s="1" t="s">
        <v>267</v>
      </c>
      <c r="J74" s="1" t="s">
        <v>268</v>
      </c>
      <c r="K74" s="1" t="s">
        <v>268</v>
      </c>
      <c r="M74" s="4">
        <v>-5.0</v>
      </c>
      <c r="O74" s="4">
        <v>9.571316666666666</v>
      </c>
    </row>
    <row r="75">
      <c r="A75" s="5">
        <v>45527.0</v>
      </c>
      <c r="B75" s="1" t="s">
        <v>95</v>
      </c>
      <c r="C75" s="1" t="s">
        <v>89</v>
      </c>
      <c r="D75" s="4">
        <v>329.0</v>
      </c>
      <c r="E75" s="4">
        <v>0.0</v>
      </c>
      <c r="G75" s="1" t="s">
        <v>91</v>
      </c>
      <c r="H75" s="1" t="s">
        <v>92</v>
      </c>
      <c r="I75" s="1" t="s">
        <v>269</v>
      </c>
      <c r="J75" s="1" t="s">
        <v>270</v>
      </c>
      <c r="K75" s="1" t="s">
        <v>270</v>
      </c>
      <c r="M75" s="4">
        <v>1.0</v>
      </c>
      <c r="O75" s="4">
        <v>9.504516666666667</v>
      </c>
    </row>
    <row r="76">
      <c r="A76" s="5">
        <v>45527.0</v>
      </c>
      <c r="B76" s="1" t="s">
        <v>95</v>
      </c>
      <c r="C76" s="1" t="s">
        <v>89</v>
      </c>
      <c r="D76" s="4">
        <v>299.0</v>
      </c>
      <c r="E76" s="4">
        <v>0.0</v>
      </c>
      <c r="G76" s="1" t="s">
        <v>91</v>
      </c>
      <c r="H76" s="1" t="s">
        <v>92</v>
      </c>
      <c r="I76" s="1" t="s">
        <v>271</v>
      </c>
      <c r="J76" s="1" t="s">
        <v>272</v>
      </c>
      <c r="K76" s="1" t="s">
        <v>272</v>
      </c>
      <c r="M76" s="4">
        <v>2.0</v>
      </c>
      <c r="O76" s="4">
        <v>9.349733333333333</v>
      </c>
    </row>
    <row r="77">
      <c r="A77" s="5">
        <v>45527.0</v>
      </c>
      <c r="B77" s="1" t="s">
        <v>116</v>
      </c>
      <c r="C77" s="1" t="s">
        <v>107</v>
      </c>
      <c r="D77" s="4">
        <v>199.0</v>
      </c>
      <c r="E77" s="4">
        <v>50.0</v>
      </c>
      <c r="G77" s="1" t="s">
        <v>111</v>
      </c>
      <c r="H77" s="1" t="s">
        <v>194</v>
      </c>
      <c r="I77" s="1" t="s">
        <v>273</v>
      </c>
      <c r="J77" s="1" t="s">
        <v>274</v>
      </c>
      <c r="K77" s="1" t="s">
        <v>274</v>
      </c>
      <c r="M77" s="4">
        <v>-7.0</v>
      </c>
      <c r="O77" s="4">
        <v>11.488133333333334</v>
      </c>
    </row>
    <row r="78">
      <c r="A78" s="5">
        <v>45527.0</v>
      </c>
      <c r="B78" s="1" t="s">
        <v>110</v>
      </c>
      <c r="C78" s="1" t="s">
        <v>107</v>
      </c>
      <c r="D78" s="4">
        <v>49.0</v>
      </c>
      <c r="E78" s="4">
        <v>0.0</v>
      </c>
      <c r="G78" s="1" t="s">
        <v>111</v>
      </c>
      <c r="H78" s="1" t="s">
        <v>96</v>
      </c>
      <c r="I78" s="1" t="s">
        <v>275</v>
      </c>
      <c r="J78" s="1" t="s">
        <v>276</v>
      </c>
      <c r="K78" s="1" t="s">
        <v>276</v>
      </c>
      <c r="M78" s="4">
        <v>-4.0</v>
      </c>
      <c r="O78" s="4">
        <v>0.6601</v>
      </c>
    </row>
    <row r="79">
      <c r="A79" s="5">
        <v>45527.0</v>
      </c>
      <c r="B79" s="1" t="s">
        <v>116</v>
      </c>
      <c r="C79" s="1" t="s">
        <v>107</v>
      </c>
      <c r="D79" s="4">
        <v>266.0</v>
      </c>
      <c r="E79" s="4">
        <v>0.0</v>
      </c>
      <c r="F79" s="1" t="s">
        <v>174</v>
      </c>
      <c r="G79" s="1" t="s">
        <v>175</v>
      </c>
      <c r="H79" s="1" t="s">
        <v>92</v>
      </c>
      <c r="I79" s="1" t="s">
        <v>277</v>
      </c>
      <c r="J79" s="1" t="s">
        <v>278</v>
      </c>
      <c r="K79" s="1" t="s">
        <v>279</v>
      </c>
      <c r="L79" s="1" t="s">
        <v>280</v>
      </c>
      <c r="M79" s="4">
        <v>0.0</v>
      </c>
      <c r="N79" s="4">
        <v>0.008666666666666666</v>
      </c>
      <c r="O79" s="4">
        <v>12.345516666666667</v>
      </c>
    </row>
    <row r="80">
      <c r="A80" s="5">
        <v>45527.0</v>
      </c>
      <c r="B80" s="1" t="s">
        <v>110</v>
      </c>
      <c r="C80" s="1" t="s">
        <v>107</v>
      </c>
      <c r="D80" s="4">
        <v>249.0</v>
      </c>
      <c r="E80" s="4">
        <v>0.0</v>
      </c>
      <c r="G80" s="1" t="s">
        <v>111</v>
      </c>
      <c r="H80" s="1" t="s">
        <v>96</v>
      </c>
      <c r="I80" s="1" t="s">
        <v>281</v>
      </c>
      <c r="J80" s="1" t="s">
        <v>282</v>
      </c>
      <c r="K80" s="1" t="s">
        <v>282</v>
      </c>
      <c r="M80" s="4">
        <v>0.0</v>
      </c>
      <c r="O80" s="4">
        <v>5.468516666666667</v>
      </c>
    </row>
    <row r="81">
      <c r="A81" s="5">
        <v>45527.0</v>
      </c>
      <c r="B81" s="1" t="s">
        <v>116</v>
      </c>
      <c r="C81" s="1" t="s">
        <v>107</v>
      </c>
      <c r="D81" s="4">
        <v>199.0</v>
      </c>
      <c r="E81" s="4">
        <v>50.0</v>
      </c>
      <c r="G81" s="1" t="s">
        <v>111</v>
      </c>
      <c r="H81" s="1" t="s">
        <v>96</v>
      </c>
      <c r="I81" s="1" t="s">
        <v>283</v>
      </c>
      <c r="J81" s="1" t="s">
        <v>284</v>
      </c>
      <c r="K81" s="1" t="s">
        <v>284</v>
      </c>
      <c r="M81" s="4">
        <v>-17.0</v>
      </c>
      <c r="O81" s="4">
        <v>9.80685</v>
      </c>
    </row>
    <row r="82">
      <c r="A82" s="5">
        <v>45527.0</v>
      </c>
      <c r="B82" s="1" t="s">
        <v>116</v>
      </c>
      <c r="C82" s="1" t="s">
        <v>107</v>
      </c>
      <c r="D82" s="4">
        <v>396.0</v>
      </c>
      <c r="E82" s="4">
        <v>0.0</v>
      </c>
      <c r="F82" s="1" t="s">
        <v>174</v>
      </c>
      <c r="G82" s="1" t="s">
        <v>175</v>
      </c>
      <c r="H82" s="1" t="s">
        <v>96</v>
      </c>
      <c r="I82" s="1" t="s">
        <v>285</v>
      </c>
      <c r="J82" s="1" t="s">
        <v>286</v>
      </c>
      <c r="K82" s="1" t="s">
        <v>287</v>
      </c>
      <c r="L82" s="1" t="s">
        <v>288</v>
      </c>
      <c r="M82" s="4">
        <v>11.0</v>
      </c>
      <c r="N82" s="4">
        <v>0.011066666666666667</v>
      </c>
      <c r="O82" s="4">
        <v>17.385016666666665</v>
      </c>
    </row>
    <row r="83">
      <c r="A83" s="5">
        <v>45527.0</v>
      </c>
      <c r="B83" s="1" t="s">
        <v>116</v>
      </c>
      <c r="C83" s="1" t="s">
        <v>107</v>
      </c>
      <c r="D83" s="4">
        <v>651.0</v>
      </c>
      <c r="E83" s="4">
        <v>30.0</v>
      </c>
      <c r="F83" s="1" t="s">
        <v>174</v>
      </c>
      <c r="G83" s="1" t="s">
        <v>175</v>
      </c>
      <c r="H83" s="1" t="s">
        <v>92</v>
      </c>
      <c r="I83" s="1" t="s">
        <v>289</v>
      </c>
      <c r="J83" s="1" t="s">
        <v>290</v>
      </c>
      <c r="K83" s="1" t="s">
        <v>291</v>
      </c>
      <c r="L83" s="1" t="s">
        <v>292</v>
      </c>
      <c r="M83" s="4">
        <v>0.0</v>
      </c>
      <c r="N83" s="4">
        <v>0.01355</v>
      </c>
      <c r="O83" s="4">
        <v>11.090183333333334</v>
      </c>
    </row>
    <row r="84">
      <c r="A84" s="5">
        <v>45527.0</v>
      </c>
      <c r="B84" s="1" t="s">
        <v>88</v>
      </c>
      <c r="C84" s="1" t="s">
        <v>107</v>
      </c>
      <c r="D84" s="4">
        <v>338.0</v>
      </c>
      <c r="E84" s="4">
        <v>0.0</v>
      </c>
      <c r="F84" s="1" t="s">
        <v>90</v>
      </c>
      <c r="G84" s="1" t="s">
        <v>91</v>
      </c>
      <c r="H84" s="1" t="s">
        <v>92</v>
      </c>
      <c r="I84" s="1" t="s">
        <v>293</v>
      </c>
      <c r="J84" s="1" t="s">
        <v>294</v>
      </c>
      <c r="K84" s="1" t="s">
        <v>294</v>
      </c>
      <c r="M84" s="4">
        <v>-3.0</v>
      </c>
      <c r="O84" s="4">
        <v>11.409333333333333</v>
      </c>
    </row>
    <row r="85">
      <c r="A85" s="5">
        <v>45527.0</v>
      </c>
      <c r="B85" s="1" t="s">
        <v>116</v>
      </c>
      <c r="C85" s="1" t="s">
        <v>107</v>
      </c>
      <c r="D85" s="4">
        <v>288.0</v>
      </c>
      <c r="E85" s="4">
        <v>0.0</v>
      </c>
      <c r="F85" s="1" t="s">
        <v>90</v>
      </c>
      <c r="G85" s="1" t="s">
        <v>175</v>
      </c>
      <c r="H85" s="1" t="s">
        <v>92</v>
      </c>
      <c r="I85" s="1" t="s">
        <v>295</v>
      </c>
      <c r="J85" s="1" t="s">
        <v>296</v>
      </c>
      <c r="K85" s="1" t="s">
        <v>297</v>
      </c>
      <c r="L85" s="1" t="s">
        <v>298</v>
      </c>
      <c r="M85" s="4">
        <v>5.0</v>
      </c>
      <c r="N85" s="4">
        <v>8.576283333333333</v>
      </c>
      <c r="O85" s="4">
        <v>14.4757</v>
      </c>
    </row>
    <row r="86">
      <c r="A86" s="5">
        <v>45527.0</v>
      </c>
      <c r="B86" s="1" t="s">
        <v>95</v>
      </c>
      <c r="C86" s="1" t="s">
        <v>89</v>
      </c>
      <c r="D86" s="4">
        <v>329.0</v>
      </c>
      <c r="E86" s="4">
        <v>0.0</v>
      </c>
      <c r="G86" s="1" t="s">
        <v>91</v>
      </c>
      <c r="H86" s="1" t="s">
        <v>92</v>
      </c>
      <c r="I86" s="1" t="s">
        <v>299</v>
      </c>
      <c r="J86" s="1" t="s">
        <v>300</v>
      </c>
      <c r="K86" s="1" t="s">
        <v>300</v>
      </c>
      <c r="M86" s="4">
        <v>3.0</v>
      </c>
      <c r="O86" s="4">
        <v>11.01305</v>
      </c>
    </row>
    <row r="87">
      <c r="A87" s="5">
        <v>45527.0</v>
      </c>
      <c r="B87" s="1" t="s">
        <v>95</v>
      </c>
      <c r="C87" s="1" t="s">
        <v>89</v>
      </c>
      <c r="D87" s="4">
        <v>1327.0</v>
      </c>
      <c r="E87" s="4">
        <v>0.0</v>
      </c>
      <c r="G87" s="1" t="s">
        <v>91</v>
      </c>
      <c r="H87" s="1" t="s">
        <v>92</v>
      </c>
      <c r="I87" s="1" t="s">
        <v>301</v>
      </c>
      <c r="J87" s="1" t="s">
        <v>302</v>
      </c>
      <c r="K87" s="1" t="s">
        <v>302</v>
      </c>
      <c r="M87" s="4">
        <v>-3.0</v>
      </c>
      <c r="O87" s="4">
        <v>10.727933333333333</v>
      </c>
    </row>
    <row r="88">
      <c r="A88" s="5">
        <v>45527.0</v>
      </c>
      <c r="B88" s="1" t="s">
        <v>116</v>
      </c>
      <c r="C88" s="1" t="s">
        <v>107</v>
      </c>
      <c r="D88" s="4">
        <v>652.0</v>
      </c>
      <c r="E88" s="4">
        <v>0.0</v>
      </c>
      <c r="F88" s="1" t="s">
        <v>90</v>
      </c>
      <c r="G88" s="1" t="s">
        <v>175</v>
      </c>
      <c r="H88" s="1" t="s">
        <v>92</v>
      </c>
      <c r="I88" s="1" t="s">
        <v>303</v>
      </c>
      <c r="J88" s="1" t="s">
        <v>304</v>
      </c>
      <c r="K88" s="1" t="s">
        <v>305</v>
      </c>
      <c r="L88" s="1" t="s">
        <v>306</v>
      </c>
      <c r="M88" s="4">
        <v>-7.0</v>
      </c>
      <c r="N88" s="4">
        <v>20.203566666666667</v>
      </c>
      <c r="O88" s="4">
        <v>29.909816666666668</v>
      </c>
    </row>
    <row r="89">
      <c r="A89" s="5">
        <v>45527.0</v>
      </c>
      <c r="B89" s="1" t="s">
        <v>88</v>
      </c>
      <c r="C89" s="1" t="s">
        <v>107</v>
      </c>
      <c r="D89" s="4">
        <v>407.0</v>
      </c>
      <c r="E89" s="4">
        <v>0.0</v>
      </c>
      <c r="F89" s="1" t="s">
        <v>90</v>
      </c>
      <c r="G89" s="1" t="s">
        <v>91</v>
      </c>
      <c r="H89" s="1" t="s">
        <v>92</v>
      </c>
      <c r="I89" s="1" t="s">
        <v>307</v>
      </c>
      <c r="J89" s="1" t="s">
        <v>308</v>
      </c>
      <c r="K89" s="1" t="s">
        <v>308</v>
      </c>
      <c r="M89" s="4">
        <v>-6.0</v>
      </c>
      <c r="O89" s="4">
        <v>8.904716666666667</v>
      </c>
    </row>
    <row r="90">
      <c r="A90" s="5">
        <v>45527.0</v>
      </c>
      <c r="B90" s="1" t="s">
        <v>110</v>
      </c>
      <c r="C90" s="1" t="s">
        <v>107</v>
      </c>
      <c r="D90" s="4">
        <v>344.0</v>
      </c>
      <c r="E90" s="4">
        <v>0.0</v>
      </c>
      <c r="G90" s="1" t="s">
        <v>111</v>
      </c>
      <c r="H90" s="1" t="s">
        <v>96</v>
      </c>
      <c r="I90" s="1" t="s">
        <v>309</v>
      </c>
      <c r="J90" s="1" t="s">
        <v>310</v>
      </c>
      <c r="K90" s="1" t="s">
        <v>310</v>
      </c>
      <c r="M90" s="4">
        <v>6.0</v>
      </c>
      <c r="O90" s="4">
        <v>11.4255</v>
      </c>
    </row>
    <row r="91">
      <c r="A91" s="5">
        <v>45527.0</v>
      </c>
      <c r="B91" s="1" t="s">
        <v>88</v>
      </c>
      <c r="C91" s="1" t="s">
        <v>107</v>
      </c>
      <c r="D91" s="4">
        <v>327.0</v>
      </c>
      <c r="E91" s="4">
        <v>0.0</v>
      </c>
      <c r="F91" s="1" t="s">
        <v>90</v>
      </c>
      <c r="G91" s="1" t="s">
        <v>91</v>
      </c>
      <c r="H91" s="1" t="s">
        <v>92</v>
      </c>
      <c r="I91" s="1" t="s">
        <v>311</v>
      </c>
      <c r="J91" s="1" t="s">
        <v>312</v>
      </c>
      <c r="K91" s="1" t="s">
        <v>312</v>
      </c>
      <c r="M91" s="4">
        <v>-3.0</v>
      </c>
      <c r="O91" s="4">
        <v>11.171</v>
      </c>
    </row>
    <row r="92">
      <c r="A92" s="5">
        <v>45527.0</v>
      </c>
      <c r="B92" s="1" t="s">
        <v>116</v>
      </c>
      <c r="C92" s="1" t="s">
        <v>107</v>
      </c>
      <c r="D92" s="4">
        <v>344.0</v>
      </c>
      <c r="E92" s="4">
        <v>0.0</v>
      </c>
      <c r="F92" s="1" t="s">
        <v>174</v>
      </c>
      <c r="G92" s="1" t="s">
        <v>175</v>
      </c>
      <c r="H92" s="1" t="s">
        <v>96</v>
      </c>
      <c r="I92" s="1" t="s">
        <v>313</v>
      </c>
      <c r="J92" s="1" t="s">
        <v>314</v>
      </c>
      <c r="K92" s="1" t="s">
        <v>315</v>
      </c>
      <c r="L92" s="1" t="s">
        <v>316</v>
      </c>
      <c r="M92" s="4">
        <v>0.0</v>
      </c>
      <c r="N92" s="4">
        <v>0.00785</v>
      </c>
      <c r="O92" s="4">
        <v>21.534183333333335</v>
      </c>
    </row>
    <row r="93">
      <c r="A93" s="5">
        <v>45527.0</v>
      </c>
      <c r="B93" s="1" t="s">
        <v>103</v>
      </c>
      <c r="C93" s="1" t="s">
        <v>89</v>
      </c>
      <c r="D93" s="4">
        <v>394.0</v>
      </c>
      <c r="E93" s="4">
        <v>0.0</v>
      </c>
      <c r="F93" s="1" t="s">
        <v>317</v>
      </c>
      <c r="G93" s="1" t="s">
        <v>91</v>
      </c>
      <c r="H93" s="1" t="s">
        <v>92</v>
      </c>
      <c r="I93" s="1" t="s">
        <v>318</v>
      </c>
      <c r="J93" s="1" t="s">
        <v>319</v>
      </c>
      <c r="K93" s="1" t="s">
        <v>319</v>
      </c>
      <c r="M93" s="4">
        <v>0.0</v>
      </c>
      <c r="O93" s="4">
        <v>15.828283333333333</v>
      </c>
    </row>
    <row r="94">
      <c r="A94" s="5">
        <v>45527.0</v>
      </c>
      <c r="B94" s="1" t="s">
        <v>110</v>
      </c>
      <c r="C94" s="1" t="s">
        <v>107</v>
      </c>
      <c r="D94" s="4">
        <v>269.0</v>
      </c>
      <c r="E94" s="4">
        <v>0.0</v>
      </c>
      <c r="G94" s="1" t="s">
        <v>111</v>
      </c>
      <c r="H94" s="1" t="s">
        <v>96</v>
      </c>
      <c r="I94" s="1" t="s">
        <v>320</v>
      </c>
      <c r="J94" s="1" t="s">
        <v>321</v>
      </c>
      <c r="K94" s="1" t="s">
        <v>321</v>
      </c>
      <c r="M94" s="4">
        <v>0.0</v>
      </c>
      <c r="O94" s="4">
        <v>5.8921166666666664</v>
      </c>
    </row>
    <row r="95">
      <c r="A95" s="5">
        <v>45527.0</v>
      </c>
      <c r="B95" s="1" t="s">
        <v>95</v>
      </c>
      <c r="C95" s="1" t="s">
        <v>89</v>
      </c>
      <c r="D95" s="4">
        <v>693.0</v>
      </c>
      <c r="E95" s="4">
        <v>0.0</v>
      </c>
      <c r="G95" s="1" t="s">
        <v>91</v>
      </c>
      <c r="H95" s="1" t="s">
        <v>92</v>
      </c>
      <c r="I95" s="1" t="s">
        <v>322</v>
      </c>
      <c r="J95" s="1" t="s">
        <v>323</v>
      </c>
      <c r="K95" s="1" t="s">
        <v>323</v>
      </c>
      <c r="M95" s="4">
        <v>0.0</v>
      </c>
      <c r="O95" s="4">
        <v>10.27245</v>
      </c>
    </row>
    <row r="96">
      <c r="A96" s="5">
        <v>45527.0</v>
      </c>
      <c r="B96" s="1" t="s">
        <v>88</v>
      </c>
      <c r="C96" s="1" t="s">
        <v>107</v>
      </c>
      <c r="D96" s="4">
        <v>642.0</v>
      </c>
      <c r="E96" s="4">
        <v>0.0</v>
      </c>
      <c r="F96" s="1" t="s">
        <v>90</v>
      </c>
      <c r="G96" s="1" t="s">
        <v>91</v>
      </c>
      <c r="H96" s="1" t="s">
        <v>92</v>
      </c>
      <c r="I96" s="1" t="s">
        <v>324</v>
      </c>
      <c r="J96" s="1" t="s">
        <v>325</v>
      </c>
      <c r="K96" s="1" t="s">
        <v>325</v>
      </c>
      <c r="M96" s="4">
        <v>-2.0</v>
      </c>
      <c r="O96" s="4">
        <v>17.483866666666668</v>
      </c>
    </row>
    <row r="97">
      <c r="A97" s="5">
        <v>45527.0</v>
      </c>
      <c r="B97" s="1" t="s">
        <v>95</v>
      </c>
      <c r="C97" s="1" t="s">
        <v>89</v>
      </c>
      <c r="D97" s="4">
        <v>418.0</v>
      </c>
      <c r="E97" s="4">
        <v>0.0</v>
      </c>
      <c r="G97" s="1" t="s">
        <v>91</v>
      </c>
      <c r="H97" s="1" t="s">
        <v>92</v>
      </c>
      <c r="I97" s="1" t="s">
        <v>326</v>
      </c>
      <c r="J97" s="1" t="s">
        <v>327</v>
      </c>
      <c r="K97" s="1" t="s">
        <v>327</v>
      </c>
      <c r="M97" s="4">
        <v>-2.0</v>
      </c>
      <c r="O97" s="4">
        <v>6.77295</v>
      </c>
    </row>
    <row r="98">
      <c r="A98" s="5">
        <v>45527.0</v>
      </c>
      <c r="B98" s="1" t="s">
        <v>95</v>
      </c>
      <c r="C98" s="1" t="s">
        <v>89</v>
      </c>
      <c r="D98" s="4">
        <v>528.0</v>
      </c>
      <c r="E98" s="4">
        <v>0.0</v>
      </c>
      <c r="G98" s="1" t="s">
        <v>91</v>
      </c>
      <c r="H98" s="1" t="s">
        <v>92</v>
      </c>
      <c r="I98" s="1" t="s">
        <v>328</v>
      </c>
      <c r="J98" s="1" t="s">
        <v>329</v>
      </c>
      <c r="K98" s="1" t="s">
        <v>329</v>
      </c>
      <c r="M98" s="4">
        <v>0.0</v>
      </c>
      <c r="O98" s="4">
        <v>9.594733333333334</v>
      </c>
    </row>
    <row r="99">
      <c r="A99" s="5">
        <v>45527.0</v>
      </c>
      <c r="B99" s="1" t="s">
        <v>116</v>
      </c>
      <c r="C99" s="1" t="s">
        <v>107</v>
      </c>
      <c r="D99" s="4">
        <v>553.0</v>
      </c>
      <c r="E99" s="4">
        <v>0.0</v>
      </c>
      <c r="F99" s="1" t="s">
        <v>174</v>
      </c>
      <c r="G99" s="1" t="s">
        <v>175</v>
      </c>
      <c r="H99" s="1" t="s">
        <v>96</v>
      </c>
      <c r="I99" s="1" t="s">
        <v>330</v>
      </c>
      <c r="J99" s="1" t="s">
        <v>331</v>
      </c>
      <c r="K99" s="1" t="s">
        <v>332</v>
      </c>
      <c r="L99" s="1" t="s">
        <v>333</v>
      </c>
      <c r="M99" s="4">
        <v>15.0</v>
      </c>
      <c r="N99" s="4">
        <v>0.0117</v>
      </c>
      <c r="O99" s="4">
        <v>39.47345</v>
      </c>
    </row>
    <row r="100">
      <c r="A100" s="5">
        <v>45527.0</v>
      </c>
      <c r="B100" s="1" t="s">
        <v>95</v>
      </c>
      <c r="C100" s="1" t="s">
        <v>89</v>
      </c>
      <c r="D100" s="4">
        <v>733.0</v>
      </c>
      <c r="E100" s="4">
        <v>0.0</v>
      </c>
      <c r="G100" s="1" t="s">
        <v>91</v>
      </c>
      <c r="H100" s="1" t="s">
        <v>92</v>
      </c>
      <c r="I100" s="1" t="s">
        <v>334</v>
      </c>
      <c r="J100" s="1" t="s">
        <v>335</v>
      </c>
      <c r="K100" s="1" t="s">
        <v>335</v>
      </c>
      <c r="M100" s="4">
        <v>2.0</v>
      </c>
      <c r="O100" s="4">
        <v>13.543616666666667</v>
      </c>
    </row>
    <row r="101">
      <c r="A101" s="5">
        <v>45527.0</v>
      </c>
      <c r="B101" s="1" t="s">
        <v>88</v>
      </c>
      <c r="C101" s="1" t="s">
        <v>107</v>
      </c>
      <c r="D101" s="4">
        <v>394.0</v>
      </c>
      <c r="E101" s="4">
        <v>0.0</v>
      </c>
      <c r="F101" s="1" t="s">
        <v>90</v>
      </c>
      <c r="G101" s="1" t="s">
        <v>91</v>
      </c>
      <c r="H101" s="1" t="s">
        <v>92</v>
      </c>
      <c r="I101" s="1" t="s">
        <v>336</v>
      </c>
      <c r="J101" s="1" t="s">
        <v>337</v>
      </c>
      <c r="K101" s="1" t="s">
        <v>337</v>
      </c>
      <c r="M101" s="4">
        <v>-5.0</v>
      </c>
      <c r="O101" s="4">
        <v>9.408216666666666</v>
      </c>
    </row>
    <row r="102">
      <c r="A102" s="5">
        <v>45527.0</v>
      </c>
      <c r="B102" s="1" t="s">
        <v>88</v>
      </c>
      <c r="C102" s="1" t="s">
        <v>107</v>
      </c>
      <c r="D102" s="4">
        <v>394.0</v>
      </c>
      <c r="E102" s="4">
        <v>0.0</v>
      </c>
      <c r="F102" s="1" t="s">
        <v>90</v>
      </c>
      <c r="G102" s="1" t="s">
        <v>91</v>
      </c>
      <c r="H102" s="1" t="s">
        <v>92</v>
      </c>
      <c r="I102" s="1" t="s">
        <v>338</v>
      </c>
      <c r="J102" s="1" t="s">
        <v>339</v>
      </c>
      <c r="K102" s="1" t="s">
        <v>339</v>
      </c>
      <c r="M102" s="4">
        <v>0.0</v>
      </c>
      <c r="O102" s="4">
        <v>14.35355</v>
      </c>
    </row>
    <row r="103">
      <c r="A103" s="5">
        <v>45527.0</v>
      </c>
      <c r="B103" s="1" t="s">
        <v>116</v>
      </c>
      <c r="C103" s="1" t="s">
        <v>107</v>
      </c>
      <c r="D103" s="4">
        <v>683.0</v>
      </c>
      <c r="E103" s="4">
        <v>0.0</v>
      </c>
      <c r="F103" s="1" t="s">
        <v>90</v>
      </c>
      <c r="G103" s="1" t="s">
        <v>175</v>
      </c>
      <c r="H103" s="1" t="s">
        <v>92</v>
      </c>
      <c r="I103" s="1" t="s">
        <v>340</v>
      </c>
      <c r="J103" s="1" t="s">
        <v>341</v>
      </c>
      <c r="K103" s="1" t="s">
        <v>342</v>
      </c>
      <c r="L103" s="1" t="s">
        <v>343</v>
      </c>
      <c r="M103" s="4">
        <v>9.0</v>
      </c>
      <c r="N103" s="4">
        <v>19.82065</v>
      </c>
      <c r="O103" s="4">
        <v>18.756616666666666</v>
      </c>
    </row>
    <row r="104">
      <c r="A104" s="5">
        <v>45527.0</v>
      </c>
      <c r="B104" s="1" t="s">
        <v>95</v>
      </c>
      <c r="C104" s="1" t="s">
        <v>89</v>
      </c>
      <c r="D104" s="4">
        <v>593.0</v>
      </c>
      <c r="E104" s="4">
        <v>0.0</v>
      </c>
      <c r="G104" s="1" t="s">
        <v>91</v>
      </c>
      <c r="H104" s="1" t="s">
        <v>92</v>
      </c>
      <c r="I104" s="1" t="s">
        <v>344</v>
      </c>
      <c r="J104" s="1" t="s">
        <v>345</v>
      </c>
      <c r="K104" s="1" t="s">
        <v>345</v>
      </c>
      <c r="M104" s="4">
        <v>4.0</v>
      </c>
      <c r="O104" s="4">
        <v>14.024883333333333</v>
      </c>
    </row>
    <row r="105">
      <c r="A105" s="5">
        <v>45527.0</v>
      </c>
      <c r="B105" s="1" t="s">
        <v>88</v>
      </c>
      <c r="C105" s="1" t="s">
        <v>107</v>
      </c>
      <c r="D105" s="4">
        <v>807.0</v>
      </c>
      <c r="E105" s="4">
        <v>0.0</v>
      </c>
      <c r="F105" s="1" t="s">
        <v>90</v>
      </c>
      <c r="G105" s="1" t="s">
        <v>91</v>
      </c>
      <c r="H105" s="1" t="s">
        <v>92</v>
      </c>
      <c r="I105" s="1" t="s">
        <v>346</v>
      </c>
      <c r="J105" s="1" t="s">
        <v>347</v>
      </c>
      <c r="K105" s="1" t="s">
        <v>347</v>
      </c>
      <c r="M105" s="4">
        <v>1.0</v>
      </c>
      <c r="O105" s="4">
        <v>21.3944</v>
      </c>
    </row>
    <row r="106">
      <c r="A106" s="5">
        <v>45527.0</v>
      </c>
      <c r="B106" s="1" t="s">
        <v>88</v>
      </c>
      <c r="C106" s="1" t="s">
        <v>107</v>
      </c>
      <c r="D106" s="4">
        <v>386.0</v>
      </c>
      <c r="E106" s="4">
        <v>0.0</v>
      </c>
      <c r="F106" s="1" t="s">
        <v>90</v>
      </c>
      <c r="G106" s="1" t="s">
        <v>91</v>
      </c>
      <c r="H106" s="1" t="s">
        <v>92</v>
      </c>
      <c r="I106" s="1" t="s">
        <v>348</v>
      </c>
      <c r="J106" s="1" t="s">
        <v>349</v>
      </c>
      <c r="K106" s="1" t="s">
        <v>349</v>
      </c>
      <c r="M106" s="4">
        <v>-4.0</v>
      </c>
      <c r="O106" s="4">
        <v>10.092433333333334</v>
      </c>
    </row>
    <row r="107">
      <c r="A107" s="5">
        <v>45527.0</v>
      </c>
      <c r="B107" s="1" t="s">
        <v>103</v>
      </c>
      <c r="C107" s="1" t="s">
        <v>89</v>
      </c>
      <c r="D107" s="4">
        <v>658.0</v>
      </c>
      <c r="E107" s="4">
        <v>0.0</v>
      </c>
      <c r="F107" s="1" t="s">
        <v>350</v>
      </c>
      <c r="G107" s="1" t="s">
        <v>91</v>
      </c>
      <c r="H107" s="1" t="s">
        <v>92</v>
      </c>
      <c r="I107" s="1" t="s">
        <v>351</v>
      </c>
      <c r="J107" s="1" t="s">
        <v>352</v>
      </c>
      <c r="K107" s="1" t="s">
        <v>352</v>
      </c>
      <c r="M107" s="4">
        <v>-2.0</v>
      </c>
      <c r="O107" s="4">
        <v>17.86485</v>
      </c>
    </row>
    <row r="108">
      <c r="A108" s="5">
        <v>45527.0</v>
      </c>
      <c r="B108" s="1" t="s">
        <v>103</v>
      </c>
      <c r="C108" s="1" t="s">
        <v>89</v>
      </c>
      <c r="D108" s="4">
        <v>264.0</v>
      </c>
      <c r="E108" s="4">
        <v>0.0</v>
      </c>
      <c r="F108" s="1" t="s">
        <v>353</v>
      </c>
      <c r="G108" s="1" t="s">
        <v>91</v>
      </c>
      <c r="H108" s="1" t="s">
        <v>92</v>
      </c>
      <c r="I108" s="1" t="s">
        <v>354</v>
      </c>
      <c r="J108" s="1" t="s">
        <v>355</v>
      </c>
      <c r="K108" s="1" t="s">
        <v>355</v>
      </c>
      <c r="M108" s="4">
        <v>-4.0</v>
      </c>
      <c r="O108" s="4">
        <v>10.632616666666667</v>
      </c>
    </row>
    <row r="109">
      <c r="A109" s="5">
        <v>45527.0</v>
      </c>
      <c r="B109" s="1" t="s">
        <v>116</v>
      </c>
      <c r="C109" s="1" t="s">
        <v>107</v>
      </c>
      <c r="D109" s="4">
        <v>199.0</v>
      </c>
      <c r="E109" s="4">
        <v>50.0</v>
      </c>
      <c r="G109" s="1" t="s">
        <v>111</v>
      </c>
      <c r="H109" s="1" t="s">
        <v>96</v>
      </c>
      <c r="I109" s="1" t="s">
        <v>356</v>
      </c>
      <c r="J109" s="1" t="s">
        <v>357</v>
      </c>
      <c r="K109" s="1" t="s">
        <v>357</v>
      </c>
      <c r="M109" s="4">
        <v>-4.0</v>
      </c>
      <c r="O109" s="4">
        <v>15.130616666666667</v>
      </c>
    </row>
    <row r="110">
      <c r="A110" s="5">
        <v>45527.0</v>
      </c>
      <c r="B110" s="1" t="s">
        <v>110</v>
      </c>
      <c r="C110" s="1" t="s">
        <v>107</v>
      </c>
      <c r="D110" s="4">
        <v>1122.0</v>
      </c>
      <c r="E110" s="4">
        <v>0.0</v>
      </c>
      <c r="F110" s="1" t="s">
        <v>174</v>
      </c>
      <c r="G110" s="1" t="s">
        <v>175</v>
      </c>
      <c r="H110" s="1" t="s">
        <v>96</v>
      </c>
      <c r="I110" s="1" t="s">
        <v>358</v>
      </c>
      <c r="J110" s="1" t="s">
        <v>359</v>
      </c>
      <c r="K110" s="1" t="s">
        <v>360</v>
      </c>
      <c r="L110" s="1" t="s">
        <v>361</v>
      </c>
      <c r="M110" s="4">
        <v>2.0</v>
      </c>
      <c r="N110" s="4">
        <v>0.0123</v>
      </c>
      <c r="O110" s="4">
        <v>15.842183333333333</v>
      </c>
    </row>
    <row r="111">
      <c r="A111" s="5">
        <v>45527.0</v>
      </c>
      <c r="B111" s="1" t="s">
        <v>103</v>
      </c>
      <c r="C111" s="1" t="s">
        <v>89</v>
      </c>
      <c r="D111" s="4">
        <v>928.0</v>
      </c>
      <c r="E111" s="4">
        <v>0.0</v>
      </c>
      <c r="F111" s="1" t="s">
        <v>362</v>
      </c>
      <c r="G111" s="1" t="s">
        <v>91</v>
      </c>
      <c r="H111" s="1" t="s">
        <v>92</v>
      </c>
      <c r="I111" s="1" t="s">
        <v>363</v>
      </c>
      <c r="J111" s="1" t="s">
        <v>364</v>
      </c>
      <c r="K111" s="1" t="s">
        <v>364</v>
      </c>
      <c r="M111" s="4">
        <v>-6.0</v>
      </c>
      <c r="O111" s="4">
        <v>13.534566666666667</v>
      </c>
    </row>
    <row r="112">
      <c r="A112" s="5">
        <v>45527.0</v>
      </c>
      <c r="B112" s="1" t="s">
        <v>95</v>
      </c>
      <c r="C112" s="1" t="s">
        <v>89</v>
      </c>
      <c r="D112" s="4">
        <v>329.0</v>
      </c>
      <c r="E112" s="4">
        <v>0.0</v>
      </c>
      <c r="G112" s="1" t="s">
        <v>91</v>
      </c>
      <c r="H112" s="1" t="s">
        <v>92</v>
      </c>
      <c r="I112" s="1" t="s">
        <v>365</v>
      </c>
      <c r="J112" s="1" t="s">
        <v>366</v>
      </c>
      <c r="K112" s="1" t="s">
        <v>366</v>
      </c>
      <c r="M112" s="4">
        <v>0.0</v>
      </c>
      <c r="O112" s="4">
        <v>7.70885</v>
      </c>
    </row>
    <row r="113">
      <c r="A113" s="5">
        <v>45527.0</v>
      </c>
      <c r="B113" s="1" t="s">
        <v>103</v>
      </c>
      <c r="C113" s="1" t="s">
        <v>89</v>
      </c>
      <c r="D113" s="4">
        <v>394.0</v>
      </c>
      <c r="E113" s="4">
        <v>0.0</v>
      </c>
      <c r="F113" s="1" t="s">
        <v>367</v>
      </c>
      <c r="G113" s="1" t="s">
        <v>91</v>
      </c>
      <c r="H113" s="1" t="s">
        <v>92</v>
      </c>
      <c r="I113" s="1" t="s">
        <v>368</v>
      </c>
      <c r="J113" s="1" t="s">
        <v>369</v>
      </c>
      <c r="K113" s="1" t="s">
        <v>369</v>
      </c>
      <c r="M113" s="4">
        <v>-4.0</v>
      </c>
      <c r="O113" s="4">
        <v>10.348616666666667</v>
      </c>
    </row>
    <row r="114">
      <c r="A114" s="5">
        <v>45527.0</v>
      </c>
      <c r="B114" s="1" t="s">
        <v>103</v>
      </c>
      <c r="C114" s="1" t="s">
        <v>89</v>
      </c>
      <c r="D114" s="4">
        <v>313.0</v>
      </c>
      <c r="E114" s="4">
        <v>0.0</v>
      </c>
      <c r="F114" s="1" t="s">
        <v>122</v>
      </c>
      <c r="G114" s="1" t="s">
        <v>91</v>
      </c>
      <c r="H114" s="1" t="s">
        <v>92</v>
      </c>
      <c r="I114" s="1" t="s">
        <v>370</v>
      </c>
      <c r="J114" s="1" t="s">
        <v>371</v>
      </c>
      <c r="K114" s="1" t="s">
        <v>371</v>
      </c>
      <c r="M114" s="4">
        <v>-7.0</v>
      </c>
      <c r="O114" s="4">
        <v>7.065066666666667</v>
      </c>
    </row>
    <row r="115">
      <c r="A115" s="5">
        <v>45527.0</v>
      </c>
      <c r="B115" s="1" t="s">
        <v>88</v>
      </c>
      <c r="C115" s="1" t="s">
        <v>107</v>
      </c>
      <c r="D115" s="4">
        <v>369.0</v>
      </c>
      <c r="E115" s="4">
        <v>0.0</v>
      </c>
      <c r="F115" s="1" t="s">
        <v>90</v>
      </c>
      <c r="G115" s="1" t="s">
        <v>91</v>
      </c>
      <c r="H115" s="1" t="s">
        <v>92</v>
      </c>
      <c r="I115" s="1" t="s">
        <v>372</v>
      </c>
      <c r="J115" s="1" t="s">
        <v>373</v>
      </c>
      <c r="K115" s="1" t="s">
        <v>373</v>
      </c>
      <c r="M115" s="4">
        <v>-7.0</v>
      </c>
      <c r="O115" s="4">
        <v>7.417466666666667</v>
      </c>
    </row>
    <row r="116">
      <c r="A116" s="5">
        <v>45527.0</v>
      </c>
      <c r="B116" s="1" t="s">
        <v>116</v>
      </c>
      <c r="C116" s="1" t="s">
        <v>107</v>
      </c>
      <c r="D116" s="4">
        <v>398.0</v>
      </c>
      <c r="E116" s="4">
        <v>100.0</v>
      </c>
      <c r="G116" s="1" t="s">
        <v>111</v>
      </c>
      <c r="H116" s="1" t="s">
        <v>194</v>
      </c>
      <c r="I116" s="1" t="s">
        <v>374</v>
      </c>
      <c r="J116" s="1" t="s">
        <v>375</v>
      </c>
      <c r="K116" s="1" t="s">
        <v>375</v>
      </c>
      <c r="M116" s="4">
        <v>-9.0</v>
      </c>
      <c r="O116" s="4">
        <v>56.55238333333333</v>
      </c>
    </row>
    <row r="117">
      <c r="A117" s="5">
        <v>45527.0</v>
      </c>
      <c r="B117" s="1" t="s">
        <v>116</v>
      </c>
      <c r="C117" s="1" t="s">
        <v>107</v>
      </c>
      <c r="D117" s="4">
        <v>239.0</v>
      </c>
      <c r="E117" s="4">
        <v>55.0</v>
      </c>
      <c r="G117" s="1" t="s">
        <v>111</v>
      </c>
      <c r="H117" s="1" t="s">
        <v>92</v>
      </c>
      <c r="I117" s="1" t="s">
        <v>376</v>
      </c>
      <c r="J117" s="1" t="s">
        <v>377</v>
      </c>
      <c r="K117" s="1" t="s">
        <v>377</v>
      </c>
      <c r="M117" s="4">
        <v>-10.0</v>
      </c>
      <c r="O117" s="4">
        <v>6.78805</v>
      </c>
    </row>
    <row r="118">
      <c r="A118" s="5">
        <v>45527.0</v>
      </c>
      <c r="B118" s="1" t="s">
        <v>116</v>
      </c>
      <c r="C118" s="1" t="s">
        <v>107</v>
      </c>
      <c r="D118" s="4">
        <v>388.0</v>
      </c>
      <c r="E118" s="4">
        <v>0.0</v>
      </c>
      <c r="F118" s="1" t="s">
        <v>90</v>
      </c>
      <c r="G118" s="1" t="s">
        <v>175</v>
      </c>
      <c r="H118" s="1" t="s">
        <v>92</v>
      </c>
      <c r="I118" s="1" t="s">
        <v>378</v>
      </c>
      <c r="J118" s="1" t="s">
        <v>379</v>
      </c>
      <c r="K118" s="1" t="s">
        <v>380</v>
      </c>
      <c r="L118" s="1" t="s">
        <v>381</v>
      </c>
      <c r="M118" s="4">
        <v>6.0</v>
      </c>
      <c r="N118" s="4">
        <v>6.86115</v>
      </c>
      <c r="O118" s="4">
        <v>8.221483333333333</v>
      </c>
    </row>
    <row r="119">
      <c r="A119" s="5">
        <v>45527.0</v>
      </c>
      <c r="B119" s="1" t="s">
        <v>88</v>
      </c>
      <c r="C119" s="1" t="s">
        <v>107</v>
      </c>
      <c r="D119" s="4">
        <v>647.0</v>
      </c>
      <c r="E119" s="4">
        <v>0.0</v>
      </c>
      <c r="F119" s="1" t="s">
        <v>90</v>
      </c>
      <c r="G119" s="1" t="s">
        <v>91</v>
      </c>
      <c r="H119" s="1" t="s">
        <v>92</v>
      </c>
      <c r="I119" s="1" t="s">
        <v>382</v>
      </c>
      <c r="J119" s="1" t="s">
        <v>383</v>
      </c>
      <c r="K119" s="1" t="s">
        <v>383</v>
      </c>
      <c r="M119" s="4">
        <v>-11.0</v>
      </c>
      <c r="O119" s="4">
        <v>8.5346</v>
      </c>
    </row>
    <row r="120">
      <c r="A120" s="5">
        <v>45527.0</v>
      </c>
      <c r="B120" s="1" t="s">
        <v>88</v>
      </c>
      <c r="C120" s="1" t="s">
        <v>107</v>
      </c>
      <c r="D120" s="4">
        <v>336.0</v>
      </c>
      <c r="E120" s="4">
        <v>0.0</v>
      </c>
      <c r="F120" s="1" t="s">
        <v>90</v>
      </c>
      <c r="G120" s="1" t="s">
        <v>91</v>
      </c>
      <c r="H120" s="1" t="s">
        <v>92</v>
      </c>
      <c r="I120" s="1" t="s">
        <v>384</v>
      </c>
      <c r="J120" s="1" t="s">
        <v>385</v>
      </c>
      <c r="K120" s="1" t="s">
        <v>385</v>
      </c>
      <c r="M120" s="4">
        <v>-7.0</v>
      </c>
      <c r="O120" s="4">
        <v>7.254</v>
      </c>
    </row>
    <row r="121">
      <c r="A121" s="5">
        <v>45527.0</v>
      </c>
      <c r="B121" s="1" t="s">
        <v>116</v>
      </c>
      <c r="C121" s="1" t="s">
        <v>107</v>
      </c>
      <c r="D121" s="4">
        <v>638.0</v>
      </c>
      <c r="E121" s="4">
        <v>0.0</v>
      </c>
      <c r="F121" s="1" t="s">
        <v>386</v>
      </c>
      <c r="G121" s="1" t="s">
        <v>175</v>
      </c>
      <c r="H121" s="1" t="s">
        <v>92</v>
      </c>
      <c r="I121" s="1" t="s">
        <v>387</v>
      </c>
      <c r="J121" s="1" t="s">
        <v>388</v>
      </c>
      <c r="K121" s="1" t="s">
        <v>389</v>
      </c>
      <c r="L121" s="1" t="s">
        <v>390</v>
      </c>
      <c r="M121" s="4">
        <v>-2.0</v>
      </c>
      <c r="N121" s="4">
        <v>0.0106</v>
      </c>
      <c r="O121" s="4">
        <v>8.430916666666667</v>
      </c>
    </row>
    <row r="122">
      <c r="A122" s="5">
        <v>45527.0</v>
      </c>
      <c r="B122" s="1" t="s">
        <v>95</v>
      </c>
      <c r="C122" s="1" t="s">
        <v>89</v>
      </c>
      <c r="D122" s="4">
        <v>321.0</v>
      </c>
      <c r="E122" s="4">
        <v>0.0</v>
      </c>
      <c r="G122" s="1" t="s">
        <v>91</v>
      </c>
      <c r="H122" s="1" t="s">
        <v>92</v>
      </c>
      <c r="I122" s="1" t="s">
        <v>391</v>
      </c>
      <c r="J122" s="1" t="s">
        <v>392</v>
      </c>
      <c r="K122" s="1" t="s">
        <v>392</v>
      </c>
      <c r="M122" s="4">
        <v>0.0</v>
      </c>
      <c r="O122" s="4">
        <v>7.566416666666667</v>
      </c>
    </row>
    <row r="123">
      <c r="A123" s="5">
        <v>45527.0</v>
      </c>
      <c r="B123" s="1" t="s">
        <v>95</v>
      </c>
      <c r="C123" s="1" t="s">
        <v>107</v>
      </c>
      <c r="D123" s="4">
        <v>329.0</v>
      </c>
      <c r="E123" s="4">
        <v>0.0</v>
      </c>
      <c r="G123" s="1" t="s">
        <v>91</v>
      </c>
      <c r="H123" s="1" t="s">
        <v>92</v>
      </c>
      <c r="I123" s="1" t="s">
        <v>393</v>
      </c>
      <c r="J123" s="1" t="s">
        <v>394</v>
      </c>
      <c r="K123" s="1" t="s">
        <v>394</v>
      </c>
      <c r="M123" s="4">
        <v>-2.0</v>
      </c>
      <c r="O123" s="4">
        <v>5.896816666666667</v>
      </c>
    </row>
    <row r="124">
      <c r="A124" s="5">
        <v>45527.0</v>
      </c>
      <c r="B124" s="1" t="s">
        <v>95</v>
      </c>
      <c r="C124" s="1" t="s">
        <v>107</v>
      </c>
      <c r="D124" s="4">
        <v>249.0</v>
      </c>
      <c r="E124" s="4">
        <v>50.0</v>
      </c>
      <c r="G124" s="1" t="s">
        <v>91</v>
      </c>
      <c r="H124" s="1" t="s">
        <v>92</v>
      </c>
      <c r="I124" s="1" t="s">
        <v>395</v>
      </c>
      <c r="J124" s="1" t="s">
        <v>396</v>
      </c>
      <c r="K124" s="1" t="s">
        <v>396</v>
      </c>
      <c r="M124" s="4">
        <v>0.0</v>
      </c>
      <c r="O124" s="4">
        <v>6.554516666666666</v>
      </c>
    </row>
    <row r="125">
      <c r="A125" s="5">
        <v>45527.0</v>
      </c>
      <c r="B125" s="1" t="s">
        <v>116</v>
      </c>
      <c r="C125" s="1" t="s">
        <v>107</v>
      </c>
      <c r="D125" s="4">
        <v>367.0</v>
      </c>
      <c r="E125" s="4">
        <v>0.0</v>
      </c>
      <c r="F125" s="1" t="s">
        <v>386</v>
      </c>
      <c r="G125" s="1" t="s">
        <v>175</v>
      </c>
      <c r="H125" s="1" t="s">
        <v>96</v>
      </c>
      <c r="I125" s="1" t="s">
        <v>397</v>
      </c>
      <c r="J125" s="1" t="s">
        <v>398</v>
      </c>
      <c r="K125" s="1" t="s">
        <v>399</v>
      </c>
      <c r="L125" s="1" t="s">
        <v>400</v>
      </c>
      <c r="M125" s="4">
        <v>-19.0</v>
      </c>
      <c r="N125" s="4">
        <v>0.008433333333333333</v>
      </c>
      <c r="O125" s="4">
        <v>9.581716666666667</v>
      </c>
    </row>
    <row r="126">
      <c r="A126" s="5">
        <v>45527.0</v>
      </c>
      <c r="B126" s="1" t="s">
        <v>88</v>
      </c>
      <c r="C126" s="1" t="s">
        <v>107</v>
      </c>
      <c r="D126" s="4">
        <v>378.0</v>
      </c>
      <c r="E126" s="4">
        <v>0.0</v>
      </c>
      <c r="F126" s="1" t="s">
        <v>90</v>
      </c>
      <c r="G126" s="1" t="s">
        <v>91</v>
      </c>
      <c r="H126" s="1" t="s">
        <v>92</v>
      </c>
      <c r="I126" s="1" t="s">
        <v>401</v>
      </c>
      <c r="J126" s="1" t="s">
        <v>402</v>
      </c>
      <c r="K126" s="1" t="s">
        <v>402</v>
      </c>
      <c r="M126" s="4">
        <v>-9.0</v>
      </c>
      <c r="O126" s="4">
        <v>5.2669</v>
      </c>
    </row>
    <row r="127">
      <c r="A127" s="5">
        <v>45527.0</v>
      </c>
      <c r="B127" s="1" t="s">
        <v>116</v>
      </c>
      <c r="C127" s="1" t="s">
        <v>107</v>
      </c>
      <c r="D127" s="4">
        <v>199.0</v>
      </c>
      <c r="E127" s="4">
        <v>50.0</v>
      </c>
      <c r="G127" s="1" t="s">
        <v>111</v>
      </c>
      <c r="H127" s="1" t="s">
        <v>96</v>
      </c>
      <c r="I127" s="1" t="s">
        <v>403</v>
      </c>
      <c r="J127" s="1" t="s">
        <v>404</v>
      </c>
      <c r="K127" s="1" t="s">
        <v>404</v>
      </c>
      <c r="M127" s="4">
        <v>-14.0</v>
      </c>
      <c r="O127" s="4">
        <v>4.91625</v>
      </c>
    </row>
    <row r="128">
      <c r="A128" s="5">
        <v>45527.0</v>
      </c>
      <c r="B128" s="1" t="s">
        <v>88</v>
      </c>
      <c r="C128" s="1" t="s">
        <v>107</v>
      </c>
      <c r="D128" s="4">
        <v>353.0</v>
      </c>
      <c r="E128" s="4">
        <v>0.0</v>
      </c>
      <c r="F128" s="1" t="s">
        <v>90</v>
      </c>
      <c r="G128" s="1" t="s">
        <v>91</v>
      </c>
      <c r="H128" s="1" t="s">
        <v>92</v>
      </c>
      <c r="I128" s="1" t="s">
        <v>405</v>
      </c>
      <c r="J128" s="1" t="s">
        <v>406</v>
      </c>
      <c r="K128" s="1" t="s">
        <v>406</v>
      </c>
      <c r="M128" s="4">
        <v>-11.0</v>
      </c>
      <c r="O128" s="4">
        <v>3.2787166666666665</v>
      </c>
    </row>
    <row r="129">
      <c r="A129" s="5">
        <v>45527.0</v>
      </c>
      <c r="B129" s="1" t="s">
        <v>88</v>
      </c>
      <c r="C129" s="1" t="s">
        <v>107</v>
      </c>
      <c r="D129" s="4">
        <v>329.0</v>
      </c>
      <c r="E129" s="4">
        <v>0.0</v>
      </c>
      <c r="F129" s="1" t="s">
        <v>90</v>
      </c>
      <c r="G129" s="1" t="s">
        <v>91</v>
      </c>
      <c r="H129" s="1" t="s">
        <v>92</v>
      </c>
      <c r="I129" s="1" t="s">
        <v>407</v>
      </c>
      <c r="J129" s="1" t="s">
        <v>408</v>
      </c>
      <c r="K129" s="1" t="s">
        <v>408</v>
      </c>
      <c r="M129" s="4">
        <v>-7.0</v>
      </c>
      <c r="O129" s="4">
        <v>7.393816666666667</v>
      </c>
    </row>
    <row r="130">
      <c r="A130" s="5">
        <v>45527.0</v>
      </c>
      <c r="B130" s="1" t="s">
        <v>88</v>
      </c>
      <c r="C130" s="1" t="s">
        <v>107</v>
      </c>
      <c r="D130" s="4">
        <v>264.0</v>
      </c>
      <c r="E130" s="4">
        <v>0.0</v>
      </c>
      <c r="F130" s="1" t="s">
        <v>90</v>
      </c>
      <c r="G130" s="1" t="s">
        <v>91</v>
      </c>
      <c r="H130" s="1" t="s">
        <v>92</v>
      </c>
      <c r="I130" s="1" t="s">
        <v>409</v>
      </c>
      <c r="J130" s="1" t="s">
        <v>410</v>
      </c>
      <c r="K130" s="1" t="s">
        <v>410</v>
      </c>
      <c r="M130" s="4">
        <v>-8.0</v>
      </c>
      <c r="O130" s="4">
        <v>6.969033333333333</v>
      </c>
    </row>
    <row r="131">
      <c r="A131" s="5">
        <v>45527.0</v>
      </c>
      <c r="B131" s="1" t="s">
        <v>110</v>
      </c>
      <c r="C131" s="1" t="s">
        <v>107</v>
      </c>
      <c r="D131" s="4">
        <v>124.5</v>
      </c>
      <c r="E131" s="4">
        <v>124.5</v>
      </c>
      <c r="G131" s="1" t="s">
        <v>111</v>
      </c>
      <c r="H131" s="1" t="s">
        <v>96</v>
      </c>
      <c r="I131" s="1" t="s">
        <v>411</v>
      </c>
      <c r="J131" s="1" t="s">
        <v>412</v>
      </c>
      <c r="K131" s="1" t="s">
        <v>412</v>
      </c>
      <c r="M131" s="4">
        <v>1.0</v>
      </c>
      <c r="O131" s="4">
        <v>6.33285</v>
      </c>
    </row>
    <row r="132">
      <c r="A132" s="5">
        <v>45527.0</v>
      </c>
      <c r="B132" s="1" t="s">
        <v>110</v>
      </c>
      <c r="C132" s="1" t="s">
        <v>107</v>
      </c>
      <c r="D132" s="4">
        <v>249.0</v>
      </c>
      <c r="E132" s="4">
        <v>0.0</v>
      </c>
      <c r="G132" s="1" t="s">
        <v>111</v>
      </c>
      <c r="H132" s="1" t="s">
        <v>96</v>
      </c>
      <c r="I132" s="1" t="s">
        <v>413</v>
      </c>
      <c r="J132" s="1" t="s">
        <v>414</v>
      </c>
      <c r="K132" s="1" t="s">
        <v>414</v>
      </c>
      <c r="M132" s="4">
        <v>1.0</v>
      </c>
      <c r="O132" s="4">
        <v>6.246333333333333</v>
      </c>
    </row>
    <row r="133">
      <c r="A133" s="5">
        <v>45527.0</v>
      </c>
      <c r="B133" s="1" t="s">
        <v>116</v>
      </c>
      <c r="C133" s="1" t="s">
        <v>107</v>
      </c>
      <c r="D133" s="4">
        <v>513.0</v>
      </c>
      <c r="E133" s="4">
        <v>61.0</v>
      </c>
      <c r="G133" s="1" t="s">
        <v>111</v>
      </c>
      <c r="H133" s="1" t="s">
        <v>96</v>
      </c>
      <c r="I133" s="1" t="s">
        <v>415</v>
      </c>
      <c r="J133" s="1" t="s">
        <v>416</v>
      </c>
      <c r="K133" s="1" t="s">
        <v>416</v>
      </c>
      <c r="M133" s="4">
        <v>-15.0</v>
      </c>
      <c r="O133" s="4">
        <v>8.65245</v>
      </c>
    </row>
    <row r="134">
      <c r="A134" s="5">
        <v>45527.0</v>
      </c>
      <c r="B134" s="1" t="s">
        <v>88</v>
      </c>
      <c r="C134" s="1" t="s">
        <v>107</v>
      </c>
      <c r="D134" s="4">
        <v>474.0</v>
      </c>
      <c r="E134" s="4">
        <v>0.0</v>
      </c>
      <c r="F134" s="1" t="s">
        <v>90</v>
      </c>
      <c r="G134" s="1" t="s">
        <v>91</v>
      </c>
      <c r="H134" s="1" t="s">
        <v>92</v>
      </c>
      <c r="I134" s="1" t="s">
        <v>417</v>
      </c>
      <c r="J134" s="1" t="s">
        <v>418</v>
      </c>
      <c r="K134" s="1" t="s">
        <v>418</v>
      </c>
      <c r="M134" s="4">
        <v>-5.0</v>
      </c>
      <c r="O134" s="4">
        <v>9.1694</v>
      </c>
    </row>
    <row r="135">
      <c r="A135" s="5">
        <v>45527.0</v>
      </c>
      <c r="B135" s="1" t="s">
        <v>88</v>
      </c>
      <c r="C135" s="1" t="s">
        <v>107</v>
      </c>
      <c r="D135" s="4">
        <v>1686.0</v>
      </c>
      <c r="E135" s="4">
        <v>0.0</v>
      </c>
      <c r="F135" s="1" t="s">
        <v>90</v>
      </c>
      <c r="G135" s="1" t="s">
        <v>91</v>
      </c>
      <c r="H135" s="1" t="s">
        <v>92</v>
      </c>
      <c r="I135" s="1" t="s">
        <v>419</v>
      </c>
      <c r="J135" s="1" t="s">
        <v>420</v>
      </c>
      <c r="K135" s="1" t="s">
        <v>420</v>
      </c>
      <c r="M135" s="4">
        <v>0.0</v>
      </c>
      <c r="O135" s="4">
        <v>19.8868</v>
      </c>
    </row>
    <row r="136">
      <c r="A136" s="5">
        <v>45527.0</v>
      </c>
      <c r="B136" s="1" t="s">
        <v>95</v>
      </c>
      <c r="C136" s="1" t="s">
        <v>107</v>
      </c>
      <c r="D136" s="4">
        <v>485.0</v>
      </c>
      <c r="E136" s="4">
        <v>0.0</v>
      </c>
      <c r="G136" s="1" t="s">
        <v>91</v>
      </c>
      <c r="H136" s="1" t="s">
        <v>92</v>
      </c>
      <c r="I136" s="1" t="s">
        <v>421</v>
      </c>
      <c r="J136" s="1" t="s">
        <v>422</v>
      </c>
      <c r="K136" s="1" t="s">
        <v>422</v>
      </c>
      <c r="M136" s="4">
        <v>-1.0</v>
      </c>
      <c r="O136" s="4">
        <v>7.929083333333334</v>
      </c>
    </row>
    <row r="137">
      <c r="A137" s="5">
        <v>45527.0</v>
      </c>
      <c r="B137" s="1" t="s">
        <v>116</v>
      </c>
      <c r="C137" s="1" t="s">
        <v>107</v>
      </c>
      <c r="D137" s="4">
        <v>247.0</v>
      </c>
      <c r="E137" s="4">
        <v>62.0</v>
      </c>
      <c r="G137" s="1" t="s">
        <v>111</v>
      </c>
      <c r="H137" s="1" t="s">
        <v>96</v>
      </c>
      <c r="I137" s="1" t="s">
        <v>423</v>
      </c>
      <c r="J137" s="1" t="s">
        <v>424</v>
      </c>
      <c r="K137" s="1" t="s">
        <v>424</v>
      </c>
      <c r="M137" s="4">
        <v>-12.0</v>
      </c>
      <c r="O137" s="4">
        <v>6.688283333333334</v>
      </c>
    </row>
    <row r="138">
      <c r="A138" s="5">
        <v>45527.0</v>
      </c>
      <c r="B138" s="1" t="s">
        <v>116</v>
      </c>
      <c r="C138" s="1" t="s">
        <v>107</v>
      </c>
      <c r="D138" s="4">
        <v>476.0</v>
      </c>
      <c r="E138" s="4">
        <v>111.0</v>
      </c>
      <c r="G138" s="1" t="s">
        <v>111</v>
      </c>
      <c r="H138" s="1" t="s">
        <v>194</v>
      </c>
      <c r="I138" s="1" t="s">
        <v>425</v>
      </c>
      <c r="J138" s="1" t="s">
        <v>426</v>
      </c>
      <c r="K138" s="1" t="s">
        <v>426</v>
      </c>
      <c r="M138" s="4">
        <v>-10.0</v>
      </c>
      <c r="O138" s="4">
        <v>9.0846</v>
      </c>
    </row>
    <row r="139">
      <c r="A139" s="5">
        <v>45527.0</v>
      </c>
      <c r="B139" s="1" t="s">
        <v>116</v>
      </c>
      <c r="C139" s="1" t="s">
        <v>107</v>
      </c>
      <c r="D139" s="4">
        <v>119.0</v>
      </c>
      <c r="E139" s="4">
        <v>0.0</v>
      </c>
      <c r="G139" s="1" t="s">
        <v>111</v>
      </c>
      <c r="H139" s="1" t="s">
        <v>96</v>
      </c>
      <c r="I139" s="1" t="s">
        <v>427</v>
      </c>
      <c r="J139" s="1" t="s">
        <v>428</v>
      </c>
      <c r="K139" s="1" t="s">
        <v>428</v>
      </c>
      <c r="M139" s="4">
        <v>-12.0</v>
      </c>
      <c r="O139" s="4">
        <v>6.40355</v>
      </c>
    </row>
    <row r="140">
      <c r="A140" s="5">
        <v>45527.0</v>
      </c>
      <c r="B140" s="1" t="s">
        <v>88</v>
      </c>
      <c r="C140" s="1" t="s">
        <v>107</v>
      </c>
      <c r="D140" s="4">
        <v>443.0</v>
      </c>
      <c r="E140" s="4">
        <v>0.0</v>
      </c>
      <c r="F140" s="1" t="s">
        <v>90</v>
      </c>
      <c r="G140" s="1" t="s">
        <v>91</v>
      </c>
      <c r="H140" s="1" t="s">
        <v>92</v>
      </c>
      <c r="I140" s="1" t="s">
        <v>429</v>
      </c>
      <c r="J140" s="1" t="s">
        <v>430</v>
      </c>
      <c r="K140" s="1" t="s">
        <v>430</v>
      </c>
      <c r="M140" s="4">
        <v>-7.0</v>
      </c>
      <c r="O140" s="4">
        <v>7.0273666666666665</v>
      </c>
    </row>
    <row r="141">
      <c r="A141" s="5">
        <v>45527.0</v>
      </c>
      <c r="B141" s="1" t="s">
        <v>88</v>
      </c>
      <c r="C141" s="1" t="s">
        <v>107</v>
      </c>
      <c r="D141" s="4">
        <v>393.0</v>
      </c>
      <c r="E141" s="4">
        <v>0.0</v>
      </c>
      <c r="F141" s="1" t="s">
        <v>90</v>
      </c>
      <c r="G141" s="1" t="s">
        <v>91</v>
      </c>
      <c r="H141" s="1" t="s">
        <v>92</v>
      </c>
      <c r="I141" s="1" t="s">
        <v>431</v>
      </c>
      <c r="J141" s="1" t="s">
        <v>432</v>
      </c>
      <c r="K141" s="1" t="s">
        <v>432</v>
      </c>
      <c r="M141" s="4">
        <v>-7.0</v>
      </c>
      <c r="O141" s="4">
        <v>7.16545</v>
      </c>
    </row>
    <row r="142">
      <c r="A142" s="5">
        <v>45527.0</v>
      </c>
      <c r="B142" s="1" t="s">
        <v>88</v>
      </c>
      <c r="C142" s="1" t="s">
        <v>107</v>
      </c>
      <c r="D142" s="4">
        <v>208.0</v>
      </c>
      <c r="E142" s="4">
        <v>0.0</v>
      </c>
      <c r="F142" s="1" t="s">
        <v>90</v>
      </c>
      <c r="G142" s="1" t="s">
        <v>91</v>
      </c>
      <c r="H142" s="1" t="s">
        <v>92</v>
      </c>
      <c r="I142" s="1" t="s">
        <v>433</v>
      </c>
      <c r="J142" s="1" t="s">
        <v>434</v>
      </c>
      <c r="K142" s="1" t="s">
        <v>434</v>
      </c>
      <c r="M142" s="4">
        <v>-9.0</v>
      </c>
      <c r="O142" s="4">
        <v>5.44555</v>
      </c>
    </row>
    <row r="143">
      <c r="A143" s="5">
        <v>45527.0</v>
      </c>
      <c r="B143" s="1" t="s">
        <v>88</v>
      </c>
      <c r="C143" s="1" t="s">
        <v>107</v>
      </c>
      <c r="D143" s="4">
        <v>702.0</v>
      </c>
      <c r="E143" s="4">
        <v>0.0</v>
      </c>
      <c r="F143" s="1" t="s">
        <v>90</v>
      </c>
      <c r="G143" s="1" t="s">
        <v>91</v>
      </c>
      <c r="H143" s="1" t="s">
        <v>92</v>
      </c>
      <c r="I143" s="1" t="s">
        <v>435</v>
      </c>
      <c r="J143" s="1" t="s">
        <v>436</v>
      </c>
      <c r="K143" s="1" t="s">
        <v>436</v>
      </c>
      <c r="M143" s="4">
        <v>-9.0</v>
      </c>
      <c r="O143" s="4">
        <v>10.303133333333333</v>
      </c>
    </row>
    <row r="144">
      <c r="A144" s="5">
        <v>45527.0</v>
      </c>
      <c r="B144" s="1" t="s">
        <v>95</v>
      </c>
      <c r="C144" s="1" t="s">
        <v>89</v>
      </c>
      <c r="D144" s="4">
        <v>214.0</v>
      </c>
      <c r="E144" s="4">
        <v>50.0</v>
      </c>
      <c r="G144" s="1" t="s">
        <v>91</v>
      </c>
      <c r="H144" s="1" t="s">
        <v>92</v>
      </c>
      <c r="I144" s="1" t="s">
        <v>437</v>
      </c>
      <c r="J144" s="1" t="s">
        <v>438</v>
      </c>
      <c r="K144" s="1" t="s">
        <v>438</v>
      </c>
      <c r="M144" s="4">
        <v>1.0</v>
      </c>
      <c r="O144" s="4">
        <v>8.990616666666666</v>
      </c>
    </row>
    <row r="145">
      <c r="A145" s="5">
        <v>45527.0</v>
      </c>
      <c r="B145" s="1" t="s">
        <v>95</v>
      </c>
      <c r="C145" s="1" t="s">
        <v>89</v>
      </c>
      <c r="D145" s="4">
        <v>264.0</v>
      </c>
      <c r="E145" s="4">
        <v>0.0</v>
      </c>
      <c r="G145" s="1" t="s">
        <v>91</v>
      </c>
      <c r="H145" s="1" t="s">
        <v>92</v>
      </c>
      <c r="I145" s="1" t="s">
        <v>439</v>
      </c>
      <c r="J145" s="1" t="s">
        <v>440</v>
      </c>
      <c r="K145" s="1" t="s">
        <v>440</v>
      </c>
      <c r="M145" s="4">
        <v>-1.0</v>
      </c>
      <c r="O145" s="4">
        <v>6.953766666666667</v>
      </c>
    </row>
    <row r="146">
      <c r="A146" s="5">
        <v>45527.0</v>
      </c>
      <c r="B146" s="1" t="s">
        <v>88</v>
      </c>
      <c r="C146" s="1" t="s">
        <v>107</v>
      </c>
      <c r="D146" s="4">
        <v>378.0</v>
      </c>
      <c r="E146" s="4">
        <v>0.0</v>
      </c>
      <c r="F146" s="1" t="s">
        <v>90</v>
      </c>
      <c r="G146" s="1" t="s">
        <v>91</v>
      </c>
      <c r="H146" s="1" t="s">
        <v>92</v>
      </c>
      <c r="I146" s="1" t="s">
        <v>441</v>
      </c>
      <c r="J146" s="1" t="s">
        <v>442</v>
      </c>
      <c r="K146" s="1" t="s">
        <v>442</v>
      </c>
      <c r="M146" s="4">
        <v>-11.0</v>
      </c>
      <c r="O146" s="4">
        <v>15.430833333333334</v>
      </c>
    </row>
    <row r="147">
      <c r="A147" s="5">
        <v>45527.0</v>
      </c>
      <c r="B147" s="1" t="s">
        <v>116</v>
      </c>
      <c r="C147" s="1" t="s">
        <v>107</v>
      </c>
      <c r="D147" s="4">
        <v>428.0</v>
      </c>
      <c r="E147" s="4">
        <v>105.0</v>
      </c>
      <c r="G147" s="1" t="s">
        <v>111</v>
      </c>
      <c r="H147" s="1" t="s">
        <v>92</v>
      </c>
      <c r="I147" s="1" t="s">
        <v>443</v>
      </c>
      <c r="J147" s="1" t="s">
        <v>444</v>
      </c>
      <c r="K147" s="1" t="s">
        <v>444</v>
      </c>
      <c r="M147" s="4">
        <v>-8.0</v>
      </c>
      <c r="O147" s="4">
        <v>10.684133333333333</v>
      </c>
    </row>
    <row r="148">
      <c r="A148" s="5">
        <v>45527.0</v>
      </c>
      <c r="B148" s="1" t="s">
        <v>95</v>
      </c>
      <c r="C148" s="1" t="s">
        <v>107</v>
      </c>
      <c r="D148" s="4">
        <v>468.0</v>
      </c>
      <c r="E148" s="4">
        <v>150.0</v>
      </c>
      <c r="G148" s="1" t="s">
        <v>91</v>
      </c>
      <c r="H148" s="1" t="s">
        <v>96</v>
      </c>
      <c r="I148" s="1" t="s">
        <v>445</v>
      </c>
      <c r="J148" s="1" t="s">
        <v>446</v>
      </c>
      <c r="K148" s="1" t="s">
        <v>446</v>
      </c>
      <c r="M148" s="4">
        <v>0.0</v>
      </c>
      <c r="O148" s="4">
        <v>9.929716666666666</v>
      </c>
    </row>
    <row r="149">
      <c r="A149" s="5">
        <v>45527.0</v>
      </c>
      <c r="B149" s="1" t="s">
        <v>95</v>
      </c>
      <c r="C149" s="1" t="s">
        <v>107</v>
      </c>
      <c r="D149" s="4">
        <v>568.0</v>
      </c>
      <c r="E149" s="4">
        <v>0.0</v>
      </c>
      <c r="G149" s="1" t="s">
        <v>91</v>
      </c>
      <c r="H149" s="1" t="s">
        <v>92</v>
      </c>
      <c r="I149" s="1" t="s">
        <v>447</v>
      </c>
      <c r="J149" s="1" t="s">
        <v>448</v>
      </c>
      <c r="K149" s="1" t="s">
        <v>448</v>
      </c>
      <c r="M149" s="4">
        <v>0.0</v>
      </c>
      <c r="O149" s="4">
        <v>8.482283333333333</v>
      </c>
    </row>
    <row r="150">
      <c r="A150" s="5">
        <v>45527.0</v>
      </c>
      <c r="B150" s="1" t="s">
        <v>95</v>
      </c>
      <c r="C150" s="1" t="s">
        <v>107</v>
      </c>
      <c r="D150" s="4">
        <v>362.0</v>
      </c>
      <c r="E150" s="4">
        <v>100.0</v>
      </c>
      <c r="G150" s="1" t="s">
        <v>91</v>
      </c>
      <c r="H150" s="1" t="s">
        <v>92</v>
      </c>
      <c r="I150" s="1" t="s">
        <v>449</v>
      </c>
      <c r="J150" s="1" t="s">
        <v>450</v>
      </c>
      <c r="K150" s="1" t="s">
        <v>450</v>
      </c>
      <c r="M150" s="4">
        <v>0.0</v>
      </c>
      <c r="O150" s="4">
        <v>8.028483333333334</v>
      </c>
    </row>
    <row r="151">
      <c r="A151" s="5">
        <v>45527.0</v>
      </c>
      <c r="B151" s="1" t="s">
        <v>110</v>
      </c>
      <c r="C151" s="1" t="s">
        <v>107</v>
      </c>
      <c r="D151" s="4">
        <v>124.5</v>
      </c>
      <c r="E151" s="4">
        <v>124.5</v>
      </c>
      <c r="G151" s="1" t="s">
        <v>111</v>
      </c>
      <c r="H151" s="1" t="s">
        <v>96</v>
      </c>
      <c r="I151" s="1" t="s">
        <v>451</v>
      </c>
      <c r="J151" s="1" t="s">
        <v>452</v>
      </c>
      <c r="K151" s="1" t="s">
        <v>452</v>
      </c>
      <c r="M151" s="4">
        <v>-4.0</v>
      </c>
      <c r="O151" s="4">
        <v>0.6569166666666667</v>
      </c>
    </row>
    <row r="152">
      <c r="A152" s="5">
        <v>45527.0</v>
      </c>
      <c r="B152" s="1" t="s">
        <v>103</v>
      </c>
      <c r="C152" s="1" t="s">
        <v>107</v>
      </c>
      <c r="D152" s="4">
        <v>264.0</v>
      </c>
      <c r="E152" s="4">
        <v>0.0</v>
      </c>
      <c r="F152" s="1" t="s">
        <v>453</v>
      </c>
      <c r="G152" s="1" t="s">
        <v>91</v>
      </c>
      <c r="H152" s="1" t="s">
        <v>92</v>
      </c>
      <c r="I152" s="1" t="s">
        <v>454</v>
      </c>
      <c r="J152" s="1" t="s">
        <v>455</v>
      </c>
      <c r="K152" s="1" t="s">
        <v>455</v>
      </c>
      <c r="M152" s="4">
        <v>-7.0</v>
      </c>
      <c r="O152" s="4">
        <v>7.120933333333333</v>
      </c>
    </row>
    <row r="153">
      <c r="A153" s="5">
        <v>45527.0</v>
      </c>
      <c r="B153" s="1" t="s">
        <v>110</v>
      </c>
      <c r="C153" s="1" t="s">
        <v>242</v>
      </c>
      <c r="D153" s="4">
        <v>249.0</v>
      </c>
      <c r="E153" s="4">
        <v>0.0</v>
      </c>
      <c r="G153" s="1" t="s">
        <v>111</v>
      </c>
      <c r="H153" s="1" t="s">
        <v>96</v>
      </c>
      <c r="I153" s="1" t="s">
        <v>456</v>
      </c>
      <c r="J153" s="1" t="s">
        <v>457</v>
      </c>
      <c r="K153" s="1" t="s">
        <v>457</v>
      </c>
      <c r="M153" s="4">
        <v>1.0</v>
      </c>
      <c r="O153" s="4">
        <v>6.5968333333333335</v>
      </c>
    </row>
    <row r="154">
      <c r="A154" s="5">
        <v>45527.0</v>
      </c>
      <c r="B154" s="1" t="s">
        <v>116</v>
      </c>
      <c r="C154" s="1" t="s">
        <v>107</v>
      </c>
      <c r="D154" s="4">
        <v>612.0</v>
      </c>
      <c r="E154" s="4">
        <v>0.0</v>
      </c>
      <c r="F154" s="1" t="s">
        <v>386</v>
      </c>
      <c r="G154" s="1" t="s">
        <v>175</v>
      </c>
      <c r="H154" s="1" t="s">
        <v>96</v>
      </c>
      <c r="I154" s="1" t="s">
        <v>458</v>
      </c>
      <c r="J154" s="1" t="s">
        <v>459</v>
      </c>
      <c r="K154" s="1" t="s">
        <v>460</v>
      </c>
      <c r="L154" s="1" t="s">
        <v>461</v>
      </c>
      <c r="M154" s="4">
        <v>-21.0</v>
      </c>
      <c r="N154" s="4">
        <v>0.010883333333333333</v>
      </c>
      <c r="O154" s="4">
        <v>25.69621666666667</v>
      </c>
    </row>
    <row r="155">
      <c r="A155" s="5">
        <v>45527.0</v>
      </c>
      <c r="B155" s="1" t="s">
        <v>116</v>
      </c>
      <c r="C155" s="1" t="s">
        <v>107</v>
      </c>
      <c r="D155" s="4">
        <v>247.0</v>
      </c>
      <c r="E155" s="4">
        <v>62.0</v>
      </c>
      <c r="G155" s="1" t="s">
        <v>111</v>
      </c>
      <c r="H155" s="1" t="s">
        <v>92</v>
      </c>
      <c r="I155" s="1" t="s">
        <v>462</v>
      </c>
      <c r="J155" s="1" t="s">
        <v>463</v>
      </c>
      <c r="K155" s="1" t="s">
        <v>463</v>
      </c>
      <c r="M155" s="4">
        <v>-15.0</v>
      </c>
      <c r="O155" s="4">
        <v>19.257466666666666</v>
      </c>
    </row>
    <row r="156">
      <c r="A156" s="5">
        <v>45527.0</v>
      </c>
      <c r="B156" s="1" t="s">
        <v>116</v>
      </c>
      <c r="C156" s="1" t="s">
        <v>107</v>
      </c>
      <c r="D156" s="4">
        <v>250.0</v>
      </c>
      <c r="E156" s="4">
        <v>0.0</v>
      </c>
      <c r="F156" s="1" t="s">
        <v>386</v>
      </c>
      <c r="G156" s="1" t="s">
        <v>175</v>
      </c>
      <c r="H156" s="1" t="s">
        <v>96</v>
      </c>
      <c r="I156" s="1" t="s">
        <v>464</v>
      </c>
      <c r="J156" s="1" t="s">
        <v>465</v>
      </c>
      <c r="K156" s="1" t="s">
        <v>466</v>
      </c>
      <c r="L156" s="1" t="s">
        <v>467</v>
      </c>
      <c r="M156" s="4">
        <v>-15.0</v>
      </c>
      <c r="N156" s="4">
        <v>0.014666666666666666</v>
      </c>
      <c r="O156" s="4">
        <v>30.419433333333334</v>
      </c>
    </row>
    <row r="157">
      <c r="A157" s="5">
        <v>45529.0</v>
      </c>
      <c r="B157" s="1" t="s">
        <v>88</v>
      </c>
      <c r="C157" s="1" t="s">
        <v>107</v>
      </c>
      <c r="D157" s="4">
        <v>264.0</v>
      </c>
      <c r="E157" s="4">
        <v>0.0</v>
      </c>
      <c r="F157" s="1" t="s">
        <v>90</v>
      </c>
      <c r="G157" s="1" t="s">
        <v>91</v>
      </c>
      <c r="H157" s="1" t="s">
        <v>92</v>
      </c>
      <c r="I157" s="1" t="s">
        <v>468</v>
      </c>
      <c r="J157" s="1" t="s">
        <v>469</v>
      </c>
      <c r="K157" s="1" t="s">
        <v>469</v>
      </c>
      <c r="M157" s="4">
        <v>0.0</v>
      </c>
      <c r="O157" s="4">
        <v>16.970383333333334</v>
      </c>
    </row>
    <row r="158">
      <c r="A158" s="5">
        <v>45529.0</v>
      </c>
      <c r="B158" s="1" t="s">
        <v>88</v>
      </c>
      <c r="C158" s="1" t="s">
        <v>107</v>
      </c>
      <c r="D158" s="4">
        <v>369.0</v>
      </c>
      <c r="E158" s="4">
        <v>0.0</v>
      </c>
      <c r="F158" s="1" t="s">
        <v>90</v>
      </c>
      <c r="G158" s="1" t="s">
        <v>91</v>
      </c>
      <c r="H158" s="1" t="s">
        <v>92</v>
      </c>
      <c r="I158" s="1" t="s">
        <v>470</v>
      </c>
      <c r="J158" s="1" t="s">
        <v>471</v>
      </c>
      <c r="K158" s="1" t="s">
        <v>471</v>
      </c>
      <c r="M158" s="4">
        <v>3.0</v>
      </c>
      <c r="O158" s="4">
        <v>18.51765</v>
      </c>
    </row>
    <row r="159">
      <c r="A159" s="5">
        <v>45529.0</v>
      </c>
      <c r="B159" s="1" t="s">
        <v>103</v>
      </c>
      <c r="C159" s="1" t="s">
        <v>107</v>
      </c>
      <c r="D159" s="4">
        <v>279.0</v>
      </c>
      <c r="E159" s="4">
        <v>0.0</v>
      </c>
      <c r="F159" s="1" t="s">
        <v>472</v>
      </c>
      <c r="G159" s="1" t="s">
        <v>91</v>
      </c>
      <c r="H159" s="1" t="s">
        <v>92</v>
      </c>
      <c r="I159" s="1" t="s">
        <v>473</v>
      </c>
      <c r="J159" s="1" t="s">
        <v>474</v>
      </c>
      <c r="K159" s="1" t="s">
        <v>474</v>
      </c>
      <c r="M159" s="4">
        <v>-9.0</v>
      </c>
      <c r="O159" s="4">
        <v>5.988183333333334</v>
      </c>
    </row>
    <row r="160">
      <c r="A160" s="5">
        <v>45529.0</v>
      </c>
      <c r="B160" s="1" t="s">
        <v>95</v>
      </c>
      <c r="C160" s="1" t="s">
        <v>107</v>
      </c>
      <c r="D160" s="4">
        <v>214.0</v>
      </c>
      <c r="E160" s="4">
        <v>50.0</v>
      </c>
      <c r="G160" s="1" t="s">
        <v>91</v>
      </c>
      <c r="H160" s="1" t="s">
        <v>92</v>
      </c>
      <c r="I160" s="1" t="s">
        <v>475</v>
      </c>
      <c r="J160" s="1" t="s">
        <v>476</v>
      </c>
      <c r="K160" s="1" t="s">
        <v>476</v>
      </c>
      <c r="M160" s="4">
        <v>0.0</v>
      </c>
      <c r="O160" s="4">
        <v>7.005016666666666</v>
      </c>
    </row>
    <row r="161">
      <c r="A161" s="5">
        <v>45529.0</v>
      </c>
      <c r="B161" s="1" t="s">
        <v>88</v>
      </c>
      <c r="C161" s="1" t="s">
        <v>107</v>
      </c>
      <c r="D161" s="4">
        <v>329.0</v>
      </c>
      <c r="E161" s="4">
        <v>0.0</v>
      </c>
      <c r="F161" s="1" t="s">
        <v>90</v>
      </c>
      <c r="G161" s="1" t="s">
        <v>91</v>
      </c>
      <c r="H161" s="1" t="s">
        <v>92</v>
      </c>
      <c r="I161" s="1" t="s">
        <v>477</v>
      </c>
      <c r="J161" s="1" t="s">
        <v>478</v>
      </c>
      <c r="K161" s="1" t="s">
        <v>478</v>
      </c>
      <c r="M161" s="4">
        <v>-8.0</v>
      </c>
      <c r="O161" s="4">
        <v>6.209383333333333</v>
      </c>
    </row>
    <row r="162">
      <c r="A162" s="5">
        <v>45529.0</v>
      </c>
      <c r="B162" s="1" t="s">
        <v>88</v>
      </c>
      <c r="C162" s="1" t="s">
        <v>107</v>
      </c>
      <c r="D162" s="4">
        <v>264.0</v>
      </c>
      <c r="E162" s="4">
        <v>0.0</v>
      </c>
      <c r="F162" s="1" t="s">
        <v>90</v>
      </c>
      <c r="G162" s="1" t="s">
        <v>91</v>
      </c>
      <c r="H162" s="1" t="s">
        <v>92</v>
      </c>
      <c r="I162" s="1" t="s">
        <v>479</v>
      </c>
      <c r="J162" s="1" t="s">
        <v>480</v>
      </c>
      <c r="K162" s="1" t="s">
        <v>480</v>
      </c>
      <c r="M162" s="4">
        <v>-8.0</v>
      </c>
      <c r="O162" s="4">
        <v>6.490683333333333</v>
      </c>
    </row>
    <row r="163">
      <c r="A163" s="5">
        <v>45529.0</v>
      </c>
      <c r="B163" s="1" t="s">
        <v>88</v>
      </c>
      <c r="C163" s="1" t="s">
        <v>107</v>
      </c>
      <c r="D163" s="4">
        <v>321.0</v>
      </c>
      <c r="E163" s="4">
        <v>0.0</v>
      </c>
      <c r="F163" s="1" t="s">
        <v>90</v>
      </c>
      <c r="G163" s="1" t="s">
        <v>91</v>
      </c>
      <c r="H163" s="1" t="s">
        <v>92</v>
      </c>
      <c r="I163" s="1" t="s">
        <v>481</v>
      </c>
      <c r="J163" s="1" t="s">
        <v>482</v>
      </c>
      <c r="K163" s="1" t="s">
        <v>482</v>
      </c>
      <c r="M163" s="4">
        <v>-8.0</v>
      </c>
      <c r="O163" s="4">
        <v>6.018566666666667</v>
      </c>
    </row>
    <row r="164">
      <c r="A164" s="5">
        <v>45529.0</v>
      </c>
      <c r="B164" s="1" t="s">
        <v>103</v>
      </c>
      <c r="C164" s="1" t="s">
        <v>89</v>
      </c>
      <c r="D164" s="4">
        <v>313.0</v>
      </c>
      <c r="E164" s="4">
        <v>0.0</v>
      </c>
      <c r="F164" s="1" t="s">
        <v>483</v>
      </c>
      <c r="G164" s="1" t="s">
        <v>91</v>
      </c>
      <c r="H164" s="1" t="s">
        <v>92</v>
      </c>
      <c r="I164" s="1" t="s">
        <v>484</v>
      </c>
      <c r="J164" s="1" t="s">
        <v>485</v>
      </c>
      <c r="K164" s="1" t="s">
        <v>485</v>
      </c>
      <c r="M164" s="4">
        <v>-9.0</v>
      </c>
      <c r="O164" s="4">
        <v>5.370983333333333</v>
      </c>
    </row>
    <row r="165">
      <c r="A165" s="5">
        <v>45529.0</v>
      </c>
      <c r="B165" s="1" t="s">
        <v>103</v>
      </c>
      <c r="C165" s="1" t="s">
        <v>107</v>
      </c>
      <c r="D165" s="4">
        <v>213.0</v>
      </c>
      <c r="E165" s="4">
        <v>0.0</v>
      </c>
      <c r="F165" s="1" t="s">
        <v>483</v>
      </c>
      <c r="G165" s="1" t="s">
        <v>91</v>
      </c>
      <c r="H165" s="1" t="s">
        <v>92</v>
      </c>
      <c r="I165" s="1" t="s">
        <v>486</v>
      </c>
      <c r="J165" s="1" t="s">
        <v>487</v>
      </c>
      <c r="K165" s="1" t="s">
        <v>487</v>
      </c>
      <c r="M165" s="4">
        <v>-7.0</v>
      </c>
      <c r="O165" s="4">
        <v>7.472716666666667</v>
      </c>
    </row>
    <row r="166">
      <c r="A166" s="5">
        <v>45529.0</v>
      </c>
      <c r="B166" s="1" t="s">
        <v>103</v>
      </c>
      <c r="C166" s="1" t="s">
        <v>107</v>
      </c>
      <c r="D166" s="4">
        <v>329.0</v>
      </c>
      <c r="E166" s="4">
        <v>0.0</v>
      </c>
      <c r="F166" s="1" t="s">
        <v>488</v>
      </c>
      <c r="G166" s="1" t="s">
        <v>91</v>
      </c>
      <c r="H166" s="1" t="s">
        <v>92</v>
      </c>
      <c r="I166" s="1" t="s">
        <v>489</v>
      </c>
      <c r="J166" s="1" t="s">
        <v>490</v>
      </c>
      <c r="K166" s="1" t="s">
        <v>490</v>
      </c>
      <c r="M166" s="4">
        <v>-7.0</v>
      </c>
      <c r="O166" s="4">
        <v>7.009666666666667</v>
      </c>
    </row>
    <row r="167">
      <c r="A167" s="5">
        <v>45529.0</v>
      </c>
      <c r="B167" s="1" t="s">
        <v>103</v>
      </c>
      <c r="C167" s="1" t="s">
        <v>107</v>
      </c>
      <c r="D167" s="4">
        <v>364.0</v>
      </c>
      <c r="E167" s="4">
        <v>0.0</v>
      </c>
      <c r="F167" s="1" t="s">
        <v>491</v>
      </c>
      <c r="G167" s="1" t="s">
        <v>91</v>
      </c>
      <c r="H167" s="1" t="s">
        <v>92</v>
      </c>
      <c r="I167" s="1" t="s">
        <v>492</v>
      </c>
      <c r="J167" s="1" t="s">
        <v>493</v>
      </c>
      <c r="K167" s="1" t="s">
        <v>493</v>
      </c>
      <c r="M167" s="4">
        <v>-8.0</v>
      </c>
      <c r="O167" s="4">
        <v>6.973833333333333</v>
      </c>
    </row>
    <row r="168">
      <c r="A168" s="5">
        <v>45529.0</v>
      </c>
      <c r="B168" s="1" t="s">
        <v>95</v>
      </c>
      <c r="C168" s="1" t="s">
        <v>107</v>
      </c>
      <c r="D168" s="4">
        <v>378.0</v>
      </c>
      <c r="E168" s="4">
        <v>0.0</v>
      </c>
      <c r="G168" s="1" t="s">
        <v>91</v>
      </c>
      <c r="H168" s="1" t="s">
        <v>96</v>
      </c>
      <c r="I168" s="1" t="s">
        <v>494</v>
      </c>
      <c r="J168" s="1" t="s">
        <v>495</v>
      </c>
      <c r="K168" s="1" t="s">
        <v>495</v>
      </c>
      <c r="M168" s="4">
        <v>-1.0</v>
      </c>
      <c r="O168" s="4">
        <v>7.096883333333333</v>
      </c>
    </row>
    <row r="169">
      <c r="A169" s="5">
        <v>45529.0</v>
      </c>
      <c r="B169" s="1" t="s">
        <v>95</v>
      </c>
      <c r="C169" s="1" t="s">
        <v>107</v>
      </c>
      <c r="D169" s="4">
        <v>510.0</v>
      </c>
      <c r="E169" s="4">
        <v>0.0</v>
      </c>
      <c r="G169" s="1" t="s">
        <v>91</v>
      </c>
      <c r="H169" s="1" t="s">
        <v>92</v>
      </c>
      <c r="I169" s="1" t="s">
        <v>496</v>
      </c>
      <c r="J169" s="1" t="s">
        <v>497</v>
      </c>
      <c r="K169" s="1" t="s">
        <v>497</v>
      </c>
      <c r="M169" s="4">
        <v>-1.0</v>
      </c>
      <c r="O169" s="4">
        <v>7.855283333333333</v>
      </c>
    </row>
    <row r="170">
      <c r="A170" s="5">
        <v>45529.0</v>
      </c>
      <c r="B170" s="1" t="s">
        <v>88</v>
      </c>
      <c r="C170" s="1" t="s">
        <v>107</v>
      </c>
      <c r="D170" s="4">
        <v>329.0</v>
      </c>
      <c r="E170" s="4">
        <v>0.0</v>
      </c>
      <c r="F170" s="1" t="s">
        <v>90</v>
      </c>
      <c r="G170" s="1" t="s">
        <v>91</v>
      </c>
      <c r="H170" s="1" t="s">
        <v>92</v>
      </c>
      <c r="I170" s="1" t="s">
        <v>498</v>
      </c>
      <c r="J170" s="1" t="s">
        <v>499</v>
      </c>
      <c r="K170" s="1" t="s">
        <v>499</v>
      </c>
      <c r="M170" s="4">
        <v>-8.0</v>
      </c>
      <c r="O170" s="4">
        <v>6.55445</v>
      </c>
    </row>
    <row r="171">
      <c r="A171" s="5">
        <v>45529.0</v>
      </c>
      <c r="B171" s="1" t="s">
        <v>88</v>
      </c>
      <c r="C171" s="1" t="s">
        <v>107</v>
      </c>
      <c r="D171" s="4">
        <v>642.0</v>
      </c>
      <c r="E171" s="4">
        <v>0.0</v>
      </c>
      <c r="F171" s="1" t="s">
        <v>90</v>
      </c>
      <c r="G171" s="1" t="s">
        <v>91</v>
      </c>
      <c r="H171" s="1" t="s">
        <v>92</v>
      </c>
      <c r="I171" s="1" t="s">
        <v>500</v>
      </c>
      <c r="J171" s="1" t="s">
        <v>501</v>
      </c>
      <c r="K171" s="1" t="s">
        <v>501</v>
      </c>
      <c r="M171" s="4">
        <v>-11.0</v>
      </c>
      <c r="O171" s="4">
        <v>8.3769</v>
      </c>
    </row>
    <row r="172">
      <c r="A172" s="5">
        <v>45529.0</v>
      </c>
      <c r="B172" s="1" t="s">
        <v>116</v>
      </c>
      <c r="C172" s="1" t="s">
        <v>107</v>
      </c>
      <c r="D172" s="4">
        <v>250.0</v>
      </c>
      <c r="E172" s="4">
        <v>0.0</v>
      </c>
      <c r="F172" s="1" t="s">
        <v>386</v>
      </c>
      <c r="G172" s="1" t="s">
        <v>175</v>
      </c>
      <c r="H172" s="1" t="s">
        <v>96</v>
      </c>
      <c r="I172" s="1" t="s">
        <v>502</v>
      </c>
      <c r="J172" s="1" t="s">
        <v>503</v>
      </c>
      <c r="K172" s="1" t="s">
        <v>504</v>
      </c>
      <c r="L172" s="1" t="s">
        <v>505</v>
      </c>
      <c r="M172" s="4">
        <v>-15.0</v>
      </c>
      <c r="N172" s="4">
        <v>0.010116666666666666</v>
      </c>
      <c r="O172" s="4">
        <v>6.36425</v>
      </c>
    </row>
    <row r="173">
      <c r="A173" s="5">
        <v>45529.0</v>
      </c>
      <c r="B173" s="1" t="s">
        <v>103</v>
      </c>
      <c r="C173" s="1" t="s">
        <v>89</v>
      </c>
      <c r="D173" s="4">
        <v>329.0</v>
      </c>
      <c r="E173" s="4">
        <v>0.0</v>
      </c>
      <c r="F173" s="1" t="s">
        <v>506</v>
      </c>
      <c r="G173" s="1" t="s">
        <v>91</v>
      </c>
      <c r="H173" s="1" t="s">
        <v>92</v>
      </c>
      <c r="I173" s="1" t="s">
        <v>507</v>
      </c>
      <c r="J173" s="1" t="s">
        <v>508</v>
      </c>
      <c r="K173" s="1" t="s">
        <v>508</v>
      </c>
      <c r="M173" s="4">
        <v>-7.0</v>
      </c>
      <c r="O173" s="4">
        <v>7.373366666666667</v>
      </c>
    </row>
    <row r="174">
      <c r="A174" s="5">
        <v>45529.0</v>
      </c>
      <c r="B174" s="1" t="s">
        <v>103</v>
      </c>
      <c r="C174" s="1" t="s">
        <v>89</v>
      </c>
      <c r="D174" s="4">
        <v>528.0</v>
      </c>
      <c r="E174" s="4">
        <v>0.0</v>
      </c>
      <c r="F174" s="1" t="s">
        <v>509</v>
      </c>
      <c r="G174" s="1" t="s">
        <v>91</v>
      </c>
      <c r="H174" s="1" t="s">
        <v>92</v>
      </c>
      <c r="I174" s="1" t="s">
        <v>510</v>
      </c>
      <c r="J174" s="1" t="s">
        <v>511</v>
      </c>
      <c r="K174" s="1" t="s">
        <v>511</v>
      </c>
      <c r="M174" s="4">
        <v>-13.0</v>
      </c>
      <c r="O174" s="4">
        <v>6.0415833333333335</v>
      </c>
    </row>
    <row r="175">
      <c r="A175" s="5">
        <v>45529.0</v>
      </c>
      <c r="B175" s="1" t="s">
        <v>88</v>
      </c>
      <c r="C175" s="1" t="s">
        <v>107</v>
      </c>
      <c r="D175" s="4">
        <v>264.0</v>
      </c>
      <c r="E175" s="4">
        <v>0.0</v>
      </c>
      <c r="F175" s="1" t="s">
        <v>90</v>
      </c>
      <c r="G175" s="1" t="s">
        <v>91</v>
      </c>
      <c r="H175" s="1" t="s">
        <v>92</v>
      </c>
      <c r="I175" s="1" t="s">
        <v>512</v>
      </c>
      <c r="J175" s="1" t="s">
        <v>513</v>
      </c>
      <c r="K175" s="1" t="s">
        <v>513</v>
      </c>
      <c r="M175" s="4">
        <v>-8.0</v>
      </c>
      <c r="O175" s="4">
        <v>6.661816666666667</v>
      </c>
    </row>
    <row r="176">
      <c r="A176" s="5">
        <v>45529.0</v>
      </c>
      <c r="B176" s="1" t="s">
        <v>88</v>
      </c>
      <c r="C176" s="1" t="s">
        <v>107</v>
      </c>
      <c r="D176" s="4">
        <v>558.0</v>
      </c>
      <c r="E176" s="4">
        <v>0.0</v>
      </c>
      <c r="F176" s="1" t="s">
        <v>90</v>
      </c>
      <c r="G176" s="1" t="s">
        <v>91</v>
      </c>
      <c r="H176" s="1" t="s">
        <v>92</v>
      </c>
      <c r="I176" s="1" t="s">
        <v>514</v>
      </c>
      <c r="J176" s="1" t="s">
        <v>515</v>
      </c>
      <c r="K176" s="1" t="s">
        <v>515</v>
      </c>
      <c r="M176" s="4">
        <v>-12.0</v>
      </c>
      <c r="O176" s="4">
        <v>7.77215</v>
      </c>
    </row>
    <row r="177">
      <c r="A177" s="5">
        <v>45529.0</v>
      </c>
      <c r="B177" s="1" t="s">
        <v>88</v>
      </c>
      <c r="C177" s="1" t="s">
        <v>107</v>
      </c>
      <c r="D177" s="4">
        <v>264.0</v>
      </c>
      <c r="E177" s="4">
        <v>0.0</v>
      </c>
      <c r="F177" s="1" t="s">
        <v>90</v>
      </c>
      <c r="G177" s="1" t="s">
        <v>91</v>
      </c>
      <c r="H177" s="1" t="s">
        <v>92</v>
      </c>
      <c r="I177" s="1" t="s">
        <v>516</v>
      </c>
      <c r="J177" s="1" t="s">
        <v>517</v>
      </c>
      <c r="K177" s="1" t="s">
        <v>517</v>
      </c>
      <c r="M177" s="4">
        <v>-9.0</v>
      </c>
      <c r="O177" s="4">
        <v>5.8366</v>
      </c>
    </row>
    <row r="178">
      <c r="A178" s="5">
        <v>45529.0</v>
      </c>
      <c r="B178" s="1" t="s">
        <v>88</v>
      </c>
      <c r="C178" s="1" t="s">
        <v>107</v>
      </c>
      <c r="D178" s="4">
        <v>264.0</v>
      </c>
      <c r="E178" s="4">
        <v>0.0</v>
      </c>
      <c r="F178" s="1" t="s">
        <v>90</v>
      </c>
      <c r="G178" s="1" t="s">
        <v>91</v>
      </c>
      <c r="H178" s="1" t="s">
        <v>92</v>
      </c>
      <c r="I178" s="1" t="s">
        <v>518</v>
      </c>
      <c r="J178" s="1" t="s">
        <v>519</v>
      </c>
      <c r="K178" s="1" t="s">
        <v>519</v>
      </c>
      <c r="M178" s="4">
        <v>-9.0</v>
      </c>
      <c r="O178" s="4">
        <v>5.237733333333333</v>
      </c>
    </row>
    <row r="179">
      <c r="A179" s="5">
        <v>45529.0</v>
      </c>
      <c r="B179" s="1" t="s">
        <v>116</v>
      </c>
      <c r="C179" s="1" t="s">
        <v>107</v>
      </c>
      <c r="D179" s="4">
        <v>482.0</v>
      </c>
      <c r="E179" s="4">
        <v>41.0</v>
      </c>
      <c r="F179" s="1" t="s">
        <v>386</v>
      </c>
      <c r="G179" s="1" t="s">
        <v>175</v>
      </c>
      <c r="H179" s="1" t="s">
        <v>92</v>
      </c>
      <c r="I179" s="1" t="s">
        <v>520</v>
      </c>
      <c r="J179" s="1" t="s">
        <v>521</v>
      </c>
      <c r="K179" s="1" t="s">
        <v>522</v>
      </c>
      <c r="L179" s="1" t="s">
        <v>523</v>
      </c>
      <c r="M179" s="4">
        <v>-24.0</v>
      </c>
      <c r="N179" s="4">
        <v>0.01055</v>
      </c>
      <c r="O179" s="4">
        <v>10.7176</v>
      </c>
    </row>
    <row r="180">
      <c r="A180" s="5">
        <v>45529.0</v>
      </c>
      <c r="B180" s="1" t="s">
        <v>116</v>
      </c>
      <c r="C180" s="1" t="s">
        <v>107</v>
      </c>
      <c r="D180" s="4">
        <v>265.0</v>
      </c>
      <c r="E180" s="4">
        <v>66.0</v>
      </c>
      <c r="G180" s="1" t="s">
        <v>111</v>
      </c>
      <c r="H180" s="1" t="s">
        <v>194</v>
      </c>
      <c r="I180" s="1" t="s">
        <v>524</v>
      </c>
      <c r="J180" s="1" t="s">
        <v>525</v>
      </c>
      <c r="K180" s="1" t="s">
        <v>525</v>
      </c>
      <c r="M180" s="4">
        <v>-12.0</v>
      </c>
      <c r="O180" s="4">
        <v>6.4488666666666665</v>
      </c>
    </row>
    <row r="181">
      <c r="A181" s="5">
        <v>45529.0</v>
      </c>
      <c r="B181" s="1" t="s">
        <v>95</v>
      </c>
      <c r="C181" s="1" t="s">
        <v>107</v>
      </c>
      <c r="D181" s="4">
        <v>522.0</v>
      </c>
      <c r="E181" s="4">
        <v>0.0</v>
      </c>
      <c r="G181" s="1" t="s">
        <v>91</v>
      </c>
      <c r="H181" s="1" t="s">
        <v>92</v>
      </c>
      <c r="I181" s="1" t="s">
        <v>526</v>
      </c>
      <c r="J181" s="1" t="s">
        <v>527</v>
      </c>
      <c r="K181" s="1" t="s">
        <v>527</v>
      </c>
      <c r="M181" s="4">
        <v>1.0</v>
      </c>
      <c r="O181" s="4">
        <v>10.150833333333333</v>
      </c>
    </row>
    <row r="182">
      <c r="A182" s="5">
        <v>45529.0</v>
      </c>
      <c r="B182" s="1" t="s">
        <v>95</v>
      </c>
      <c r="C182" s="1" t="s">
        <v>107</v>
      </c>
      <c r="D182" s="4">
        <v>329.0</v>
      </c>
      <c r="E182" s="4">
        <v>0.0</v>
      </c>
      <c r="G182" s="1" t="s">
        <v>91</v>
      </c>
      <c r="H182" s="1" t="s">
        <v>92</v>
      </c>
      <c r="I182" s="1" t="s">
        <v>528</v>
      </c>
      <c r="J182" s="1" t="s">
        <v>529</v>
      </c>
      <c r="K182" s="1" t="s">
        <v>529</v>
      </c>
      <c r="M182" s="4">
        <v>0.0</v>
      </c>
      <c r="O182" s="4">
        <v>8.772433333333334</v>
      </c>
    </row>
    <row r="183">
      <c r="A183" s="5">
        <v>45529.0</v>
      </c>
      <c r="B183" s="1" t="s">
        <v>116</v>
      </c>
      <c r="C183" s="1" t="s">
        <v>107</v>
      </c>
      <c r="D183" s="4">
        <v>618.0</v>
      </c>
      <c r="E183" s="4">
        <v>0.0</v>
      </c>
      <c r="F183" s="1" t="s">
        <v>386</v>
      </c>
      <c r="G183" s="1" t="s">
        <v>175</v>
      </c>
      <c r="H183" s="1" t="s">
        <v>96</v>
      </c>
      <c r="I183" s="1" t="s">
        <v>530</v>
      </c>
      <c r="J183" s="1" t="s">
        <v>531</v>
      </c>
      <c r="K183" s="1" t="s">
        <v>532</v>
      </c>
      <c r="L183" s="1" t="s">
        <v>533</v>
      </c>
      <c r="M183" s="4">
        <v>-8.0</v>
      </c>
      <c r="N183" s="4">
        <v>0.016583333333333332</v>
      </c>
      <c r="O183" s="4">
        <v>7.976333333333334</v>
      </c>
    </row>
    <row r="184">
      <c r="A184" s="5">
        <v>45529.0</v>
      </c>
      <c r="B184" s="1" t="s">
        <v>95</v>
      </c>
      <c r="C184" s="1" t="s">
        <v>107</v>
      </c>
      <c r="D184" s="4">
        <v>294.0</v>
      </c>
      <c r="E184" s="4">
        <v>0.0</v>
      </c>
      <c r="G184" s="1" t="s">
        <v>91</v>
      </c>
      <c r="H184" s="1" t="s">
        <v>92</v>
      </c>
      <c r="I184" s="1" t="s">
        <v>534</v>
      </c>
      <c r="J184" s="1" t="s">
        <v>535</v>
      </c>
      <c r="K184" s="1" t="s">
        <v>535</v>
      </c>
      <c r="M184" s="4">
        <v>1.0</v>
      </c>
      <c r="O184" s="4">
        <v>8.70665</v>
      </c>
    </row>
    <row r="185">
      <c r="A185" s="5">
        <v>45529.0</v>
      </c>
      <c r="B185" s="1" t="s">
        <v>95</v>
      </c>
      <c r="C185" s="1" t="s">
        <v>107</v>
      </c>
      <c r="D185" s="4">
        <v>334.0</v>
      </c>
      <c r="E185" s="4">
        <v>0.0</v>
      </c>
      <c r="G185" s="1" t="s">
        <v>91</v>
      </c>
      <c r="H185" s="1" t="s">
        <v>92</v>
      </c>
      <c r="I185" s="1" t="s">
        <v>536</v>
      </c>
      <c r="J185" s="1" t="s">
        <v>537</v>
      </c>
      <c r="K185" s="1" t="s">
        <v>537</v>
      </c>
      <c r="M185" s="4">
        <v>0.0</v>
      </c>
      <c r="O185" s="4">
        <v>7.883866666666667</v>
      </c>
    </row>
    <row r="186">
      <c r="A186" s="5">
        <v>45529.0</v>
      </c>
      <c r="B186" s="1" t="s">
        <v>103</v>
      </c>
      <c r="C186" s="1" t="s">
        <v>107</v>
      </c>
      <c r="D186" s="4">
        <v>394.0</v>
      </c>
      <c r="E186" s="4">
        <v>0.0</v>
      </c>
      <c r="F186" s="1" t="s">
        <v>538</v>
      </c>
      <c r="G186" s="1" t="s">
        <v>91</v>
      </c>
      <c r="H186" s="1" t="s">
        <v>92</v>
      </c>
      <c r="I186" s="1" t="s">
        <v>539</v>
      </c>
      <c r="J186" s="1" t="s">
        <v>540</v>
      </c>
      <c r="K186" s="1" t="s">
        <v>540</v>
      </c>
      <c r="M186" s="4">
        <v>-5.0</v>
      </c>
      <c r="O186" s="4">
        <v>9.150183333333333</v>
      </c>
    </row>
    <row r="187">
      <c r="A187" s="5">
        <v>45529.0</v>
      </c>
      <c r="B187" s="1" t="s">
        <v>116</v>
      </c>
      <c r="C187" s="1" t="s">
        <v>107</v>
      </c>
      <c r="D187" s="4">
        <v>440.0</v>
      </c>
      <c r="E187" s="4">
        <v>0.0</v>
      </c>
      <c r="F187" s="1" t="s">
        <v>386</v>
      </c>
      <c r="G187" s="1" t="s">
        <v>175</v>
      </c>
      <c r="H187" s="1" t="s">
        <v>92</v>
      </c>
      <c r="I187" s="1" t="s">
        <v>541</v>
      </c>
      <c r="J187" s="1" t="s">
        <v>542</v>
      </c>
      <c r="K187" s="1" t="s">
        <v>543</v>
      </c>
      <c r="L187" s="1" t="s">
        <v>544</v>
      </c>
      <c r="M187" s="4">
        <v>-29.0</v>
      </c>
      <c r="N187" s="4">
        <v>0.011316666666666666</v>
      </c>
      <c r="O187" s="4">
        <v>6.9782</v>
      </c>
    </row>
    <row r="188">
      <c r="A188" s="5">
        <v>45529.0</v>
      </c>
      <c r="B188" s="1" t="s">
        <v>95</v>
      </c>
      <c r="C188" s="1" t="s">
        <v>107</v>
      </c>
      <c r="D188" s="4">
        <v>612.0</v>
      </c>
      <c r="E188" s="4">
        <v>0.0</v>
      </c>
      <c r="G188" s="1" t="s">
        <v>91</v>
      </c>
      <c r="H188" s="1" t="s">
        <v>92</v>
      </c>
      <c r="I188" s="1" t="s">
        <v>545</v>
      </c>
      <c r="J188" s="1" t="s">
        <v>546</v>
      </c>
      <c r="K188" s="1" t="s">
        <v>546</v>
      </c>
      <c r="M188" s="4">
        <v>0.0</v>
      </c>
      <c r="O188" s="4">
        <v>10.633716666666666</v>
      </c>
    </row>
    <row r="189">
      <c r="A189" s="5">
        <v>45529.0</v>
      </c>
      <c r="B189" s="1" t="s">
        <v>103</v>
      </c>
      <c r="C189" s="1" t="s">
        <v>107</v>
      </c>
      <c r="D189" s="4">
        <v>508.0</v>
      </c>
      <c r="E189" s="4">
        <v>0.0</v>
      </c>
      <c r="F189" s="1" t="s">
        <v>547</v>
      </c>
      <c r="G189" s="1" t="s">
        <v>91</v>
      </c>
      <c r="H189" s="1" t="s">
        <v>92</v>
      </c>
      <c r="I189" s="1" t="s">
        <v>548</v>
      </c>
      <c r="J189" s="1" t="s">
        <v>549</v>
      </c>
      <c r="K189" s="1" t="s">
        <v>549</v>
      </c>
      <c r="M189" s="4">
        <v>-7.0</v>
      </c>
      <c r="O189" s="4">
        <v>12.031983333333333</v>
      </c>
    </row>
    <row r="190">
      <c r="A190" s="5">
        <v>45529.0</v>
      </c>
      <c r="B190" s="1" t="s">
        <v>88</v>
      </c>
      <c r="C190" s="1" t="s">
        <v>107</v>
      </c>
      <c r="D190" s="4">
        <v>329.0</v>
      </c>
      <c r="E190" s="4">
        <v>0.0</v>
      </c>
      <c r="F190" s="1" t="s">
        <v>90</v>
      </c>
      <c r="G190" s="1" t="s">
        <v>91</v>
      </c>
      <c r="H190" s="1" t="s">
        <v>92</v>
      </c>
      <c r="I190" s="1" t="s">
        <v>550</v>
      </c>
      <c r="J190" s="1" t="s">
        <v>551</v>
      </c>
      <c r="K190" s="1" t="s">
        <v>551</v>
      </c>
      <c r="M190" s="4">
        <v>-3.0</v>
      </c>
      <c r="O190" s="4">
        <v>11.63255</v>
      </c>
    </row>
    <row r="191">
      <c r="A191" s="5">
        <v>45529.0</v>
      </c>
      <c r="B191" s="1" t="s">
        <v>95</v>
      </c>
      <c r="C191" s="1" t="s">
        <v>107</v>
      </c>
      <c r="D191" s="4">
        <v>667.0</v>
      </c>
      <c r="E191" s="4">
        <v>0.0</v>
      </c>
      <c r="G191" s="1" t="s">
        <v>91</v>
      </c>
      <c r="H191" s="1" t="s">
        <v>92</v>
      </c>
      <c r="I191" s="1" t="s">
        <v>552</v>
      </c>
      <c r="J191" s="1" t="s">
        <v>553</v>
      </c>
      <c r="K191" s="1" t="s">
        <v>553</v>
      </c>
      <c r="M191" s="4">
        <v>0.0</v>
      </c>
      <c r="O191" s="4">
        <v>11.3872</v>
      </c>
    </row>
    <row r="192">
      <c r="A192" s="5">
        <v>45529.0</v>
      </c>
      <c r="B192" s="1" t="s">
        <v>116</v>
      </c>
      <c r="C192" s="1" t="s">
        <v>107</v>
      </c>
      <c r="D192" s="4">
        <v>588.0</v>
      </c>
      <c r="E192" s="4">
        <v>0.0</v>
      </c>
      <c r="F192" s="1" t="s">
        <v>90</v>
      </c>
      <c r="G192" s="1" t="s">
        <v>175</v>
      </c>
      <c r="H192" s="1" t="s">
        <v>92</v>
      </c>
      <c r="I192" s="1" t="s">
        <v>554</v>
      </c>
      <c r="J192" s="1" t="s">
        <v>555</v>
      </c>
      <c r="K192" s="1" t="s">
        <v>556</v>
      </c>
      <c r="L192" s="1" t="s">
        <v>557</v>
      </c>
      <c r="M192" s="4">
        <v>-4.0</v>
      </c>
      <c r="N192" s="4">
        <v>0.6469666666666667</v>
      </c>
      <c r="O192" s="4">
        <v>7.997283333333334</v>
      </c>
    </row>
    <row r="193">
      <c r="A193" s="5">
        <v>45529.0</v>
      </c>
      <c r="B193" s="1" t="s">
        <v>116</v>
      </c>
      <c r="C193" s="1" t="s">
        <v>107</v>
      </c>
      <c r="D193" s="4">
        <v>309.0</v>
      </c>
      <c r="E193" s="4">
        <v>0.0</v>
      </c>
      <c r="F193" s="1" t="s">
        <v>386</v>
      </c>
      <c r="G193" s="1" t="s">
        <v>175</v>
      </c>
      <c r="H193" s="1" t="s">
        <v>92</v>
      </c>
      <c r="I193" s="1" t="s">
        <v>558</v>
      </c>
      <c r="J193" s="1" t="s">
        <v>559</v>
      </c>
      <c r="K193" s="1" t="s">
        <v>560</v>
      </c>
      <c r="L193" s="1" t="s">
        <v>561</v>
      </c>
      <c r="M193" s="4">
        <v>-8.0</v>
      </c>
      <c r="N193" s="4">
        <v>0.007983333333333334</v>
      </c>
      <c r="O193" s="4">
        <v>6.200283333333333</v>
      </c>
    </row>
    <row r="194">
      <c r="A194" s="5">
        <v>45529.0</v>
      </c>
      <c r="B194" s="1" t="s">
        <v>116</v>
      </c>
      <c r="C194" s="1" t="s">
        <v>107</v>
      </c>
      <c r="D194" s="4">
        <v>266.0</v>
      </c>
      <c r="E194" s="4">
        <v>13.0</v>
      </c>
      <c r="F194" s="1" t="s">
        <v>386</v>
      </c>
      <c r="G194" s="1" t="s">
        <v>175</v>
      </c>
      <c r="H194" s="1" t="s">
        <v>92</v>
      </c>
      <c r="I194" s="1" t="s">
        <v>562</v>
      </c>
      <c r="J194" s="1" t="s">
        <v>563</v>
      </c>
      <c r="K194" s="1" t="s">
        <v>564</v>
      </c>
      <c r="L194" s="1" t="s">
        <v>565</v>
      </c>
      <c r="M194" s="4">
        <v>7.0</v>
      </c>
      <c r="N194" s="4">
        <v>0.010633333333333333</v>
      </c>
      <c r="O194" s="4">
        <v>16.4828</v>
      </c>
    </row>
    <row r="195">
      <c r="A195" s="5">
        <v>45529.0</v>
      </c>
      <c r="B195" s="1" t="s">
        <v>95</v>
      </c>
      <c r="C195" s="1" t="s">
        <v>89</v>
      </c>
      <c r="D195" s="4">
        <v>468.0</v>
      </c>
      <c r="E195" s="4">
        <v>0.0</v>
      </c>
      <c r="G195" s="1" t="s">
        <v>91</v>
      </c>
      <c r="H195" s="1" t="s">
        <v>92</v>
      </c>
      <c r="I195" s="1" t="s">
        <v>566</v>
      </c>
      <c r="J195" s="1" t="s">
        <v>567</v>
      </c>
      <c r="K195" s="1" t="s">
        <v>567</v>
      </c>
      <c r="M195" s="4">
        <v>3.0</v>
      </c>
      <c r="O195" s="4">
        <v>12.211833333333333</v>
      </c>
    </row>
    <row r="196">
      <c r="A196" s="5">
        <v>45529.0</v>
      </c>
      <c r="B196" s="1" t="s">
        <v>95</v>
      </c>
      <c r="C196" s="1" t="s">
        <v>89</v>
      </c>
      <c r="D196" s="4">
        <v>497.0</v>
      </c>
      <c r="E196" s="4">
        <v>0.0</v>
      </c>
      <c r="G196" s="1" t="s">
        <v>91</v>
      </c>
      <c r="H196" s="1" t="s">
        <v>92</v>
      </c>
      <c r="I196" s="1" t="s">
        <v>568</v>
      </c>
      <c r="J196" s="1" t="s">
        <v>569</v>
      </c>
      <c r="K196" s="1" t="s">
        <v>569</v>
      </c>
      <c r="M196" s="4">
        <v>3.0</v>
      </c>
      <c r="O196" s="4">
        <v>12.163983333333332</v>
      </c>
    </row>
    <row r="197">
      <c r="A197" s="5">
        <v>45529.0</v>
      </c>
      <c r="B197" s="1" t="s">
        <v>95</v>
      </c>
      <c r="C197" s="1" t="s">
        <v>89</v>
      </c>
      <c r="D197" s="4">
        <v>792.0</v>
      </c>
      <c r="E197" s="4">
        <v>0.0</v>
      </c>
      <c r="G197" s="1" t="s">
        <v>91</v>
      </c>
      <c r="H197" s="1" t="s">
        <v>96</v>
      </c>
      <c r="I197" s="1" t="s">
        <v>570</v>
      </c>
      <c r="J197" s="1" t="s">
        <v>571</v>
      </c>
      <c r="K197" s="1" t="s">
        <v>571</v>
      </c>
      <c r="M197" s="4">
        <v>6.0</v>
      </c>
      <c r="O197" s="4">
        <v>17.353483333333333</v>
      </c>
    </row>
    <row r="198">
      <c r="A198" s="5">
        <v>45529.0</v>
      </c>
      <c r="B198" s="1" t="s">
        <v>116</v>
      </c>
      <c r="C198" s="1" t="s">
        <v>107</v>
      </c>
      <c r="D198" s="4">
        <v>1798.0</v>
      </c>
      <c r="E198" s="4">
        <v>0.0</v>
      </c>
      <c r="F198" s="1" t="s">
        <v>386</v>
      </c>
      <c r="G198" s="1" t="s">
        <v>175</v>
      </c>
      <c r="H198" s="1" t="s">
        <v>92</v>
      </c>
      <c r="I198" s="1" t="s">
        <v>572</v>
      </c>
      <c r="J198" s="1" t="s">
        <v>573</v>
      </c>
      <c r="K198" s="1" t="s">
        <v>574</v>
      </c>
      <c r="L198" s="1" t="s">
        <v>575</v>
      </c>
      <c r="M198" s="4">
        <v>-4.0</v>
      </c>
      <c r="N198" s="4">
        <v>0.0121</v>
      </c>
      <c r="O198" s="4">
        <v>18.417516666666668</v>
      </c>
    </row>
    <row r="199">
      <c r="A199" s="5">
        <v>45529.0</v>
      </c>
      <c r="B199" s="1" t="s">
        <v>88</v>
      </c>
      <c r="C199" s="1" t="s">
        <v>107</v>
      </c>
      <c r="D199" s="4">
        <v>394.0</v>
      </c>
      <c r="E199" s="4">
        <v>0.0</v>
      </c>
      <c r="F199" s="1" t="s">
        <v>90</v>
      </c>
      <c r="G199" s="1" t="s">
        <v>91</v>
      </c>
      <c r="H199" s="1" t="s">
        <v>92</v>
      </c>
      <c r="I199" s="1" t="s">
        <v>576</v>
      </c>
      <c r="J199" s="1" t="s">
        <v>577</v>
      </c>
      <c r="K199" s="1" t="s">
        <v>577</v>
      </c>
      <c r="M199" s="4">
        <v>4.0</v>
      </c>
      <c r="O199" s="4">
        <v>19.25395</v>
      </c>
    </row>
    <row r="200">
      <c r="A200" s="5">
        <v>45529.0</v>
      </c>
      <c r="B200" s="1" t="s">
        <v>88</v>
      </c>
      <c r="C200" s="1" t="s">
        <v>107</v>
      </c>
      <c r="D200" s="4">
        <v>394.0</v>
      </c>
      <c r="E200" s="4">
        <v>0.0</v>
      </c>
      <c r="F200" s="1" t="s">
        <v>90</v>
      </c>
      <c r="G200" s="1" t="s">
        <v>91</v>
      </c>
      <c r="H200" s="1" t="s">
        <v>92</v>
      </c>
      <c r="I200" s="1" t="s">
        <v>578</v>
      </c>
      <c r="J200" s="1" t="s">
        <v>579</v>
      </c>
      <c r="K200" s="1" t="s">
        <v>579</v>
      </c>
      <c r="M200" s="4">
        <v>-6.0</v>
      </c>
      <c r="O200" s="4">
        <v>8.3918</v>
      </c>
    </row>
    <row r="201">
      <c r="A201" s="5">
        <v>45529.0</v>
      </c>
      <c r="B201" s="1" t="s">
        <v>88</v>
      </c>
      <c r="C201" s="1" t="s">
        <v>107</v>
      </c>
      <c r="D201" s="4">
        <v>307.0</v>
      </c>
      <c r="E201" s="4">
        <v>0.0</v>
      </c>
      <c r="F201" s="1" t="s">
        <v>90</v>
      </c>
      <c r="G201" s="1" t="s">
        <v>91</v>
      </c>
      <c r="H201" s="1" t="s">
        <v>92</v>
      </c>
      <c r="I201" s="1" t="s">
        <v>580</v>
      </c>
      <c r="J201" s="1" t="s">
        <v>581</v>
      </c>
      <c r="K201" s="1" t="s">
        <v>581</v>
      </c>
      <c r="M201" s="4">
        <v>-6.0</v>
      </c>
      <c r="O201" s="4">
        <v>8.553533333333334</v>
      </c>
    </row>
    <row r="202">
      <c r="A202" s="5">
        <v>45529.0</v>
      </c>
      <c r="B202" s="1" t="s">
        <v>88</v>
      </c>
      <c r="C202" s="1" t="s">
        <v>107</v>
      </c>
      <c r="D202" s="4">
        <v>553.0</v>
      </c>
      <c r="E202" s="4">
        <v>0.0</v>
      </c>
      <c r="F202" s="1" t="s">
        <v>90</v>
      </c>
      <c r="G202" s="1" t="s">
        <v>91</v>
      </c>
      <c r="H202" s="1" t="s">
        <v>92</v>
      </c>
      <c r="I202" s="1" t="s">
        <v>582</v>
      </c>
      <c r="J202" s="1" t="s">
        <v>583</v>
      </c>
      <c r="K202" s="1" t="s">
        <v>583</v>
      </c>
      <c r="M202" s="4">
        <v>-9.0</v>
      </c>
      <c r="O202" s="4">
        <v>10.672766666666666</v>
      </c>
    </row>
    <row r="203">
      <c r="A203" s="5">
        <v>45529.0</v>
      </c>
      <c r="B203" s="1" t="s">
        <v>103</v>
      </c>
      <c r="C203" s="1" t="s">
        <v>89</v>
      </c>
      <c r="D203" s="4">
        <v>593.0</v>
      </c>
      <c r="E203" s="4">
        <v>0.0</v>
      </c>
      <c r="F203" s="1" t="s">
        <v>584</v>
      </c>
      <c r="G203" s="1" t="s">
        <v>91</v>
      </c>
      <c r="H203" s="1" t="s">
        <v>92</v>
      </c>
      <c r="I203" s="1" t="s">
        <v>585</v>
      </c>
      <c r="J203" s="1" t="s">
        <v>586</v>
      </c>
      <c r="K203" s="1" t="s">
        <v>586</v>
      </c>
      <c r="M203" s="4">
        <v>-11.0</v>
      </c>
      <c r="O203" s="4">
        <v>8.807566666666666</v>
      </c>
    </row>
    <row r="204">
      <c r="A204" s="5">
        <v>45529.0</v>
      </c>
      <c r="B204" s="1" t="s">
        <v>88</v>
      </c>
      <c r="C204" s="1" t="s">
        <v>107</v>
      </c>
      <c r="D204" s="4">
        <v>289.0</v>
      </c>
      <c r="E204" s="4">
        <v>0.0</v>
      </c>
      <c r="F204" s="1" t="s">
        <v>90</v>
      </c>
      <c r="G204" s="1" t="s">
        <v>91</v>
      </c>
      <c r="H204" s="1" t="s">
        <v>92</v>
      </c>
      <c r="I204" s="1" t="s">
        <v>587</v>
      </c>
      <c r="J204" s="1" t="s">
        <v>588</v>
      </c>
      <c r="K204" s="1" t="s">
        <v>588</v>
      </c>
      <c r="M204" s="4">
        <v>-7.0</v>
      </c>
      <c r="O204" s="4">
        <v>7.853583333333333</v>
      </c>
    </row>
    <row r="205">
      <c r="A205" s="5">
        <v>45529.0</v>
      </c>
      <c r="B205" s="1" t="s">
        <v>88</v>
      </c>
      <c r="C205" s="1" t="s">
        <v>107</v>
      </c>
      <c r="D205" s="4">
        <v>642.0</v>
      </c>
      <c r="E205" s="4">
        <v>0.0</v>
      </c>
      <c r="F205" s="1" t="s">
        <v>90</v>
      </c>
      <c r="G205" s="1" t="s">
        <v>91</v>
      </c>
      <c r="H205" s="1" t="s">
        <v>92</v>
      </c>
      <c r="I205" s="1" t="s">
        <v>589</v>
      </c>
      <c r="J205" s="1" t="s">
        <v>590</v>
      </c>
      <c r="K205" s="1" t="s">
        <v>590</v>
      </c>
      <c r="M205" s="4">
        <v>-10.0</v>
      </c>
      <c r="O205" s="4">
        <v>9.22155</v>
      </c>
    </row>
    <row r="206">
      <c r="A206" s="5">
        <v>45529.0</v>
      </c>
      <c r="B206" s="1" t="s">
        <v>116</v>
      </c>
      <c r="C206" s="1" t="s">
        <v>107</v>
      </c>
      <c r="D206" s="4">
        <v>247.0</v>
      </c>
      <c r="E206" s="4">
        <v>62.0</v>
      </c>
      <c r="G206" s="1" t="s">
        <v>111</v>
      </c>
      <c r="H206" s="1" t="s">
        <v>92</v>
      </c>
      <c r="I206" s="1" t="s">
        <v>591</v>
      </c>
      <c r="J206" s="1" t="s">
        <v>592</v>
      </c>
      <c r="K206" s="1" t="s">
        <v>592</v>
      </c>
      <c r="M206" s="4">
        <v>-19.0</v>
      </c>
      <c r="O206" s="4">
        <v>6.1074</v>
      </c>
    </row>
    <row r="207">
      <c r="A207" s="5">
        <v>45529.0</v>
      </c>
      <c r="B207" s="1" t="s">
        <v>88</v>
      </c>
      <c r="C207" s="1" t="s">
        <v>107</v>
      </c>
      <c r="D207" s="4">
        <v>488.0</v>
      </c>
      <c r="E207" s="4">
        <v>0.0</v>
      </c>
      <c r="F207" s="1" t="s">
        <v>90</v>
      </c>
      <c r="G207" s="1" t="s">
        <v>91</v>
      </c>
      <c r="H207" s="1" t="s">
        <v>92</v>
      </c>
      <c r="I207" s="1" t="s">
        <v>593</v>
      </c>
      <c r="J207" s="1" t="s">
        <v>594</v>
      </c>
      <c r="K207" s="1" t="s">
        <v>594</v>
      </c>
      <c r="M207" s="4">
        <v>-10.0</v>
      </c>
      <c r="O207" s="4">
        <v>5.51905</v>
      </c>
    </row>
    <row r="208">
      <c r="A208" s="5">
        <v>45529.0</v>
      </c>
      <c r="B208" s="1" t="s">
        <v>88</v>
      </c>
      <c r="C208" s="1" t="s">
        <v>107</v>
      </c>
      <c r="D208" s="4">
        <v>329.0</v>
      </c>
      <c r="E208" s="4">
        <v>0.0</v>
      </c>
      <c r="F208" s="1" t="s">
        <v>90</v>
      </c>
      <c r="G208" s="1" t="s">
        <v>91</v>
      </c>
      <c r="H208" s="1" t="s">
        <v>92</v>
      </c>
      <c r="I208" s="1" t="s">
        <v>595</v>
      </c>
      <c r="J208" s="1" t="s">
        <v>596</v>
      </c>
      <c r="K208" s="1" t="s">
        <v>596</v>
      </c>
      <c r="M208" s="4">
        <v>-7.0</v>
      </c>
      <c r="O208" s="4">
        <v>7.386416666666666</v>
      </c>
    </row>
    <row r="209">
      <c r="A209" s="5">
        <v>45529.0</v>
      </c>
      <c r="B209" s="1" t="s">
        <v>110</v>
      </c>
      <c r="C209" s="1" t="s">
        <v>107</v>
      </c>
      <c r="D209" s="4">
        <v>119.0</v>
      </c>
      <c r="E209" s="4">
        <v>0.0</v>
      </c>
      <c r="G209" s="1" t="s">
        <v>111</v>
      </c>
      <c r="H209" s="1" t="s">
        <v>96</v>
      </c>
      <c r="I209" s="1" t="s">
        <v>597</v>
      </c>
      <c r="J209" s="1" t="s">
        <v>598</v>
      </c>
      <c r="K209" s="1" t="s">
        <v>598</v>
      </c>
      <c r="M209" s="4">
        <v>1.0</v>
      </c>
      <c r="O209" s="4">
        <v>6.323316666666667</v>
      </c>
    </row>
    <row r="210">
      <c r="A210" s="5">
        <v>45529.0</v>
      </c>
      <c r="B210" s="1" t="s">
        <v>95</v>
      </c>
      <c r="C210" s="1" t="s">
        <v>89</v>
      </c>
      <c r="D210" s="4">
        <v>858.0</v>
      </c>
      <c r="E210" s="4">
        <v>0.0</v>
      </c>
      <c r="G210" s="1" t="s">
        <v>91</v>
      </c>
      <c r="H210" s="1" t="s">
        <v>92</v>
      </c>
      <c r="I210" s="1" t="s">
        <v>599</v>
      </c>
      <c r="J210" s="1" t="s">
        <v>600</v>
      </c>
      <c r="K210" s="1" t="s">
        <v>600</v>
      </c>
      <c r="M210" s="4">
        <v>3.0</v>
      </c>
      <c r="O210" s="4">
        <v>14.754316666666666</v>
      </c>
    </row>
    <row r="211">
      <c r="A211" s="5">
        <v>45529.0</v>
      </c>
      <c r="B211" s="1" t="s">
        <v>88</v>
      </c>
      <c r="C211" s="1" t="s">
        <v>107</v>
      </c>
      <c r="D211" s="4">
        <v>321.0</v>
      </c>
      <c r="E211" s="4">
        <v>0.0</v>
      </c>
      <c r="F211" s="1" t="s">
        <v>90</v>
      </c>
      <c r="G211" s="1" t="s">
        <v>91</v>
      </c>
      <c r="H211" s="1" t="s">
        <v>92</v>
      </c>
      <c r="I211" s="1" t="s">
        <v>601</v>
      </c>
      <c r="J211" s="1" t="s">
        <v>602</v>
      </c>
      <c r="K211" s="1" t="s">
        <v>602</v>
      </c>
      <c r="M211" s="4">
        <v>-8.0</v>
      </c>
      <c r="O211" s="4">
        <v>6.984966666666667</v>
      </c>
    </row>
    <row r="212">
      <c r="A212" s="5">
        <v>45529.0</v>
      </c>
      <c r="B212" s="1" t="s">
        <v>116</v>
      </c>
      <c r="C212" s="1" t="s">
        <v>107</v>
      </c>
      <c r="D212" s="4">
        <v>306.0</v>
      </c>
      <c r="E212" s="4">
        <v>0.0</v>
      </c>
      <c r="F212" s="1" t="s">
        <v>386</v>
      </c>
      <c r="G212" s="1" t="s">
        <v>175</v>
      </c>
      <c r="H212" s="1" t="s">
        <v>92</v>
      </c>
      <c r="I212" s="1" t="s">
        <v>603</v>
      </c>
      <c r="J212" s="1" t="s">
        <v>604</v>
      </c>
      <c r="K212" s="1" t="s">
        <v>605</v>
      </c>
      <c r="L212" s="1" t="s">
        <v>606</v>
      </c>
      <c r="M212" s="4">
        <v>0.0</v>
      </c>
      <c r="N212" s="4">
        <v>0.012033333333333333</v>
      </c>
      <c r="O212" s="4">
        <v>14.138983333333334</v>
      </c>
    </row>
    <row r="213">
      <c r="A213" s="5">
        <v>45529.0</v>
      </c>
      <c r="B213" s="1" t="s">
        <v>88</v>
      </c>
      <c r="C213" s="1" t="s">
        <v>107</v>
      </c>
      <c r="D213" s="4">
        <v>513.0</v>
      </c>
      <c r="E213" s="4">
        <v>0.0</v>
      </c>
      <c r="F213" s="1" t="s">
        <v>90</v>
      </c>
      <c r="G213" s="1" t="s">
        <v>91</v>
      </c>
      <c r="H213" s="1" t="s">
        <v>92</v>
      </c>
      <c r="I213" s="1" t="s">
        <v>607</v>
      </c>
      <c r="J213" s="1" t="s">
        <v>608</v>
      </c>
      <c r="K213" s="1" t="s">
        <v>608</v>
      </c>
      <c r="M213" s="4">
        <v>-13.0</v>
      </c>
      <c r="O213" s="4">
        <v>6.17305</v>
      </c>
    </row>
    <row r="214">
      <c r="A214" s="5">
        <v>45529.0</v>
      </c>
      <c r="B214" s="1" t="s">
        <v>95</v>
      </c>
      <c r="C214" s="1" t="s">
        <v>107</v>
      </c>
      <c r="D214" s="4">
        <v>364.0</v>
      </c>
      <c r="E214" s="4">
        <v>0.0</v>
      </c>
      <c r="G214" s="1" t="s">
        <v>91</v>
      </c>
      <c r="H214" s="1" t="s">
        <v>96</v>
      </c>
      <c r="I214" s="1" t="s">
        <v>609</v>
      </c>
      <c r="J214" s="1" t="s">
        <v>610</v>
      </c>
      <c r="K214" s="1" t="s">
        <v>610</v>
      </c>
      <c r="M214" s="4">
        <v>1.0</v>
      </c>
      <c r="O214" s="4">
        <v>9.829383333333332</v>
      </c>
    </row>
    <row r="215">
      <c r="A215" s="5">
        <v>45529.0</v>
      </c>
      <c r="B215" s="1" t="s">
        <v>116</v>
      </c>
      <c r="C215" s="1" t="s">
        <v>107</v>
      </c>
      <c r="D215" s="4">
        <v>398.0</v>
      </c>
      <c r="E215" s="4">
        <v>100.0</v>
      </c>
      <c r="G215" s="1" t="s">
        <v>111</v>
      </c>
      <c r="H215" s="1" t="s">
        <v>96</v>
      </c>
      <c r="I215" s="1" t="s">
        <v>611</v>
      </c>
      <c r="J215" s="1" t="s">
        <v>612</v>
      </c>
      <c r="K215" s="1" t="s">
        <v>612</v>
      </c>
      <c r="M215" s="4">
        <v>-7.0</v>
      </c>
      <c r="O215" s="4">
        <v>12.68235</v>
      </c>
    </row>
    <row r="216">
      <c r="A216" s="5">
        <v>45529.0</v>
      </c>
      <c r="B216" s="1" t="s">
        <v>88</v>
      </c>
      <c r="C216" s="1" t="s">
        <v>107</v>
      </c>
      <c r="D216" s="4">
        <v>334.0</v>
      </c>
      <c r="E216" s="4">
        <v>0.0</v>
      </c>
      <c r="F216" s="1" t="s">
        <v>90</v>
      </c>
      <c r="G216" s="1" t="s">
        <v>91</v>
      </c>
      <c r="H216" s="1" t="s">
        <v>92</v>
      </c>
      <c r="I216" s="1" t="s">
        <v>613</v>
      </c>
      <c r="J216" s="1" t="s">
        <v>614</v>
      </c>
      <c r="K216" s="1" t="s">
        <v>614</v>
      </c>
      <c r="M216" s="4">
        <v>-11.0</v>
      </c>
      <c r="O216" s="4">
        <v>6.127783333333333</v>
      </c>
    </row>
    <row r="217">
      <c r="A217" s="5">
        <v>45529.0</v>
      </c>
      <c r="B217" s="1" t="s">
        <v>88</v>
      </c>
      <c r="C217" s="1" t="s">
        <v>107</v>
      </c>
      <c r="D217" s="4">
        <v>716.0</v>
      </c>
      <c r="E217" s="4">
        <v>0.0</v>
      </c>
      <c r="F217" s="1" t="s">
        <v>90</v>
      </c>
      <c r="G217" s="1" t="s">
        <v>91</v>
      </c>
      <c r="H217" s="1" t="s">
        <v>92</v>
      </c>
      <c r="I217" s="1" t="s">
        <v>615</v>
      </c>
      <c r="J217" s="1" t="s">
        <v>616</v>
      </c>
      <c r="K217" s="1" t="s">
        <v>616</v>
      </c>
      <c r="M217" s="4">
        <v>-11.0</v>
      </c>
      <c r="O217" s="4">
        <v>8.372933333333334</v>
      </c>
    </row>
    <row r="218">
      <c r="A218" s="5">
        <v>45529.0</v>
      </c>
      <c r="B218" s="1" t="s">
        <v>116</v>
      </c>
      <c r="C218" s="1" t="s">
        <v>107</v>
      </c>
      <c r="D218" s="4">
        <v>528.0</v>
      </c>
      <c r="E218" s="4">
        <v>0.0</v>
      </c>
      <c r="F218" s="1" t="s">
        <v>386</v>
      </c>
      <c r="G218" s="1" t="s">
        <v>175</v>
      </c>
      <c r="H218" s="1" t="s">
        <v>92</v>
      </c>
      <c r="I218" s="1" t="s">
        <v>617</v>
      </c>
      <c r="J218" s="1" t="s">
        <v>618</v>
      </c>
      <c r="K218" s="1" t="s">
        <v>619</v>
      </c>
      <c r="L218" s="1" t="s">
        <v>620</v>
      </c>
      <c r="M218" s="4">
        <v>6.0</v>
      </c>
      <c r="N218" s="4">
        <v>0.01025</v>
      </c>
      <c r="O218" s="4">
        <v>16.201066666666666</v>
      </c>
    </row>
    <row r="219">
      <c r="A219" s="5">
        <v>45529.0</v>
      </c>
      <c r="B219" s="1" t="s">
        <v>88</v>
      </c>
      <c r="C219" s="1" t="s">
        <v>107</v>
      </c>
      <c r="D219" s="4">
        <v>329.0</v>
      </c>
      <c r="E219" s="4">
        <v>0.0</v>
      </c>
      <c r="F219" s="1" t="s">
        <v>90</v>
      </c>
      <c r="G219" s="1" t="s">
        <v>91</v>
      </c>
      <c r="H219" s="1" t="s">
        <v>92</v>
      </c>
      <c r="I219" s="1" t="s">
        <v>621</v>
      </c>
      <c r="J219" s="1" t="s">
        <v>622</v>
      </c>
      <c r="K219" s="1" t="s">
        <v>622</v>
      </c>
      <c r="M219" s="4">
        <v>-8.0</v>
      </c>
      <c r="O219" s="4">
        <v>6.115583333333333</v>
      </c>
    </row>
    <row r="220">
      <c r="A220" s="5">
        <v>45529.0</v>
      </c>
      <c r="B220" s="1" t="s">
        <v>88</v>
      </c>
      <c r="C220" s="1" t="s">
        <v>107</v>
      </c>
      <c r="D220" s="4">
        <v>469.0</v>
      </c>
      <c r="E220" s="4">
        <v>0.0</v>
      </c>
      <c r="F220" s="1" t="s">
        <v>90</v>
      </c>
      <c r="G220" s="1" t="s">
        <v>91</v>
      </c>
      <c r="H220" s="1" t="s">
        <v>92</v>
      </c>
      <c r="I220" s="1" t="s">
        <v>623</v>
      </c>
      <c r="J220" s="1" t="s">
        <v>624</v>
      </c>
      <c r="K220" s="1" t="s">
        <v>624</v>
      </c>
      <c r="M220" s="4">
        <v>-8.0</v>
      </c>
      <c r="O220" s="4">
        <v>6.67765</v>
      </c>
    </row>
    <row r="221">
      <c r="A221" s="5">
        <v>45529.0</v>
      </c>
      <c r="B221" s="1" t="s">
        <v>116</v>
      </c>
      <c r="C221" s="1" t="s">
        <v>107</v>
      </c>
      <c r="D221" s="4">
        <v>444.0</v>
      </c>
      <c r="E221" s="4">
        <v>111.0</v>
      </c>
      <c r="G221" s="1" t="s">
        <v>111</v>
      </c>
      <c r="H221" s="1" t="s">
        <v>92</v>
      </c>
      <c r="I221" s="1" t="s">
        <v>625</v>
      </c>
      <c r="J221" s="1" t="s">
        <v>626</v>
      </c>
      <c r="K221" s="1" t="s">
        <v>626</v>
      </c>
      <c r="M221" s="4">
        <v>-7.0</v>
      </c>
      <c r="O221" s="4">
        <v>11.911583333333333</v>
      </c>
    </row>
    <row r="222">
      <c r="A222" s="5">
        <v>45529.0</v>
      </c>
      <c r="B222" s="1" t="s">
        <v>88</v>
      </c>
      <c r="C222" s="1" t="s">
        <v>107</v>
      </c>
      <c r="D222" s="4">
        <v>662.0</v>
      </c>
      <c r="E222" s="4">
        <v>0.0</v>
      </c>
      <c r="F222" s="1" t="s">
        <v>90</v>
      </c>
      <c r="G222" s="1" t="s">
        <v>91</v>
      </c>
      <c r="H222" s="1" t="s">
        <v>92</v>
      </c>
      <c r="I222" s="1" t="s">
        <v>627</v>
      </c>
      <c r="J222" s="1" t="s">
        <v>628</v>
      </c>
      <c r="K222" s="1" t="s">
        <v>628</v>
      </c>
      <c r="M222" s="4">
        <v>-12.0</v>
      </c>
      <c r="O222" s="4">
        <v>7.0762833333333335</v>
      </c>
    </row>
    <row r="223">
      <c r="A223" s="5">
        <v>45529.0</v>
      </c>
      <c r="B223" s="1" t="s">
        <v>116</v>
      </c>
      <c r="C223" s="1" t="s">
        <v>107</v>
      </c>
      <c r="D223" s="4">
        <v>667.0</v>
      </c>
      <c r="E223" s="4">
        <v>0.0</v>
      </c>
      <c r="F223" s="1" t="s">
        <v>386</v>
      </c>
      <c r="G223" s="1" t="s">
        <v>175</v>
      </c>
      <c r="H223" s="1" t="s">
        <v>92</v>
      </c>
      <c r="I223" s="1" t="s">
        <v>629</v>
      </c>
      <c r="J223" s="1" t="s">
        <v>630</v>
      </c>
      <c r="K223" s="1" t="s">
        <v>631</v>
      </c>
      <c r="L223" s="1" t="s">
        <v>632</v>
      </c>
      <c r="M223" s="4">
        <v>-16.0</v>
      </c>
      <c r="N223" s="4">
        <v>0.01395</v>
      </c>
      <c r="O223" s="4">
        <v>20.47065</v>
      </c>
    </row>
    <row r="224">
      <c r="A224" s="5">
        <v>45529.0</v>
      </c>
      <c r="B224" s="1" t="s">
        <v>116</v>
      </c>
      <c r="C224" s="1" t="s">
        <v>107</v>
      </c>
      <c r="D224" s="4">
        <v>298.0</v>
      </c>
      <c r="E224" s="4">
        <v>0.0</v>
      </c>
      <c r="F224" s="1" t="s">
        <v>386</v>
      </c>
      <c r="G224" s="1" t="s">
        <v>175</v>
      </c>
      <c r="H224" s="1" t="s">
        <v>96</v>
      </c>
      <c r="I224" s="1" t="s">
        <v>633</v>
      </c>
      <c r="J224" s="1" t="s">
        <v>634</v>
      </c>
      <c r="K224" s="1" t="s">
        <v>635</v>
      </c>
      <c r="L224" s="1" t="s">
        <v>636</v>
      </c>
      <c r="M224" s="4">
        <v>-17.0</v>
      </c>
      <c r="N224" s="4">
        <v>0.008466666666666667</v>
      </c>
      <c r="O224" s="4">
        <v>5.6978</v>
      </c>
    </row>
    <row r="225">
      <c r="A225" s="5">
        <v>45529.0</v>
      </c>
      <c r="B225" s="1" t="s">
        <v>95</v>
      </c>
      <c r="C225" s="1" t="s">
        <v>107</v>
      </c>
      <c r="D225" s="4">
        <v>505.0</v>
      </c>
      <c r="E225" s="4">
        <v>0.0</v>
      </c>
      <c r="G225" s="1" t="s">
        <v>91</v>
      </c>
      <c r="H225" s="1" t="s">
        <v>92</v>
      </c>
      <c r="I225" s="1" t="s">
        <v>637</v>
      </c>
      <c r="J225" s="1" t="s">
        <v>638</v>
      </c>
      <c r="K225" s="1" t="s">
        <v>638</v>
      </c>
      <c r="M225" s="4">
        <v>0.0</v>
      </c>
      <c r="O225" s="4">
        <v>8.18505</v>
      </c>
    </row>
    <row r="226">
      <c r="A226" s="5">
        <v>45529.0</v>
      </c>
      <c r="B226" s="1" t="s">
        <v>110</v>
      </c>
      <c r="C226" s="1" t="s">
        <v>107</v>
      </c>
      <c r="D226" s="4">
        <v>49.0</v>
      </c>
      <c r="E226" s="4">
        <v>0.0</v>
      </c>
      <c r="G226" s="1" t="s">
        <v>111</v>
      </c>
      <c r="H226" s="1" t="s">
        <v>96</v>
      </c>
      <c r="I226" s="1" t="s">
        <v>639</v>
      </c>
      <c r="J226" s="1" t="s">
        <v>640</v>
      </c>
      <c r="K226" s="1" t="s">
        <v>640</v>
      </c>
      <c r="M226" s="4">
        <v>-4.0</v>
      </c>
      <c r="O226" s="4">
        <v>0.1161</v>
      </c>
    </row>
    <row r="227">
      <c r="A227" s="5">
        <v>45529.0</v>
      </c>
      <c r="B227" s="1" t="s">
        <v>95</v>
      </c>
      <c r="C227" s="1" t="s">
        <v>107</v>
      </c>
      <c r="D227" s="4">
        <v>642.0</v>
      </c>
      <c r="E227" s="4">
        <v>0.0</v>
      </c>
      <c r="G227" s="1" t="s">
        <v>91</v>
      </c>
      <c r="H227" s="1" t="s">
        <v>92</v>
      </c>
      <c r="I227" s="1" t="s">
        <v>641</v>
      </c>
      <c r="J227" s="1" t="s">
        <v>642</v>
      </c>
      <c r="K227" s="1" t="s">
        <v>642</v>
      </c>
      <c r="M227" s="4">
        <v>4.0</v>
      </c>
      <c r="O227" s="4">
        <v>13.36935</v>
      </c>
    </row>
    <row r="228">
      <c r="A228" s="5">
        <v>45529.0</v>
      </c>
      <c r="B228" s="1" t="s">
        <v>88</v>
      </c>
      <c r="C228" s="1" t="s">
        <v>107</v>
      </c>
      <c r="D228" s="4">
        <v>398.0</v>
      </c>
      <c r="E228" s="4">
        <v>0.0</v>
      </c>
      <c r="F228" s="1" t="s">
        <v>90</v>
      </c>
      <c r="G228" s="1" t="s">
        <v>91</v>
      </c>
      <c r="H228" s="1" t="s">
        <v>92</v>
      </c>
      <c r="I228" s="1" t="s">
        <v>643</v>
      </c>
      <c r="J228" s="1" t="s">
        <v>644</v>
      </c>
      <c r="K228" s="1" t="s">
        <v>644</v>
      </c>
      <c r="M228" s="4">
        <v>-7.0</v>
      </c>
      <c r="O228" s="4">
        <v>7.7190666666666665</v>
      </c>
    </row>
    <row r="229">
      <c r="A229" s="5">
        <v>45529.0</v>
      </c>
      <c r="B229" s="1" t="s">
        <v>88</v>
      </c>
      <c r="C229" s="1" t="s">
        <v>107</v>
      </c>
      <c r="D229" s="4">
        <v>321.0</v>
      </c>
      <c r="E229" s="4">
        <v>0.0</v>
      </c>
      <c r="F229" s="1" t="s">
        <v>90</v>
      </c>
      <c r="G229" s="1" t="s">
        <v>91</v>
      </c>
      <c r="H229" s="1" t="s">
        <v>92</v>
      </c>
      <c r="I229" s="1" t="s">
        <v>645</v>
      </c>
      <c r="J229" s="1" t="s">
        <v>646</v>
      </c>
      <c r="K229" s="1" t="s">
        <v>646</v>
      </c>
      <c r="M229" s="4">
        <v>-6.0</v>
      </c>
      <c r="O229" s="4">
        <v>8.719533333333333</v>
      </c>
    </row>
    <row r="230">
      <c r="A230" s="5">
        <v>45529.0</v>
      </c>
      <c r="B230" s="1" t="s">
        <v>116</v>
      </c>
      <c r="C230" s="1" t="s">
        <v>107</v>
      </c>
      <c r="D230" s="4">
        <v>199.0</v>
      </c>
      <c r="E230" s="4">
        <v>50.0</v>
      </c>
      <c r="G230" s="1" t="s">
        <v>111</v>
      </c>
      <c r="H230" s="1" t="s">
        <v>96</v>
      </c>
      <c r="I230" s="1" t="s">
        <v>647</v>
      </c>
      <c r="J230" s="1" t="s">
        <v>648</v>
      </c>
      <c r="K230" s="1" t="s">
        <v>648</v>
      </c>
      <c r="M230" s="4">
        <v>-15.0</v>
      </c>
      <c r="O230" s="4">
        <v>15.7074</v>
      </c>
    </row>
    <row r="231">
      <c r="A231" s="5">
        <v>45529.0</v>
      </c>
      <c r="B231" s="1" t="s">
        <v>88</v>
      </c>
      <c r="C231" s="1" t="s">
        <v>107</v>
      </c>
      <c r="D231" s="4">
        <v>364.0</v>
      </c>
      <c r="E231" s="4">
        <v>0.0</v>
      </c>
      <c r="F231" s="1" t="s">
        <v>90</v>
      </c>
      <c r="G231" s="1" t="s">
        <v>91</v>
      </c>
      <c r="H231" s="1" t="s">
        <v>92</v>
      </c>
      <c r="I231" s="1" t="s">
        <v>649</v>
      </c>
      <c r="J231" s="1" t="s">
        <v>650</v>
      </c>
      <c r="K231" s="1" t="s">
        <v>650</v>
      </c>
      <c r="M231" s="4">
        <v>-5.0</v>
      </c>
      <c r="O231" s="4">
        <v>9.018133333333333</v>
      </c>
    </row>
    <row r="232">
      <c r="A232" s="5">
        <v>45529.0</v>
      </c>
      <c r="B232" s="1" t="s">
        <v>116</v>
      </c>
      <c r="C232" s="1" t="s">
        <v>107</v>
      </c>
      <c r="D232" s="4">
        <v>306.0</v>
      </c>
      <c r="E232" s="4">
        <v>0.0</v>
      </c>
      <c r="F232" s="1" t="s">
        <v>90</v>
      </c>
      <c r="G232" s="1" t="s">
        <v>175</v>
      </c>
      <c r="H232" s="1" t="s">
        <v>92</v>
      </c>
      <c r="I232" s="1" t="s">
        <v>651</v>
      </c>
      <c r="J232" s="1" t="s">
        <v>652</v>
      </c>
      <c r="K232" s="1" t="s">
        <v>653</v>
      </c>
      <c r="L232" s="1" t="s">
        <v>654</v>
      </c>
      <c r="M232" s="4">
        <v>37.0</v>
      </c>
      <c r="N232" s="4">
        <v>15.772533333333334</v>
      </c>
      <c r="O232" s="4">
        <v>14.61975</v>
      </c>
    </row>
    <row r="233">
      <c r="A233" s="5">
        <v>45529.0</v>
      </c>
      <c r="B233" s="1" t="s">
        <v>116</v>
      </c>
      <c r="C233" s="1" t="s">
        <v>107</v>
      </c>
      <c r="D233" s="4">
        <v>861.0</v>
      </c>
      <c r="E233" s="4">
        <v>0.0</v>
      </c>
      <c r="F233" s="1" t="s">
        <v>386</v>
      </c>
      <c r="G233" s="1" t="s">
        <v>175</v>
      </c>
      <c r="H233" s="1" t="s">
        <v>96</v>
      </c>
      <c r="I233" s="1" t="s">
        <v>655</v>
      </c>
      <c r="J233" s="1" t="s">
        <v>656</v>
      </c>
      <c r="K233" s="1" t="s">
        <v>657</v>
      </c>
      <c r="L233" s="1" t="s">
        <v>658</v>
      </c>
      <c r="M233" s="4">
        <v>-16.0</v>
      </c>
      <c r="N233" s="4">
        <v>0.011466666666666667</v>
      </c>
      <c r="O233" s="4">
        <v>25.810183333333335</v>
      </c>
    </row>
    <row r="234">
      <c r="A234" s="5">
        <v>45529.0</v>
      </c>
      <c r="B234" s="1" t="s">
        <v>95</v>
      </c>
      <c r="C234" s="1" t="s">
        <v>107</v>
      </c>
      <c r="D234" s="4">
        <v>477.0</v>
      </c>
      <c r="E234" s="4">
        <v>150.0</v>
      </c>
      <c r="G234" s="1" t="s">
        <v>91</v>
      </c>
      <c r="H234" s="1" t="s">
        <v>92</v>
      </c>
      <c r="I234" s="1" t="s">
        <v>659</v>
      </c>
      <c r="J234" s="1" t="s">
        <v>660</v>
      </c>
      <c r="K234" s="1" t="s">
        <v>660</v>
      </c>
      <c r="M234" s="4">
        <v>2.0</v>
      </c>
      <c r="O234" s="4">
        <v>11.797916666666667</v>
      </c>
    </row>
    <row r="235">
      <c r="A235" s="5">
        <v>45529.0</v>
      </c>
      <c r="B235" s="1" t="s">
        <v>88</v>
      </c>
      <c r="C235" s="1" t="s">
        <v>107</v>
      </c>
      <c r="D235" s="4">
        <v>321.0</v>
      </c>
      <c r="E235" s="4">
        <v>0.0</v>
      </c>
      <c r="F235" s="1" t="s">
        <v>90</v>
      </c>
      <c r="G235" s="1" t="s">
        <v>91</v>
      </c>
      <c r="H235" s="1" t="s">
        <v>92</v>
      </c>
      <c r="I235" s="1" t="s">
        <v>661</v>
      </c>
      <c r="J235" s="1" t="s">
        <v>662</v>
      </c>
      <c r="K235" s="1" t="s">
        <v>662</v>
      </c>
      <c r="M235" s="4">
        <v>-2.0</v>
      </c>
      <c r="O235" s="4">
        <v>12.125733333333333</v>
      </c>
    </row>
    <row r="236">
      <c r="A236" s="5">
        <v>45529.0</v>
      </c>
      <c r="B236" s="1" t="s">
        <v>110</v>
      </c>
      <c r="C236" s="1" t="s">
        <v>107</v>
      </c>
      <c r="D236" s="4">
        <v>309.0</v>
      </c>
      <c r="E236" s="4">
        <v>0.0</v>
      </c>
      <c r="G236" s="1" t="s">
        <v>111</v>
      </c>
      <c r="H236" s="1" t="s">
        <v>96</v>
      </c>
      <c r="I236" s="1" t="s">
        <v>663</v>
      </c>
      <c r="J236" s="1" t="s">
        <v>664</v>
      </c>
      <c r="K236" s="1" t="s">
        <v>664</v>
      </c>
      <c r="M236" s="4">
        <v>-2.0</v>
      </c>
      <c r="O236" s="4">
        <v>2.9648833333333333</v>
      </c>
    </row>
    <row r="237">
      <c r="A237" s="5">
        <v>45529.0</v>
      </c>
      <c r="B237" s="1" t="s">
        <v>103</v>
      </c>
      <c r="C237" s="1" t="s">
        <v>107</v>
      </c>
      <c r="D237" s="4">
        <v>264.0</v>
      </c>
      <c r="E237" s="4">
        <v>0.0</v>
      </c>
      <c r="F237" s="1" t="s">
        <v>665</v>
      </c>
      <c r="G237" s="1" t="s">
        <v>91</v>
      </c>
      <c r="H237" s="1" t="s">
        <v>92</v>
      </c>
      <c r="I237" s="1" t="s">
        <v>666</v>
      </c>
      <c r="J237" s="1" t="s">
        <v>667</v>
      </c>
      <c r="K237" s="1" t="s">
        <v>667</v>
      </c>
      <c r="M237" s="4">
        <v>-8.0</v>
      </c>
      <c r="O237" s="4">
        <v>6.529166666666667</v>
      </c>
    </row>
    <row r="238">
      <c r="A238" s="5">
        <v>45529.0</v>
      </c>
      <c r="B238" s="1" t="s">
        <v>103</v>
      </c>
      <c r="C238" s="1" t="s">
        <v>107</v>
      </c>
      <c r="D238" s="4">
        <v>507.0</v>
      </c>
      <c r="E238" s="4">
        <v>0.0</v>
      </c>
      <c r="F238" s="1" t="s">
        <v>668</v>
      </c>
      <c r="G238" s="1" t="s">
        <v>91</v>
      </c>
      <c r="H238" s="1" t="s">
        <v>92</v>
      </c>
      <c r="I238" s="1" t="s">
        <v>669</v>
      </c>
      <c r="J238" s="1" t="s">
        <v>670</v>
      </c>
      <c r="K238" s="1" t="s">
        <v>670</v>
      </c>
      <c r="M238" s="4">
        <v>-8.0</v>
      </c>
      <c r="O238" s="4">
        <v>11.13445</v>
      </c>
    </row>
    <row r="239">
      <c r="A239" s="5">
        <v>45529.0</v>
      </c>
      <c r="B239" s="1" t="s">
        <v>110</v>
      </c>
      <c r="C239" s="1" t="s">
        <v>107</v>
      </c>
      <c r="D239" s="4">
        <v>716.0</v>
      </c>
      <c r="E239" s="4">
        <v>0.0</v>
      </c>
      <c r="G239" s="1" t="s">
        <v>111</v>
      </c>
      <c r="H239" s="1" t="s">
        <v>96</v>
      </c>
      <c r="I239" s="1" t="s">
        <v>671</v>
      </c>
      <c r="J239" s="1" t="s">
        <v>672</v>
      </c>
      <c r="K239" s="1" t="s">
        <v>672</v>
      </c>
      <c r="M239" s="4">
        <v>1.0</v>
      </c>
      <c r="O239" s="4">
        <v>11.673616666666666</v>
      </c>
    </row>
    <row r="240">
      <c r="A240" s="5">
        <v>45529.0</v>
      </c>
      <c r="B240" s="1" t="s">
        <v>116</v>
      </c>
      <c r="C240" s="1" t="s">
        <v>107</v>
      </c>
      <c r="D240" s="4">
        <v>501.0</v>
      </c>
      <c r="E240" s="4">
        <v>0.0</v>
      </c>
      <c r="F240" s="1" t="s">
        <v>386</v>
      </c>
      <c r="G240" s="1" t="s">
        <v>175</v>
      </c>
      <c r="H240" s="1" t="s">
        <v>92</v>
      </c>
      <c r="I240" s="1" t="s">
        <v>673</v>
      </c>
      <c r="J240" s="1" t="s">
        <v>674</v>
      </c>
      <c r="K240" s="1" t="s">
        <v>675</v>
      </c>
      <c r="L240" s="1" t="s">
        <v>676</v>
      </c>
      <c r="M240" s="4">
        <v>-18.0</v>
      </c>
      <c r="N240" s="4">
        <v>0.0102</v>
      </c>
      <c r="O240" s="4">
        <v>20.67185</v>
      </c>
    </row>
    <row r="241">
      <c r="A241" s="5">
        <v>45529.0</v>
      </c>
      <c r="B241" s="1" t="s">
        <v>88</v>
      </c>
      <c r="C241" s="1" t="s">
        <v>107</v>
      </c>
      <c r="D241" s="4">
        <v>329.0</v>
      </c>
      <c r="E241" s="4">
        <v>0.0</v>
      </c>
      <c r="F241" s="1" t="s">
        <v>90</v>
      </c>
      <c r="G241" s="1" t="s">
        <v>91</v>
      </c>
      <c r="H241" s="1" t="s">
        <v>92</v>
      </c>
      <c r="I241" s="1" t="s">
        <v>677</v>
      </c>
      <c r="J241" s="1" t="s">
        <v>678</v>
      </c>
      <c r="K241" s="1" t="s">
        <v>678</v>
      </c>
      <c r="M241" s="4">
        <v>2.0</v>
      </c>
      <c r="O241" s="4">
        <v>17.387266666666665</v>
      </c>
    </row>
    <row r="242">
      <c r="A242" s="5">
        <v>45529.0</v>
      </c>
      <c r="B242" s="1" t="s">
        <v>116</v>
      </c>
      <c r="C242" s="1" t="s">
        <v>107</v>
      </c>
      <c r="D242" s="4">
        <v>676.0</v>
      </c>
      <c r="E242" s="4">
        <v>0.0</v>
      </c>
      <c r="F242" s="1" t="s">
        <v>386</v>
      </c>
      <c r="G242" s="1" t="s">
        <v>175</v>
      </c>
      <c r="H242" s="1" t="s">
        <v>92</v>
      </c>
      <c r="I242" s="1" t="s">
        <v>679</v>
      </c>
      <c r="J242" s="1" t="s">
        <v>680</v>
      </c>
      <c r="K242" s="1" t="s">
        <v>681</v>
      </c>
      <c r="L242" s="1" t="s">
        <v>682</v>
      </c>
      <c r="M242" s="4">
        <v>0.0</v>
      </c>
      <c r="N242" s="4">
        <v>0.011216666666666666</v>
      </c>
      <c r="O242" s="4">
        <v>21.13825</v>
      </c>
    </row>
    <row r="243">
      <c r="A243" s="5">
        <v>45529.0</v>
      </c>
      <c r="B243" s="1" t="s">
        <v>88</v>
      </c>
      <c r="C243" s="1" t="s">
        <v>107</v>
      </c>
      <c r="D243" s="4">
        <v>313.0</v>
      </c>
      <c r="E243" s="4">
        <v>0.0</v>
      </c>
      <c r="F243" s="1" t="s">
        <v>90</v>
      </c>
      <c r="G243" s="1" t="s">
        <v>91</v>
      </c>
      <c r="H243" s="1" t="s">
        <v>92</v>
      </c>
      <c r="I243" s="1" t="s">
        <v>683</v>
      </c>
      <c r="J243" s="1" t="s">
        <v>684</v>
      </c>
      <c r="K243" s="1" t="s">
        <v>684</v>
      </c>
      <c r="M243" s="4">
        <v>-3.0</v>
      </c>
      <c r="O243" s="4">
        <v>11.1813</v>
      </c>
    </row>
    <row r="244">
      <c r="A244" s="5">
        <v>45529.0</v>
      </c>
      <c r="B244" s="1" t="s">
        <v>95</v>
      </c>
      <c r="C244" s="1" t="s">
        <v>107</v>
      </c>
      <c r="D244" s="4">
        <v>658.0</v>
      </c>
      <c r="E244" s="4">
        <v>0.0</v>
      </c>
      <c r="G244" s="1" t="s">
        <v>91</v>
      </c>
      <c r="H244" s="1" t="s">
        <v>92</v>
      </c>
      <c r="I244" s="1" t="s">
        <v>685</v>
      </c>
      <c r="J244" s="1" t="s">
        <v>686</v>
      </c>
      <c r="K244" s="1" t="s">
        <v>686</v>
      </c>
      <c r="M244" s="4">
        <v>3.0</v>
      </c>
      <c r="O244" s="4">
        <v>13.338</v>
      </c>
    </row>
    <row r="245">
      <c r="A245" s="5">
        <v>45529.0</v>
      </c>
      <c r="B245" s="1" t="s">
        <v>116</v>
      </c>
      <c r="C245" s="1" t="s">
        <v>107</v>
      </c>
      <c r="D245" s="4">
        <v>250.0</v>
      </c>
      <c r="E245" s="4">
        <v>0.0</v>
      </c>
      <c r="F245" s="1" t="s">
        <v>386</v>
      </c>
      <c r="G245" s="1" t="s">
        <v>175</v>
      </c>
      <c r="H245" s="1" t="s">
        <v>92</v>
      </c>
      <c r="I245" s="1" t="s">
        <v>687</v>
      </c>
      <c r="J245" s="1" t="s">
        <v>688</v>
      </c>
      <c r="K245" s="1" t="s">
        <v>689</v>
      </c>
      <c r="L245" s="1" t="s">
        <v>690</v>
      </c>
      <c r="M245" s="4">
        <v>-4.0</v>
      </c>
      <c r="N245" s="4">
        <v>0.009766666666666667</v>
      </c>
      <c r="O245" s="4">
        <v>18.41975</v>
      </c>
    </row>
    <row r="246">
      <c r="A246" s="5">
        <v>45529.0</v>
      </c>
      <c r="B246" s="1" t="s">
        <v>88</v>
      </c>
      <c r="C246" s="1" t="s">
        <v>107</v>
      </c>
      <c r="D246" s="4">
        <v>1121.0</v>
      </c>
      <c r="E246" s="4">
        <v>0.0</v>
      </c>
      <c r="F246" s="1" t="s">
        <v>90</v>
      </c>
      <c r="G246" s="1" t="s">
        <v>91</v>
      </c>
      <c r="H246" s="1" t="s">
        <v>92</v>
      </c>
      <c r="I246" s="1" t="s">
        <v>691</v>
      </c>
      <c r="J246" s="1" t="s">
        <v>692</v>
      </c>
      <c r="K246" s="1" t="s">
        <v>692</v>
      </c>
      <c r="M246" s="4">
        <v>-1.0</v>
      </c>
      <c r="O246" s="4">
        <v>18.699533333333335</v>
      </c>
    </row>
    <row r="247">
      <c r="A247" s="5">
        <v>45529.0</v>
      </c>
      <c r="B247" s="1" t="s">
        <v>95</v>
      </c>
      <c r="C247" s="1" t="s">
        <v>89</v>
      </c>
      <c r="D247" s="4">
        <v>270.0</v>
      </c>
      <c r="E247" s="4">
        <v>100.0</v>
      </c>
      <c r="G247" s="1" t="s">
        <v>91</v>
      </c>
      <c r="H247" s="1" t="s">
        <v>92</v>
      </c>
      <c r="I247" s="1" t="s">
        <v>693</v>
      </c>
      <c r="J247" s="1" t="s">
        <v>694</v>
      </c>
      <c r="K247" s="1" t="s">
        <v>694</v>
      </c>
      <c r="M247" s="4">
        <v>6.0</v>
      </c>
      <c r="O247" s="4">
        <v>14.15335</v>
      </c>
    </row>
    <row r="248">
      <c r="A248" s="5">
        <v>45529.0</v>
      </c>
      <c r="B248" s="1" t="s">
        <v>95</v>
      </c>
      <c r="C248" s="1" t="s">
        <v>89</v>
      </c>
      <c r="D248" s="4">
        <v>412.0</v>
      </c>
      <c r="E248" s="4">
        <v>150.0</v>
      </c>
      <c r="G248" s="1" t="s">
        <v>91</v>
      </c>
      <c r="H248" s="1" t="s">
        <v>92</v>
      </c>
      <c r="I248" s="1" t="s">
        <v>695</v>
      </c>
      <c r="J248" s="1" t="s">
        <v>696</v>
      </c>
      <c r="K248" s="1" t="s">
        <v>696</v>
      </c>
      <c r="M248" s="4">
        <v>4.0</v>
      </c>
      <c r="O248" s="4">
        <v>13.44725</v>
      </c>
    </row>
    <row r="249">
      <c r="A249" s="5">
        <v>45529.0</v>
      </c>
      <c r="B249" s="1" t="s">
        <v>103</v>
      </c>
      <c r="C249" s="1" t="s">
        <v>89</v>
      </c>
      <c r="D249" s="4">
        <v>294.0</v>
      </c>
      <c r="E249" s="4">
        <v>0.0</v>
      </c>
      <c r="F249" s="1" t="s">
        <v>547</v>
      </c>
      <c r="G249" s="1" t="s">
        <v>91</v>
      </c>
      <c r="H249" s="1" t="s">
        <v>92</v>
      </c>
      <c r="I249" s="1" t="s">
        <v>697</v>
      </c>
      <c r="J249" s="1" t="s">
        <v>698</v>
      </c>
      <c r="K249" s="1" t="s">
        <v>698</v>
      </c>
      <c r="M249" s="4">
        <v>-3.0</v>
      </c>
      <c r="O249" s="4">
        <v>11.57755</v>
      </c>
    </row>
    <row r="250">
      <c r="A250" s="5">
        <v>45529.0</v>
      </c>
      <c r="B250" s="1" t="s">
        <v>95</v>
      </c>
      <c r="C250" s="1" t="s">
        <v>89</v>
      </c>
      <c r="D250" s="4">
        <v>129.0</v>
      </c>
      <c r="E250" s="4">
        <v>0.0</v>
      </c>
      <c r="G250" s="1" t="s">
        <v>91</v>
      </c>
      <c r="H250" s="1" t="s">
        <v>92</v>
      </c>
      <c r="I250" s="1" t="s">
        <v>699</v>
      </c>
      <c r="J250" s="1" t="s">
        <v>700</v>
      </c>
      <c r="K250" s="1" t="s">
        <v>700</v>
      </c>
      <c r="M250" s="4">
        <v>1.0</v>
      </c>
      <c r="O250" s="4">
        <v>7.479066666666666</v>
      </c>
    </row>
    <row r="251">
      <c r="A251" s="5">
        <v>45529.0</v>
      </c>
      <c r="B251" s="1" t="s">
        <v>116</v>
      </c>
      <c r="C251" s="1" t="s">
        <v>107</v>
      </c>
      <c r="D251" s="4">
        <v>523.0</v>
      </c>
      <c r="E251" s="4">
        <v>0.0</v>
      </c>
      <c r="F251" s="1" t="s">
        <v>386</v>
      </c>
      <c r="G251" s="1" t="s">
        <v>175</v>
      </c>
      <c r="H251" s="1" t="s">
        <v>92</v>
      </c>
      <c r="I251" s="1" t="s">
        <v>701</v>
      </c>
      <c r="J251" s="1" t="s">
        <v>702</v>
      </c>
      <c r="K251" s="1" t="s">
        <v>703</v>
      </c>
      <c r="L251" s="1" t="s">
        <v>704</v>
      </c>
      <c r="M251" s="4">
        <v>-17.0</v>
      </c>
      <c r="N251" s="4">
        <v>0.015083333333333334</v>
      </c>
      <c r="O251" s="4">
        <v>13.70665</v>
      </c>
    </row>
    <row r="252">
      <c r="A252" s="5">
        <v>45529.0</v>
      </c>
      <c r="B252" s="1" t="s">
        <v>110</v>
      </c>
      <c r="C252" s="1" t="s">
        <v>107</v>
      </c>
      <c r="D252" s="4">
        <v>309.0</v>
      </c>
      <c r="E252" s="4">
        <v>0.0</v>
      </c>
      <c r="G252" s="1" t="s">
        <v>111</v>
      </c>
      <c r="H252" s="1" t="s">
        <v>96</v>
      </c>
      <c r="I252" s="1" t="s">
        <v>705</v>
      </c>
      <c r="J252" s="1" t="s">
        <v>706</v>
      </c>
      <c r="K252" s="1" t="s">
        <v>706</v>
      </c>
      <c r="M252" s="4">
        <v>4.0</v>
      </c>
      <c r="O252" s="4">
        <v>9.698783333333333</v>
      </c>
    </row>
    <row r="253">
      <c r="A253" s="5">
        <v>45529.0</v>
      </c>
      <c r="B253" s="1" t="s">
        <v>116</v>
      </c>
      <c r="C253" s="1" t="s">
        <v>107</v>
      </c>
      <c r="D253" s="4">
        <v>827.0</v>
      </c>
      <c r="E253" s="4">
        <v>0.0</v>
      </c>
      <c r="F253" s="1" t="s">
        <v>386</v>
      </c>
      <c r="G253" s="1" t="s">
        <v>175</v>
      </c>
      <c r="H253" s="1" t="s">
        <v>92</v>
      </c>
      <c r="I253" s="1" t="s">
        <v>707</v>
      </c>
      <c r="J253" s="1" t="s">
        <v>708</v>
      </c>
      <c r="K253" s="1" t="s">
        <v>709</v>
      </c>
      <c r="L253" s="1" t="s">
        <v>710</v>
      </c>
      <c r="M253" s="4">
        <v>1.0</v>
      </c>
      <c r="N253" s="4">
        <v>0.0099</v>
      </c>
      <c r="O253" s="4">
        <v>16.553016666666668</v>
      </c>
    </row>
    <row r="254">
      <c r="A254" s="5">
        <v>45529.0</v>
      </c>
      <c r="B254" s="1" t="s">
        <v>95</v>
      </c>
      <c r="C254" s="1" t="s">
        <v>89</v>
      </c>
      <c r="D254" s="4">
        <v>368.0</v>
      </c>
      <c r="E254" s="4">
        <v>150.0</v>
      </c>
      <c r="G254" s="1" t="s">
        <v>91</v>
      </c>
      <c r="H254" s="1" t="s">
        <v>96</v>
      </c>
      <c r="I254" s="1" t="s">
        <v>711</v>
      </c>
      <c r="J254" s="1" t="s">
        <v>712</v>
      </c>
      <c r="K254" s="1" t="s">
        <v>712</v>
      </c>
      <c r="M254" s="4">
        <v>4.0</v>
      </c>
      <c r="O254" s="4">
        <v>13.12425</v>
      </c>
    </row>
    <row r="255">
      <c r="A255" s="5">
        <v>45529.0</v>
      </c>
      <c r="B255" s="1" t="s">
        <v>103</v>
      </c>
      <c r="C255" s="1" t="s">
        <v>89</v>
      </c>
      <c r="D255" s="4">
        <v>264.0</v>
      </c>
      <c r="E255" s="4">
        <v>0.0</v>
      </c>
      <c r="F255" s="1" t="s">
        <v>713</v>
      </c>
      <c r="G255" s="1" t="s">
        <v>91</v>
      </c>
      <c r="H255" s="1" t="s">
        <v>92</v>
      </c>
      <c r="I255" s="1" t="s">
        <v>714</v>
      </c>
      <c r="J255" s="1" t="s">
        <v>715</v>
      </c>
      <c r="K255" s="1" t="s">
        <v>715</v>
      </c>
      <c r="M255" s="4">
        <v>-3.0</v>
      </c>
      <c r="O255" s="4">
        <v>11.95305</v>
      </c>
    </row>
    <row r="256">
      <c r="A256" s="5">
        <v>45529.0</v>
      </c>
      <c r="B256" s="1" t="s">
        <v>116</v>
      </c>
      <c r="C256" s="1" t="s">
        <v>107</v>
      </c>
      <c r="D256" s="4">
        <v>607.0</v>
      </c>
      <c r="E256" s="4">
        <v>30.0</v>
      </c>
      <c r="F256" s="1" t="s">
        <v>90</v>
      </c>
      <c r="G256" s="1" t="s">
        <v>175</v>
      </c>
      <c r="H256" s="1" t="s">
        <v>92</v>
      </c>
      <c r="I256" s="1" t="s">
        <v>716</v>
      </c>
      <c r="J256" s="1" t="s">
        <v>717</v>
      </c>
      <c r="K256" s="1" t="s">
        <v>718</v>
      </c>
      <c r="L256" s="1" t="s">
        <v>719</v>
      </c>
      <c r="M256" s="4">
        <v>20.0</v>
      </c>
      <c r="N256" s="4">
        <v>32.75906666666667</v>
      </c>
      <c r="O256" s="4">
        <v>29.099</v>
      </c>
    </row>
    <row r="257">
      <c r="A257" s="5">
        <v>45529.0</v>
      </c>
      <c r="B257" s="1" t="s">
        <v>110</v>
      </c>
      <c r="C257" s="1" t="s">
        <v>107</v>
      </c>
      <c r="D257" s="4">
        <v>618.0</v>
      </c>
      <c r="E257" s="4">
        <v>0.0</v>
      </c>
      <c r="G257" s="1" t="s">
        <v>111</v>
      </c>
      <c r="H257" s="1" t="s">
        <v>96</v>
      </c>
      <c r="I257" s="1" t="s">
        <v>720</v>
      </c>
      <c r="J257" s="1" t="s">
        <v>721</v>
      </c>
      <c r="K257" s="1" t="s">
        <v>721</v>
      </c>
      <c r="M257" s="4">
        <v>9.0</v>
      </c>
      <c r="O257" s="4">
        <v>19.5667</v>
      </c>
    </row>
    <row r="258">
      <c r="A258" s="5">
        <v>45529.0</v>
      </c>
      <c r="B258" s="1" t="s">
        <v>103</v>
      </c>
      <c r="C258" s="1" t="s">
        <v>89</v>
      </c>
      <c r="D258" s="4">
        <v>708.0</v>
      </c>
      <c r="E258" s="4">
        <v>0.0</v>
      </c>
      <c r="F258" s="1" t="s">
        <v>722</v>
      </c>
      <c r="G258" s="1" t="s">
        <v>91</v>
      </c>
      <c r="H258" s="1" t="s">
        <v>92</v>
      </c>
      <c r="I258" s="1" t="s">
        <v>723</v>
      </c>
      <c r="J258" s="1" t="s">
        <v>724</v>
      </c>
      <c r="K258" s="1" t="s">
        <v>724</v>
      </c>
      <c r="M258" s="4">
        <v>7.0</v>
      </c>
      <c r="O258" s="4">
        <v>27.18745</v>
      </c>
    </row>
    <row r="259">
      <c r="A259" s="5">
        <v>45529.0</v>
      </c>
      <c r="B259" s="1" t="s">
        <v>116</v>
      </c>
      <c r="C259" s="1" t="s">
        <v>107</v>
      </c>
      <c r="D259" s="4">
        <v>336.0</v>
      </c>
      <c r="E259" s="4">
        <v>0.0</v>
      </c>
      <c r="F259" s="1" t="s">
        <v>386</v>
      </c>
      <c r="G259" s="1" t="s">
        <v>175</v>
      </c>
      <c r="H259" s="1" t="s">
        <v>96</v>
      </c>
      <c r="I259" s="1" t="s">
        <v>725</v>
      </c>
      <c r="J259" s="1" t="s">
        <v>726</v>
      </c>
      <c r="K259" s="1" t="s">
        <v>727</v>
      </c>
      <c r="L259" s="1" t="s">
        <v>728</v>
      </c>
      <c r="M259" s="4">
        <v>-6.0</v>
      </c>
      <c r="N259" s="4">
        <v>0.013533333333333333</v>
      </c>
      <c r="O259" s="4">
        <v>15.790716666666667</v>
      </c>
    </row>
    <row r="260">
      <c r="A260" s="5">
        <v>45529.0</v>
      </c>
      <c r="B260" s="1" t="s">
        <v>88</v>
      </c>
      <c r="C260" s="1" t="s">
        <v>107</v>
      </c>
      <c r="D260" s="4">
        <v>370.0</v>
      </c>
      <c r="E260" s="4">
        <v>0.0</v>
      </c>
      <c r="F260" s="1" t="s">
        <v>90</v>
      </c>
      <c r="G260" s="1" t="s">
        <v>91</v>
      </c>
      <c r="H260" s="1" t="s">
        <v>92</v>
      </c>
      <c r="I260" s="1" t="s">
        <v>729</v>
      </c>
      <c r="J260" s="1" t="s">
        <v>730</v>
      </c>
      <c r="K260" s="1" t="s">
        <v>730</v>
      </c>
      <c r="M260" s="4">
        <v>5.0</v>
      </c>
      <c r="O260" s="4">
        <v>20.1073</v>
      </c>
    </row>
    <row r="261">
      <c r="A261" s="5">
        <v>45529.0</v>
      </c>
      <c r="B261" s="1" t="s">
        <v>103</v>
      </c>
      <c r="C261" s="1" t="s">
        <v>89</v>
      </c>
      <c r="D261" s="4">
        <v>652.0</v>
      </c>
      <c r="E261" s="4">
        <v>0.0</v>
      </c>
      <c r="F261" s="1" t="s">
        <v>731</v>
      </c>
      <c r="G261" s="1" t="s">
        <v>91</v>
      </c>
      <c r="H261" s="1" t="s">
        <v>92</v>
      </c>
      <c r="I261" s="1" t="s">
        <v>732</v>
      </c>
      <c r="J261" s="1" t="s">
        <v>733</v>
      </c>
      <c r="K261" s="1" t="s">
        <v>733</v>
      </c>
      <c r="M261" s="4">
        <v>7.0</v>
      </c>
      <c r="O261" s="4">
        <v>27.056433333333334</v>
      </c>
    </row>
    <row r="262">
      <c r="A262" s="5">
        <v>45529.0</v>
      </c>
      <c r="B262" s="1" t="s">
        <v>116</v>
      </c>
      <c r="C262" s="1" t="s">
        <v>107</v>
      </c>
      <c r="D262" s="4">
        <v>250.0</v>
      </c>
      <c r="E262" s="4">
        <v>0.0</v>
      </c>
      <c r="F262" s="1" t="s">
        <v>90</v>
      </c>
      <c r="G262" s="1" t="s">
        <v>175</v>
      </c>
      <c r="H262" s="1" t="s">
        <v>92</v>
      </c>
      <c r="I262" s="1" t="s">
        <v>734</v>
      </c>
      <c r="J262" s="1" t="s">
        <v>735</v>
      </c>
      <c r="K262" s="1" t="s">
        <v>736</v>
      </c>
      <c r="L262" s="1" t="s">
        <v>737</v>
      </c>
      <c r="M262" s="4">
        <v>-4.0</v>
      </c>
      <c r="N262" s="4">
        <v>4.3991</v>
      </c>
      <c r="O262" s="4">
        <v>12.688416666666667</v>
      </c>
    </row>
    <row r="263">
      <c r="A263" s="5">
        <v>45529.0</v>
      </c>
      <c r="B263" s="1" t="s">
        <v>116</v>
      </c>
      <c r="C263" s="1" t="s">
        <v>107</v>
      </c>
      <c r="D263" s="4">
        <v>199.0</v>
      </c>
      <c r="E263" s="4">
        <v>50.0</v>
      </c>
      <c r="G263" s="1" t="s">
        <v>111</v>
      </c>
      <c r="H263" s="1" t="s">
        <v>92</v>
      </c>
      <c r="I263" s="1" t="s">
        <v>738</v>
      </c>
      <c r="J263" s="1" t="s">
        <v>739</v>
      </c>
      <c r="K263" s="1" t="s">
        <v>739</v>
      </c>
      <c r="M263" s="4">
        <v>-9.0</v>
      </c>
      <c r="O263" s="4">
        <v>9.310016666666666</v>
      </c>
    </row>
    <row r="264">
      <c r="A264" s="5">
        <v>45529.0</v>
      </c>
      <c r="B264" s="1" t="s">
        <v>103</v>
      </c>
      <c r="C264" s="1" t="s">
        <v>89</v>
      </c>
      <c r="D264" s="4">
        <v>264.0</v>
      </c>
      <c r="E264" s="4">
        <v>0.0</v>
      </c>
      <c r="F264" s="1" t="s">
        <v>740</v>
      </c>
      <c r="G264" s="1" t="s">
        <v>91</v>
      </c>
      <c r="H264" s="1" t="s">
        <v>92</v>
      </c>
      <c r="I264" s="1" t="s">
        <v>741</v>
      </c>
      <c r="J264" s="1" t="s">
        <v>742</v>
      </c>
      <c r="K264" s="1" t="s">
        <v>742</v>
      </c>
      <c r="M264" s="4">
        <v>-4.0</v>
      </c>
      <c r="O264" s="4">
        <v>10.2216</v>
      </c>
    </row>
    <row r="265">
      <c r="A265" s="5">
        <v>45529.0</v>
      </c>
      <c r="B265" s="1" t="s">
        <v>110</v>
      </c>
      <c r="C265" s="1" t="s">
        <v>242</v>
      </c>
      <c r="D265" s="4">
        <v>119.0</v>
      </c>
      <c r="E265" s="4">
        <v>0.0</v>
      </c>
      <c r="G265" s="1" t="s">
        <v>111</v>
      </c>
      <c r="H265" s="1" t="s">
        <v>96</v>
      </c>
      <c r="I265" s="1" t="s">
        <v>743</v>
      </c>
      <c r="M265" s="4">
        <v>0.0</v>
      </c>
    </row>
    <row r="266">
      <c r="A266" s="5">
        <v>45529.0</v>
      </c>
      <c r="B266" s="1" t="s">
        <v>110</v>
      </c>
      <c r="C266" s="1" t="s">
        <v>107</v>
      </c>
      <c r="D266" s="4">
        <v>119.0</v>
      </c>
      <c r="E266" s="4">
        <v>0.0</v>
      </c>
      <c r="G266" s="1" t="s">
        <v>111</v>
      </c>
      <c r="H266" s="1" t="s">
        <v>96</v>
      </c>
      <c r="I266" s="1" t="s">
        <v>744</v>
      </c>
      <c r="J266" s="1" t="s">
        <v>745</v>
      </c>
      <c r="K266" s="1" t="s">
        <v>745</v>
      </c>
      <c r="M266" s="4">
        <v>-3.0</v>
      </c>
      <c r="O266" s="4">
        <v>1.4259666666666666</v>
      </c>
    </row>
    <row r="267">
      <c r="A267" s="5">
        <v>45529.0</v>
      </c>
      <c r="B267" s="1" t="s">
        <v>116</v>
      </c>
      <c r="C267" s="1" t="s">
        <v>107</v>
      </c>
      <c r="D267" s="4">
        <v>738.0</v>
      </c>
      <c r="E267" s="4">
        <v>0.0</v>
      </c>
      <c r="F267" s="1" t="s">
        <v>386</v>
      </c>
      <c r="G267" s="1" t="s">
        <v>175</v>
      </c>
      <c r="H267" s="1" t="s">
        <v>92</v>
      </c>
      <c r="I267" s="1" t="s">
        <v>746</v>
      </c>
      <c r="J267" s="1" t="s">
        <v>747</v>
      </c>
      <c r="K267" s="1" t="s">
        <v>748</v>
      </c>
      <c r="L267" s="1" t="s">
        <v>749</v>
      </c>
      <c r="M267" s="4">
        <v>-2.0</v>
      </c>
      <c r="N267" s="4">
        <v>0.010483333333333334</v>
      </c>
      <c r="O267" s="4">
        <v>40.3835</v>
      </c>
    </row>
    <row r="268">
      <c r="A268" s="5">
        <v>45529.0</v>
      </c>
      <c r="B268" s="1" t="s">
        <v>103</v>
      </c>
      <c r="C268" s="1" t="s">
        <v>89</v>
      </c>
      <c r="D268" s="4">
        <v>321.0</v>
      </c>
      <c r="E268" s="4">
        <v>0.0</v>
      </c>
      <c r="F268" s="1" t="s">
        <v>750</v>
      </c>
      <c r="G268" s="1" t="s">
        <v>91</v>
      </c>
      <c r="H268" s="1" t="s">
        <v>92</v>
      </c>
      <c r="I268" s="1" t="s">
        <v>751</v>
      </c>
      <c r="J268" s="1" t="s">
        <v>752</v>
      </c>
      <c r="K268" s="1" t="s">
        <v>752</v>
      </c>
      <c r="M268" s="4">
        <v>-4.0</v>
      </c>
      <c r="O268" s="4">
        <v>10.785066666666667</v>
      </c>
    </row>
    <row r="269">
      <c r="A269" s="5">
        <v>45529.0</v>
      </c>
      <c r="B269" s="1" t="s">
        <v>116</v>
      </c>
      <c r="C269" s="1" t="s">
        <v>107</v>
      </c>
      <c r="D269" s="4">
        <v>344.0</v>
      </c>
      <c r="E269" s="4">
        <v>0.0</v>
      </c>
      <c r="F269" s="1" t="s">
        <v>386</v>
      </c>
      <c r="G269" s="1" t="s">
        <v>175</v>
      </c>
      <c r="H269" s="1" t="s">
        <v>96</v>
      </c>
      <c r="I269" s="1" t="s">
        <v>753</v>
      </c>
      <c r="J269" s="1" t="s">
        <v>754</v>
      </c>
      <c r="K269" s="1" t="s">
        <v>755</v>
      </c>
      <c r="L269" s="1" t="s">
        <v>756</v>
      </c>
      <c r="M269" s="4">
        <v>-11.0</v>
      </c>
      <c r="N269" s="4">
        <v>0.011283333333333333</v>
      </c>
      <c r="O269" s="4">
        <v>12.125033333333333</v>
      </c>
    </row>
    <row r="270">
      <c r="A270" s="5">
        <v>45529.0</v>
      </c>
      <c r="B270" s="1" t="s">
        <v>116</v>
      </c>
      <c r="C270" s="1" t="s">
        <v>242</v>
      </c>
      <c r="D270" s="4">
        <v>463.0</v>
      </c>
      <c r="E270" s="4">
        <v>0.0</v>
      </c>
      <c r="F270" s="1" t="s">
        <v>386</v>
      </c>
      <c r="G270" s="1" t="s">
        <v>175</v>
      </c>
      <c r="H270" s="1" t="s">
        <v>96</v>
      </c>
      <c r="I270" s="1" t="s">
        <v>757</v>
      </c>
      <c r="L270" s="1" t="s">
        <v>758</v>
      </c>
      <c r="M270" s="4">
        <v>0.0</v>
      </c>
      <c r="N270" s="4">
        <v>0.015366666666666667</v>
      </c>
    </row>
    <row r="271">
      <c r="A271" s="5">
        <v>45531.0</v>
      </c>
      <c r="B271" s="1" t="s">
        <v>95</v>
      </c>
      <c r="C271" s="1" t="s">
        <v>107</v>
      </c>
      <c r="D271" s="4">
        <v>378.0</v>
      </c>
      <c r="E271" s="4">
        <v>0.0</v>
      </c>
      <c r="G271" s="1" t="s">
        <v>91</v>
      </c>
      <c r="H271" s="1" t="s">
        <v>92</v>
      </c>
      <c r="I271" s="1" t="s">
        <v>759</v>
      </c>
      <c r="J271" s="1" t="s">
        <v>760</v>
      </c>
      <c r="K271" s="1" t="s">
        <v>760</v>
      </c>
      <c r="M271" s="4">
        <v>-1.0</v>
      </c>
      <c r="O271" s="4">
        <v>6.128683333333333</v>
      </c>
    </row>
    <row r="272">
      <c r="A272" s="5">
        <v>45531.0</v>
      </c>
      <c r="B272" s="1" t="s">
        <v>95</v>
      </c>
      <c r="C272" s="1" t="s">
        <v>107</v>
      </c>
      <c r="D272" s="4">
        <v>329.0</v>
      </c>
      <c r="E272" s="4">
        <v>0.0</v>
      </c>
      <c r="G272" s="1" t="s">
        <v>91</v>
      </c>
      <c r="H272" s="1" t="s">
        <v>96</v>
      </c>
      <c r="I272" s="1" t="s">
        <v>761</v>
      </c>
      <c r="J272" s="1" t="s">
        <v>762</v>
      </c>
      <c r="K272" s="1" t="s">
        <v>762</v>
      </c>
      <c r="M272" s="4">
        <v>-1.0</v>
      </c>
      <c r="O272" s="4">
        <v>6.62255</v>
      </c>
    </row>
    <row r="273">
      <c r="A273" s="5">
        <v>45531.0</v>
      </c>
      <c r="B273" s="1" t="s">
        <v>103</v>
      </c>
      <c r="C273" s="1" t="s">
        <v>107</v>
      </c>
      <c r="D273" s="4">
        <v>394.0</v>
      </c>
      <c r="E273" s="4">
        <v>0.0</v>
      </c>
      <c r="F273" s="1" t="s">
        <v>763</v>
      </c>
      <c r="G273" s="1" t="s">
        <v>91</v>
      </c>
      <c r="H273" s="1" t="s">
        <v>92</v>
      </c>
      <c r="I273" s="1" t="s">
        <v>764</v>
      </c>
      <c r="J273" s="1" t="s">
        <v>765</v>
      </c>
      <c r="K273" s="1" t="s">
        <v>765</v>
      </c>
      <c r="M273" s="4">
        <v>-6.0</v>
      </c>
      <c r="O273" s="4">
        <v>8.11085</v>
      </c>
    </row>
    <row r="274">
      <c r="A274" s="5">
        <v>45531.0</v>
      </c>
      <c r="B274" s="1" t="s">
        <v>88</v>
      </c>
      <c r="C274" s="1" t="s">
        <v>107</v>
      </c>
      <c r="D274" s="4">
        <v>434.0</v>
      </c>
      <c r="E274" s="4">
        <v>0.0</v>
      </c>
      <c r="F274" s="1" t="s">
        <v>90</v>
      </c>
      <c r="G274" s="1" t="s">
        <v>91</v>
      </c>
      <c r="H274" s="1" t="s">
        <v>92</v>
      </c>
      <c r="I274" s="1" t="s">
        <v>766</v>
      </c>
      <c r="J274" s="1" t="s">
        <v>767</v>
      </c>
      <c r="K274" s="1" t="s">
        <v>767</v>
      </c>
      <c r="M274" s="4">
        <v>-6.0</v>
      </c>
      <c r="O274" s="4">
        <v>8.0132</v>
      </c>
    </row>
    <row r="275">
      <c r="A275" s="5">
        <v>45531.0</v>
      </c>
      <c r="B275" s="1" t="s">
        <v>88</v>
      </c>
      <c r="C275" s="1" t="s">
        <v>107</v>
      </c>
      <c r="D275" s="4">
        <v>321.0</v>
      </c>
      <c r="E275" s="4">
        <v>0.0</v>
      </c>
      <c r="F275" s="1" t="s">
        <v>90</v>
      </c>
      <c r="G275" s="1" t="s">
        <v>91</v>
      </c>
      <c r="H275" s="1" t="s">
        <v>92</v>
      </c>
      <c r="I275" s="1" t="s">
        <v>768</v>
      </c>
      <c r="J275" s="1" t="s">
        <v>769</v>
      </c>
      <c r="K275" s="1" t="s">
        <v>769</v>
      </c>
      <c r="M275" s="4">
        <v>-4.0</v>
      </c>
      <c r="O275" s="4">
        <v>10.783633333333333</v>
      </c>
    </row>
    <row r="276">
      <c r="A276" s="5">
        <v>45531.0</v>
      </c>
      <c r="B276" s="1" t="s">
        <v>88</v>
      </c>
      <c r="C276" s="1" t="s">
        <v>107</v>
      </c>
      <c r="D276" s="4">
        <v>254.0</v>
      </c>
      <c r="E276" s="4">
        <v>0.0</v>
      </c>
      <c r="F276" s="1" t="s">
        <v>90</v>
      </c>
      <c r="G276" s="1" t="s">
        <v>91</v>
      </c>
      <c r="H276" s="1" t="s">
        <v>92</v>
      </c>
      <c r="I276" s="1" t="s">
        <v>770</v>
      </c>
      <c r="J276" s="1" t="s">
        <v>771</v>
      </c>
      <c r="K276" s="1" t="s">
        <v>771</v>
      </c>
      <c r="M276" s="4">
        <v>-10.0</v>
      </c>
      <c r="O276" s="4">
        <v>4.0214</v>
      </c>
    </row>
    <row r="277">
      <c r="A277" s="5">
        <v>45531.0</v>
      </c>
      <c r="B277" s="1" t="s">
        <v>88</v>
      </c>
      <c r="C277" s="1" t="s">
        <v>107</v>
      </c>
      <c r="D277" s="4">
        <v>329.0</v>
      </c>
      <c r="E277" s="4">
        <v>0.0</v>
      </c>
      <c r="F277" s="1" t="s">
        <v>90</v>
      </c>
      <c r="G277" s="1" t="s">
        <v>91</v>
      </c>
      <c r="H277" s="1" t="s">
        <v>92</v>
      </c>
      <c r="I277" s="1" t="s">
        <v>772</v>
      </c>
      <c r="J277" s="1" t="s">
        <v>773</v>
      </c>
      <c r="K277" s="1" t="s">
        <v>773</v>
      </c>
      <c r="M277" s="4">
        <v>-8.0</v>
      </c>
      <c r="O277" s="4">
        <v>6.5854</v>
      </c>
    </row>
    <row r="278">
      <c r="A278" s="5">
        <v>45531.0</v>
      </c>
      <c r="B278" s="1" t="s">
        <v>116</v>
      </c>
      <c r="C278" s="1" t="s">
        <v>107</v>
      </c>
      <c r="D278" s="4">
        <v>267.0</v>
      </c>
      <c r="E278" s="4">
        <v>31.0</v>
      </c>
      <c r="F278" s="1" t="s">
        <v>774</v>
      </c>
      <c r="G278" s="1" t="s">
        <v>175</v>
      </c>
      <c r="H278" s="1" t="s">
        <v>92</v>
      </c>
      <c r="I278" s="1" t="s">
        <v>775</v>
      </c>
      <c r="J278" s="1" t="s">
        <v>776</v>
      </c>
      <c r="K278" s="1" t="s">
        <v>777</v>
      </c>
      <c r="L278" s="1" t="s">
        <v>778</v>
      </c>
      <c r="M278" s="4">
        <v>-10.0</v>
      </c>
      <c r="N278" s="4">
        <v>0.01135</v>
      </c>
      <c r="O278" s="4">
        <v>7.80215</v>
      </c>
    </row>
    <row r="279">
      <c r="A279" s="5">
        <v>45531.0</v>
      </c>
      <c r="B279" s="1" t="s">
        <v>88</v>
      </c>
      <c r="C279" s="1" t="s">
        <v>107</v>
      </c>
      <c r="D279" s="4">
        <v>368.0</v>
      </c>
      <c r="E279" s="4">
        <v>0.0</v>
      </c>
      <c r="F279" s="1" t="s">
        <v>90</v>
      </c>
      <c r="G279" s="1" t="s">
        <v>91</v>
      </c>
      <c r="H279" s="1" t="s">
        <v>92</v>
      </c>
      <c r="I279" s="1" t="s">
        <v>779</v>
      </c>
      <c r="J279" s="1" t="s">
        <v>780</v>
      </c>
      <c r="K279" s="1" t="s">
        <v>780</v>
      </c>
      <c r="M279" s="4">
        <v>-4.0</v>
      </c>
      <c r="O279" s="4">
        <v>10.43335</v>
      </c>
    </row>
    <row r="280">
      <c r="A280" s="5">
        <v>45531.0</v>
      </c>
      <c r="B280" s="1" t="s">
        <v>116</v>
      </c>
      <c r="C280" s="1" t="s">
        <v>107</v>
      </c>
      <c r="D280" s="4">
        <v>347.0</v>
      </c>
      <c r="E280" s="4">
        <v>0.0</v>
      </c>
      <c r="F280" s="1" t="s">
        <v>774</v>
      </c>
      <c r="G280" s="1" t="s">
        <v>175</v>
      </c>
      <c r="H280" s="1" t="s">
        <v>96</v>
      </c>
      <c r="I280" s="1" t="s">
        <v>781</v>
      </c>
      <c r="J280" s="1" t="s">
        <v>782</v>
      </c>
      <c r="K280" s="1" t="s">
        <v>783</v>
      </c>
      <c r="L280" s="1" t="s">
        <v>784</v>
      </c>
      <c r="M280" s="4">
        <v>-16.0</v>
      </c>
      <c r="N280" s="4">
        <v>0.009466666666666667</v>
      </c>
      <c r="O280" s="4">
        <v>5.019066666666666</v>
      </c>
    </row>
    <row r="281">
      <c r="A281" s="5">
        <v>45531.0</v>
      </c>
      <c r="B281" s="1" t="s">
        <v>103</v>
      </c>
      <c r="C281" s="1" t="s">
        <v>107</v>
      </c>
      <c r="D281" s="4">
        <v>369.0</v>
      </c>
      <c r="E281" s="4">
        <v>0.0</v>
      </c>
      <c r="F281" s="1" t="s">
        <v>785</v>
      </c>
      <c r="G281" s="1" t="s">
        <v>91</v>
      </c>
      <c r="H281" s="1" t="s">
        <v>92</v>
      </c>
      <c r="I281" s="1" t="s">
        <v>786</v>
      </c>
      <c r="J281" s="1" t="s">
        <v>787</v>
      </c>
      <c r="K281" s="1" t="s">
        <v>787</v>
      </c>
      <c r="M281" s="4">
        <v>-7.0</v>
      </c>
      <c r="O281" s="4">
        <v>7.343333333333334</v>
      </c>
    </row>
    <row r="282">
      <c r="A282" s="5">
        <v>45531.0</v>
      </c>
      <c r="B282" s="1" t="s">
        <v>95</v>
      </c>
      <c r="C282" s="1" t="s">
        <v>107</v>
      </c>
      <c r="D282" s="4">
        <v>264.0</v>
      </c>
      <c r="E282" s="4">
        <v>0.0</v>
      </c>
      <c r="G282" s="1" t="s">
        <v>91</v>
      </c>
      <c r="H282" s="1" t="s">
        <v>92</v>
      </c>
      <c r="I282" s="1" t="s">
        <v>788</v>
      </c>
      <c r="J282" s="1" t="s">
        <v>789</v>
      </c>
      <c r="K282" s="1" t="s">
        <v>789</v>
      </c>
      <c r="M282" s="4">
        <v>-2.0</v>
      </c>
      <c r="O282" s="4">
        <v>4.942733333333333</v>
      </c>
    </row>
    <row r="283">
      <c r="A283" s="5">
        <v>45531.0</v>
      </c>
      <c r="B283" s="1" t="s">
        <v>88</v>
      </c>
      <c r="C283" s="1" t="s">
        <v>107</v>
      </c>
      <c r="D283" s="4">
        <v>329.0</v>
      </c>
      <c r="E283" s="4">
        <v>0.0</v>
      </c>
      <c r="F283" s="1" t="s">
        <v>90</v>
      </c>
      <c r="G283" s="1" t="s">
        <v>91</v>
      </c>
      <c r="H283" s="1" t="s">
        <v>92</v>
      </c>
      <c r="I283" s="1" t="s">
        <v>790</v>
      </c>
      <c r="J283" s="1" t="s">
        <v>791</v>
      </c>
      <c r="K283" s="1" t="s">
        <v>791</v>
      </c>
      <c r="M283" s="4">
        <v>-8.0</v>
      </c>
      <c r="O283" s="4">
        <v>6.7628</v>
      </c>
    </row>
    <row r="284">
      <c r="A284" s="5">
        <v>45531.0</v>
      </c>
      <c r="B284" s="1" t="s">
        <v>88</v>
      </c>
      <c r="C284" s="1" t="s">
        <v>107</v>
      </c>
      <c r="D284" s="4">
        <v>363.0</v>
      </c>
      <c r="E284" s="4">
        <v>0.0</v>
      </c>
      <c r="F284" s="1" t="s">
        <v>90</v>
      </c>
      <c r="G284" s="1" t="s">
        <v>91</v>
      </c>
      <c r="H284" s="1" t="s">
        <v>92</v>
      </c>
      <c r="I284" s="1" t="s">
        <v>792</v>
      </c>
      <c r="J284" s="1" t="s">
        <v>793</v>
      </c>
      <c r="K284" s="1" t="s">
        <v>793</v>
      </c>
      <c r="M284" s="4">
        <v>-10.0</v>
      </c>
      <c r="O284" s="4">
        <v>4.5325</v>
      </c>
    </row>
    <row r="285">
      <c r="A285" s="5">
        <v>45531.0</v>
      </c>
      <c r="B285" s="1" t="s">
        <v>88</v>
      </c>
      <c r="C285" s="1" t="s">
        <v>107</v>
      </c>
      <c r="D285" s="4">
        <v>329.0</v>
      </c>
      <c r="E285" s="4">
        <v>0.0</v>
      </c>
      <c r="F285" s="1" t="s">
        <v>90</v>
      </c>
      <c r="G285" s="1" t="s">
        <v>91</v>
      </c>
      <c r="H285" s="1" t="s">
        <v>92</v>
      </c>
      <c r="I285" s="1" t="s">
        <v>794</v>
      </c>
      <c r="J285" s="1" t="s">
        <v>795</v>
      </c>
      <c r="K285" s="1" t="s">
        <v>795</v>
      </c>
      <c r="M285" s="4">
        <v>-2.0</v>
      </c>
      <c r="O285" s="4">
        <v>12.722083333333334</v>
      </c>
    </row>
    <row r="286">
      <c r="A286" s="5">
        <v>45531.0</v>
      </c>
      <c r="B286" s="1" t="s">
        <v>116</v>
      </c>
      <c r="C286" s="1" t="s">
        <v>107</v>
      </c>
      <c r="D286" s="4">
        <v>235.0</v>
      </c>
      <c r="E286" s="4">
        <v>71.0</v>
      </c>
      <c r="G286" s="1" t="s">
        <v>111</v>
      </c>
      <c r="H286" s="1" t="s">
        <v>194</v>
      </c>
      <c r="I286" s="1" t="s">
        <v>796</v>
      </c>
      <c r="J286" s="1" t="s">
        <v>797</v>
      </c>
      <c r="K286" s="1" t="s">
        <v>797</v>
      </c>
      <c r="M286" s="4">
        <v>-8.0</v>
      </c>
      <c r="O286" s="4">
        <v>10.614633333333334</v>
      </c>
    </row>
    <row r="287">
      <c r="A287" s="5">
        <v>45531.0</v>
      </c>
      <c r="B287" s="1" t="s">
        <v>103</v>
      </c>
      <c r="C287" s="1" t="s">
        <v>107</v>
      </c>
      <c r="D287" s="4">
        <v>329.0</v>
      </c>
      <c r="E287" s="4">
        <v>0.0</v>
      </c>
      <c r="F287" s="1" t="s">
        <v>104</v>
      </c>
      <c r="G287" s="1" t="s">
        <v>91</v>
      </c>
      <c r="H287" s="1" t="s">
        <v>92</v>
      </c>
      <c r="I287" s="1" t="s">
        <v>798</v>
      </c>
      <c r="J287" s="1" t="s">
        <v>799</v>
      </c>
      <c r="K287" s="1" t="s">
        <v>799</v>
      </c>
      <c r="M287" s="4">
        <v>-7.0</v>
      </c>
      <c r="O287" s="4">
        <v>7.257666666666666</v>
      </c>
    </row>
    <row r="288">
      <c r="A288" s="5">
        <v>45531.0</v>
      </c>
      <c r="B288" s="1" t="s">
        <v>95</v>
      </c>
      <c r="C288" s="1" t="s">
        <v>107</v>
      </c>
      <c r="D288" s="4">
        <v>387.0</v>
      </c>
      <c r="E288" s="4">
        <v>0.0</v>
      </c>
      <c r="G288" s="1" t="s">
        <v>91</v>
      </c>
      <c r="H288" s="1" t="s">
        <v>92</v>
      </c>
      <c r="I288" s="1" t="s">
        <v>800</v>
      </c>
      <c r="J288" s="1" t="s">
        <v>801</v>
      </c>
      <c r="K288" s="1" t="s">
        <v>801</v>
      </c>
      <c r="M288" s="4">
        <v>8.0</v>
      </c>
      <c r="O288" s="4">
        <v>16.636566666666667</v>
      </c>
    </row>
    <row r="289">
      <c r="A289" s="5">
        <v>45531.0</v>
      </c>
      <c r="B289" s="1" t="s">
        <v>110</v>
      </c>
      <c r="C289" s="1" t="s">
        <v>107</v>
      </c>
      <c r="D289" s="4">
        <v>249.0</v>
      </c>
      <c r="E289" s="4">
        <v>0.0</v>
      </c>
      <c r="G289" s="1" t="s">
        <v>111</v>
      </c>
      <c r="H289" s="1" t="s">
        <v>96</v>
      </c>
      <c r="I289" s="1" t="s">
        <v>802</v>
      </c>
      <c r="J289" s="1" t="s">
        <v>803</v>
      </c>
      <c r="K289" s="1" t="s">
        <v>803</v>
      </c>
      <c r="M289" s="4">
        <v>2.0</v>
      </c>
      <c r="O289" s="4">
        <v>7.855466666666667</v>
      </c>
    </row>
    <row r="290">
      <c r="A290" s="5">
        <v>45531.0</v>
      </c>
      <c r="B290" s="1" t="s">
        <v>103</v>
      </c>
      <c r="C290" s="1" t="s">
        <v>107</v>
      </c>
      <c r="D290" s="4">
        <v>329.0</v>
      </c>
      <c r="E290" s="4">
        <v>0.0</v>
      </c>
      <c r="F290" s="1" t="s">
        <v>722</v>
      </c>
      <c r="G290" s="1" t="s">
        <v>91</v>
      </c>
      <c r="H290" s="1" t="s">
        <v>92</v>
      </c>
      <c r="I290" s="1" t="s">
        <v>804</v>
      </c>
      <c r="J290" s="1" t="s">
        <v>805</v>
      </c>
      <c r="K290" s="1" t="s">
        <v>805</v>
      </c>
      <c r="M290" s="4">
        <v>-5.0</v>
      </c>
      <c r="O290" s="4">
        <v>9.2416</v>
      </c>
    </row>
    <row r="291">
      <c r="A291" s="5">
        <v>45531.0</v>
      </c>
      <c r="B291" s="1" t="s">
        <v>88</v>
      </c>
      <c r="C291" s="1" t="s">
        <v>107</v>
      </c>
      <c r="D291" s="4">
        <v>264.0</v>
      </c>
      <c r="E291" s="4">
        <v>0.0</v>
      </c>
      <c r="F291" s="1" t="s">
        <v>90</v>
      </c>
      <c r="G291" s="1" t="s">
        <v>91</v>
      </c>
      <c r="H291" s="1" t="s">
        <v>92</v>
      </c>
      <c r="I291" s="1" t="s">
        <v>806</v>
      </c>
      <c r="J291" s="1" t="s">
        <v>807</v>
      </c>
      <c r="K291" s="1" t="s">
        <v>807</v>
      </c>
      <c r="M291" s="4">
        <v>-4.0</v>
      </c>
      <c r="O291" s="4">
        <v>10.701283333333333</v>
      </c>
    </row>
    <row r="292">
      <c r="A292" s="5">
        <v>45531.0</v>
      </c>
      <c r="B292" s="1" t="s">
        <v>103</v>
      </c>
      <c r="C292" s="1" t="s">
        <v>107</v>
      </c>
      <c r="D292" s="4">
        <v>394.0</v>
      </c>
      <c r="E292" s="4">
        <v>0.0</v>
      </c>
      <c r="F292" s="1" t="s">
        <v>808</v>
      </c>
      <c r="G292" s="1" t="s">
        <v>91</v>
      </c>
      <c r="H292" s="1" t="s">
        <v>92</v>
      </c>
      <c r="I292" s="1" t="s">
        <v>809</v>
      </c>
      <c r="J292" s="1" t="s">
        <v>810</v>
      </c>
      <c r="K292" s="1" t="s">
        <v>810</v>
      </c>
      <c r="M292" s="4">
        <v>0.0</v>
      </c>
      <c r="O292" s="4">
        <v>16.132233333333332</v>
      </c>
    </row>
    <row r="293">
      <c r="A293" s="5">
        <v>45531.0</v>
      </c>
      <c r="B293" s="1" t="s">
        <v>103</v>
      </c>
      <c r="C293" s="1" t="s">
        <v>107</v>
      </c>
      <c r="D293" s="4">
        <v>429.0</v>
      </c>
      <c r="E293" s="4">
        <v>0.0</v>
      </c>
      <c r="F293" s="1" t="s">
        <v>811</v>
      </c>
      <c r="G293" s="1" t="s">
        <v>91</v>
      </c>
      <c r="H293" s="1" t="s">
        <v>92</v>
      </c>
      <c r="I293" s="1" t="s">
        <v>812</v>
      </c>
      <c r="J293" s="1" t="s">
        <v>813</v>
      </c>
      <c r="K293" s="1" t="s">
        <v>813</v>
      </c>
      <c r="M293" s="4">
        <v>6.0</v>
      </c>
      <c r="O293" s="4">
        <v>21.565883333333332</v>
      </c>
    </row>
    <row r="294">
      <c r="A294" s="5">
        <v>45531.0</v>
      </c>
      <c r="B294" s="1" t="s">
        <v>103</v>
      </c>
      <c r="C294" s="1" t="s">
        <v>107</v>
      </c>
      <c r="D294" s="4">
        <v>329.0</v>
      </c>
      <c r="E294" s="4">
        <v>0.0</v>
      </c>
      <c r="F294" s="1" t="s">
        <v>811</v>
      </c>
      <c r="G294" s="1" t="s">
        <v>91</v>
      </c>
      <c r="H294" s="1" t="s">
        <v>92</v>
      </c>
      <c r="I294" s="1" t="s">
        <v>814</v>
      </c>
      <c r="J294" s="1" t="s">
        <v>815</v>
      </c>
      <c r="K294" s="1" t="s">
        <v>815</v>
      </c>
      <c r="M294" s="4">
        <v>-2.0</v>
      </c>
      <c r="O294" s="4">
        <v>12.215533333333333</v>
      </c>
    </row>
    <row r="295">
      <c r="A295" s="5">
        <v>45531.0</v>
      </c>
      <c r="B295" s="1" t="s">
        <v>103</v>
      </c>
      <c r="C295" s="1" t="s">
        <v>107</v>
      </c>
      <c r="D295" s="4">
        <v>329.0</v>
      </c>
      <c r="E295" s="4">
        <v>0.0</v>
      </c>
      <c r="F295" s="1" t="s">
        <v>808</v>
      </c>
      <c r="G295" s="1" t="s">
        <v>91</v>
      </c>
      <c r="H295" s="1" t="s">
        <v>92</v>
      </c>
      <c r="I295" s="1" t="s">
        <v>816</v>
      </c>
      <c r="J295" s="1" t="s">
        <v>817</v>
      </c>
      <c r="K295" s="1" t="s">
        <v>817</v>
      </c>
      <c r="M295" s="4">
        <v>-2.0</v>
      </c>
      <c r="O295" s="4">
        <v>12.270516666666667</v>
      </c>
    </row>
    <row r="296">
      <c r="A296" s="5">
        <v>45531.0</v>
      </c>
      <c r="B296" s="1" t="s">
        <v>95</v>
      </c>
      <c r="C296" s="1" t="s">
        <v>107</v>
      </c>
      <c r="D296" s="4">
        <v>397.0</v>
      </c>
      <c r="E296" s="4">
        <v>150.0</v>
      </c>
      <c r="G296" s="1" t="s">
        <v>91</v>
      </c>
      <c r="H296" s="1" t="s">
        <v>92</v>
      </c>
      <c r="I296" s="1" t="s">
        <v>818</v>
      </c>
      <c r="J296" s="1" t="s">
        <v>819</v>
      </c>
      <c r="K296" s="1" t="s">
        <v>819</v>
      </c>
      <c r="M296" s="4">
        <v>1.0</v>
      </c>
      <c r="O296" s="4">
        <v>10.89025</v>
      </c>
    </row>
    <row r="297">
      <c r="A297" s="5">
        <v>45531.0</v>
      </c>
      <c r="B297" s="1" t="s">
        <v>116</v>
      </c>
      <c r="C297" s="1" t="s">
        <v>107</v>
      </c>
      <c r="D297" s="4">
        <v>321.0</v>
      </c>
      <c r="E297" s="4">
        <v>353.0</v>
      </c>
      <c r="F297" s="1" t="s">
        <v>774</v>
      </c>
      <c r="G297" s="1" t="s">
        <v>175</v>
      </c>
      <c r="H297" s="1" t="s">
        <v>92</v>
      </c>
      <c r="I297" s="1" t="s">
        <v>820</v>
      </c>
      <c r="J297" s="1" t="s">
        <v>821</v>
      </c>
      <c r="K297" s="1" t="s">
        <v>822</v>
      </c>
      <c r="L297" s="1" t="s">
        <v>823</v>
      </c>
      <c r="M297" s="4">
        <v>-25.0</v>
      </c>
      <c r="N297" s="4">
        <v>0.010316666666666667</v>
      </c>
      <c r="O297" s="4">
        <v>9.378316666666667</v>
      </c>
    </row>
    <row r="298">
      <c r="A298" s="5">
        <v>45531.0</v>
      </c>
      <c r="B298" s="1" t="s">
        <v>116</v>
      </c>
      <c r="C298" s="1" t="s">
        <v>107</v>
      </c>
      <c r="D298" s="4">
        <v>247.0</v>
      </c>
      <c r="E298" s="4">
        <v>62.0</v>
      </c>
      <c r="G298" s="1" t="s">
        <v>111</v>
      </c>
      <c r="H298" s="1" t="s">
        <v>194</v>
      </c>
      <c r="I298" s="1" t="s">
        <v>824</v>
      </c>
      <c r="J298" s="1" t="s">
        <v>825</v>
      </c>
      <c r="K298" s="1" t="s">
        <v>825</v>
      </c>
      <c r="M298" s="4">
        <v>-9.0</v>
      </c>
      <c r="O298" s="4">
        <v>9.5265</v>
      </c>
    </row>
    <row r="299">
      <c r="A299" s="5">
        <v>45531.0</v>
      </c>
      <c r="B299" s="1" t="s">
        <v>95</v>
      </c>
      <c r="C299" s="1" t="s">
        <v>107</v>
      </c>
      <c r="D299" s="4">
        <v>528.0</v>
      </c>
      <c r="E299" s="4">
        <v>0.0</v>
      </c>
      <c r="G299" s="1" t="s">
        <v>91</v>
      </c>
      <c r="H299" s="1" t="s">
        <v>96</v>
      </c>
      <c r="I299" s="1" t="s">
        <v>826</v>
      </c>
      <c r="J299" s="1" t="s">
        <v>827</v>
      </c>
      <c r="K299" s="1" t="s">
        <v>827</v>
      </c>
      <c r="M299" s="4">
        <v>1.0</v>
      </c>
      <c r="O299" s="4">
        <v>10.858316666666667</v>
      </c>
    </row>
    <row r="300">
      <c r="A300" s="5">
        <v>45531.0</v>
      </c>
      <c r="B300" s="1" t="s">
        <v>95</v>
      </c>
      <c r="C300" s="1" t="s">
        <v>107</v>
      </c>
      <c r="D300" s="4">
        <v>354.0</v>
      </c>
      <c r="E300" s="4">
        <v>0.0</v>
      </c>
      <c r="G300" s="1" t="s">
        <v>91</v>
      </c>
      <c r="H300" s="1" t="s">
        <v>92</v>
      </c>
      <c r="I300" s="1" t="s">
        <v>828</v>
      </c>
      <c r="J300" s="1" t="s">
        <v>829</v>
      </c>
      <c r="K300" s="1" t="s">
        <v>829</v>
      </c>
      <c r="M300" s="4">
        <v>2.0</v>
      </c>
      <c r="O300" s="4">
        <v>10.087266666666666</v>
      </c>
    </row>
    <row r="301">
      <c r="A301" s="5">
        <v>45531.0</v>
      </c>
      <c r="B301" s="1" t="s">
        <v>88</v>
      </c>
      <c r="C301" s="1" t="s">
        <v>107</v>
      </c>
      <c r="D301" s="4">
        <v>376.0</v>
      </c>
      <c r="E301" s="4">
        <v>0.0</v>
      </c>
      <c r="F301" s="1" t="s">
        <v>90</v>
      </c>
      <c r="G301" s="1" t="s">
        <v>91</v>
      </c>
      <c r="H301" s="1" t="s">
        <v>92</v>
      </c>
      <c r="I301" s="1" t="s">
        <v>830</v>
      </c>
      <c r="J301" s="1" t="s">
        <v>831</v>
      </c>
      <c r="K301" s="1" t="s">
        <v>831</v>
      </c>
      <c r="M301" s="4">
        <v>-6.0</v>
      </c>
      <c r="O301" s="4">
        <v>8.308916666666667</v>
      </c>
    </row>
    <row r="302">
      <c r="A302" s="5">
        <v>45531.0</v>
      </c>
      <c r="B302" s="1" t="s">
        <v>116</v>
      </c>
      <c r="C302" s="1" t="s">
        <v>107</v>
      </c>
      <c r="D302" s="4">
        <v>269.0</v>
      </c>
      <c r="E302" s="4">
        <v>0.0</v>
      </c>
      <c r="F302" s="1" t="s">
        <v>774</v>
      </c>
      <c r="G302" s="1" t="s">
        <v>175</v>
      </c>
      <c r="H302" s="1" t="s">
        <v>96</v>
      </c>
      <c r="I302" s="1" t="s">
        <v>832</v>
      </c>
      <c r="J302" s="1" t="s">
        <v>833</v>
      </c>
      <c r="K302" s="1" t="s">
        <v>834</v>
      </c>
      <c r="L302" s="1" t="s">
        <v>835</v>
      </c>
      <c r="M302" s="4">
        <v>-2.0</v>
      </c>
      <c r="N302" s="4">
        <v>0.009116666666666667</v>
      </c>
      <c r="O302" s="4">
        <v>6.885933333333333</v>
      </c>
    </row>
    <row r="303">
      <c r="A303" s="5">
        <v>45531.0</v>
      </c>
      <c r="B303" s="1" t="s">
        <v>103</v>
      </c>
      <c r="C303" s="1" t="s">
        <v>107</v>
      </c>
      <c r="D303" s="4">
        <v>264.0</v>
      </c>
      <c r="E303" s="4">
        <v>0.0</v>
      </c>
      <c r="F303" s="1" t="s">
        <v>836</v>
      </c>
      <c r="G303" s="1" t="s">
        <v>91</v>
      </c>
      <c r="H303" s="1" t="s">
        <v>92</v>
      </c>
      <c r="I303" s="1" t="s">
        <v>837</v>
      </c>
      <c r="J303" s="1" t="s">
        <v>838</v>
      </c>
      <c r="K303" s="1" t="s">
        <v>838</v>
      </c>
      <c r="M303" s="4">
        <v>-4.0</v>
      </c>
      <c r="O303" s="4">
        <v>10.656516666666667</v>
      </c>
    </row>
    <row r="304">
      <c r="A304" s="5">
        <v>45531.0</v>
      </c>
      <c r="B304" s="1" t="s">
        <v>95</v>
      </c>
      <c r="C304" s="1" t="s">
        <v>89</v>
      </c>
      <c r="D304" s="4">
        <v>303.0</v>
      </c>
      <c r="E304" s="4">
        <v>0.0</v>
      </c>
      <c r="G304" s="1" t="s">
        <v>91</v>
      </c>
      <c r="H304" s="1" t="s">
        <v>92</v>
      </c>
      <c r="I304" s="1" t="s">
        <v>839</v>
      </c>
      <c r="J304" s="1" t="s">
        <v>840</v>
      </c>
      <c r="K304" s="1" t="s">
        <v>840</v>
      </c>
      <c r="M304" s="4">
        <v>0.0</v>
      </c>
      <c r="O304" s="4">
        <v>7.400566666666666</v>
      </c>
    </row>
    <row r="305">
      <c r="A305" s="5">
        <v>45531.0</v>
      </c>
      <c r="B305" s="1" t="s">
        <v>95</v>
      </c>
      <c r="C305" s="1" t="s">
        <v>89</v>
      </c>
      <c r="D305" s="4">
        <v>387.0</v>
      </c>
      <c r="E305" s="4">
        <v>0.0</v>
      </c>
      <c r="G305" s="1" t="s">
        <v>91</v>
      </c>
      <c r="H305" s="1" t="s">
        <v>92</v>
      </c>
      <c r="I305" s="1" t="s">
        <v>841</v>
      </c>
      <c r="J305" s="1" t="s">
        <v>842</v>
      </c>
      <c r="K305" s="1" t="s">
        <v>842</v>
      </c>
      <c r="M305" s="4">
        <v>0.0</v>
      </c>
      <c r="O305" s="4">
        <v>7.699133333333333</v>
      </c>
    </row>
    <row r="306">
      <c r="A306" s="5">
        <v>45531.0</v>
      </c>
      <c r="B306" s="1" t="s">
        <v>95</v>
      </c>
      <c r="C306" s="1" t="s">
        <v>89</v>
      </c>
      <c r="D306" s="4">
        <v>264.0</v>
      </c>
      <c r="E306" s="4">
        <v>0.0</v>
      </c>
      <c r="G306" s="1" t="s">
        <v>91</v>
      </c>
      <c r="H306" s="1" t="s">
        <v>92</v>
      </c>
      <c r="I306" s="1" t="s">
        <v>843</v>
      </c>
      <c r="J306" s="1" t="s">
        <v>844</v>
      </c>
      <c r="K306" s="1" t="s">
        <v>844</v>
      </c>
      <c r="M306" s="4">
        <v>0.0</v>
      </c>
      <c r="O306" s="4">
        <v>7.42675</v>
      </c>
    </row>
    <row r="307">
      <c r="A307" s="5">
        <v>45531.0</v>
      </c>
      <c r="B307" s="1" t="s">
        <v>116</v>
      </c>
      <c r="C307" s="1" t="s">
        <v>107</v>
      </c>
      <c r="D307" s="4">
        <v>463.0</v>
      </c>
      <c r="E307" s="4">
        <v>15.0</v>
      </c>
      <c r="F307" s="1" t="s">
        <v>774</v>
      </c>
      <c r="G307" s="1" t="s">
        <v>175</v>
      </c>
      <c r="H307" s="1" t="s">
        <v>92</v>
      </c>
      <c r="I307" s="1" t="s">
        <v>845</v>
      </c>
      <c r="J307" s="1" t="s">
        <v>846</v>
      </c>
      <c r="K307" s="1" t="s">
        <v>847</v>
      </c>
      <c r="L307" s="1" t="s">
        <v>848</v>
      </c>
      <c r="M307" s="4">
        <v>-4.0</v>
      </c>
      <c r="N307" s="4">
        <v>0.0104</v>
      </c>
      <c r="O307" s="4">
        <v>8.404366666666666</v>
      </c>
    </row>
    <row r="308">
      <c r="A308" s="5">
        <v>45531.0</v>
      </c>
      <c r="B308" s="1" t="s">
        <v>116</v>
      </c>
      <c r="C308" s="1" t="s">
        <v>107</v>
      </c>
      <c r="D308" s="4">
        <v>326.0</v>
      </c>
      <c r="E308" s="4">
        <v>0.0</v>
      </c>
      <c r="F308" s="1" t="s">
        <v>774</v>
      </c>
      <c r="G308" s="1" t="s">
        <v>175</v>
      </c>
      <c r="H308" s="1" t="s">
        <v>92</v>
      </c>
      <c r="I308" s="1" t="s">
        <v>849</v>
      </c>
      <c r="J308" s="1" t="s">
        <v>850</v>
      </c>
      <c r="K308" s="1" t="s">
        <v>851</v>
      </c>
      <c r="L308" s="1" t="s">
        <v>852</v>
      </c>
      <c r="M308" s="4">
        <v>-3.0</v>
      </c>
      <c r="N308" s="4">
        <v>0.010116666666666666</v>
      </c>
      <c r="O308" s="4">
        <v>12.692466666666666</v>
      </c>
    </row>
    <row r="309">
      <c r="A309" s="5">
        <v>45531.0</v>
      </c>
      <c r="B309" s="1" t="s">
        <v>110</v>
      </c>
      <c r="C309" s="1" t="s">
        <v>107</v>
      </c>
      <c r="D309" s="4">
        <v>249.0</v>
      </c>
      <c r="E309" s="4">
        <v>0.0</v>
      </c>
      <c r="G309" s="1" t="s">
        <v>111</v>
      </c>
      <c r="H309" s="1" t="s">
        <v>96</v>
      </c>
      <c r="I309" s="1" t="s">
        <v>853</v>
      </c>
      <c r="J309" s="1" t="s">
        <v>854</v>
      </c>
      <c r="K309" s="1" t="s">
        <v>854</v>
      </c>
      <c r="M309" s="4">
        <v>2.0</v>
      </c>
      <c r="O309" s="4">
        <v>7.76235</v>
      </c>
    </row>
    <row r="310">
      <c r="A310" s="5">
        <v>45531.0</v>
      </c>
      <c r="B310" s="1" t="s">
        <v>110</v>
      </c>
      <c r="C310" s="1" t="s">
        <v>107</v>
      </c>
      <c r="D310" s="4">
        <v>498.0</v>
      </c>
      <c r="E310" s="4">
        <v>0.0</v>
      </c>
      <c r="G310" s="1" t="s">
        <v>111</v>
      </c>
      <c r="H310" s="1" t="s">
        <v>96</v>
      </c>
      <c r="I310" s="1" t="s">
        <v>855</v>
      </c>
      <c r="J310" s="1" t="s">
        <v>856</v>
      </c>
      <c r="K310" s="1" t="s">
        <v>856</v>
      </c>
      <c r="M310" s="4">
        <v>7.0</v>
      </c>
      <c r="O310" s="4">
        <v>12.582733333333334</v>
      </c>
    </row>
    <row r="311">
      <c r="A311" s="5">
        <v>45531.0</v>
      </c>
      <c r="B311" s="1" t="s">
        <v>110</v>
      </c>
      <c r="C311" s="1" t="s">
        <v>107</v>
      </c>
      <c r="D311" s="4">
        <v>249.0</v>
      </c>
      <c r="E311" s="4">
        <v>0.0</v>
      </c>
      <c r="G311" s="1" t="s">
        <v>111</v>
      </c>
      <c r="H311" s="1" t="s">
        <v>96</v>
      </c>
      <c r="I311" s="1" t="s">
        <v>857</v>
      </c>
      <c r="J311" s="1" t="s">
        <v>858</v>
      </c>
      <c r="K311" s="1" t="s">
        <v>858</v>
      </c>
      <c r="M311" s="4">
        <v>4.0</v>
      </c>
      <c r="O311" s="4">
        <v>9.6888</v>
      </c>
    </row>
    <row r="312">
      <c r="A312" s="5">
        <v>45531.0</v>
      </c>
      <c r="B312" s="1" t="s">
        <v>95</v>
      </c>
      <c r="C312" s="1" t="s">
        <v>89</v>
      </c>
      <c r="D312" s="4">
        <v>299.0</v>
      </c>
      <c r="E312" s="4">
        <v>0.0</v>
      </c>
      <c r="G312" s="1" t="s">
        <v>91</v>
      </c>
      <c r="H312" s="1" t="s">
        <v>92</v>
      </c>
      <c r="I312" s="1" t="s">
        <v>859</v>
      </c>
      <c r="J312" s="1" t="s">
        <v>860</v>
      </c>
      <c r="K312" s="1" t="s">
        <v>860</v>
      </c>
      <c r="M312" s="4">
        <v>3.0</v>
      </c>
      <c r="O312" s="4">
        <v>11.541266666666667</v>
      </c>
    </row>
    <row r="313">
      <c r="A313" s="5">
        <v>45531.0</v>
      </c>
      <c r="B313" s="1" t="s">
        <v>110</v>
      </c>
      <c r="C313" s="1" t="s">
        <v>107</v>
      </c>
      <c r="D313" s="4">
        <v>309.0</v>
      </c>
      <c r="E313" s="4">
        <v>0.0</v>
      </c>
      <c r="G313" s="1" t="s">
        <v>111</v>
      </c>
      <c r="H313" s="1" t="s">
        <v>96</v>
      </c>
      <c r="I313" s="1" t="s">
        <v>861</v>
      </c>
      <c r="J313" s="1" t="s">
        <v>862</v>
      </c>
      <c r="K313" s="1" t="s">
        <v>862</v>
      </c>
      <c r="M313" s="4">
        <v>0.0</v>
      </c>
      <c r="O313" s="4">
        <v>5.107366666666667</v>
      </c>
    </row>
    <row r="314">
      <c r="A314" s="5">
        <v>45531.0</v>
      </c>
      <c r="B314" s="1" t="s">
        <v>110</v>
      </c>
      <c r="C314" s="1" t="s">
        <v>107</v>
      </c>
      <c r="D314" s="4">
        <v>249.0</v>
      </c>
      <c r="E314" s="4">
        <v>0.0</v>
      </c>
      <c r="G314" s="1" t="s">
        <v>111</v>
      </c>
      <c r="H314" s="1" t="s">
        <v>96</v>
      </c>
      <c r="I314" s="1" t="s">
        <v>863</v>
      </c>
      <c r="J314" s="1" t="s">
        <v>864</v>
      </c>
      <c r="K314" s="1" t="s">
        <v>864</v>
      </c>
      <c r="M314" s="4">
        <v>4.0</v>
      </c>
      <c r="O314" s="4">
        <v>9.100083333333334</v>
      </c>
    </row>
    <row r="315">
      <c r="A315" s="5">
        <v>45531.0</v>
      </c>
      <c r="B315" s="1" t="s">
        <v>95</v>
      </c>
      <c r="C315" s="1" t="s">
        <v>89</v>
      </c>
      <c r="D315" s="4">
        <v>264.0</v>
      </c>
      <c r="E315" s="4">
        <v>0.0</v>
      </c>
      <c r="G315" s="1" t="s">
        <v>91</v>
      </c>
      <c r="H315" s="1" t="s">
        <v>92</v>
      </c>
      <c r="I315" s="1" t="s">
        <v>865</v>
      </c>
      <c r="J315" s="1" t="s">
        <v>866</v>
      </c>
      <c r="K315" s="1" t="s">
        <v>866</v>
      </c>
      <c r="M315" s="4">
        <v>0.0</v>
      </c>
      <c r="O315" s="4">
        <v>8.003633333333333</v>
      </c>
    </row>
    <row r="316">
      <c r="A316" s="5">
        <v>45531.0</v>
      </c>
      <c r="B316" s="1" t="s">
        <v>88</v>
      </c>
      <c r="C316" s="1" t="s">
        <v>107</v>
      </c>
      <c r="D316" s="4">
        <v>368.0</v>
      </c>
      <c r="E316" s="4">
        <v>0.0</v>
      </c>
      <c r="F316" s="1" t="s">
        <v>90</v>
      </c>
      <c r="G316" s="1" t="s">
        <v>91</v>
      </c>
      <c r="H316" s="1" t="s">
        <v>92</v>
      </c>
      <c r="I316" s="1" t="s">
        <v>867</v>
      </c>
      <c r="J316" s="1" t="s">
        <v>868</v>
      </c>
      <c r="K316" s="1" t="s">
        <v>868</v>
      </c>
      <c r="M316" s="4">
        <v>-6.0</v>
      </c>
      <c r="O316" s="4">
        <v>8.61355</v>
      </c>
    </row>
    <row r="317">
      <c r="A317" s="5">
        <v>45531.0</v>
      </c>
      <c r="B317" s="1" t="s">
        <v>95</v>
      </c>
      <c r="C317" s="1" t="s">
        <v>89</v>
      </c>
      <c r="D317" s="4">
        <v>264.0</v>
      </c>
      <c r="E317" s="4">
        <v>0.0</v>
      </c>
      <c r="G317" s="1" t="s">
        <v>91</v>
      </c>
      <c r="H317" s="1" t="s">
        <v>92</v>
      </c>
      <c r="I317" s="1" t="s">
        <v>869</v>
      </c>
      <c r="J317" s="1" t="s">
        <v>870</v>
      </c>
      <c r="K317" s="1" t="s">
        <v>870</v>
      </c>
      <c r="M317" s="4">
        <v>3.0</v>
      </c>
      <c r="O317" s="4">
        <v>10.274933333333333</v>
      </c>
    </row>
    <row r="318">
      <c r="A318" s="5">
        <v>45531.0</v>
      </c>
      <c r="B318" s="1" t="s">
        <v>88</v>
      </c>
      <c r="C318" s="1" t="s">
        <v>107</v>
      </c>
      <c r="D318" s="4">
        <v>184.0</v>
      </c>
      <c r="E318" s="4">
        <v>0.0</v>
      </c>
      <c r="F318" s="1" t="s">
        <v>90</v>
      </c>
      <c r="G318" s="1" t="s">
        <v>91</v>
      </c>
      <c r="H318" s="1" t="s">
        <v>92</v>
      </c>
      <c r="I318" s="1" t="s">
        <v>871</v>
      </c>
      <c r="J318" s="1" t="s">
        <v>872</v>
      </c>
      <c r="K318" s="1" t="s">
        <v>872</v>
      </c>
      <c r="M318" s="4">
        <v>-1.0</v>
      </c>
      <c r="O318" s="4">
        <v>13.303333333333333</v>
      </c>
    </row>
    <row r="319">
      <c r="A319" s="5">
        <v>45531.0</v>
      </c>
      <c r="B319" s="1" t="s">
        <v>116</v>
      </c>
      <c r="C319" s="1" t="s">
        <v>107</v>
      </c>
      <c r="D319" s="4">
        <v>275.0</v>
      </c>
      <c r="E319" s="4">
        <v>69.0</v>
      </c>
      <c r="G319" s="1" t="s">
        <v>111</v>
      </c>
      <c r="H319" s="1" t="s">
        <v>194</v>
      </c>
      <c r="I319" s="1" t="s">
        <v>873</v>
      </c>
      <c r="J319" s="1" t="s">
        <v>874</v>
      </c>
      <c r="K319" s="1" t="s">
        <v>874</v>
      </c>
      <c r="M319" s="4">
        <v>-14.0</v>
      </c>
      <c r="O319" s="4">
        <v>12.2525</v>
      </c>
    </row>
    <row r="320">
      <c r="A320" s="5">
        <v>45531.0</v>
      </c>
      <c r="B320" s="1" t="s">
        <v>110</v>
      </c>
      <c r="C320" s="1" t="s">
        <v>107</v>
      </c>
      <c r="D320" s="4">
        <v>249.0</v>
      </c>
      <c r="E320" s="4">
        <v>249.0</v>
      </c>
      <c r="G320" s="1" t="s">
        <v>111</v>
      </c>
      <c r="H320" s="1" t="s">
        <v>96</v>
      </c>
      <c r="I320" s="1" t="s">
        <v>875</v>
      </c>
      <c r="J320" s="1" t="s">
        <v>876</v>
      </c>
      <c r="K320" s="1" t="s">
        <v>876</v>
      </c>
      <c r="M320" s="4">
        <v>4.0</v>
      </c>
      <c r="O320" s="4">
        <v>9.169066666666666</v>
      </c>
    </row>
    <row r="321">
      <c r="A321" s="5">
        <v>45531.0</v>
      </c>
      <c r="B321" s="1" t="s">
        <v>116</v>
      </c>
      <c r="C321" s="1" t="s">
        <v>107</v>
      </c>
      <c r="D321" s="4">
        <v>247.0</v>
      </c>
      <c r="E321" s="4">
        <v>62.0</v>
      </c>
      <c r="G321" s="1" t="s">
        <v>111</v>
      </c>
      <c r="H321" s="1" t="s">
        <v>96</v>
      </c>
      <c r="I321" s="1" t="s">
        <v>877</v>
      </c>
      <c r="J321" s="1" t="s">
        <v>878</v>
      </c>
      <c r="K321" s="1" t="s">
        <v>878</v>
      </c>
      <c r="M321" s="4">
        <v>-11.0</v>
      </c>
      <c r="O321" s="4">
        <v>8.496016666666666</v>
      </c>
    </row>
    <row r="322">
      <c r="A322" s="5">
        <v>45531.0</v>
      </c>
      <c r="B322" s="1" t="s">
        <v>116</v>
      </c>
      <c r="C322" s="1" t="s">
        <v>107</v>
      </c>
      <c r="D322" s="4">
        <v>486.0</v>
      </c>
      <c r="E322" s="4">
        <v>0.0</v>
      </c>
      <c r="F322" s="1" t="s">
        <v>774</v>
      </c>
      <c r="G322" s="1" t="s">
        <v>175</v>
      </c>
      <c r="H322" s="1" t="s">
        <v>96</v>
      </c>
      <c r="I322" s="1" t="s">
        <v>879</v>
      </c>
      <c r="J322" s="1" t="s">
        <v>880</v>
      </c>
      <c r="K322" s="1" t="s">
        <v>881</v>
      </c>
      <c r="L322" s="1" t="s">
        <v>882</v>
      </c>
      <c r="M322" s="4">
        <v>0.0</v>
      </c>
      <c r="N322" s="4">
        <v>0.01025</v>
      </c>
      <c r="O322" s="4">
        <v>13.245566666666667</v>
      </c>
    </row>
    <row r="323">
      <c r="A323" s="5">
        <v>45531.0</v>
      </c>
      <c r="B323" s="1" t="s">
        <v>88</v>
      </c>
      <c r="C323" s="1" t="s">
        <v>107</v>
      </c>
      <c r="D323" s="4">
        <v>264.0</v>
      </c>
      <c r="E323" s="4">
        <v>0.0</v>
      </c>
      <c r="F323" s="1" t="s">
        <v>90</v>
      </c>
      <c r="G323" s="1" t="s">
        <v>91</v>
      </c>
      <c r="H323" s="1" t="s">
        <v>92</v>
      </c>
      <c r="I323" s="1" t="s">
        <v>883</v>
      </c>
      <c r="J323" s="1" t="s">
        <v>884</v>
      </c>
      <c r="K323" s="1" t="s">
        <v>884</v>
      </c>
      <c r="M323" s="4">
        <v>-9.0</v>
      </c>
      <c r="O323" s="4">
        <v>5.567433333333334</v>
      </c>
    </row>
    <row r="324">
      <c r="A324" s="5">
        <v>45531.0</v>
      </c>
      <c r="B324" s="1" t="s">
        <v>110</v>
      </c>
      <c r="C324" s="1" t="s">
        <v>107</v>
      </c>
      <c r="D324" s="4">
        <v>358.0</v>
      </c>
      <c r="E324" s="4">
        <v>0.0</v>
      </c>
      <c r="G324" s="1" t="s">
        <v>111</v>
      </c>
      <c r="H324" s="1" t="s">
        <v>96</v>
      </c>
      <c r="I324" s="1" t="s">
        <v>885</v>
      </c>
      <c r="J324" s="1" t="s">
        <v>886</v>
      </c>
      <c r="K324" s="1" t="s">
        <v>886</v>
      </c>
      <c r="M324" s="4">
        <v>4.0</v>
      </c>
      <c r="O324" s="4">
        <v>9.171083333333334</v>
      </c>
    </row>
    <row r="325">
      <c r="A325" s="5">
        <v>45531.0</v>
      </c>
      <c r="B325" s="1" t="s">
        <v>103</v>
      </c>
      <c r="C325" s="1" t="s">
        <v>89</v>
      </c>
      <c r="D325" s="4">
        <v>642.0</v>
      </c>
      <c r="E325" s="4">
        <v>0.0</v>
      </c>
      <c r="F325" s="1" t="s">
        <v>887</v>
      </c>
      <c r="G325" s="1" t="s">
        <v>91</v>
      </c>
      <c r="H325" s="1" t="s">
        <v>92</v>
      </c>
      <c r="I325" s="1" t="s">
        <v>888</v>
      </c>
      <c r="J325" s="1" t="s">
        <v>889</v>
      </c>
      <c r="K325" s="1" t="s">
        <v>889</v>
      </c>
      <c r="M325" s="4">
        <v>-6.0</v>
      </c>
      <c r="O325" s="4">
        <v>13.484233333333334</v>
      </c>
    </row>
    <row r="326">
      <c r="A326" s="5">
        <v>45531.0</v>
      </c>
      <c r="B326" s="1" t="s">
        <v>116</v>
      </c>
      <c r="C326" s="1" t="s">
        <v>107</v>
      </c>
      <c r="D326" s="4">
        <v>374.0</v>
      </c>
      <c r="E326" s="4">
        <v>0.0</v>
      </c>
      <c r="F326" s="1" t="s">
        <v>774</v>
      </c>
      <c r="G326" s="1" t="s">
        <v>175</v>
      </c>
      <c r="H326" s="1" t="s">
        <v>92</v>
      </c>
      <c r="I326" s="1" t="s">
        <v>890</v>
      </c>
      <c r="J326" s="1" t="s">
        <v>891</v>
      </c>
      <c r="K326" s="1" t="s">
        <v>892</v>
      </c>
      <c r="L326" s="1" t="s">
        <v>893</v>
      </c>
      <c r="M326" s="4">
        <v>-9.0</v>
      </c>
      <c r="N326" s="4">
        <v>0.00985</v>
      </c>
      <c r="O326" s="4">
        <v>12.2436</v>
      </c>
    </row>
    <row r="327">
      <c r="A327" s="5">
        <v>45531.0</v>
      </c>
      <c r="B327" s="1" t="s">
        <v>88</v>
      </c>
      <c r="C327" s="1" t="s">
        <v>107</v>
      </c>
      <c r="D327" s="4">
        <v>264.0</v>
      </c>
      <c r="E327" s="4">
        <v>0.0</v>
      </c>
      <c r="F327" s="1" t="s">
        <v>90</v>
      </c>
      <c r="G327" s="1" t="s">
        <v>91</v>
      </c>
      <c r="H327" s="1" t="s">
        <v>92</v>
      </c>
      <c r="I327" s="1" t="s">
        <v>894</v>
      </c>
      <c r="J327" s="1" t="s">
        <v>895</v>
      </c>
      <c r="K327" s="1" t="s">
        <v>895</v>
      </c>
      <c r="M327" s="4">
        <v>-8.0</v>
      </c>
      <c r="O327" s="4">
        <v>6.7776</v>
      </c>
    </row>
    <row r="328">
      <c r="A328" s="5">
        <v>45531.0</v>
      </c>
      <c r="B328" s="1" t="s">
        <v>116</v>
      </c>
      <c r="C328" s="1" t="s">
        <v>107</v>
      </c>
      <c r="D328" s="4">
        <v>379.0</v>
      </c>
      <c r="E328" s="4">
        <v>119.0</v>
      </c>
      <c r="G328" s="1" t="s">
        <v>111</v>
      </c>
      <c r="H328" s="1" t="s">
        <v>92</v>
      </c>
      <c r="I328" s="1" t="s">
        <v>896</v>
      </c>
      <c r="J328" s="1" t="s">
        <v>897</v>
      </c>
      <c r="K328" s="1" t="s">
        <v>897</v>
      </c>
      <c r="M328" s="4">
        <v>-9.0</v>
      </c>
      <c r="O328" s="4">
        <v>9.519716666666667</v>
      </c>
    </row>
    <row r="329">
      <c r="A329" s="5">
        <v>45531.0</v>
      </c>
      <c r="B329" s="1" t="s">
        <v>110</v>
      </c>
      <c r="C329" s="1" t="s">
        <v>107</v>
      </c>
      <c r="D329" s="4">
        <v>119.0</v>
      </c>
      <c r="E329" s="4">
        <v>0.0</v>
      </c>
      <c r="G329" s="1" t="s">
        <v>111</v>
      </c>
      <c r="H329" s="1" t="s">
        <v>96</v>
      </c>
      <c r="I329" s="1" t="s">
        <v>898</v>
      </c>
      <c r="J329" s="1" t="s">
        <v>899</v>
      </c>
      <c r="K329" s="1" t="s">
        <v>899</v>
      </c>
      <c r="M329" s="4">
        <v>3.0</v>
      </c>
      <c r="O329" s="4">
        <v>8.601216666666666</v>
      </c>
    </row>
    <row r="330">
      <c r="A330" s="5">
        <v>45531.0</v>
      </c>
      <c r="B330" s="1" t="s">
        <v>95</v>
      </c>
      <c r="C330" s="1" t="s">
        <v>107</v>
      </c>
      <c r="D330" s="4">
        <v>329.0</v>
      </c>
      <c r="E330" s="4">
        <v>0.0</v>
      </c>
      <c r="G330" s="1" t="s">
        <v>91</v>
      </c>
      <c r="H330" s="1" t="s">
        <v>92</v>
      </c>
      <c r="I330" s="1" t="s">
        <v>900</v>
      </c>
      <c r="J330" s="1" t="s">
        <v>901</v>
      </c>
      <c r="K330" s="1" t="s">
        <v>901</v>
      </c>
      <c r="M330" s="4">
        <v>8.0</v>
      </c>
      <c r="O330" s="4">
        <v>15.417666666666667</v>
      </c>
    </row>
    <row r="331">
      <c r="A331" s="5">
        <v>45531.0</v>
      </c>
      <c r="B331" s="1" t="s">
        <v>116</v>
      </c>
      <c r="C331" s="1" t="s">
        <v>107</v>
      </c>
      <c r="D331" s="4">
        <v>398.0</v>
      </c>
      <c r="E331" s="4">
        <v>100.0</v>
      </c>
      <c r="G331" s="1" t="s">
        <v>111</v>
      </c>
      <c r="H331" s="1" t="s">
        <v>194</v>
      </c>
      <c r="I331" s="1" t="s">
        <v>902</v>
      </c>
      <c r="J331" s="1" t="s">
        <v>903</v>
      </c>
      <c r="K331" s="1" t="s">
        <v>903</v>
      </c>
      <c r="M331" s="4">
        <v>-10.0</v>
      </c>
      <c r="O331" s="4">
        <v>8.673733333333333</v>
      </c>
    </row>
    <row r="332">
      <c r="A332" s="5">
        <v>45531.0</v>
      </c>
      <c r="B332" s="1" t="s">
        <v>103</v>
      </c>
      <c r="C332" s="1" t="s">
        <v>107</v>
      </c>
      <c r="D332" s="4">
        <v>264.0</v>
      </c>
      <c r="E332" s="4">
        <v>0.0</v>
      </c>
      <c r="F332" s="1" t="s">
        <v>904</v>
      </c>
      <c r="G332" s="1" t="s">
        <v>91</v>
      </c>
      <c r="H332" s="1" t="s">
        <v>92</v>
      </c>
      <c r="I332" s="1" t="s">
        <v>905</v>
      </c>
      <c r="J332" s="1" t="s">
        <v>906</v>
      </c>
      <c r="K332" s="1" t="s">
        <v>906</v>
      </c>
      <c r="M332" s="4">
        <v>-9.0</v>
      </c>
      <c r="O332" s="4">
        <v>5.8162666666666665</v>
      </c>
    </row>
    <row r="333">
      <c r="A333" s="5">
        <v>45531.0</v>
      </c>
      <c r="B333" s="1" t="s">
        <v>95</v>
      </c>
      <c r="C333" s="1" t="s">
        <v>89</v>
      </c>
      <c r="D333" s="4">
        <v>264.0</v>
      </c>
      <c r="E333" s="4">
        <v>100.0</v>
      </c>
      <c r="G333" s="1" t="s">
        <v>91</v>
      </c>
      <c r="H333" s="1" t="s">
        <v>92</v>
      </c>
      <c r="I333" s="1" t="s">
        <v>907</v>
      </c>
      <c r="J333" s="1" t="s">
        <v>908</v>
      </c>
      <c r="K333" s="1" t="s">
        <v>908</v>
      </c>
      <c r="M333" s="4">
        <v>0.0</v>
      </c>
      <c r="O333" s="4">
        <v>6.553583333333333</v>
      </c>
    </row>
    <row r="334">
      <c r="A334" s="5">
        <v>45531.0</v>
      </c>
      <c r="B334" s="1" t="s">
        <v>116</v>
      </c>
      <c r="C334" s="1" t="s">
        <v>107</v>
      </c>
      <c r="D334" s="4">
        <v>366.0</v>
      </c>
      <c r="E334" s="4">
        <v>92.0</v>
      </c>
      <c r="G334" s="1" t="s">
        <v>111</v>
      </c>
      <c r="H334" s="1" t="s">
        <v>92</v>
      </c>
      <c r="I334" s="1" t="s">
        <v>909</v>
      </c>
      <c r="J334" s="1" t="s">
        <v>910</v>
      </c>
      <c r="K334" s="1" t="s">
        <v>910</v>
      </c>
      <c r="M334" s="4">
        <v>-25.0</v>
      </c>
      <c r="O334" s="4">
        <v>9.73145</v>
      </c>
    </row>
    <row r="335">
      <c r="A335" s="5">
        <v>45531.0</v>
      </c>
      <c r="B335" s="1" t="s">
        <v>103</v>
      </c>
      <c r="C335" s="1" t="s">
        <v>89</v>
      </c>
      <c r="D335" s="4">
        <v>264.0</v>
      </c>
      <c r="E335" s="4">
        <v>0.0</v>
      </c>
      <c r="F335" s="1" t="s">
        <v>187</v>
      </c>
      <c r="G335" s="1" t="s">
        <v>91</v>
      </c>
      <c r="H335" s="1" t="s">
        <v>92</v>
      </c>
      <c r="I335" s="1" t="s">
        <v>911</v>
      </c>
      <c r="J335" s="1" t="s">
        <v>912</v>
      </c>
      <c r="K335" s="1" t="s">
        <v>912</v>
      </c>
      <c r="M335" s="4">
        <v>-2.0</v>
      </c>
      <c r="O335" s="4">
        <v>12.89765</v>
      </c>
    </row>
    <row r="336">
      <c r="A336" s="5">
        <v>45531.0</v>
      </c>
      <c r="B336" s="1" t="s">
        <v>116</v>
      </c>
      <c r="C336" s="1" t="s">
        <v>107</v>
      </c>
      <c r="D336" s="4">
        <v>199.0</v>
      </c>
      <c r="E336" s="4">
        <v>50.0</v>
      </c>
      <c r="G336" s="1" t="s">
        <v>111</v>
      </c>
      <c r="H336" s="1" t="s">
        <v>96</v>
      </c>
      <c r="I336" s="1" t="s">
        <v>913</v>
      </c>
      <c r="J336" s="1" t="s">
        <v>914</v>
      </c>
      <c r="K336" s="1" t="s">
        <v>914</v>
      </c>
      <c r="M336" s="4">
        <v>-13.0</v>
      </c>
      <c r="O336" s="4">
        <v>5.992816666666666</v>
      </c>
    </row>
    <row r="337">
      <c r="A337" s="5">
        <v>45531.0</v>
      </c>
      <c r="B337" s="1" t="s">
        <v>88</v>
      </c>
      <c r="C337" s="1" t="s">
        <v>107</v>
      </c>
      <c r="D337" s="4">
        <v>351.0</v>
      </c>
      <c r="E337" s="4">
        <v>0.0</v>
      </c>
      <c r="F337" s="1" t="s">
        <v>90</v>
      </c>
      <c r="G337" s="1" t="s">
        <v>91</v>
      </c>
      <c r="H337" s="1" t="s">
        <v>92</v>
      </c>
      <c r="I337" s="1" t="s">
        <v>915</v>
      </c>
      <c r="J337" s="1" t="s">
        <v>916</v>
      </c>
      <c r="K337" s="1" t="s">
        <v>916</v>
      </c>
      <c r="M337" s="4">
        <v>-8.0</v>
      </c>
      <c r="O337" s="4">
        <v>6.946983333333334</v>
      </c>
    </row>
    <row r="338">
      <c r="A338" s="5">
        <v>45531.0</v>
      </c>
      <c r="B338" s="1" t="s">
        <v>88</v>
      </c>
      <c r="C338" s="1" t="s">
        <v>107</v>
      </c>
      <c r="D338" s="4">
        <v>368.0</v>
      </c>
      <c r="E338" s="4">
        <v>0.0</v>
      </c>
      <c r="F338" s="1" t="s">
        <v>90</v>
      </c>
      <c r="G338" s="1" t="s">
        <v>91</v>
      </c>
      <c r="H338" s="1" t="s">
        <v>92</v>
      </c>
      <c r="I338" s="1" t="s">
        <v>917</v>
      </c>
      <c r="J338" s="1" t="s">
        <v>918</v>
      </c>
      <c r="K338" s="1" t="s">
        <v>918</v>
      </c>
      <c r="M338" s="4">
        <v>-8.0</v>
      </c>
      <c r="O338" s="4">
        <v>6.37605</v>
      </c>
    </row>
    <row r="339">
      <c r="A339" s="5">
        <v>45531.0</v>
      </c>
      <c r="B339" s="1" t="s">
        <v>116</v>
      </c>
      <c r="C339" s="1" t="s">
        <v>107</v>
      </c>
      <c r="D339" s="4">
        <v>279.0</v>
      </c>
      <c r="E339" s="4">
        <v>0.0</v>
      </c>
      <c r="F339" s="1" t="s">
        <v>386</v>
      </c>
      <c r="G339" s="1" t="s">
        <v>175</v>
      </c>
      <c r="H339" s="1" t="s">
        <v>96</v>
      </c>
      <c r="I339" s="1" t="s">
        <v>919</v>
      </c>
      <c r="J339" s="1" t="s">
        <v>920</v>
      </c>
      <c r="K339" s="1" t="s">
        <v>921</v>
      </c>
      <c r="L339" s="1" t="s">
        <v>922</v>
      </c>
      <c r="M339" s="4">
        <v>-8.0</v>
      </c>
      <c r="N339" s="4">
        <v>0.009183333333333333</v>
      </c>
      <c r="O339" s="4">
        <v>5.952166666666667</v>
      </c>
    </row>
    <row r="340">
      <c r="A340" s="5">
        <v>45531.0</v>
      </c>
      <c r="B340" s="1" t="s">
        <v>95</v>
      </c>
      <c r="C340" s="1" t="s">
        <v>107</v>
      </c>
      <c r="D340" s="4">
        <v>394.0</v>
      </c>
      <c r="E340" s="4">
        <v>0.0</v>
      </c>
      <c r="G340" s="1" t="s">
        <v>91</v>
      </c>
      <c r="H340" s="1" t="s">
        <v>92</v>
      </c>
      <c r="I340" s="1" t="s">
        <v>923</v>
      </c>
      <c r="J340" s="1" t="s">
        <v>924</v>
      </c>
      <c r="K340" s="1" t="s">
        <v>924</v>
      </c>
      <c r="M340" s="4">
        <v>2.0</v>
      </c>
      <c r="O340" s="4">
        <v>10.946633333333333</v>
      </c>
    </row>
    <row r="341">
      <c r="A341" s="5">
        <v>45531.0</v>
      </c>
      <c r="B341" s="1" t="s">
        <v>88</v>
      </c>
      <c r="C341" s="1" t="s">
        <v>107</v>
      </c>
      <c r="D341" s="4">
        <v>269.0</v>
      </c>
      <c r="E341" s="4">
        <v>0.0</v>
      </c>
      <c r="F341" s="1" t="s">
        <v>90</v>
      </c>
      <c r="G341" s="1" t="s">
        <v>91</v>
      </c>
      <c r="H341" s="1" t="s">
        <v>92</v>
      </c>
      <c r="I341" s="1" t="s">
        <v>925</v>
      </c>
      <c r="J341" s="1" t="s">
        <v>926</v>
      </c>
      <c r="K341" s="1" t="s">
        <v>926</v>
      </c>
      <c r="M341" s="4">
        <v>-8.0</v>
      </c>
      <c r="O341" s="4">
        <v>6.490683333333333</v>
      </c>
    </row>
    <row r="342">
      <c r="A342" s="5">
        <v>45531.0</v>
      </c>
      <c r="B342" s="1" t="s">
        <v>88</v>
      </c>
      <c r="C342" s="1" t="s">
        <v>107</v>
      </c>
      <c r="D342" s="4">
        <v>313.0</v>
      </c>
      <c r="E342" s="4">
        <v>0.0</v>
      </c>
      <c r="F342" s="1" t="s">
        <v>90</v>
      </c>
      <c r="G342" s="1" t="s">
        <v>91</v>
      </c>
      <c r="H342" s="1" t="s">
        <v>92</v>
      </c>
      <c r="I342" s="1" t="s">
        <v>927</v>
      </c>
      <c r="J342" s="1" t="s">
        <v>928</v>
      </c>
      <c r="K342" s="1" t="s">
        <v>928</v>
      </c>
      <c r="M342" s="4">
        <v>-7.0</v>
      </c>
      <c r="O342" s="4">
        <v>7.137433333333333</v>
      </c>
    </row>
    <row r="343">
      <c r="A343" s="5">
        <v>45531.0</v>
      </c>
      <c r="B343" s="1" t="s">
        <v>103</v>
      </c>
      <c r="C343" s="1" t="s">
        <v>107</v>
      </c>
      <c r="D343" s="4">
        <v>329.0</v>
      </c>
      <c r="E343" s="4">
        <v>0.0</v>
      </c>
      <c r="F343" s="1" t="s">
        <v>929</v>
      </c>
      <c r="G343" s="1" t="s">
        <v>91</v>
      </c>
      <c r="H343" s="1" t="s">
        <v>92</v>
      </c>
      <c r="I343" s="1" t="s">
        <v>930</v>
      </c>
      <c r="J343" s="1" t="s">
        <v>931</v>
      </c>
      <c r="K343" s="1" t="s">
        <v>931</v>
      </c>
      <c r="M343" s="4">
        <v>-7.0</v>
      </c>
      <c r="O343" s="4">
        <v>7.89195</v>
      </c>
    </row>
    <row r="344">
      <c r="A344" s="5">
        <v>45531.0</v>
      </c>
      <c r="B344" s="1" t="s">
        <v>95</v>
      </c>
      <c r="C344" s="1" t="s">
        <v>107</v>
      </c>
      <c r="D344" s="4">
        <v>845.0</v>
      </c>
      <c r="E344" s="4">
        <v>0.0</v>
      </c>
      <c r="G344" s="1" t="s">
        <v>91</v>
      </c>
      <c r="H344" s="1" t="s">
        <v>96</v>
      </c>
      <c r="I344" s="1" t="s">
        <v>932</v>
      </c>
      <c r="J344" s="1" t="s">
        <v>933</v>
      </c>
      <c r="K344" s="1" t="s">
        <v>933</v>
      </c>
      <c r="M344" s="4">
        <v>4.0</v>
      </c>
      <c r="O344" s="4">
        <v>15.04685</v>
      </c>
    </row>
    <row r="345">
      <c r="A345" s="5">
        <v>45531.0</v>
      </c>
      <c r="B345" s="1" t="s">
        <v>116</v>
      </c>
      <c r="C345" s="1" t="s">
        <v>107</v>
      </c>
      <c r="D345" s="4">
        <v>199.0</v>
      </c>
      <c r="E345" s="4">
        <v>50.0</v>
      </c>
      <c r="G345" s="1" t="s">
        <v>111</v>
      </c>
      <c r="H345" s="1" t="s">
        <v>194</v>
      </c>
      <c r="I345" s="1" t="s">
        <v>934</v>
      </c>
      <c r="J345" s="1" t="s">
        <v>935</v>
      </c>
      <c r="K345" s="1" t="s">
        <v>935</v>
      </c>
      <c r="M345" s="4">
        <v>-7.0</v>
      </c>
      <c r="O345" s="4">
        <v>12.171483333333333</v>
      </c>
    </row>
    <row r="346">
      <c r="A346" s="5">
        <v>45531.0</v>
      </c>
      <c r="B346" s="1" t="s">
        <v>88</v>
      </c>
      <c r="C346" s="1" t="s">
        <v>107</v>
      </c>
      <c r="D346" s="4">
        <v>642.0</v>
      </c>
      <c r="E346" s="4">
        <v>0.0</v>
      </c>
      <c r="F346" s="1" t="s">
        <v>90</v>
      </c>
      <c r="G346" s="1" t="s">
        <v>91</v>
      </c>
      <c r="H346" s="1" t="s">
        <v>92</v>
      </c>
      <c r="I346" s="1" t="s">
        <v>936</v>
      </c>
      <c r="J346" s="1" t="s">
        <v>937</v>
      </c>
      <c r="K346" s="1" t="s">
        <v>937</v>
      </c>
      <c r="M346" s="4">
        <v>-9.0</v>
      </c>
      <c r="O346" s="4">
        <v>10.8653</v>
      </c>
    </row>
    <row r="347">
      <c r="A347" s="5">
        <v>45531.0</v>
      </c>
      <c r="B347" s="1" t="s">
        <v>116</v>
      </c>
      <c r="C347" s="1" t="s">
        <v>107</v>
      </c>
      <c r="D347" s="4">
        <v>219.0</v>
      </c>
      <c r="E347" s="4">
        <v>55.0</v>
      </c>
      <c r="G347" s="1" t="s">
        <v>111</v>
      </c>
      <c r="H347" s="1" t="s">
        <v>194</v>
      </c>
      <c r="I347" s="1" t="s">
        <v>938</v>
      </c>
      <c r="J347" s="1" t="s">
        <v>939</v>
      </c>
      <c r="K347" s="1" t="s">
        <v>939</v>
      </c>
      <c r="M347" s="4">
        <v>-11.0</v>
      </c>
      <c r="O347" s="4">
        <v>7.836866666666666</v>
      </c>
    </row>
    <row r="348">
      <c r="A348" s="5">
        <v>45531.0</v>
      </c>
      <c r="B348" s="1" t="s">
        <v>110</v>
      </c>
      <c r="C348" s="1" t="s">
        <v>107</v>
      </c>
      <c r="D348" s="4">
        <v>249.0</v>
      </c>
      <c r="E348" s="4">
        <v>0.0</v>
      </c>
      <c r="G348" s="1" t="s">
        <v>111</v>
      </c>
      <c r="H348" s="1" t="s">
        <v>96</v>
      </c>
      <c r="I348" s="1" t="s">
        <v>940</v>
      </c>
      <c r="J348" s="1" t="s">
        <v>941</v>
      </c>
      <c r="K348" s="1" t="s">
        <v>941</v>
      </c>
      <c r="M348" s="4">
        <v>0.0</v>
      </c>
      <c r="O348" s="4">
        <v>5.45565</v>
      </c>
    </row>
    <row r="349">
      <c r="A349" s="5">
        <v>45531.0</v>
      </c>
      <c r="B349" s="1" t="s">
        <v>103</v>
      </c>
      <c r="C349" s="1" t="s">
        <v>89</v>
      </c>
      <c r="D349" s="4">
        <v>408.0</v>
      </c>
      <c r="E349" s="4">
        <v>0.0</v>
      </c>
      <c r="F349" s="1" t="s">
        <v>942</v>
      </c>
      <c r="G349" s="1" t="s">
        <v>91</v>
      </c>
      <c r="H349" s="1" t="s">
        <v>92</v>
      </c>
      <c r="I349" s="1" t="s">
        <v>943</v>
      </c>
      <c r="J349" s="1" t="s">
        <v>944</v>
      </c>
      <c r="K349" s="1" t="s">
        <v>944</v>
      </c>
      <c r="M349" s="4">
        <v>-1.0</v>
      </c>
      <c r="O349" s="4">
        <v>13.505633333333334</v>
      </c>
    </row>
    <row r="350">
      <c r="A350" s="5">
        <v>45531.0</v>
      </c>
      <c r="B350" s="1" t="s">
        <v>95</v>
      </c>
      <c r="C350" s="1" t="s">
        <v>89</v>
      </c>
      <c r="D350" s="4">
        <v>378.0</v>
      </c>
      <c r="E350" s="4">
        <v>150.0</v>
      </c>
      <c r="G350" s="1" t="s">
        <v>91</v>
      </c>
      <c r="H350" s="1" t="s">
        <v>92</v>
      </c>
      <c r="I350" s="1" t="s">
        <v>945</v>
      </c>
      <c r="J350" s="1" t="s">
        <v>946</v>
      </c>
      <c r="K350" s="1" t="s">
        <v>946</v>
      </c>
      <c r="M350" s="4">
        <v>1.0</v>
      </c>
      <c r="O350" s="4">
        <v>10.098216666666668</v>
      </c>
    </row>
    <row r="351">
      <c r="A351" s="5">
        <v>45531.0</v>
      </c>
      <c r="B351" s="1" t="s">
        <v>95</v>
      </c>
      <c r="C351" s="1" t="s">
        <v>89</v>
      </c>
      <c r="D351" s="4">
        <v>264.0</v>
      </c>
      <c r="E351" s="4">
        <v>0.0</v>
      </c>
      <c r="G351" s="1" t="s">
        <v>91</v>
      </c>
      <c r="H351" s="1" t="s">
        <v>92</v>
      </c>
      <c r="I351" s="1" t="s">
        <v>947</v>
      </c>
      <c r="J351" s="1" t="s">
        <v>948</v>
      </c>
      <c r="K351" s="1" t="s">
        <v>948</v>
      </c>
      <c r="M351" s="4">
        <v>0.0</v>
      </c>
      <c r="O351" s="4">
        <v>7.9253</v>
      </c>
    </row>
    <row r="352">
      <c r="A352" s="5">
        <v>45531.0</v>
      </c>
      <c r="B352" s="1" t="s">
        <v>116</v>
      </c>
      <c r="C352" s="1" t="s">
        <v>107</v>
      </c>
      <c r="D352" s="4">
        <v>904.0</v>
      </c>
      <c r="E352" s="4">
        <v>0.0</v>
      </c>
      <c r="F352" s="1" t="s">
        <v>90</v>
      </c>
      <c r="G352" s="1" t="s">
        <v>175</v>
      </c>
      <c r="H352" s="1" t="s">
        <v>92</v>
      </c>
      <c r="I352" s="1" t="s">
        <v>949</v>
      </c>
      <c r="J352" s="1" t="s">
        <v>950</v>
      </c>
      <c r="K352" s="1" t="s">
        <v>951</v>
      </c>
      <c r="L352" s="1" t="s">
        <v>952</v>
      </c>
      <c r="M352" s="4">
        <v>-5.0</v>
      </c>
      <c r="N352" s="4">
        <v>10.187316666666666</v>
      </c>
      <c r="O352" s="4">
        <v>12.899766666666666</v>
      </c>
    </row>
    <row r="353">
      <c r="A353" s="5">
        <v>45531.0</v>
      </c>
      <c r="B353" s="1" t="s">
        <v>116</v>
      </c>
      <c r="C353" s="1" t="s">
        <v>107</v>
      </c>
      <c r="D353" s="4">
        <v>199.0</v>
      </c>
      <c r="E353" s="4">
        <v>50.0</v>
      </c>
      <c r="G353" s="1" t="s">
        <v>111</v>
      </c>
      <c r="H353" s="1" t="s">
        <v>194</v>
      </c>
      <c r="I353" s="1" t="s">
        <v>953</v>
      </c>
      <c r="J353" s="1" t="s">
        <v>954</v>
      </c>
      <c r="K353" s="1" t="s">
        <v>954</v>
      </c>
      <c r="M353" s="4">
        <v>-12.0</v>
      </c>
      <c r="O353" s="4">
        <v>7.353683333333334</v>
      </c>
    </row>
    <row r="354">
      <c r="A354" s="5">
        <v>45531.0</v>
      </c>
      <c r="B354" s="1" t="s">
        <v>116</v>
      </c>
      <c r="C354" s="1" t="s">
        <v>107</v>
      </c>
      <c r="D354" s="4">
        <v>131.0</v>
      </c>
      <c r="E354" s="4">
        <v>119.0</v>
      </c>
      <c r="F354" s="1" t="s">
        <v>90</v>
      </c>
      <c r="G354" s="1" t="s">
        <v>175</v>
      </c>
      <c r="H354" s="1" t="s">
        <v>92</v>
      </c>
      <c r="I354" s="1" t="s">
        <v>955</v>
      </c>
      <c r="J354" s="1" t="s">
        <v>956</v>
      </c>
      <c r="K354" s="1" t="s">
        <v>957</v>
      </c>
      <c r="L354" s="1" t="s">
        <v>958</v>
      </c>
      <c r="M354" s="4">
        <v>-3.0</v>
      </c>
      <c r="N354" s="4">
        <v>7.23575</v>
      </c>
      <c r="O354" s="4">
        <v>12.015916666666667</v>
      </c>
    </row>
    <row r="355">
      <c r="A355" s="5">
        <v>45531.0</v>
      </c>
      <c r="B355" s="1" t="s">
        <v>116</v>
      </c>
      <c r="C355" s="1" t="s">
        <v>107</v>
      </c>
      <c r="D355" s="4">
        <v>247.0</v>
      </c>
      <c r="E355" s="4">
        <v>62.0</v>
      </c>
      <c r="G355" s="1" t="s">
        <v>111</v>
      </c>
      <c r="H355" s="1" t="s">
        <v>92</v>
      </c>
      <c r="I355" s="1" t="s">
        <v>959</v>
      </c>
      <c r="J355" s="1" t="s">
        <v>960</v>
      </c>
      <c r="K355" s="1" t="s">
        <v>960</v>
      </c>
      <c r="M355" s="4">
        <v>-7.0</v>
      </c>
      <c r="O355" s="4">
        <v>11.076666666666666</v>
      </c>
    </row>
    <row r="356">
      <c r="A356" s="5">
        <v>45531.0</v>
      </c>
      <c r="B356" s="1" t="s">
        <v>116</v>
      </c>
      <c r="C356" s="1" t="s">
        <v>107</v>
      </c>
      <c r="D356" s="4">
        <v>468.0</v>
      </c>
      <c r="E356" s="4">
        <v>0.0</v>
      </c>
      <c r="F356" s="1" t="s">
        <v>90</v>
      </c>
      <c r="G356" s="1" t="s">
        <v>175</v>
      </c>
      <c r="H356" s="1" t="s">
        <v>92</v>
      </c>
      <c r="I356" s="1" t="s">
        <v>961</v>
      </c>
      <c r="J356" s="1" t="s">
        <v>962</v>
      </c>
      <c r="K356" s="1" t="s">
        <v>963</v>
      </c>
      <c r="L356" s="1" t="s">
        <v>964</v>
      </c>
      <c r="M356" s="4">
        <v>-1.0</v>
      </c>
      <c r="N356" s="4">
        <v>9.845666666666666</v>
      </c>
      <c r="O356" s="4">
        <v>8.552733333333334</v>
      </c>
    </row>
    <row r="357">
      <c r="A357" s="5">
        <v>45531.0</v>
      </c>
      <c r="B357" s="1" t="s">
        <v>88</v>
      </c>
      <c r="C357" s="1" t="s">
        <v>107</v>
      </c>
      <c r="D357" s="4">
        <v>426.0</v>
      </c>
      <c r="E357" s="4">
        <v>0.0</v>
      </c>
      <c r="F357" s="1" t="s">
        <v>90</v>
      </c>
      <c r="G357" s="1" t="s">
        <v>91</v>
      </c>
      <c r="H357" s="1" t="s">
        <v>92</v>
      </c>
      <c r="I357" s="1" t="s">
        <v>965</v>
      </c>
      <c r="J357" s="1" t="s">
        <v>966</v>
      </c>
      <c r="K357" s="1" t="s">
        <v>966</v>
      </c>
      <c r="M357" s="4">
        <v>-7.0</v>
      </c>
      <c r="O357" s="4">
        <v>7.9576</v>
      </c>
    </row>
    <row r="358">
      <c r="A358" s="5">
        <v>45531.0</v>
      </c>
      <c r="B358" s="1" t="s">
        <v>116</v>
      </c>
      <c r="C358" s="1" t="s">
        <v>107</v>
      </c>
      <c r="D358" s="4">
        <v>398.0</v>
      </c>
      <c r="E358" s="4">
        <v>100.0</v>
      </c>
      <c r="G358" s="1" t="s">
        <v>111</v>
      </c>
      <c r="H358" s="1" t="s">
        <v>194</v>
      </c>
      <c r="I358" s="1" t="s">
        <v>967</v>
      </c>
      <c r="J358" s="1" t="s">
        <v>968</v>
      </c>
      <c r="K358" s="1" t="s">
        <v>968</v>
      </c>
      <c r="M358" s="4">
        <v>-6.0</v>
      </c>
      <c r="O358" s="4">
        <v>13.5384</v>
      </c>
    </row>
    <row r="359">
      <c r="A359" s="5">
        <v>45531.0</v>
      </c>
      <c r="B359" s="1" t="s">
        <v>95</v>
      </c>
      <c r="C359" s="1" t="s">
        <v>107</v>
      </c>
      <c r="D359" s="4">
        <v>357.0</v>
      </c>
      <c r="E359" s="4">
        <v>150.0</v>
      </c>
      <c r="G359" s="1" t="s">
        <v>91</v>
      </c>
      <c r="H359" s="1" t="s">
        <v>92</v>
      </c>
      <c r="I359" s="1" t="s">
        <v>969</v>
      </c>
      <c r="J359" s="1" t="s">
        <v>970</v>
      </c>
      <c r="K359" s="1" t="s">
        <v>970</v>
      </c>
      <c r="M359" s="4">
        <v>0.0</v>
      </c>
      <c r="O359" s="4">
        <v>9.106033333333333</v>
      </c>
    </row>
    <row r="360">
      <c r="A360" s="5">
        <v>45531.0</v>
      </c>
      <c r="B360" s="1" t="s">
        <v>116</v>
      </c>
      <c r="C360" s="1" t="s">
        <v>107</v>
      </c>
      <c r="D360" s="4">
        <v>190.0</v>
      </c>
      <c r="E360" s="4">
        <v>59.0</v>
      </c>
      <c r="G360" s="1" t="s">
        <v>111</v>
      </c>
      <c r="H360" s="1" t="s">
        <v>194</v>
      </c>
      <c r="I360" s="1" t="s">
        <v>971</v>
      </c>
      <c r="J360" s="1" t="s">
        <v>972</v>
      </c>
      <c r="K360" s="1" t="s">
        <v>972</v>
      </c>
      <c r="M360" s="4">
        <v>-18.0</v>
      </c>
      <c r="O360" s="4">
        <v>16.3344</v>
      </c>
    </row>
    <row r="361">
      <c r="A361" s="5">
        <v>45531.0</v>
      </c>
      <c r="B361" s="1" t="s">
        <v>116</v>
      </c>
      <c r="C361" s="1" t="s">
        <v>107</v>
      </c>
      <c r="D361" s="4">
        <v>278.0</v>
      </c>
      <c r="E361" s="4">
        <v>0.0</v>
      </c>
      <c r="F361" s="1" t="s">
        <v>386</v>
      </c>
      <c r="G361" s="1" t="s">
        <v>175</v>
      </c>
      <c r="H361" s="1" t="s">
        <v>92</v>
      </c>
      <c r="I361" s="1" t="s">
        <v>973</v>
      </c>
      <c r="J361" s="1" t="s">
        <v>974</v>
      </c>
      <c r="K361" s="1" t="s">
        <v>975</v>
      </c>
      <c r="L361" s="1" t="s">
        <v>976</v>
      </c>
      <c r="M361" s="4">
        <v>-9.0</v>
      </c>
      <c r="N361" s="4">
        <v>0.01005</v>
      </c>
      <c r="O361" s="4">
        <v>19.410633333333333</v>
      </c>
    </row>
    <row r="362">
      <c r="A362" s="5">
        <v>45531.0</v>
      </c>
      <c r="B362" s="1" t="s">
        <v>95</v>
      </c>
      <c r="C362" s="1" t="s">
        <v>107</v>
      </c>
      <c r="D362" s="4">
        <v>528.0</v>
      </c>
      <c r="E362" s="4">
        <v>0.0</v>
      </c>
      <c r="G362" s="1" t="s">
        <v>91</v>
      </c>
      <c r="H362" s="1" t="s">
        <v>96</v>
      </c>
      <c r="I362" s="1" t="s">
        <v>977</v>
      </c>
      <c r="J362" s="1" t="s">
        <v>978</v>
      </c>
      <c r="K362" s="1" t="s">
        <v>978</v>
      </c>
      <c r="M362" s="4">
        <v>8.0</v>
      </c>
      <c r="O362" s="4">
        <v>17.639</v>
      </c>
    </row>
    <row r="363">
      <c r="A363" s="5">
        <v>45531.0</v>
      </c>
      <c r="B363" s="1" t="s">
        <v>95</v>
      </c>
      <c r="C363" s="1" t="s">
        <v>107</v>
      </c>
      <c r="D363" s="4">
        <v>482.0</v>
      </c>
      <c r="E363" s="4">
        <v>150.0</v>
      </c>
      <c r="G363" s="1" t="s">
        <v>91</v>
      </c>
      <c r="H363" s="1" t="s">
        <v>92</v>
      </c>
      <c r="I363" s="1" t="s">
        <v>979</v>
      </c>
      <c r="J363" s="1" t="s">
        <v>980</v>
      </c>
      <c r="K363" s="1" t="s">
        <v>980</v>
      </c>
      <c r="M363" s="4">
        <v>2.0</v>
      </c>
      <c r="O363" s="4">
        <v>12.91405</v>
      </c>
    </row>
    <row r="364">
      <c r="A364" s="5">
        <v>45531.0</v>
      </c>
      <c r="B364" s="1" t="s">
        <v>110</v>
      </c>
      <c r="C364" s="1" t="s">
        <v>107</v>
      </c>
      <c r="D364" s="4">
        <v>328.0</v>
      </c>
      <c r="E364" s="4">
        <v>0.0</v>
      </c>
      <c r="G364" s="1" t="s">
        <v>111</v>
      </c>
      <c r="H364" s="1" t="s">
        <v>96</v>
      </c>
      <c r="I364" s="1" t="s">
        <v>981</v>
      </c>
      <c r="J364" s="1" t="s">
        <v>982</v>
      </c>
      <c r="K364" s="1" t="s">
        <v>982</v>
      </c>
      <c r="M364" s="4">
        <v>3.0</v>
      </c>
      <c r="O364" s="4">
        <v>8.391383333333334</v>
      </c>
    </row>
    <row r="365">
      <c r="A365" s="5">
        <v>45531.0</v>
      </c>
      <c r="B365" s="1" t="s">
        <v>116</v>
      </c>
      <c r="C365" s="1" t="s">
        <v>107</v>
      </c>
      <c r="D365" s="4">
        <v>323.0</v>
      </c>
      <c r="E365" s="4">
        <v>0.0</v>
      </c>
      <c r="F365" s="1" t="s">
        <v>386</v>
      </c>
      <c r="G365" s="1" t="s">
        <v>175</v>
      </c>
      <c r="H365" s="1" t="s">
        <v>92</v>
      </c>
      <c r="I365" s="1" t="s">
        <v>983</v>
      </c>
      <c r="J365" s="1" t="s">
        <v>984</v>
      </c>
      <c r="K365" s="1" t="s">
        <v>985</v>
      </c>
      <c r="L365" s="1" t="s">
        <v>986</v>
      </c>
      <c r="M365" s="4">
        <v>-1.0</v>
      </c>
      <c r="N365" s="4">
        <v>0.018383333333333335</v>
      </c>
      <c r="O365" s="4">
        <v>27.5915</v>
      </c>
    </row>
    <row r="366">
      <c r="A366" s="5">
        <v>45533.0</v>
      </c>
      <c r="B366" s="1" t="s">
        <v>110</v>
      </c>
      <c r="C366" s="1" t="s">
        <v>107</v>
      </c>
      <c r="D366" s="4">
        <v>119.0</v>
      </c>
      <c r="E366" s="4">
        <v>0.0</v>
      </c>
      <c r="G366" s="1" t="s">
        <v>111</v>
      </c>
      <c r="H366" s="1" t="s">
        <v>96</v>
      </c>
      <c r="I366" s="1" t="s">
        <v>987</v>
      </c>
      <c r="J366" s="1" t="s">
        <v>988</v>
      </c>
      <c r="K366" s="1" t="s">
        <v>988</v>
      </c>
      <c r="M366" s="4">
        <v>-3.0</v>
      </c>
      <c r="O366" s="4">
        <v>1.3451333333333333</v>
      </c>
    </row>
    <row r="367">
      <c r="A367" s="5">
        <v>45533.0</v>
      </c>
      <c r="B367" s="1" t="s">
        <v>95</v>
      </c>
      <c r="C367" s="1" t="s">
        <v>107</v>
      </c>
      <c r="D367" s="4">
        <v>351.0</v>
      </c>
      <c r="E367" s="4">
        <v>0.0</v>
      </c>
      <c r="G367" s="1" t="s">
        <v>91</v>
      </c>
      <c r="H367" s="1" t="s">
        <v>92</v>
      </c>
      <c r="I367" s="1" t="s">
        <v>989</v>
      </c>
      <c r="J367" s="1" t="s">
        <v>990</v>
      </c>
      <c r="K367" s="1" t="s">
        <v>990</v>
      </c>
      <c r="M367" s="4">
        <v>0.0</v>
      </c>
      <c r="O367" s="4">
        <v>8.028533333333334</v>
      </c>
    </row>
    <row r="368">
      <c r="A368" s="5">
        <v>45533.0</v>
      </c>
      <c r="B368" s="1" t="s">
        <v>116</v>
      </c>
      <c r="C368" s="1" t="s">
        <v>107</v>
      </c>
      <c r="D368" s="4">
        <v>392.0</v>
      </c>
      <c r="E368" s="4">
        <v>0.0</v>
      </c>
      <c r="F368" s="1" t="s">
        <v>90</v>
      </c>
      <c r="G368" s="1" t="s">
        <v>175</v>
      </c>
      <c r="H368" s="1" t="s">
        <v>96</v>
      </c>
      <c r="I368" s="1" t="s">
        <v>991</v>
      </c>
      <c r="J368" s="1" t="s">
        <v>992</v>
      </c>
      <c r="K368" s="1" t="s">
        <v>993</v>
      </c>
      <c r="L368" s="1" t="s">
        <v>994</v>
      </c>
      <c r="M368" s="4">
        <v>-15.0</v>
      </c>
      <c r="N368" s="4">
        <v>1.2876666666666667</v>
      </c>
      <c r="O368" s="4">
        <v>7.60585</v>
      </c>
    </row>
    <row r="369">
      <c r="A369" s="5">
        <v>45533.0</v>
      </c>
      <c r="B369" s="1" t="s">
        <v>95</v>
      </c>
      <c r="C369" s="1" t="s">
        <v>107</v>
      </c>
      <c r="D369" s="4">
        <v>214.0</v>
      </c>
      <c r="E369" s="4">
        <v>50.0</v>
      </c>
      <c r="G369" s="1" t="s">
        <v>91</v>
      </c>
      <c r="H369" s="1" t="s">
        <v>92</v>
      </c>
      <c r="I369" s="1" t="s">
        <v>995</v>
      </c>
      <c r="J369" s="1" t="s">
        <v>996</v>
      </c>
      <c r="K369" s="1" t="s">
        <v>996</v>
      </c>
      <c r="M369" s="4">
        <v>0.0</v>
      </c>
      <c r="O369" s="4">
        <v>7.566</v>
      </c>
    </row>
    <row r="370">
      <c r="A370" s="5">
        <v>45533.0</v>
      </c>
      <c r="B370" s="1" t="s">
        <v>88</v>
      </c>
      <c r="C370" s="1" t="s">
        <v>107</v>
      </c>
      <c r="D370" s="4">
        <v>463.0</v>
      </c>
      <c r="E370" s="4">
        <v>0.0</v>
      </c>
      <c r="F370" s="1" t="s">
        <v>90</v>
      </c>
      <c r="G370" s="1" t="s">
        <v>91</v>
      </c>
      <c r="H370" s="1" t="s">
        <v>92</v>
      </c>
      <c r="I370" s="1" t="s">
        <v>997</v>
      </c>
      <c r="J370" s="1" t="s">
        <v>998</v>
      </c>
      <c r="K370" s="1" t="s">
        <v>998</v>
      </c>
      <c r="M370" s="4">
        <v>-2.0</v>
      </c>
      <c r="O370" s="4">
        <v>12.497416666666666</v>
      </c>
    </row>
    <row r="371">
      <c r="A371" s="5">
        <v>45533.0</v>
      </c>
      <c r="B371" s="1" t="s">
        <v>95</v>
      </c>
      <c r="C371" s="1" t="s">
        <v>107</v>
      </c>
      <c r="D371" s="4">
        <v>329.0</v>
      </c>
      <c r="E371" s="4">
        <v>0.0</v>
      </c>
      <c r="G371" s="1" t="s">
        <v>91</v>
      </c>
      <c r="H371" s="1" t="s">
        <v>96</v>
      </c>
      <c r="I371" s="1" t="s">
        <v>999</v>
      </c>
      <c r="J371" s="1" t="s">
        <v>1000</v>
      </c>
      <c r="K371" s="1" t="s">
        <v>1000</v>
      </c>
      <c r="M371" s="4">
        <v>0.0</v>
      </c>
      <c r="O371" s="4">
        <v>7.52115</v>
      </c>
    </row>
    <row r="372">
      <c r="A372" s="5">
        <v>45533.0</v>
      </c>
      <c r="B372" s="1" t="s">
        <v>88</v>
      </c>
      <c r="C372" s="1" t="s">
        <v>107</v>
      </c>
      <c r="D372" s="4">
        <v>348.0</v>
      </c>
      <c r="E372" s="4">
        <v>0.0</v>
      </c>
      <c r="F372" s="1" t="s">
        <v>90</v>
      </c>
      <c r="G372" s="1" t="s">
        <v>91</v>
      </c>
      <c r="H372" s="1" t="s">
        <v>92</v>
      </c>
      <c r="I372" s="1" t="s">
        <v>1001</v>
      </c>
      <c r="J372" s="1" t="s">
        <v>1002</v>
      </c>
      <c r="K372" s="1" t="s">
        <v>1002</v>
      </c>
      <c r="M372" s="4">
        <v>-6.0</v>
      </c>
      <c r="O372" s="4">
        <v>8.97935</v>
      </c>
    </row>
    <row r="373">
      <c r="A373" s="5">
        <v>45533.0</v>
      </c>
      <c r="B373" s="1" t="s">
        <v>95</v>
      </c>
      <c r="C373" s="1" t="s">
        <v>107</v>
      </c>
      <c r="D373" s="4">
        <v>329.0</v>
      </c>
      <c r="E373" s="4">
        <v>0.0</v>
      </c>
      <c r="G373" s="1" t="s">
        <v>91</v>
      </c>
      <c r="H373" s="1" t="s">
        <v>92</v>
      </c>
      <c r="I373" s="1" t="s">
        <v>1003</v>
      </c>
      <c r="J373" s="1" t="s">
        <v>1004</v>
      </c>
      <c r="K373" s="1" t="s">
        <v>1004</v>
      </c>
      <c r="M373" s="4">
        <v>0.0</v>
      </c>
      <c r="O373" s="4">
        <v>7.0422666666666665</v>
      </c>
    </row>
    <row r="374">
      <c r="A374" s="5">
        <v>45533.0</v>
      </c>
      <c r="B374" s="1" t="s">
        <v>88</v>
      </c>
      <c r="C374" s="1" t="s">
        <v>107</v>
      </c>
      <c r="D374" s="4">
        <v>351.0</v>
      </c>
      <c r="E374" s="4">
        <v>0.0</v>
      </c>
      <c r="F374" s="1" t="s">
        <v>90</v>
      </c>
      <c r="G374" s="1" t="s">
        <v>91</v>
      </c>
      <c r="H374" s="1" t="s">
        <v>92</v>
      </c>
      <c r="I374" s="1" t="s">
        <v>1005</v>
      </c>
      <c r="J374" s="1" t="s">
        <v>1006</v>
      </c>
      <c r="K374" s="1" t="s">
        <v>1006</v>
      </c>
      <c r="M374" s="4">
        <v>-7.0</v>
      </c>
      <c r="O374" s="4">
        <v>7.736983333333334</v>
      </c>
    </row>
    <row r="375">
      <c r="A375" s="5">
        <v>45533.0</v>
      </c>
      <c r="B375" s="1" t="s">
        <v>95</v>
      </c>
      <c r="C375" s="1" t="s">
        <v>107</v>
      </c>
      <c r="D375" s="4">
        <v>284.0</v>
      </c>
      <c r="E375" s="4">
        <v>0.0</v>
      </c>
      <c r="G375" s="1" t="s">
        <v>91</v>
      </c>
      <c r="H375" s="1" t="s">
        <v>92</v>
      </c>
      <c r="I375" s="1" t="s">
        <v>1007</v>
      </c>
      <c r="J375" s="1" t="s">
        <v>1008</v>
      </c>
      <c r="K375" s="1" t="s">
        <v>1008</v>
      </c>
      <c r="M375" s="4">
        <v>0.0</v>
      </c>
      <c r="O375" s="4">
        <v>6.0616666666666665</v>
      </c>
    </row>
    <row r="376">
      <c r="A376" s="5">
        <v>45533.0</v>
      </c>
      <c r="B376" s="1" t="s">
        <v>103</v>
      </c>
      <c r="C376" s="1" t="s">
        <v>107</v>
      </c>
      <c r="D376" s="4">
        <v>321.0</v>
      </c>
      <c r="E376" s="4">
        <v>0.0</v>
      </c>
      <c r="F376" s="1" t="s">
        <v>1009</v>
      </c>
      <c r="G376" s="1" t="s">
        <v>91</v>
      </c>
      <c r="H376" s="1" t="s">
        <v>92</v>
      </c>
      <c r="I376" s="1" t="s">
        <v>1010</v>
      </c>
      <c r="J376" s="1" t="s">
        <v>1011</v>
      </c>
      <c r="K376" s="1" t="s">
        <v>1011</v>
      </c>
      <c r="M376" s="4">
        <v>-4.0</v>
      </c>
      <c r="O376" s="4">
        <v>10.227283333333334</v>
      </c>
    </row>
    <row r="377">
      <c r="A377" s="5">
        <v>45533.0</v>
      </c>
      <c r="B377" s="1" t="s">
        <v>95</v>
      </c>
      <c r="C377" s="1" t="s">
        <v>107</v>
      </c>
      <c r="D377" s="4">
        <v>528.0</v>
      </c>
      <c r="E377" s="4">
        <v>0.0</v>
      </c>
      <c r="G377" s="1" t="s">
        <v>91</v>
      </c>
      <c r="H377" s="1" t="s">
        <v>96</v>
      </c>
      <c r="I377" s="1" t="s">
        <v>1012</v>
      </c>
      <c r="J377" s="1" t="s">
        <v>1013</v>
      </c>
      <c r="K377" s="1" t="s">
        <v>1013</v>
      </c>
      <c r="M377" s="4">
        <v>0.0</v>
      </c>
      <c r="O377" s="4">
        <v>8.3789</v>
      </c>
    </row>
    <row r="378">
      <c r="A378" s="5">
        <v>45533.0</v>
      </c>
      <c r="B378" s="1" t="s">
        <v>88</v>
      </c>
      <c r="C378" s="1" t="s">
        <v>107</v>
      </c>
      <c r="D378" s="4">
        <v>218.0</v>
      </c>
      <c r="E378" s="4">
        <v>0.0</v>
      </c>
      <c r="F378" s="1" t="s">
        <v>90</v>
      </c>
      <c r="G378" s="1" t="s">
        <v>91</v>
      </c>
      <c r="H378" s="1" t="s">
        <v>92</v>
      </c>
      <c r="I378" s="1" t="s">
        <v>1014</v>
      </c>
      <c r="J378" s="1" t="s">
        <v>1015</v>
      </c>
      <c r="K378" s="1" t="s">
        <v>1015</v>
      </c>
      <c r="M378" s="4">
        <v>-6.0</v>
      </c>
      <c r="O378" s="4">
        <v>8.968916666666667</v>
      </c>
    </row>
    <row r="379">
      <c r="A379" s="5">
        <v>45533.0</v>
      </c>
      <c r="B379" s="1" t="s">
        <v>110</v>
      </c>
      <c r="C379" s="1" t="s">
        <v>107</v>
      </c>
      <c r="D379" s="4">
        <v>309.0</v>
      </c>
      <c r="E379" s="4">
        <v>0.0</v>
      </c>
      <c r="G379" s="1" t="s">
        <v>111</v>
      </c>
      <c r="H379" s="1" t="s">
        <v>96</v>
      </c>
      <c r="I379" s="1" t="s">
        <v>1016</v>
      </c>
      <c r="J379" s="1" t="s">
        <v>1017</v>
      </c>
      <c r="K379" s="1" t="s">
        <v>1017</v>
      </c>
      <c r="M379" s="4">
        <v>0.0</v>
      </c>
      <c r="O379" s="4">
        <v>5.4667666666666666</v>
      </c>
    </row>
    <row r="380">
      <c r="A380" s="5">
        <v>45533.0</v>
      </c>
      <c r="B380" s="1" t="s">
        <v>88</v>
      </c>
      <c r="C380" s="1" t="s">
        <v>107</v>
      </c>
      <c r="D380" s="4">
        <v>394.0</v>
      </c>
      <c r="E380" s="4">
        <v>0.0</v>
      </c>
      <c r="F380" s="1" t="s">
        <v>90</v>
      </c>
      <c r="G380" s="1" t="s">
        <v>91</v>
      </c>
      <c r="H380" s="1" t="s">
        <v>92</v>
      </c>
      <c r="I380" s="1" t="s">
        <v>1018</v>
      </c>
      <c r="J380" s="1" t="s">
        <v>1019</v>
      </c>
      <c r="K380" s="1" t="s">
        <v>1019</v>
      </c>
      <c r="M380" s="4">
        <v>-5.0</v>
      </c>
      <c r="O380" s="4">
        <v>9.261583333333334</v>
      </c>
    </row>
    <row r="381">
      <c r="A381" s="5">
        <v>45533.0</v>
      </c>
      <c r="B381" s="1" t="s">
        <v>116</v>
      </c>
      <c r="C381" s="1" t="s">
        <v>107</v>
      </c>
      <c r="D381" s="4">
        <v>388.0</v>
      </c>
      <c r="E381" s="4">
        <v>67.0</v>
      </c>
      <c r="G381" s="1" t="s">
        <v>111</v>
      </c>
      <c r="H381" s="1" t="s">
        <v>194</v>
      </c>
      <c r="I381" s="1" t="s">
        <v>1020</v>
      </c>
      <c r="J381" s="1" t="s">
        <v>1021</v>
      </c>
      <c r="K381" s="1" t="s">
        <v>1021</v>
      </c>
      <c r="M381" s="4">
        <v>-11.0</v>
      </c>
      <c r="O381" s="4">
        <v>8.139916666666666</v>
      </c>
    </row>
    <row r="382">
      <c r="A382" s="5">
        <v>45533.0</v>
      </c>
      <c r="B382" s="1" t="s">
        <v>103</v>
      </c>
      <c r="C382" s="1" t="s">
        <v>107</v>
      </c>
      <c r="D382" s="4">
        <v>294.0</v>
      </c>
      <c r="E382" s="4">
        <v>0.0</v>
      </c>
      <c r="F382" s="1" t="s">
        <v>1022</v>
      </c>
      <c r="G382" s="1" t="s">
        <v>91</v>
      </c>
      <c r="H382" s="1" t="s">
        <v>92</v>
      </c>
      <c r="I382" s="1" t="s">
        <v>1023</v>
      </c>
      <c r="J382" s="1" t="s">
        <v>1024</v>
      </c>
      <c r="K382" s="1" t="s">
        <v>1024</v>
      </c>
      <c r="M382" s="4">
        <v>-9.0</v>
      </c>
      <c r="O382" s="4">
        <v>5.127133333333333</v>
      </c>
    </row>
    <row r="383">
      <c r="A383" s="5">
        <v>45533.0</v>
      </c>
      <c r="B383" s="1" t="s">
        <v>110</v>
      </c>
      <c r="C383" s="1" t="s">
        <v>107</v>
      </c>
      <c r="D383" s="4">
        <v>374.0</v>
      </c>
      <c r="E383" s="4">
        <v>0.0</v>
      </c>
      <c r="G383" s="1" t="s">
        <v>111</v>
      </c>
      <c r="H383" s="1" t="s">
        <v>96</v>
      </c>
      <c r="I383" s="1" t="s">
        <v>1025</v>
      </c>
      <c r="J383" s="1" t="s">
        <v>1026</v>
      </c>
      <c r="K383" s="1" t="s">
        <v>1026</v>
      </c>
      <c r="M383" s="4">
        <v>0.0</v>
      </c>
      <c r="O383" s="4">
        <v>4.57555</v>
      </c>
    </row>
    <row r="384">
      <c r="A384" s="5">
        <v>45533.0</v>
      </c>
      <c r="B384" s="1" t="s">
        <v>88</v>
      </c>
      <c r="C384" s="1" t="s">
        <v>107</v>
      </c>
      <c r="D384" s="4">
        <v>258.0</v>
      </c>
      <c r="E384" s="4">
        <v>0.0</v>
      </c>
      <c r="F384" s="1" t="s">
        <v>90</v>
      </c>
      <c r="G384" s="1" t="s">
        <v>91</v>
      </c>
      <c r="H384" s="1" t="s">
        <v>92</v>
      </c>
      <c r="I384" s="1" t="s">
        <v>1027</v>
      </c>
      <c r="J384" s="1" t="s">
        <v>1028</v>
      </c>
      <c r="K384" s="1" t="s">
        <v>1028</v>
      </c>
      <c r="M384" s="4">
        <v>0.0</v>
      </c>
      <c r="O384" s="4">
        <v>14.151566666666668</v>
      </c>
    </row>
    <row r="385">
      <c r="A385" s="5">
        <v>45533.0</v>
      </c>
      <c r="B385" s="1" t="s">
        <v>88</v>
      </c>
      <c r="C385" s="1" t="s">
        <v>107</v>
      </c>
      <c r="D385" s="4">
        <v>493.0</v>
      </c>
      <c r="E385" s="4">
        <v>0.0</v>
      </c>
      <c r="F385" s="1" t="s">
        <v>90</v>
      </c>
      <c r="G385" s="1" t="s">
        <v>91</v>
      </c>
      <c r="H385" s="1" t="s">
        <v>92</v>
      </c>
      <c r="I385" s="1" t="s">
        <v>1029</v>
      </c>
      <c r="J385" s="1" t="s">
        <v>1030</v>
      </c>
      <c r="K385" s="1" t="s">
        <v>1030</v>
      </c>
      <c r="M385" s="4">
        <v>2.0</v>
      </c>
      <c r="O385" s="4">
        <v>17.6151</v>
      </c>
    </row>
    <row r="386">
      <c r="A386" s="5">
        <v>45533.0</v>
      </c>
      <c r="B386" s="1" t="s">
        <v>95</v>
      </c>
      <c r="C386" s="1" t="s">
        <v>107</v>
      </c>
      <c r="D386" s="4">
        <v>303.0</v>
      </c>
      <c r="E386" s="4">
        <v>0.0</v>
      </c>
      <c r="G386" s="1" t="s">
        <v>91</v>
      </c>
      <c r="H386" s="1" t="s">
        <v>92</v>
      </c>
      <c r="I386" s="1" t="s">
        <v>1031</v>
      </c>
      <c r="J386" s="1" t="s">
        <v>1032</v>
      </c>
      <c r="K386" s="1" t="s">
        <v>1032</v>
      </c>
      <c r="M386" s="4">
        <v>5.0</v>
      </c>
      <c r="O386" s="4">
        <v>12.132433333333333</v>
      </c>
    </row>
    <row r="387">
      <c r="A387" s="5">
        <v>45533.0</v>
      </c>
      <c r="B387" s="1" t="s">
        <v>116</v>
      </c>
      <c r="C387" s="1" t="s">
        <v>107</v>
      </c>
      <c r="D387" s="4">
        <v>247.0</v>
      </c>
      <c r="E387" s="4">
        <v>62.0</v>
      </c>
      <c r="G387" s="1" t="s">
        <v>111</v>
      </c>
      <c r="H387" s="1" t="s">
        <v>194</v>
      </c>
      <c r="I387" s="1" t="s">
        <v>1033</v>
      </c>
      <c r="J387" s="1" t="s">
        <v>1034</v>
      </c>
      <c r="K387" s="1" t="s">
        <v>1034</v>
      </c>
      <c r="M387" s="4">
        <v>-3.0</v>
      </c>
      <c r="O387" s="4">
        <v>16.6762</v>
      </c>
    </row>
    <row r="388">
      <c r="A388" s="5">
        <v>45533.0</v>
      </c>
      <c r="B388" s="1" t="s">
        <v>88</v>
      </c>
      <c r="C388" s="1" t="s">
        <v>107</v>
      </c>
      <c r="D388" s="4">
        <v>264.0</v>
      </c>
      <c r="E388" s="4">
        <v>0.0</v>
      </c>
      <c r="F388" s="1" t="s">
        <v>90</v>
      </c>
      <c r="G388" s="1" t="s">
        <v>91</v>
      </c>
      <c r="H388" s="1" t="s">
        <v>92</v>
      </c>
      <c r="I388" s="1" t="s">
        <v>1035</v>
      </c>
      <c r="J388" s="1" t="s">
        <v>1036</v>
      </c>
      <c r="K388" s="1" t="s">
        <v>1036</v>
      </c>
      <c r="M388" s="4">
        <v>-4.0</v>
      </c>
      <c r="O388" s="4">
        <v>10.545683333333333</v>
      </c>
    </row>
    <row r="389">
      <c r="A389" s="5">
        <v>45533.0</v>
      </c>
      <c r="B389" s="1" t="s">
        <v>110</v>
      </c>
      <c r="C389" s="1" t="s">
        <v>107</v>
      </c>
      <c r="D389" s="4">
        <v>49.0</v>
      </c>
      <c r="E389" s="4">
        <v>0.0</v>
      </c>
      <c r="G389" s="1" t="s">
        <v>111</v>
      </c>
      <c r="H389" s="1" t="s">
        <v>96</v>
      </c>
      <c r="I389" s="1" t="s">
        <v>1037</v>
      </c>
      <c r="J389" s="1" t="s">
        <v>1038</v>
      </c>
      <c r="K389" s="1" t="s">
        <v>1038</v>
      </c>
      <c r="M389" s="4">
        <v>-1.0</v>
      </c>
      <c r="O389" s="4">
        <v>3.6415166666666665</v>
      </c>
    </row>
    <row r="390">
      <c r="A390" s="5">
        <v>45533.0</v>
      </c>
      <c r="B390" s="1" t="s">
        <v>116</v>
      </c>
      <c r="C390" s="1" t="s">
        <v>107</v>
      </c>
      <c r="D390" s="4">
        <v>199.0</v>
      </c>
      <c r="E390" s="4">
        <v>50.0</v>
      </c>
      <c r="G390" s="1" t="s">
        <v>111</v>
      </c>
      <c r="H390" s="1" t="s">
        <v>194</v>
      </c>
      <c r="I390" s="1" t="s">
        <v>1039</v>
      </c>
      <c r="J390" s="1" t="s">
        <v>1040</v>
      </c>
      <c r="K390" s="1" t="s">
        <v>1040</v>
      </c>
      <c r="M390" s="4">
        <v>-2.0</v>
      </c>
      <c r="O390" s="4">
        <v>16.646333333333335</v>
      </c>
    </row>
    <row r="391">
      <c r="A391" s="5">
        <v>45533.0</v>
      </c>
      <c r="B391" s="1" t="s">
        <v>95</v>
      </c>
      <c r="C391" s="1" t="s">
        <v>107</v>
      </c>
      <c r="D391" s="4">
        <v>488.0</v>
      </c>
      <c r="E391" s="4">
        <v>0.0</v>
      </c>
      <c r="G391" s="1" t="s">
        <v>91</v>
      </c>
      <c r="H391" s="1" t="s">
        <v>96</v>
      </c>
      <c r="I391" s="1" t="s">
        <v>1041</v>
      </c>
      <c r="J391" s="1" t="s">
        <v>1042</v>
      </c>
      <c r="K391" s="1" t="s">
        <v>1042</v>
      </c>
      <c r="M391" s="4">
        <v>0.0</v>
      </c>
      <c r="O391" s="4">
        <v>9.032566666666666</v>
      </c>
    </row>
    <row r="392">
      <c r="A392" s="5">
        <v>45533.0</v>
      </c>
      <c r="B392" s="1" t="s">
        <v>95</v>
      </c>
      <c r="C392" s="1" t="s">
        <v>107</v>
      </c>
      <c r="D392" s="4">
        <v>264.0</v>
      </c>
      <c r="E392" s="4">
        <v>0.0</v>
      </c>
      <c r="G392" s="1" t="s">
        <v>91</v>
      </c>
      <c r="H392" s="1" t="s">
        <v>92</v>
      </c>
      <c r="I392" s="1" t="s">
        <v>1043</v>
      </c>
      <c r="J392" s="1" t="s">
        <v>1044</v>
      </c>
      <c r="K392" s="1" t="s">
        <v>1044</v>
      </c>
      <c r="M392" s="4">
        <v>3.0</v>
      </c>
      <c r="O392" s="4">
        <v>10.065466666666667</v>
      </c>
    </row>
    <row r="393">
      <c r="A393" s="5">
        <v>45533.0</v>
      </c>
      <c r="B393" s="1" t="s">
        <v>116</v>
      </c>
      <c r="C393" s="1" t="s">
        <v>107</v>
      </c>
      <c r="D393" s="4">
        <v>319.0</v>
      </c>
      <c r="E393" s="4">
        <v>0.0</v>
      </c>
      <c r="F393" s="1" t="s">
        <v>386</v>
      </c>
      <c r="G393" s="1" t="s">
        <v>175</v>
      </c>
      <c r="H393" s="1" t="s">
        <v>92</v>
      </c>
      <c r="I393" s="1" t="s">
        <v>1045</v>
      </c>
      <c r="J393" s="1" t="s">
        <v>1046</v>
      </c>
      <c r="K393" s="1" t="s">
        <v>1047</v>
      </c>
      <c r="L393" s="1" t="s">
        <v>1048</v>
      </c>
      <c r="M393" s="4">
        <v>0.0</v>
      </c>
      <c r="N393" s="4">
        <v>0.010883333333333333</v>
      </c>
      <c r="O393" s="4">
        <v>6.908816666666667</v>
      </c>
    </row>
    <row r="394">
      <c r="A394" s="5">
        <v>45533.0</v>
      </c>
      <c r="B394" s="1" t="s">
        <v>103</v>
      </c>
      <c r="C394" s="1" t="s">
        <v>107</v>
      </c>
      <c r="D394" s="4">
        <v>329.0</v>
      </c>
      <c r="E394" s="4">
        <v>0.0</v>
      </c>
      <c r="F394" s="1" t="s">
        <v>1049</v>
      </c>
      <c r="G394" s="1" t="s">
        <v>91</v>
      </c>
      <c r="H394" s="1" t="s">
        <v>92</v>
      </c>
      <c r="I394" s="1" t="s">
        <v>1050</v>
      </c>
      <c r="J394" s="1" t="s">
        <v>1051</v>
      </c>
      <c r="K394" s="1" t="s">
        <v>1051</v>
      </c>
      <c r="M394" s="4">
        <v>-4.0</v>
      </c>
      <c r="O394" s="4">
        <v>10.0278</v>
      </c>
    </row>
    <row r="395">
      <c r="A395" s="5">
        <v>45533.0</v>
      </c>
      <c r="B395" s="1" t="s">
        <v>116</v>
      </c>
      <c r="C395" s="1" t="s">
        <v>107</v>
      </c>
      <c r="D395" s="4">
        <v>518.0</v>
      </c>
      <c r="E395" s="4">
        <v>0.0</v>
      </c>
      <c r="F395" s="1" t="s">
        <v>386</v>
      </c>
      <c r="G395" s="1" t="s">
        <v>175</v>
      </c>
      <c r="H395" s="1" t="s">
        <v>92</v>
      </c>
      <c r="I395" s="1" t="s">
        <v>1052</v>
      </c>
      <c r="J395" s="1" t="s">
        <v>1053</v>
      </c>
      <c r="K395" s="1" t="s">
        <v>1054</v>
      </c>
      <c r="L395" s="1" t="s">
        <v>1055</v>
      </c>
      <c r="M395" s="4">
        <v>-8.0</v>
      </c>
      <c r="N395" s="4">
        <v>0.010616666666666667</v>
      </c>
      <c r="O395" s="4">
        <v>8.108183333333333</v>
      </c>
    </row>
    <row r="396">
      <c r="A396" s="5">
        <v>45533.0</v>
      </c>
      <c r="B396" s="1" t="s">
        <v>116</v>
      </c>
      <c r="C396" s="1" t="s">
        <v>107</v>
      </c>
      <c r="D396" s="4">
        <v>309.0</v>
      </c>
      <c r="E396" s="4">
        <v>0.0</v>
      </c>
      <c r="F396" s="1" t="s">
        <v>386</v>
      </c>
      <c r="G396" s="1" t="s">
        <v>175</v>
      </c>
      <c r="H396" s="1" t="s">
        <v>92</v>
      </c>
      <c r="I396" s="1" t="s">
        <v>1056</v>
      </c>
      <c r="J396" s="1" t="s">
        <v>1057</v>
      </c>
      <c r="K396" s="1" t="s">
        <v>1058</v>
      </c>
      <c r="L396" s="1" t="s">
        <v>1059</v>
      </c>
      <c r="M396" s="4">
        <v>-13.0</v>
      </c>
      <c r="N396" s="4">
        <v>0.01065</v>
      </c>
      <c r="O396" s="4">
        <v>8.4213</v>
      </c>
    </row>
    <row r="397">
      <c r="A397" s="5">
        <v>45533.0</v>
      </c>
      <c r="B397" s="1" t="s">
        <v>95</v>
      </c>
      <c r="C397" s="1" t="s">
        <v>107</v>
      </c>
      <c r="D397" s="4">
        <v>488.0</v>
      </c>
      <c r="E397" s="4">
        <v>0.0</v>
      </c>
      <c r="G397" s="1" t="s">
        <v>91</v>
      </c>
      <c r="H397" s="1" t="s">
        <v>92</v>
      </c>
      <c r="I397" s="1" t="s">
        <v>1060</v>
      </c>
      <c r="J397" s="1" t="s">
        <v>1061</v>
      </c>
      <c r="K397" s="1" t="s">
        <v>1061</v>
      </c>
      <c r="M397" s="4">
        <v>-2.0</v>
      </c>
      <c r="O397" s="4">
        <v>6.26345</v>
      </c>
    </row>
    <row r="398">
      <c r="A398" s="5">
        <v>45533.0</v>
      </c>
      <c r="B398" s="1" t="s">
        <v>88</v>
      </c>
      <c r="C398" s="1" t="s">
        <v>107</v>
      </c>
      <c r="D398" s="4">
        <v>364.0</v>
      </c>
      <c r="E398" s="4">
        <v>0.0</v>
      </c>
      <c r="F398" s="1" t="s">
        <v>90</v>
      </c>
      <c r="G398" s="1" t="s">
        <v>91</v>
      </c>
      <c r="H398" s="1" t="s">
        <v>92</v>
      </c>
      <c r="I398" s="1" t="s">
        <v>1062</v>
      </c>
      <c r="J398" s="1" t="s">
        <v>1063</v>
      </c>
      <c r="K398" s="1" t="s">
        <v>1063</v>
      </c>
      <c r="M398" s="4">
        <v>-12.0</v>
      </c>
      <c r="O398" s="4">
        <v>11.001066666666667</v>
      </c>
    </row>
    <row r="399">
      <c r="A399" s="5">
        <v>45533.0</v>
      </c>
      <c r="B399" s="1" t="s">
        <v>88</v>
      </c>
      <c r="C399" s="1" t="s">
        <v>107</v>
      </c>
      <c r="D399" s="4">
        <v>453.0</v>
      </c>
      <c r="E399" s="4">
        <v>0.0</v>
      </c>
      <c r="F399" s="1" t="s">
        <v>90</v>
      </c>
      <c r="G399" s="1" t="s">
        <v>91</v>
      </c>
      <c r="H399" s="1" t="s">
        <v>92</v>
      </c>
      <c r="I399" s="1" t="s">
        <v>1064</v>
      </c>
      <c r="J399" s="1" t="s">
        <v>1065</v>
      </c>
      <c r="K399" s="1" t="s">
        <v>1065</v>
      </c>
      <c r="M399" s="4">
        <v>-6.0</v>
      </c>
      <c r="O399" s="4">
        <v>8.654366666666666</v>
      </c>
    </row>
    <row r="400">
      <c r="A400" s="5">
        <v>45533.0</v>
      </c>
      <c r="B400" s="1" t="s">
        <v>88</v>
      </c>
      <c r="C400" s="1" t="s">
        <v>107</v>
      </c>
      <c r="D400" s="4">
        <v>558.0</v>
      </c>
      <c r="E400" s="4">
        <v>0.0</v>
      </c>
      <c r="F400" s="1" t="s">
        <v>90</v>
      </c>
      <c r="G400" s="1" t="s">
        <v>91</v>
      </c>
      <c r="H400" s="1" t="s">
        <v>92</v>
      </c>
      <c r="I400" s="1" t="s">
        <v>1066</v>
      </c>
      <c r="J400" s="1" t="s">
        <v>1067</v>
      </c>
      <c r="K400" s="1" t="s">
        <v>1067</v>
      </c>
      <c r="M400" s="4">
        <v>-12.0</v>
      </c>
      <c r="O400" s="4">
        <v>7.707333333333334</v>
      </c>
    </row>
    <row r="401">
      <c r="A401" s="5">
        <v>45533.0</v>
      </c>
      <c r="B401" s="1" t="s">
        <v>88</v>
      </c>
      <c r="C401" s="1" t="s">
        <v>107</v>
      </c>
      <c r="D401" s="4">
        <v>264.0</v>
      </c>
      <c r="E401" s="4">
        <v>0.0</v>
      </c>
      <c r="F401" s="1" t="s">
        <v>90</v>
      </c>
      <c r="G401" s="1" t="s">
        <v>91</v>
      </c>
      <c r="H401" s="1" t="s">
        <v>92</v>
      </c>
      <c r="I401" s="1" t="s">
        <v>1068</v>
      </c>
      <c r="J401" s="1" t="s">
        <v>1069</v>
      </c>
      <c r="K401" s="1" t="s">
        <v>1069</v>
      </c>
      <c r="M401" s="4">
        <v>-7.0</v>
      </c>
      <c r="O401" s="4">
        <v>7.159883333333333</v>
      </c>
    </row>
    <row r="402">
      <c r="A402" s="5">
        <v>45533.0</v>
      </c>
      <c r="B402" s="1" t="s">
        <v>95</v>
      </c>
      <c r="C402" s="1" t="s">
        <v>107</v>
      </c>
      <c r="D402" s="4">
        <v>214.0</v>
      </c>
      <c r="E402" s="4">
        <v>50.0</v>
      </c>
      <c r="G402" s="1" t="s">
        <v>91</v>
      </c>
      <c r="H402" s="1" t="s">
        <v>92</v>
      </c>
      <c r="I402" s="1" t="s">
        <v>1070</v>
      </c>
      <c r="J402" s="1" t="s">
        <v>1071</v>
      </c>
      <c r="K402" s="1" t="s">
        <v>1071</v>
      </c>
      <c r="M402" s="4">
        <v>0.0</v>
      </c>
      <c r="O402" s="4">
        <v>6.612233333333333</v>
      </c>
    </row>
    <row r="403">
      <c r="A403" s="5">
        <v>45533.0</v>
      </c>
      <c r="B403" s="1" t="s">
        <v>88</v>
      </c>
      <c r="C403" s="1" t="s">
        <v>107</v>
      </c>
      <c r="D403" s="4">
        <v>321.0</v>
      </c>
      <c r="E403" s="4">
        <v>0.0</v>
      </c>
      <c r="F403" s="1" t="s">
        <v>90</v>
      </c>
      <c r="G403" s="1" t="s">
        <v>91</v>
      </c>
      <c r="H403" s="1" t="s">
        <v>92</v>
      </c>
      <c r="I403" s="1" t="s">
        <v>1072</v>
      </c>
      <c r="J403" s="1" t="s">
        <v>1073</v>
      </c>
      <c r="K403" s="1" t="s">
        <v>1073</v>
      </c>
      <c r="M403" s="4">
        <v>-7.0</v>
      </c>
      <c r="O403" s="4">
        <v>7.2728166666666665</v>
      </c>
    </row>
    <row r="404">
      <c r="A404" s="5">
        <v>45533.0</v>
      </c>
      <c r="B404" s="1" t="s">
        <v>88</v>
      </c>
      <c r="C404" s="1" t="s">
        <v>107</v>
      </c>
      <c r="D404" s="4">
        <v>203.0</v>
      </c>
      <c r="E404" s="4">
        <v>0.0</v>
      </c>
      <c r="F404" s="1" t="s">
        <v>90</v>
      </c>
      <c r="G404" s="1" t="s">
        <v>91</v>
      </c>
      <c r="H404" s="1" t="s">
        <v>92</v>
      </c>
      <c r="I404" s="1" t="s">
        <v>1074</v>
      </c>
      <c r="J404" s="1" t="s">
        <v>1075</v>
      </c>
      <c r="K404" s="1" t="s">
        <v>1075</v>
      </c>
      <c r="M404" s="4">
        <v>-6.0</v>
      </c>
      <c r="O404" s="4">
        <v>8.760966666666667</v>
      </c>
    </row>
    <row r="405">
      <c r="A405" s="5">
        <v>45533.0</v>
      </c>
      <c r="B405" s="1" t="s">
        <v>95</v>
      </c>
      <c r="C405" s="1" t="s">
        <v>107</v>
      </c>
      <c r="D405" s="4">
        <v>553.0</v>
      </c>
      <c r="E405" s="4">
        <v>0.0</v>
      </c>
      <c r="G405" s="1" t="s">
        <v>91</v>
      </c>
      <c r="H405" s="1" t="s">
        <v>92</v>
      </c>
      <c r="I405" s="1" t="s">
        <v>1076</v>
      </c>
      <c r="J405" s="1" t="s">
        <v>1077</v>
      </c>
      <c r="K405" s="1" t="s">
        <v>1077</v>
      </c>
      <c r="M405" s="4">
        <v>-1.0</v>
      </c>
      <c r="O405" s="4">
        <v>7.8547666666666665</v>
      </c>
    </row>
    <row r="406">
      <c r="A406" s="5">
        <v>45533.0</v>
      </c>
      <c r="B406" s="1" t="s">
        <v>116</v>
      </c>
      <c r="C406" s="1" t="s">
        <v>107</v>
      </c>
      <c r="D406" s="4">
        <v>279.0</v>
      </c>
      <c r="E406" s="4">
        <v>0.0</v>
      </c>
      <c r="F406" s="1" t="s">
        <v>386</v>
      </c>
      <c r="G406" s="1" t="s">
        <v>175</v>
      </c>
      <c r="H406" s="1" t="s">
        <v>96</v>
      </c>
      <c r="I406" s="1" t="s">
        <v>1078</v>
      </c>
      <c r="J406" s="1" t="s">
        <v>1079</v>
      </c>
      <c r="K406" s="1" t="s">
        <v>1080</v>
      </c>
      <c r="L406" s="1" t="s">
        <v>1081</v>
      </c>
      <c r="M406" s="4">
        <v>-16.0</v>
      </c>
      <c r="N406" s="4">
        <v>0.01645</v>
      </c>
      <c r="O406" s="4">
        <v>6.808433333333333</v>
      </c>
    </row>
    <row r="407">
      <c r="A407" s="5">
        <v>45533.0</v>
      </c>
      <c r="B407" s="1" t="s">
        <v>116</v>
      </c>
      <c r="C407" s="1" t="s">
        <v>107</v>
      </c>
      <c r="D407" s="4">
        <v>498.0</v>
      </c>
      <c r="E407" s="4">
        <v>125.0</v>
      </c>
      <c r="G407" s="1" t="s">
        <v>111</v>
      </c>
      <c r="H407" s="1" t="s">
        <v>194</v>
      </c>
      <c r="I407" s="1" t="s">
        <v>1082</v>
      </c>
      <c r="J407" s="1" t="s">
        <v>1083</v>
      </c>
      <c r="K407" s="1" t="s">
        <v>1083</v>
      </c>
      <c r="M407" s="4">
        <v>-16.0</v>
      </c>
      <c r="O407" s="4">
        <v>12.638866666666667</v>
      </c>
    </row>
    <row r="408">
      <c r="A408" s="5">
        <v>45533.0</v>
      </c>
      <c r="B408" s="1" t="s">
        <v>116</v>
      </c>
      <c r="C408" s="1" t="s">
        <v>107</v>
      </c>
      <c r="D408" s="4">
        <v>528.0</v>
      </c>
      <c r="E408" s="4">
        <v>0.0</v>
      </c>
      <c r="F408" s="1" t="s">
        <v>386</v>
      </c>
      <c r="G408" s="1" t="s">
        <v>175</v>
      </c>
      <c r="H408" s="1" t="s">
        <v>96</v>
      </c>
      <c r="I408" s="1" t="s">
        <v>1084</v>
      </c>
      <c r="J408" s="1" t="s">
        <v>1085</v>
      </c>
      <c r="K408" s="1" t="s">
        <v>1086</v>
      </c>
      <c r="L408" s="1" t="s">
        <v>1087</v>
      </c>
      <c r="M408" s="4">
        <v>-21.0</v>
      </c>
      <c r="N408" s="4">
        <v>0.013683333333333334</v>
      </c>
      <c r="O408" s="4">
        <v>7.385466666666667</v>
      </c>
    </row>
    <row r="409">
      <c r="A409" s="5">
        <v>45533.0</v>
      </c>
      <c r="B409" s="1" t="s">
        <v>103</v>
      </c>
      <c r="C409" s="1" t="s">
        <v>89</v>
      </c>
      <c r="D409" s="4">
        <v>585.0</v>
      </c>
      <c r="E409" s="4">
        <v>0.0</v>
      </c>
      <c r="F409" s="1" t="s">
        <v>1088</v>
      </c>
      <c r="G409" s="1" t="s">
        <v>91</v>
      </c>
      <c r="H409" s="1" t="s">
        <v>92</v>
      </c>
      <c r="I409" s="1" t="s">
        <v>1089</v>
      </c>
      <c r="J409" s="1" t="s">
        <v>1090</v>
      </c>
      <c r="K409" s="1" t="s">
        <v>1090</v>
      </c>
      <c r="M409" s="4">
        <v>-11.0</v>
      </c>
      <c r="O409" s="4">
        <v>8.665166666666666</v>
      </c>
    </row>
    <row r="410">
      <c r="A410" s="5">
        <v>45533.0</v>
      </c>
      <c r="B410" s="1" t="s">
        <v>95</v>
      </c>
      <c r="C410" s="1" t="s">
        <v>89</v>
      </c>
      <c r="D410" s="4">
        <v>264.0</v>
      </c>
      <c r="E410" s="4">
        <v>0.0</v>
      </c>
      <c r="G410" s="1" t="s">
        <v>91</v>
      </c>
      <c r="H410" s="1" t="s">
        <v>96</v>
      </c>
      <c r="I410" s="1" t="s">
        <v>1091</v>
      </c>
      <c r="J410" s="1" t="s">
        <v>1092</v>
      </c>
      <c r="K410" s="1" t="s">
        <v>1092</v>
      </c>
      <c r="M410" s="4">
        <v>-2.0</v>
      </c>
      <c r="O410" s="4">
        <v>5.090583333333333</v>
      </c>
    </row>
    <row r="411">
      <c r="A411" s="5">
        <v>45533.0</v>
      </c>
      <c r="B411" s="1" t="s">
        <v>116</v>
      </c>
      <c r="C411" s="1" t="s">
        <v>107</v>
      </c>
      <c r="D411" s="4">
        <v>134.0</v>
      </c>
      <c r="E411" s="4">
        <v>0.0</v>
      </c>
      <c r="G411" s="1" t="s">
        <v>111</v>
      </c>
      <c r="H411" s="1" t="s">
        <v>92</v>
      </c>
      <c r="I411" s="1" t="s">
        <v>1093</v>
      </c>
      <c r="J411" s="1" t="s">
        <v>1094</v>
      </c>
      <c r="K411" s="1" t="s">
        <v>1094</v>
      </c>
      <c r="M411" s="4">
        <v>-10.0</v>
      </c>
      <c r="O411" s="4">
        <v>8.08455</v>
      </c>
    </row>
    <row r="412">
      <c r="A412" s="5">
        <v>45533.0</v>
      </c>
      <c r="B412" s="1" t="s">
        <v>95</v>
      </c>
      <c r="C412" s="1" t="s">
        <v>89</v>
      </c>
      <c r="D412" s="4">
        <v>642.0</v>
      </c>
      <c r="E412" s="4">
        <v>0.0</v>
      </c>
      <c r="G412" s="1" t="s">
        <v>91</v>
      </c>
      <c r="H412" s="1" t="s">
        <v>92</v>
      </c>
      <c r="I412" s="1" t="s">
        <v>1095</v>
      </c>
      <c r="J412" s="1" t="s">
        <v>1096</v>
      </c>
      <c r="K412" s="1" t="s">
        <v>1096</v>
      </c>
      <c r="M412" s="4">
        <v>-1.0</v>
      </c>
      <c r="O412" s="4">
        <v>8.107766666666667</v>
      </c>
    </row>
    <row r="413">
      <c r="A413" s="5">
        <v>45533.0</v>
      </c>
      <c r="B413" s="1" t="s">
        <v>110</v>
      </c>
      <c r="C413" s="1" t="s">
        <v>107</v>
      </c>
      <c r="D413" s="4">
        <v>249.0</v>
      </c>
      <c r="E413" s="4">
        <v>0.0</v>
      </c>
      <c r="G413" s="1" t="s">
        <v>111</v>
      </c>
      <c r="H413" s="1" t="s">
        <v>96</v>
      </c>
      <c r="I413" s="1" t="s">
        <v>1097</v>
      </c>
      <c r="J413" s="1" t="s">
        <v>1098</v>
      </c>
      <c r="K413" s="1" t="s">
        <v>1098</v>
      </c>
      <c r="M413" s="4">
        <v>1.0</v>
      </c>
      <c r="O413" s="4">
        <v>6.231533333333333</v>
      </c>
    </row>
    <row r="414">
      <c r="A414" s="5">
        <v>45533.0</v>
      </c>
      <c r="B414" s="1" t="s">
        <v>88</v>
      </c>
      <c r="C414" s="1" t="s">
        <v>107</v>
      </c>
      <c r="D414" s="4">
        <v>259.0</v>
      </c>
      <c r="E414" s="4">
        <v>0.0</v>
      </c>
      <c r="F414" s="1" t="s">
        <v>90</v>
      </c>
      <c r="G414" s="1" t="s">
        <v>91</v>
      </c>
      <c r="H414" s="1" t="s">
        <v>92</v>
      </c>
      <c r="I414" s="1" t="s">
        <v>1099</v>
      </c>
      <c r="J414" s="1" t="s">
        <v>1100</v>
      </c>
      <c r="K414" s="1" t="s">
        <v>1100</v>
      </c>
      <c r="M414" s="4">
        <v>-6.0</v>
      </c>
      <c r="O414" s="4">
        <v>8.455083333333333</v>
      </c>
    </row>
    <row r="415">
      <c r="A415" s="5">
        <v>45533.0</v>
      </c>
      <c r="B415" s="1" t="s">
        <v>95</v>
      </c>
      <c r="C415" s="1" t="s">
        <v>89</v>
      </c>
      <c r="D415" s="4">
        <v>357.0</v>
      </c>
      <c r="E415" s="4">
        <v>150.0</v>
      </c>
      <c r="G415" s="1" t="s">
        <v>91</v>
      </c>
      <c r="H415" s="1" t="s">
        <v>92</v>
      </c>
      <c r="I415" s="1" t="s">
        <v>1101</v>
      </c>
      <c r="J415" s="1" t="s">
        <v>1102</v>
      </c>
      <c r="K415" s="1" t="s">
        <v>1102</v>
      </c>
      <c r="M415" s="4">
        <v>0.0</v>
      </c>
      <c r="O415" s="4">
        <v>8.7662</v>
      </c>
    </row>
    <row r="416">
      <c r="A416" s="5">
        <v>45533.0</v>
      </c>
      <c r="B416" s="1" t="s">
        <v>95</v>
      </c>
      <c r="C416" s="1" t="s">
        <v>89</v>
      </c>
      <c r="D416" s="4">
        <v>528.0</v>
      </c>
      <c r="E416" s="4">
        <v>0.0</v>
      </c>
      <c r="G416" s="1" t="s">
        <v>91</v>
      </c>
      <c r="H416" s="1" t="s">
        <v>92</v>
      </c>
      <c r="I416" s="1" t="s">
        <v>1103</v>
      </c>
      <c r="J416" s="1" t="s">
        <v>1104</v>
      </c>
      <c r="K416" s="1" t="s">
        <v>1104</v>
      </c>
      <c r="M416" s="4">
        <v>-1.0</v>
      </c>
      <c r="O416" s="4">
        <v>8.141783333333333</v>
      </c>
    </row>
    <row r="417">
      <c r="A417" s="5">
        <v>45533.0</v>
      </c>
      <c r="B417" s="1" t="s">
        <v>95</v>
      </c>
      <c r="C417" s="1" t="s">
        <v>89</v>
      </c>
      <c r="D417" s="4">
        <v>288.0</v>
      </c>
      <c r="E417" s="4">
        <v>0.0</v>
      </c>
      <c r="G417" s="1" t="s">
        <v>91</v>
      </c>
      <c r="H417" s="1" t="s">
        <v>96</v>
      </c>
      <c r="I417" s="1" t="s">
        <v>1105</v>
      </c>
      <c r="J417" s="1" t="s">
        <v>1106</v>
      </c>
      <c r="K417" s="1" t="s">
        <v>1106</v>
      </c>
      <c r="M417" s="4">
        <v>0.0</v>
      </c>
      <c r="O417" s="4">
        <v>7.757833333333333</v>
      </c>
    </row>
    <row r="418">
      <c r="A418" s="5">
        <v>45533.0</v>
      </c>
      <c r="B418" s="1" t="s">
        <v>88</v>
      </c>
      <c r="C418" s="1" t="s">
        <v>107</v>
      </c>
      <c r="D418" s="4">
        <v>289.0</v>
      </c>
      <c r="E418" s="4">
        <v>0.0</v>
      </c>
      <c r="F418" s="1" t="s">
        <v>90</v>
      </c>
      <c r="G418" s="1" t="s">
        <v>91</v>
      </c>
      <c r="H418" s="1" t="s">
        <v>92</v>
      </c>
      <c r="I418" s="1" t="s">
        <v>1107</v>
      </c>
      <c r="J418" s="1" t="s">
        <v>1108</v>
      </c>
      <c r="K418" s="1" t="s">
        <v>1108</v>
      </c>
      <c r="M418" s="4">
        <v>-8.0</v>
      </c>
      <c r="O418" s="4">
        <v>6.2704</v>
      </c>
    </row>
    <row r="419">
      <c r="A419" s="5">
        <v>45533.0</v>
      </c>
      <c r="B419" s="1" t="s">
        <v>95</v>
      </c>
      <c r="C419" s="1" t="s">
        <v>89</v>
      </c>
      <c r="D419" s="4">
        <v>378.0</v>
      </c>
      <c r="E419" s="4">
        <v>0.0</v>
      </c>
      <c r="G419" s="1" t="s">
        <v>91</v>
      </c>
      <c r="H419" s="1" t="s">
        <v>92</v>
      </c>
      <c r="I419" s="1" t="s">
        <v>1109</v>
      </c>
      <c r="J419" s="1" t="s">
        <v>1110</v>
      </c>
      <c r="K419" s="1" t="s">
        <v>1110</v>
      </c>
      <c r="M419" s="4">
        <v>1.0</v>
      </c>
      <c r="O419" s="4">
        <v>9.189766666666667</v>
      </c>
    </row>
    <row r="420">
      <c r="A420" s="5">
        <v>45533.0</v>
      </c>
      <c r="B420" s="1" t="s">
        <v>110</v>
      </c>
      <c r="C420" s="1" t="s">
        <v>107</v>
      </c>
      <c r="D420" s="4">
        <v>119.0</v>
      </c>
      <c r="E420" s="4">
        <v>0.0</v>
      </c>
      <c r="G420" s="1" t="s">
        <v>111</v>
      </c>
      <c r="H420" s="1" t="s">
        <v>96</v>
      </c>
      <c r="I420" s="1" t="s">
        <v>1111</v>
      </c>
      <c r="J420" s="1" t="s">
        <v>1112</v>
      </c>
      <c r="K420" s="1" t="s">
        <v>1112</v>
      </c>
      <c r="M420" s="4">
        <v>2.0</v>
      </c>
      <c r="O420" s="4">
        <v>7.16365</v>
      </c>
    </row>
    <row r="421">
      <c r="A421" s="5">
        <v>45533.0</v>
      </c>
      <c r="B421" s="1" t="s">
        <v>110</v>
      </c>
      <c r="C421" s="1" t="s">
        <v>107</v>
      </c>
      <c r="D421" s="4">
        <v>458.0</v>
      </c>
      <c r="E421" s="4">
        <v>0.0</v>
      </c>
      <c r="G421" s="1" t="s">
        <v>111</v>
      </c>
      <c r="H421" s="1" t="s">
        <v>96</v>
      </c>
      <c r="I421" s="1" t="s">
        <v>1113</v>
      </c>
      <c r="J421" s="1" t="s">
        <v>1114</v>
      </c>
      <c r="K421" s="1" t="s">
        <v>1114</v>
      </c>
      <c r="M421" s="4">
        <v>2.0</v>
      </c>
      <c r="O421" s="4">
        <v>7.4806</v>
      </c>
    </row>
    <row r="422">
      <c r="A422" s="5">
        <v>45533.0</v>
      </c>
      <c r="B422" s="1" t="s">
        <v>103</v>
      </c>
      <c r="C422" s="1" t="s">
        <v>89</v>
      </c>
      <c r="D422" s="4">
        <v>329.0</v>
      </c>
      <c r="E422" s="4">
        <v>0.0</v>
      </c>
      <c r="F422" s="1" t="s">
        <v>1115</v>
      </c>
      <c r="G422" s="1" t="s">
        <v>91</v>
      </c>
      <c r="H422" s="1" t="s">
        <v>92</v>
      </c>
      <c r="I422" s="1" t="s">
        <v>1116</v>
      </c>
      <c r="J422" s="1" t="s">
        <v>1117</v>
      </c>
      <c r="K422" s="1" t="s">
        <v>1117</v>
      </c>
      <c r="M422" s="4">
        <v>-8.0</v>
      </c>
      <c r="O422" s="4">
        <v>6.921266666666667</v>
      </c>
    </row>
    <row r="423">
      <c r="A423" s="5">
        <v>45533.0</v>
      </c>
      <c r="B423" s="1" t="s">
        <v>116</v>
      </c>
      <c r="C423" s="1" t="s">
        <v>107</v>
      </c>
      <c r="D423" s="4">
        <v>234.0</v>
      </c>
      <c r="E423" s="4">
        <v>16.0</v>
      </c>
      <c r="F423" s="1" t="s">
        <v>386</v>
      </c>
      <c r="G423" s="1" t="s">
        <v>175</v>
      </c>
      <c r="H423" s="1" t="s">
        <v>92</v>
      </c>
      <c r="I423" s="1" t="s">
        <v>1118</v>
      </c>
      <c r="J423" s="1" t="s">
        <v>1119</v>
      </c>
      <c r="K423" s="1" t="s">
        <v>1120</v>
      </c>
      <c r="L423" s="1" t="s">
        <v>1121</v>
      </c>
      <c r="M423" s="4">
        <v>-9.0</v>
      </c>
      <c r="N423" s="4">
        <v>0.008916666666666666</v>
      </c>
      <c r="O423" s="4">
        <v>6.585966666666667</v>
      </c>
    </row>
    <row r="424">
      <c r="A424" s="5">
        <v>45533.0</v>
      </c>
      <c r="B424" s="1" t="s">
        <v>88</v>
      </c>
      <c r="C424" s="1" t="s">
        <v>107</v>
      </c>
      <c r="D424" s="4">
        <v>264.0</v>
      </c>
      <c r="E424" s="4">
        <v>0.0</v>
      </c>
      <c r="F424" s="1" t="s">
        <v>90</v>
      </c>
      <c r="G424" s="1" t="s">
        <v>91</v>
      </c>
      <c r="H424" s="1" t="s">
        <v>92</v>
      </c>
      <c r="I424" s="1" t="s">
        <v>1122</v>
      </c>
      <c r="J424" s="1" t="s">
        <v>1123</v>
      </c>
      <c r="K424" s="1" t="s">
        <v>1123</v>
      </c>
      <c r="M424" s="4">
        <v>-8.0</v>
      </c>
      <c r="O424" s="4">
        <v>6.289733333333333</v>
      </c>
    </row>
    <row r="425">
      <c r="A425" s="5">
        <v>45533.0</v>
      </c>
      <c r="B425" s="1" t="s">
        <v>88</v>
      </c>
      <c r="C425" s="1" t="s">
        <v>107</v>
      </c>
      <c r="D425" s="4">
        <v>144.0</v>
      </c>
      <c r="E425" s="4">
        <v>0.0</v>
      </c>
      <c r="F425" s="1" t="s">
        <v>90</v>
      </c>
      <c r="G425" s="1" t="s">
        <v>91</v>
      </c>
      <c r="H425" s="1" t="s">
        <v>92</v>
      </c>
      <c r="I425" s="1" t="s">
        <v>1124</v>
      </c>
      <c r="J425" s="1" t="s">
        <v>1125</v>
      </c>
      <c r="K425" s="1" t="s">
        <v>1125</v>
      </c>
      <c r="M425" s="4">
        <v>-9.0</v>
      </c>
      <c r="O425" s="4">
        <v>5.9767</v>
      </c>
    </row>
    <row r="426">
      <c r="A426" s="5">
        <v>45533.0</v>
      </c>
      <c r="B426" s="1" t="s">
        <v>95</v>
      </c>
      <c r="C426" s="1" t="s">
        <v>107</v>
      </c>
      <c r="D426" s="4">
        <v>539.0</v>
      </c>
      <c r="E426" s="4">
        <v>0.0</v>
      </c>
      <c r="G426" s="1" t="s">
        <v>91</v>
      </c>
      <c r="H426" s="1" t="s">
        <v>92</v>
      </c>
      <c r="I426" s="1" t="s">
        <v>1126</v>
      </c>
      <c r="J426" s="1" t="s">
        <v>1127</v>
      </c>
      <c r="K426" s="1" t="s">
        <v>1127</v>
      </c>
      <c r="M426" s="4">
        <v>0.0</v>
      </c>
      <c r="O426" s="4">
        <v>9.872833333333332</v>
      </c>
    </row>
    <row r="427">
      <c r="A427" s="5">
        <v>45533.0</v>
      </c>
      <c r="B427" s="1" t="s">
        <v>116</v>
      </c>
      <c r="C427" s="1" t="s">
        <v>107</v>
      </c>
      <c r="D427" s="4">
        <v>196.0</v>
      </c>
      <c r="E427" s="4">
        <v>113.0</v>
      </c>
      <c r="G427" s="1" t="s">
        <v>111</v>
      </c>
      <c r="H427" s="1" t="s">
        <v>194</v>
      </c>
      <c r="I427" s="1" t="s">
        <v>1128</v>
      </c>
      <c r="J427" s="1" t="s">
        <v>1129</v>
      </c>
      <c r="K427" s="1" t="s">
        <v>1129</v>
      </c>
      <c r="M427" s="4">
        <v>-12.0</v>
      </c>
      <c r="O427" s="4">
        <v>6.629733333333333</v>
      </c>
    </row>
    <row r="428">
      <c r="A428" s="5">
        <v>45533.0</v>
      </c>
      <c r="B428" s="1" t="s">
        <v>95</v>
      </c>
      <c r="C428" s="1" t="s">
        <v>107</v>
      </c>
      <c r="D428" s="4">
        <v>733.0</v>
      </c>
      <c r="E428" s="4">
        <v>0.0</v>
      </c>
      <c r="G428" s="1" t="s">
        <v>91</v>
      </c>
      <c r="H428" s="1" t="s">
        <v>92</v>
      </c>
      <c r="I428" s="1" t="s">
        <v>1130</v>
      </c>
      <c r="J428" s="1" t="s">
        <v>1131</v>
      </c>
      <c r="K428" s="1" t="s">
        <v>1131</v>
      </c>
      <c r="M428" s="4">
        <v>0.0</v>
      </c>
      <c r="O428" s="4">
        <v>10.9738</v>
      </c>
    </row>
    <row r="429">
      <c r="A429" s="5">
        <v>45533.0</v>
      </c>
      <c r="B429" s="1" t="s">
        <v>88</v>
      </c>
      <c r="C429" s="1" t="s">
        <v>107</v>
      </c>
      <c r="D429" s="4">
        <v>351.0</v>
      </c>
      <c r="E429" s="4">
        <v>0.0</v>
      </c>
      <c r="F429" s="1" t="s">
        <v>90</v>
      </c>
      <c r="G429" s="1" t="s">
        <v>91</v>
      </c>
      <c r="H429" s="1" t="s">
        <v>92</v>
      </c>
      <c r="I429" s="1" t="s">
        <v>1132</v>
      </c>
      <c r="J429" s="1" t="s">
        <v>1133</v>
      </c>
      <c r="K429" s="1" t="s">
        <v>1133</v>
      </c>
      <c r="M429" s="4">
        <v>-5.0</v>
      </c>
      <c r="O429" s="4">
        <v>9.270983333333334</v>
      </c>
    </row>
    <row r="430">
      <c r="A430" s="5">
        <v>45533.0</v>
      </c>
      <c r="B430" s="1" t="s">
        <v>95</v>
      </c>
      <c r="C430" s="1" t="s">
        <v>89</v>
      </c>
      <c r="D430" s="4">
        <v>1058.0</v>
      </c>
      <c r="E430" s="4">
        <v>0.0</v>
      </c>
      <c r="G430" s="1" t="s">
        <v>91</v>
      </c>
      <c r="H430" s="1" t="s">
        <v>96</v>
      </c>
      <c r="I430" s="1" t="s">
        <v>1134</v>
      </c>
      <c r="J430" s="1" t="s">
        <v>1135</v>
      </c>
      <c r="K430" s="1" t="s">
        <v>1135</v>
      </c>
      <c r="M430" s="4">
        <v>0.0</v>
      </c>
      <c r="O430" s="4">
        <v>11.14805</v>
      </c>
    </row>
    <row r="431">
      <c r="A431" s="5">
        <v>45533.0</v>
      </c>
      <c r="B431" s="1" t="s">
        <v>95</v>
      </c>
      <c r="C431" s="1" t="s">
        <v>89</v>
      </c>
      <c r="D431" s="4">
        <v>399.0</v>
      </c>
      <c r="E431" s="4">
        <v>0.0</v>
      </c>
      <c r="G431" s="1" t="s">
        <v>91</v>
      </c>
      <c r="H431" s="1" t="s">
        <v>92</v>
      </c>
      <c r="I431" s="1" t="s">
        <v>1136</v>
      </c>
      <c r="J431" s="1" t="s">
        <v>1137</v>
      </c>
      <c r="K431" s="1" t="s">
        <v>1137</v>
      </c>
      <c r="M431" s="4">
        <v>0.0</v>
      </c>
      <c r="O431" s="4">
        <v>7.136783333333334</v>
      </c>
    </row>
    <row r="432">
      <c r="A432" s="5">
        <v>45533.0</v>
      </c>
      <c r="B432" s="1" t="s">
        <v>110</v>
      </c>
      <c r="C432" s="1" t="s">
        <v>107</v>
      </c>
      <c r="D432" s="4">
        <v>249.0</v>
      </c>
      <c r="E432" s="4">
        <v>0.0</v>
      </c>
      <c r="G432" s="1" t="s">
        <v>111</v>
      </c>
      <c r="H432" s="1" t="s">
        <v>96</v>
      </c>
      <c r="I432" s="1" t="s">
        <v>1138</v>
      </c>
      <c r="J432" s="1" t="s">
        <v>1139</v>
      </c>
      <c r="K432" s="1" t="s">
        <v>1139</v>
      </c>
      <c r="M432" s="4">
        <v>-4.0</v>
      </c>
      <c r="O432" s="4">
        <v>0.5658</v>
      </c>
    </row>
    <row r="433">
      <c r="A433" s="5">
        <v>45533.0</v>
      </c>
      <c r="B433" s="1" t="s">
        <v>116</v>
      </c>
      <c r="C433" s="1" t="s">
        <v>107</v>
      </c>
      <c r="D433" s="4">
        <v>398.0</v>
      </c>
      <c r="E433" s="4">
        <v>100.0</v>
      </c>
      <c r="G433" s="1" t="s">
        <v>111</v>
      </c>
      <c r="H433" s="1" t="s">
        <v>92</v>
      </c>
      <c r="I433" s="1" t="s">
        <v>1140</v>
      </c>
      <c r="J433" s="1" t="s">
        <v>1141</v>
      </c>
      <c r="K433" s="1" t="s">
        <v>1141</v>
      </c>
      <c r="M433" s="4">
        <v>-13.0</v>
      </c>
      <c r="O433" s="4">
        <v>37.08595</v>
      </c>
    </row>
    <row r="434">
      <c r="A434" s="5">
        <v>45533.0</v>
      </c>
      <c r="B434" s="1" t="s">
        <v>116</v>
      </c>
      <c r="C434" s="1" t="s">
        <v>107</v>
      </c>
      <c r="D434" s="4">
        <v>199.0</v>
      </c>
      <c r="E434" s="4">
        <v>50.0</v>
      </c>
      <c r="G434" s="1" t="s">
        <v>111</v>
      </c>
      <c r="H434" s="1" t="s">
        <v>194</v>
      </c>
      <c r="I434" s="1" t="s">
        <v>1142</v>
      </c>
      <c r="J434" s="1" t="s">
        <v>1143</v>
      </c>
      <c r="K434" s="1" t="s">
        <v>1143</v>
      </c>
      <c r="M434" s="4">
        <v>-12.0</v>
      </c>
      <c r="O434" s="4">
        <v>6.170016666666666</v>
      </c>
    </row>
    <row r="435">
      <c r="A435" s="5">
        <v>45533.0</v>
      </c>
      <c r="B435" s="1" t="s">
        <v>110</v>
      </c>
      <c r="C435" s="1" t="s">
        <v>107</v>
      </c>
      <c r="D435" s="4">
        <v>309.0</v>
      </c>
      <c r="E435" s="4">
        <v>0.0</v>
      </c>
      <c r="G435" s="1" t="s">
        <v>111</v>
      </c>
      <c r="H435" s="1" t="s">
        <v>96</v>
      </c>
      <c r="I435" s="1" t="s">
        <v>1144</v>
      </c>
      <c r="J435" s="1" t="s">
        <v>1145</v>
      </c>
      <c r="K435" s="1" t="s">
        <v>1145</v>
      </c>
      <c r="M435" s="4">
        <v>-1.0</v>
      </c>
      <c r="O435" s="4">
        <v>3.83</v>
      </c>
    </row>
    <row r="436">
      <c r="A436" s="5">
        <v>45533.0</v>
      </c>
      <c r="B436" s="1" t="s">
        <v>116</v>
      </c>
      <c r="C436" s="1" t="s">
        <v>107</v>
      </c>
      <c r="D436" s="4">
        <v>250.0</v>
      </c>
      <c r="E436" s="4">
        <v>0.0</v>
      </c>
      <c r="F436" s="1" t="s">
        <v>386</v>
      </c>
      <c r="G436" s="1" t="s">
        <v>175</v>
      </c>
      <c r="H436" s="1" t="s">
        <v>96</v>
      </c>
      <c r="I436" s="1" t="s">
        <v>1146</v>
      </c>
      <c r="J436" s="1" t="s">
        <v>1147</v>
      </c>
      <c r="K436" s="1" t="s">
        <v>1148</v>
      </c>
      <c r="L436" s="1" t="s">
        <v>1149</v>
      </c>
      <c r="M436" s="4">
        <v>-9.0</v>
      </c>
      <c r="N436" s="4">
        <v>0.008966666666666666</v>
      </c>
      <c r="O436" s="4">
        <v>6.9935</v>
      </c>
    </row>
    <row r="437">
      <c r="A437" s="5">
        <v>45533.0</v>
      </c>
      <c r="B437" s="1" t="s">
        <v>88</v>
      </c>
      <c r="C437" s="1" t="s">
        <v>107</v>
      </c>
      <c r="D437" s="4">
        <v>179.0</v>
      </c>
      <c r="E437" s="4">
        <v>0.0</v>
      </c>
      <c r="F437" s="1" t="s">
        <v>90</v>
      </c>
      <c r="G437" s="1" t="s">
        <v>91</v>
      </c>
      <c r="H437" s="1" t="s">
        <v>92</v>
      </c>
      <c r="I437" s="1" t="s">
        <v>1150</v>
      </c>
      <c r="J437" s="1" t="s">
        <v>1151</v>
      </c>
      <c r="K437" s="1" t="s">
        <v>1151</v>
      </c>
      <c r="M437" s="4">
        <v>-8.0</v>
      </c>
      <c r="O437" s="4">
        <v>6.454183333333333</v>
      </c>
    </row>
    <row r="438">
      <c r="A438" s="5">
        <v>45533.0</v>
      </c>
      <c r="B438" s="1" t="s">
        <v>88</v>
      </c>
      <c r="C438" s="1" t="s">
        <v>107</v>
      </c>
      <c r="D438" s="4">
        <v>289.0</v>
      </c>
      <c r="E438" s="4">
        <v>0.0</v>
      </c>
      <c r="F438" s="1" t="s">
        <v>90</v>
      </c>
      <c r="G438" s="1" t="s">
        <v>91</v>
      </c>
      <c r="H438" s="1" t="s">
        <v>92</v>
      </c>
      <c r="I438" s="1" t="s">
        <v>1152</v>
      </c>
      <c r="J438" s="1" t="s">
        <v>1153</v>
      </c>
      <c r="K438" s="1" t="s">
        <v>1153</v>
      </c>
      <c r="M438" s="4">
        <v>-6.0</v>
      </c>
      <c r="O438" s="4">
        <v>8.033233333333333</v>
      </c>
    </row>
    <row r="439">
      <c r="A439" s="5">
        <v>45533.0</v>
      </c>
      <c r="B439" s="1" t="s">
        <v>95</v>
      </c>
      <c r="C439" s="1" t="s">
        <v>107</v>
      </c>
      <c r="D439" s="4">
        <v>224.0</v>
      </c>
      <c r="E439" s="4">
        <v>0.0</v>
      </c>
      <c r="G439" s="1" t="s">
        <v>91</v>
      </c>
      <c r="H439" s="1" t="s">
        <v>92</v>
      </c>
      <c r="I439" s="1" t="s">
        <v>1154</v>
      </c>
      <c r="J439" s="1" t="s">
        <v>1155</v>
      </c>
      <c r="K439" s="1" t="s">
        <v>1155</v>
      </c>
      <c r="M439" s="4">
        <v>1.0</v>
      </c>
      <c r="O439" s="4">
        <v>8.894366666666667</v>
      </c>
    </row>
    <row r="440">
      <c r="A440" s="5">
        <v>45533.0</v>
      </c>
      <c r="B440" s="1" t="s">
        <v>95</v>
      </c>
      <c r="C440" s="1" t="s">
        <v>107</v>
      </c>
      <c r="D440" s="4">
        <v>425.0</v>
      </c>
      <c r="E440" s="4">
        <v>0.0</v>
      </c>
      <c r="G440" s="1" t="s">
        <v>91</v>
      </c>
      <c r="H440" s="1" t="s">
        <v>92</v>
      </c>
      <c r="I440" s="1" t="s">
        <v>1156</v>
      </c>
      <c r="J440" s="1" t="s">
        <v>1157</v>
      </c>
      <c r="K440" s="1" t="s">
        <v>1157</v>
      </c>
      <c r="M440" s="4">
        <v>4.0</v>
      </c>
      <c r="O440" s="4">
        <v>12.3565</v>
      </c>
    </row>
    <row r="441">
      <c r="A441" s="5">
        <v>45533.0</v>
      </c>
      <c r="B441" s="1" t="s">
        <v>110</v>
      </c>
      <c r="C441" s="1" t="s">
        <v>107</v>
      </c>
      <c r="D441" s="4">
        <v>249.0</v>
      </c>
      <c r="E441" s="4">
        <v>0.0</v>
      </c>
      <c r="G441" s="1" t="s">
        <v>111</v>
      </c>
      <c r="H441" s="1" t="s">
        <v>96</v>
      </c>
      <c r="I441" s="1" t="s">
        <v>1158</v>
      </c>
      <c r="J441" s="1" t="s">
        <v>1159</v>
      </c>
      <c r="K441" s="1" t="s">
        <v>1159</v>
      </c>
      <c r="M441" s="4">
        <v>0.0</v>
      </c>
      <c r="O441" s="4">
        <v>5.411783333333333</v>
      </c>
    </row>
    <row r="442">
      <c r="A442" s="5">
        <v>45533.0</v>
      </c>
      <c r="B442" s="1" t="s">
        <v>110</v>
      </c>
      <c r="C442" s="1" t="s">
        <v>107</v>
      </c>
      <c r="D442" s="4">
        <v>249.0</v>
      </c>
      <c r="E442" s="4">
        <v>0.0</v>
      </c>
      <c r="G442" s="1" t="s">
        <v>111</v>
      </c>
      <c r="H442" s="1" t="s">
        <v>96</v>
      </c>
      <c r="I442" s="1" t="s">
        <v>1160</v>
      </c>
      <c r="J442" s="1" t="s">
        <v>1161</v>
      </c>
      <c r="K442" s="1" t="s">
        <v>1161</v>
      </c>
      <c r="M442" s="4">
        <v>0.0</v>
      </c>
      <c r="O442" s="4">
        <v>5.890633333333334</v>
      </c>
    </row>
    <row r="443">
      <c r="A443" s="5">
        <v>45533.0</v>
      </c>
      <c r="B443" s="1" t="s">
        <v>103</v>
      </c>
      <c r="C443" s="1" t="s">
        <v>107</v>
      </c>
      <c r="D443" s="4">
        <v>451.0</v>
      </c>
      <c r="E443" s="4">
        <v>0.0</v>
      </c>
      <c r="F443" s="1" t="s">
        <v>887</v>
      </c>
      <c r="G443" s="1" t="s">
        <v>91</v>
      </c>
      <c r="H443" s="1" t="s">
        <v>92</v>
      </c>
      <c r="I443" s="1" t="s">
        <v>1162</v>
      </c>
      <c r="J443" s="1" t="s">
        <v>1163</v>
      </c>
      <c r="K443" s="1" t="s">
        <v>1163</v>
      </c>
      <c r="M443" s="4">
        <v>-5.0</v>
      </c>
      <c r="O443" s="4">
        <v>9.3187</v>
      </c>
    </row>
    <row r="444">
      <c r="A444" s="5">
        <v>45533.0</v>
      </c>
      <c r="B444" s="1" t="s">
        <v>95</v>
      </c>
      <c r="C444" s="1" t="s">
        <v>107</v>
      </c>
      <c r="D444" s="4">
        <v>264.0</v>
      </c>
      <c r="E444" s="4">
        <v>0.0</v>
      </c>
      <c r="G444" s="1" t="s">
        <v>91</v>
      </c>
      <c r="H444" s="1" t="s">
        <v>92</v>
      </c>
      <c r="I444" s="1" t="s">
        <v>1164</v>
      </c>
      <c r="J444" s="1" t="s">
        <v>1165</v>
      </c>
      <c r="K444" s="1" t="s">
        <v>1165</v>
      </c>
      <c r="M444" s="4">
        <v>0.0</v>
      </c>
      <c r="O444" s="4">
        <v>7.6368833333333335</v>
      </c>
    </row>
    <row r="445">
      <c r="A445" s="5">
        <v>45533.0</v>
      </c>
      <c r="B445" s="1" t="s">
        <v>95</v>
      </c>
      <c r="C445" s="1" t="s">
        <v>107</v>
      </c>
      <c r="D445" s="4">
        <v>269.0</v>
      </c>
      <c r="E445" s="4">
        <v>100.0</v>
      </c>
      <c r="G445" s="1" t="s">
        <v>91</v>
      </c>
      <c r="H445" s="1" t="s">
        <v>92</v>
      </c>
      <c r="I445" s="1" t="s">
        <v>1166</v>
      </c>
      <c r="J445" s="1" t="s">
        <v>1167</v>
      </c>
      <c r="K445" s="1" t="s">
        <v>1167</v>
      </c>
      <c r="M445" s="4">
        <v>1.0</v>
      </c>
      <c r="O445" s="4">
        <v>8.5271</v>
      </c>
    </row>
    <row r="446">
      <c r="A446" s="5">
        <v>45533.0</v>
      </c>
      <c r="B446" s="1" t="s">
        <v>116</v>
      </c>
      <c r="C446" s="1" t="s">
        <v>107</v>
      </c>
      <c r="D446" s="4">
        <v>244.0</v>
      </c>
      <c r="E446" s="4">
        <v>27.0</v>
      </c>
      <c r="F446" s="1" t="s">
        <v>174</v>
      </c>
      <c r="G446" s="1" t="s">
        <v>175</v>
      </c>
      <c r="H446" s="1" t="s">
        <v>92</v>
      </c>
      <c r="I446" s="1" t="s">
        <v>1168</v>
      </c>
      <c r="J446" s="1" t="s">
        <v>1169</v>
      </c>
      <c r="K446" s="1" t="s">
        <v>1170</v>
      </c>
      <c r="L446" s="1" t="s">
        <v>1171</v>
      </c>
      <c r="M446" s="4">
        <v>-13.0</v>
      </c>
      <c r="N446" s="4">
        <v>0.012566666666666667</v>
      </c>
      <c r="O446" s="4">
        <v>7.098183333333333</v>
      </c>
    </row>
    <row r="447">
      <c r="A447" s="5">
        <v>45533.0</v>
      </c>
      <c r="B447" s="1" t="s">
        <v>95</v>
      </c>
      <c r="C447" s="1" t="s">
        <v>89</v>
      </c>
      <c r="D447" s="4">
        <v>264.0</v>
      </c>
      <c r="E447" s="4">
        <v>0.0</v>
      </c>
      <c r="G447" s="1" t="s">
        <v>91</v>
      </c>
      <c r="H447" s="1" t="s">
        <v>92</v>
      </c>
      <c r="I447" s="1" t="s">
        <v>1172</v>
      </c>
      <c r="J447" s="1" t="s">
        <v>1173</v>
      </c>
      <c r="K447" s="1" t="s">
        <v>1173</v>
      </c>
      <c r="M447" s="4">
        <v>0.0</v>
      </c>
      <c r="O447" s="4">
        <v>7.7086</v>
      </c>
    </row>
    <row r="448">
      <c r="A448" s="5">
        <v>45533.0</v>
      </c>
      <c r="B448" s="1" t="s">
        <v>95</v>
      </c>
      <c r="C448" s="1" t="s">
        <v>89</v>
      </c>
      <c r="D448" s="4">
        <v>314.0</v>
      </c>
      <c r="E448" s="4">
        <v>0.0</v>
      </c>
      <c r="G448" s="1" t="s">
        <v>91</v>
      </c>
      <c r="H448" s="1" t="s">
        <v>96</v>
      </c>
      <c r="I448" s="1" t="s">
        <v>1174</v>
      </c>
      <c r="J448" s="1" t="s">
        <v>1175</v>
      </c>
      <c r="K448" s="1" t="s">
        <v>1175</v>
      </c>
      <c r="M448" s="4">
        <v>14.0</v>
      </c>
      <c r="O448" s="4">
        <v>21.337316666666666</v>
      </c>
    </row>
    <row r="449">
      <c r="A449" s="5">
        <v>45533.0</v>
      </c>
      <c r="B449" s="1" t="s">
        <v>116</v>
      </c>
      <c r="C449" s="1" t="s">
        <v>107</v>
      </c>
      <c r="D449" s="4">
        <v>306.0</v>
      </c>
      <c r="E449" s="4">
        <v>0.0</v>
      </c>
      <c r="F449" s="1" t="s">
        <v>174</v>
      </c>
      <c r="G449" s="1" t="s">
        <v>175</v>
      </c>
      <c r="H449" s="1" t="s">
        <v>92</v>
      </c>
      <c r="I449" s="1" t="s">
        <v>1176</v>
      </c>
      <c r="J449" s="1" t="s">
        <v>1177</v>
      </c>
      <c r="K449" s="1" t="s">
        <v>1178</v>
      </c>
      <c r="L449" s="1" t="s">
        <v>1179</v>
      </c>
      <c r="M449" s="4">
        <v>-8.0</v>
      </c>
      <c r="N449" s="4">
        <v>0.0091</v>
      </c>
      <c r="O449" s="4">
        <v>12.454833333333333</v>
      </c>
    </row>
    <row r="450">
      <c r="A450" s="5">
        <v>45533.0</v>
      </c>
      <c r="B450" s="1" t="s">
        <v>88</v>
      </c>
      <c r="C450" s="1" t="s">
        <v>107</v>
      </c>
      <c r="D450" s="4">
        <v>528.0</v>
      </c>
      <c r="E450" s="4">
        <v>0.0</v>
      </c>
      <c r="F450" s="1" t="s">
        <v>90</v>
      </c>
      <c r="G450" s="1" t="s">
        <v>91</v>
      </c>
      <c r="H450" s="1" t="s">
        <v>92</v>
      </c>
      <c r="I450" s="1" t="s">
        <v>1180</v>
      </c>
      <c r="J450" s="1" t="s">
        <v>1181</v>
      </c>
      <c r="K450" s="1" t="s">
        <v>1181</v>
      </c>
      <c r="M450" s="4">
        <v>-10.0</v>
      </c>
      <c r="O450" s="4">
        <v>9.9407</v>
      </c>
    </row>
    <row r="451">
      <c r="A451" s="5">
        <v>45533.0</v>
      </c>
      <c r="B451" s="1" t="s">
        <v>110</v>
      </c>
      <c r="C451" s="1" t="s">
        <v>107</v>
      </c>
      <c r="D451" s="4">
        <v>344.0</v>
      </c>
      <c r="E451" s="4">
        <v>0.0</v>
      </c>
      <c r="G451" s="1" t="s">
        <v>111</v>
      </c>
      <c r="H451" s="1" t="s">
        <v>96</v>
      </c>
      <c r="I451" s="1" t="s">
        <v>1182</v>
      </c>
      <c r="J451" s="1" t="s">
        <v>1183</v>
      </c>
      <c r="K451" s="1" t="s">
        <v>1183</v>
      </c>
      <c r="M451" s="4">
        <v>3.0</v>
      </c>
      <c r="O451" s="4">
        <v>8.261416666666667</v>
      </c>
    </row>
    <row r="452">
      <c r="A452" s="5">
        <v>45533.0</v>
      </c>
      <c r="B452" s="1" t="s">
        <v>95</v>
      </c>
      <c r="C452" s="1" t="s">
        <v>107</v>
      </c>
      <c r="D452" s="4">
        <v>528.0</v>
      </c>
      <c r="E452" s="4">
        <v>0.0</v>
      </c>
      <c r="G452" s="1" t="s">
        <v>91</v>
      </c>
      <c r="H452" s="1" t="s">
        <v>92</v>
      </c>
      <c r="I452" s="1" t="s">
        <v>1184</v>
      </c>
      <c r="J452" s="1" t="s">
        <v>1185</v>
      </c>
      <c r="K452" s="1" t="s">
        <v>1185</v>
      </c>
      <c r="M452" s="4">
        <v>4.0</v>
      </c>
      <c r="O452" s="4">
        <v>13.823433333333334</v>
      </c>
    </row>
    <row r="453">
      <c r="A453" s="5">
        <v>45533.0</v>
      </c>
      <c r="B453" s="1" t="s">
        <v>88</v>
      </c>
      <c r="C453" s="1" t="s">
        <v>107</v>
      </c>
      <c r="D453" s="4">
        <v>309.0</v>
      </c>
      <c r="E453" s="4">
        <v>0.0</v>
      </c>
      <c r="F453" s="1" t="s">
        <v>90</v>
      </c>
      <c r="G453" s="1" t="s">
        <v>91</v>
      </c>
      <c r="H453" s="1" t="s">
        <v>92</v>
      </c>
      <c r="I453" s="1" t="s">
        <v>1186</v>
      </c>
      <c r="J453" s="1" t="s">
        <v>1187</v>
      </c>
      <c r="K453" s="1" t="s">
        <v>1187</v>
      </c>
      <c r="M453" s="4">
        <v>-2.0</v>
      </c>
      <c r="O453" s="4">
        <v>12.081666666666667</v>
      </c>
    </row>
    <row r="454">
      <c r="A454" s="5">
        <v>45533.0</v>
      </c>
      <c r="B454" s="1" t="s">
        <v>88</v>
      </c>
      <c r="C454" s="1" t="s">
        <v>107</v>
      </c>
      <c r="D454" s="4">
        <v>264.0</v>
      </c>
      <c r="E454" s="4">
        <v>0.0</v>
      </c>
      <c r="F454" s="1" t="s">
        <v>90</v>
      </c>
      <c r="G454" s="1" t="s">
        <v>91</v>
      </c>
      <c r="H454" s="1" t="s">
        <v>92</v>
      </c>
      <c r="I454" s="1" t="s">
        <v>1188</v>
      </c>
      <c r="J454" s="1" t="s">
        <v>1189</v>
      </c>
      <c r="K454" s="1" t="s">
        <v>1189</v>
      </c>
      <c r="M454" s="4">
        <v>-4.0</v>
      </c>
      <c r="O454" s="4">
        <v>10.849616666666666</v>
      </c>
    </row>
    <row r="455">
      <c r="A455" s="5">
        <v>45533.0</v>
      </c>
      <c r="B455" s="1" t="s">
        <v>116</v>
      </c>
      <c r="C455" s="1" t="s">
        <v>107</v>
      </c>
      <c r="D455" s="4">
        <v>250.0</v>
      </c>
      <c r="E455" s="4">
        <v>0.0</v>
      </c>
      <c r="F455" s="1" t="s">
        <v>174</v>
      </c>
      <c r="G455" s="1" t="s">
        <v>175</v>
      </c>
      <c r="H455" s="1" t="s">
        <v>92</v>
      </c>
      <c r="I455" s="1" t="s">
        <v>1190</v>
      </c>
      <c r="J455" s="1" t="s">
        <v>1191</v>
      </c>
      <c r="K455" s="1" t="s">
        <v>1192</v>
      </c>
      <c r="L455" s="1" t="s">
        <v>1193</v>
      </c>
      <c r="M455" s="4">
        <v>-8.0</v>
      </c>
      <c r="N455" s="4">
        <v>0.0113</v>
      </c>
      <c r="O455" s="4">
        <v>6.60515</v>
      </c>
    </row>
    <row r="456">
      <c r="A456" s="5">
        <v>45533.0</v>
      </c>
      <c r="B456" s="1" t="s">
        <v>88</v>
      </c>
      <c r="C456" s="1" t="s">
        <v>107</v>
      </c>
      <c r="D456" s="4">
        <v>329.0</v>
      </c>
      <c r="E456" s="4">
        <v>0.0</v>
      </c>
      <c r="F456" s="1" t="s">
        <v>90</v>
      </c>
      <c r="G456" s="1" t="s">
        <v>91</v>
      </c>
      <c r="H456" s="1" t="s">
        <v>92</v>
      </c>
      <c r="I456" s="1" t="s">
        <v>1194</v>
      </c>
      <c r="J456" s="1" t="s">
        <v>1195</v>
      </c>
      <c r="K456" s="1" t="s">
        <v>1195</v>
      </c>
      <c r="M456" s="4">
        <v>-2.0</v>
      </c>
      <c r="O456" s="4">
        <v>12.643383333333333</v>
      </c>
    </row>
    <row r="457">
      <c r="A457" s="5">
        <v>45533.0</v>
      </c>
      <c r="B457" s="1" t="s">
        <v>116</v>
      </c>
      <c r="C457" s="1" t="s">
        <v>107</v>
      </c>
      <c r="D457" s="4">
        <v>269.0</v>
      </c>
      <c r="E457" s="4">
        <v>0.0</v>
      </c>
      <c r="F457" s="1" t="s">
        <v>174</v>
      </c>
      <c r="G457" s="1" t="s">
        <v>175</v>
      </c>
      <c r="H457" s="1" t="s">
        <v>92</v>
      </c>
      <c r="I457" s="1" t="s">
        <v>1196</v>
      </c>
      <c r="J457" s="1" t="s">
        <v>1197</v>
      </c>
      <c r="K457" s="1" t="s">
        <v>1198</v>
      </c>
      <c r="L457" s="1" t="s">
        <v>1199</v>
      </c>
      <c r="M457" s="4">
        <v>-10.0</v>
      </c>
      <c r="N457" s="4">
        <v>0.00875</v>
      </c>
      <c r="O457" s="4">
        <v>8.4708</v>
      </c>
    </row>
    <row r="458">
      <c r="A458" s="5">
        <v>45533.0</v>
      </c>
      <c r="B458" s="1" t="s">
        <v>95</v>
      </c>
      <c r="C458" s="1" t="s">
        <v>107</v>
      </c>
      <c r="D458" s="4">
        <v>658.0</v>
      </c>
      <c r="E458" s="4">
        <v>0.0</v>
      </c>
      <c r="G458" s="1" t="s">
        <v>91</v>
      </c>
      <c r="H458" s="1" t="s">
        <v>92</v>
      </c>
      <c r="I458" s="1" t="s">
        <v>1200</v>
      </c>
      <c r="J458" s="1" t="s">
        <v>1201</v>
      </c>
      <c r="K458" s="1" t="s">
        <v>1201</v>
      </c>
      <c r="M458" s="4">
        <v>3.0</v>
      </c>
      <c r="O458" s="4">
        <v>13.595133333333333</v>
      </c>
    </row>
    <row r="459">
      <c r="A459" s="5">
        <v>45533.0</v>
      </c>
      <c r="B459" s="1" t="s">
        <v>116</v>
      </c>
      <c r="C459" s="1" t="s">
        <v>107</v>
      </c>
      <c r="D459" s="4">
        <v>247.0</v>
      </c>
      <c r="E459" s="4">
        <v>62.0</v>
      </c>
      <c r="G459" s="1" t="s">
        <v>111</v>
      </c>
      <c r="H459" s="1" t="s">
        <v>92</v>
      </c>
      <c r="I459" s="1" t="s">
        <v>1202</v>
      </c>
      <c r="J459" s="1" t="s">
        <v>1203</v>
      </c>
      <c r="K459" s="1" t="s">
        <v>1203</v>
      </c>
      <c r="M459" s="4">
        <v>-1.0</v>
      </c>
      <c r="O459" s="4">
        <v>16.5401</v>
      </c>
    </row>
    <row r="460">
      <c r="A460" s="5">
        <v>45533.0</v>
      </c>
      <c r="B460" s="1" t="s">
        <v>88</v>
      </c>
      <c r="C460" s="1" t="s">
        <v>107</v>
      </c>
      <c r="D460" s="4">
        <v>387.0</v>
      </c>
      <c r="E460" s="4">
        <v>0.0</v>
      </c>
      <c r="F460" s="1" t="s">
        <v>90</v>
      </c>
      <c r="G460" s="1" t="s">
        <v>91</v>
      </c>
      <c r="H460" s="1" t="s">
        <v>92</v>
      </c>
      <c r="I460" s="1" t="s">
        <v>1204</v>
      </c>
      <c r="J460" s="1" t="s">
        <v>1205</v>
      </c>
      <c r="K460" s="1" t="s">
        <v>1205</v>
      </c>
      <c r="M460" s="4">
        <v>-6.0</v>
      </c>
      <c r="O460" s="4">
        <v>8.790266666666666</v>
      </c>
    </row>
    <row r="461">
      <c r="A461" s="5">
        <v>45533.0</v>
      </c>
      <c r="B461" s="1" t="s">
        <v>110</v>
      </c>
      <c r="C461" s="1" t="s">
        <v>107</v>
      </c>
      <c r="D461" s="4">
        <v>249.0</v>
      </c>
      <c r="E461" s="4">
        <v>0.0</v>
      </c>
      <c r="G461" s="1" t="s">
        <v>111</v>
      </c>
      <c r="H461" s="1" t="s">
        <v>96</v>
      </c>
      <c r="I461" s="1" t="s">
        <v>1206</v>
      </c>
      <c r="J461" s="1" t="s">
        <v>1207</v>
      </c>
      <c r="K461" s="1" t="s">
        <v>1207</v>
      </c>
      <c r="M461" s="4">
        <v>0.0</v>
      </c>
      <c r="O461" s="4">
        <v>5.2007666666666665</v>
      </c>
    </row>
    <row r="462">
      <c r="A462" s="5">
        <v>45533.0</v>
      </c>
      <c r="B462" s="1" t="s">
        <v>116</v>
      </c>
      <c r="C462" s="1" t="s">
        <v>107</v>
      </c>
      <c r="D462" s="4">
        <v>245.0</v>
      </c>
      <c r="E462" s="4">
        <v>61.0</v>
      </c>
      <c r="G462" s="1" t="s">
        <v>111</v>
      </c>
      <c r="H462" s="1" t="s">
        <v>194</v>
      </c>
      <c r="I462" s="1" t="s">
        <v>1208</v>
      </c>
      <c r="J462" s="1" t="s">
        <v>1209</v>
      </c>
      <c r="K462" s="1" t="s">
        <v>1209</v>
      </c>
      <c r="M462" s="4">
        <v>-10.0</v>
      </c>
      <c r="O462" s="4">
        <v>9.06675</v>
      </c>
    </row>
    <row r="463">
      <c r="A463" s="5">
        <v>45533.0</v>
      </c>
      <c r="B463" s="1" t="s">
        <v>95</v>
      </c>
      <c r="C463" s="1" t="s">
        <v>89</v>
      </c>
      <c r="D463" s="4">
        <v>264.0</v>
      </c>
      <c r="E463" s="4">
        <v>100.0</v>
      </c>
      <c r="G463" s="1" t="s">
        <v>91</v>
      </c>
      <c r="H463" s="1" t="s">
        <v>92</v>
      </c>
      <c r="I463" s="1" t="s">
        <v>1210</v>
      </c>
      <c r="J463" s="1" t="s">
        <v>1211</v>
      </c>
      <c r="K463" s="1" t="s">
        <v>1211</v>
      </c>
      <c r="M463" s="4">
        <v>4.0</v>
      </c>
      <c r="O463" s="4">
        <v>12.226033333333334</v>
      </c>
    </row>
    <row r="464">
      <c r="A464" s="5">
        <v>45533.0</v>
      </c>
      <c r="B464" s="1" t="s">
        <v>116</v>
      </c>
      <c r="C464" s="1" t="s">
        <v>107</v>
      </c>
      <c r="D464" s="4">
        <v>289.0</v>
      </c>
      <c r="E464" s="4">
        <v>0.0</v>
      </c>
      <c r="F464" s="1" t="s">
        <v>174</v>
      </c>
      <c r="G464" s="1" t="s">
        <v>175</v>
      </c>
      <c r="H464" s="1" t="s">
        <v>92</v>
      </c>
      <c r="I464" s="1" t="s">
        <v>1212</v>
      </c>
      <c r="J464" s="1" t="s">
        <v>1213</v>
      </c>
      <c r="K464" s="1" t="s">
        <v>1214</v>
      </c>
      <c r="L464" s="1" t="s">
        <v>1215</v>
      </c>
      <c r="M464" s="4">
        <v>0.0</v>
      </c>
      <c r="N464" s="4">
        <v>0.0117</v>
      </c>
      <c r="O464" s="4">
        <v>17.140866666666668</v>
      </c>
    </row>
    <row r="465">
      <c r="A465" s="5">
        <v>45533.0</v>
      </c>
      <c r="B465" s="1" t="s">
        <v>88</v>
      </c>
      <c r="C465" s="1" t="s">
        <v>107</v>
      </c>
      <c r="D465" s="4">
        <v>369.0</v>
      </c>
      <c r="E465" s="4">
        <v>0.0</v>
      </c>
      <c r="F465" s="1" t="s">
        <v>90</v>
      </c>
      <c r="G465" s="1" t="s">
        <v>91</v>
      </c>
      <c r="H465" s="1" t="s">
        <v>92</v>
      </c>
      <c r="I465" s="1" t="s">
        <v>1216</v>
      </c>
      <c r="J465" s="1" t="s">
        <v>1217</v>
      </c>
      <c r="K465" s="1" t="s">
        <v>1217</v>
      </c>
      <c r="M465" s="4">
        <v>5.0</v>
      </c>
      <c r="O465" s="4">
        <v>20.683333333333334</v>
      </c>
    </row>
    <row r="466">
      <c r="A466" s="5">
        <v>45533.0</v>
      </c>
      <c r="B466" s="1" t="s">
        <v>95</v>
      </c>
      <c r="C466" s="1" t="s">
        <v>89</v>
      </c>
      <c r="D466" s="4">
        <v>528.0</v>
      </c>
      <c r="E466" s="4">
        <v>0.0</v>
      </c>
      <c r="G466" s="1" t="s">
        <v>91</v>
      </c>
      <c r="H466" s="1" t="s">
        <v>92</v>
      </c>
      <c r="I466" s="1" t="s">
        <v>1218</v>
      </c>
      <c r="J466" s="1" t="s">
        <v>1219</v>
      </c>
      <c r="K466" s="1" t="s">
        <v>1219</v>
      </c>
      <c r="M466" s="4">
        <v>0.0</v>
      </c>
      <c r="O466" s="4">
        <v>10.72035</v>
      </c>
    </row>
    <row r="467">
      <c r="A467" s="5">
        <v>45533.0</v>
      </c>
      <c r="B467" s="1" t="s">
        <v>88</v>
      </c>
      <c r="C467" s="1" t="s">
        <v>107</v>
      </c>
      <c r="D467" s="4">
        <v>817.0</v>
      </c>
      <c r="E467" s="4">
        <v>0.0</v>
      </c>
      <c r="F467" s="1" t="s">
        <v>90</v>
      </c>
      <c r="G467" s="1" t="s">
        <v>91</v>
      </c>
      <c r="H467" s="1" t="s">
        <v>92</v>
      </c>
      <c r="I467" s="1" t="s">
        <v>1220</v>
      </c>
      <c r="J467" s="1" t="s">
        <v>1221</v>
      </c>
      <c r="K467" s="1" t="s">
        <v>1221</v>
      </c>
      <c r="M467" s="4">
        <v>2.0</v>
      </c>
      <c r="O467" s="4">
        <v>22.86495</v>
      </c>
    </row>
    <row r="468">
      <c r="A468" s="5">
        <v>45533.0</v>
      </c>
      <c r="B468" s="1" t="s">
        <v>95</v>
      </c>
      <c r="C468" s="1" t="s">
        <v>89</v>
      </c>
      <c r="D468" s="4">
        <v>269.0</v>
      </c>
      <c r="E468" s="4">
        <v>100.0</v>
      </c>
      <c r="G468" s="1" t="s">
        <v>91</v>
      </c>
      <c r="H468" s="1" t="s">
        <v>92</v>
      </c>
      <c r="I468" s="1" t="s">
        <v>1222</v>
      </c>
      <c r="J468" s="1" t="s">
        <v>1223</v>
      </c>
      <c r="K468" s="1" t="s">
        <v>1223</v>
      </c>
      <c r="M468" s="4">
        <v>4.0</v>
      </c>
      <c r="O468" s="4">
        <v>12.39625</v>
      </c>
    </row>
    <row r="469">
      <c r="A469" s="5">
        <v>45533.0</v>
      </c>
      <c r="B469" s="1" t="s">
        <v>103</v>
      </c>
      <c r="C469" s="1" t="s">
        <v>89</v>
      </c>
      <c r="D469" s="4">
        <v>264.0</v>
      </c>
      <c r="E469" s="4">
        <v>0.0</v>
      </c>
      <c r="F469" s="1" t="s">
        <v>1224</v>
      </c>
      <c r="G469" s="1" t="s">
        <v>91</v>
      </c>
      <c r="H469" s="1" t="s">
        <v>92</v>
      </c>
      <c r="I469" s="1" t="s">
        <v>1225</v>
      </c>
      <c r="J469" s="1" t="s">
        <v>1226</v>
      </c>
      <c r="K469" s="1" t="s">
        <v>1226</v>
      </c>
      <c r="M469" s="4">
        <v>-1.0</v>
      </c>
      <c r="O469" s="4">
        <v>13.70495</v>
      </c>
    </row>
    <row r="470">
      <c r="A470" s="5">
        <v>45533.0</v>
      </c>
      <c r="B470" s="1" t="s">
        <v>95</v>
      </c>
      <c r="C470" s="1" t="s">
        <v>89</v>
      </c>
      <c r="D470" s="4">
        <v>252.0</v>
      </c>
      <c r="E470" s="4">
        <v>100.0</v>
      </c>
      <c r="G470" s="1" t="s">
        <v>91</v>
      </c>
      <c r="H470" s="1" t="s">
        <v>92</v>
      </c>
      <c r="I470" s="1" t="s">
        <v>1227</v>
      </c>
      <c r="J470" s="1" t="s">
        <v>1228</v>
      </c>
      <c r="K470" s="1" t="s">
        <v>1228</v>
      </c>
      <c r="M470" s="4">
        <v>0.0</v>
      </c>
      <c r="O470" s="4">
        <v>8.596316666666667</v>
      </c>
    </row>
    <row r="471">
      <c r="A471" s="5">
        <v>45533.0</v>
      </c>
      <c r="B471" s="1" t="s">
        <v>88</v>
      </c>
      <c r="C471" s="1" t="s">
        <v>107</v>
      </c>
      <c r="D471" s="4">
        <v>394.0</v>
      </c>
      <c r="E471" s="4">
        <v>0.0</v>
      </c>
      <c r="F471" s="1" t="s">
        <v>90</v>
      </c>
      <c r="G471" s="1" t="s">
        <v>91</v>
      </c>
      <c r="H471" s="1" t="s">
        <v>92</v>
      </c>
      <c r="I471" s="1" t="s">
        <v>1229</v>
      </c>
      <c r="J471" s="1" t="s">
        <v>1230</v>
      </c>
      <c r="K471" s="1" t="s">
        <v>1230</v>
      </c>
      <c r="M471" s="4">
        <v>-5.0</v>
      </c>
      <c r="O471" s="4">
        <v>9.56975</v>
      </c>
    </row>
    <row r="472">
      <c r="A472" s="5">
        <v>45533.0</v>
      </c>
      <c r="B472" s="1" t="s">
        <v>88</v>
      </c>
      <c r="C472" s="1" t="s">
        <v>107</v>
      </c>
      <c r="D472" s="4">
        <v>224.0</v>
      </c>
      <c r="E472" s="4">
        <v>0.0</v>
      </c>
      <c r="F472" s="1" t="s">
        <v>90</v>
      </c>
      <c r="G472" s="1" t="s">
        <v>91</v>
      </c>
      <c r="H472" s="1" t="s">
        <v>92</v>
      </c>
      <c r="I472" s="1" t="s">
        <v>1231</v>
      </c>
      <c r="J472" s="1" t="s">
        <v>1232</v>
      </c>
      <c r="K472" s="1" t="s">
        <v>1232</v>
      </c>
      <c r="M472" s="4">
        <v>-29.0</v>
      </c>
      <c r="O472" s="4">
        <v>111.72071666666666</v>
      </c>
    </row>
    <row r="473">
      <c r="A473" s="5">
        <v>45534.0</v>
      </c>
      <c r="B473" s="1" t="s">
        <v>103</v>
      </c>
      <c r="C473" s="1" t="s">
        <v>107</v>
      </c>
      <c r="D473" s="4">
        <v>264.0</v>
      </c>
      <c r="E473" s="4">
        <v>0.0</v>
      </c>
      <c r="F473" s="1" t="s">
        <v>1233</v>
      </c>
      <c r="G473" s="1" t="s">
        <v>91</v>
      </c>
      <c r="H473" s="1" t="s">
        <v>92</v>
      </c>
      <c r="I473" s="1" t="s">
        <v>1234</v>
      </c>
      <c r="J473" s="1" t="s">
        <v>1235</v>
      </c>
      <c r="K473" s="1" t="s">
        <v>1235</v>
      </c>
      <c r="M473" s="4">
        <v>-7.0</v>
      </c>
      <c r="O473" s="4">
        <v>7.734416666666666</v>
      </c>
    </row>
    <row r="474">
      <c r="A474" s="5">
        <v>45534.0</v>
      </c>
      <c r="B474" s="1" t="s">
        <v>110</v>
      </c>
      <c r="C474" s="1" t="s">
        <v>107</v>
      </c>
      <c r="D474" s="4">
        <v>39.0</v>
      </c>
      <c r="E474" s="4">
        <v>0.0</v>
      </c>
      <c r="G474" s="1" t="s">
        <v>111</v>
      </c>
      <c r="H474" s="1" t="s">
        <v>96</v>
      </c>
      <c r="I474" s="1" t="s">
        <v>1236</v>
      </c>
      <c r="J474" s="1" t="s">
        <v>1237</v>
      </c>
      <c r="K474" s="1" t="s">
        <v>1237</v>
      </c>
      <c r="M474" s="4">
        <v>-4.0</v>
      </c>
      <c r="O474" s="4">
        <v>0.15701666666666667</v>
      </c>
    </row>
    <row r="475">
      <c r="A475" s="5">
        <v>45534.0</v>
      </c>
      <c r="B475" s="1" t="s">
        <v>103</v>
      </c>
      <c r="C475" s="1" t="s">
        <v>107</v>
      </c>
      <c r="D475" s="4">
        <v>179.0</v>
      </c>
      <c r="E475" s="4">
        <v>0.0</v>
      </c>
      <c r="F475" s="1" t="s">
        <v>1238</v>
      </c>
      <c r="G475" s="1" t="s">
        <v>91</v>
      </c>
      <c r="H475" s="1" t="s">
        <v>92</v>
      </c>
      <c r="I475" s="1" t="s">
        <v>1239</v>
      </c>
      <c r="J475" s="1" t="s">
        <v>1240</v>
      </c>
      <c r="K475" s="1" t="s">
        <v>1240</v>
      </c>
      <c r="M475" s="4">
        <v>-7.0</v>
      </c>
      <c r="O475" s="4">
        <v>7.216616666666667</v>
      </c>
    </row>
    <row r="476">
      <c r="A476" s="5">
        <v>45534.0</v>
      </c>
      <c r="B476" s="1" t="s">
        <v>95</v>
      </c>
      <c r="C476" s="1" t="s">
        <v>107</v>
      </c>
      <c r="D476" s="4">
        <v>264.0</v>
      </c>
      <c r="E476" s="4">
        <v>0.0</v>
      </c>
      <c r="G476" s="1" t="s">
        <v>91</v>
      </c>
      <c r="H476" s="1" t="s">
        <v>92</v>
      </c>
      <c r="I476" s="1" t="s">
        <v>1241</v>
      </c>
      <c r="J476" s="1" t="s">
        <v>1242</v>
      </c>
      <c r="K476" s="1" t="s">
        <v>1242</v>
      </c>
      <c r="M476" s="4">
        <v>0.0</v>
      </c>
      <c r="O476" s="4">
        <v>6.0460666666666665</v>
      </c>
    </row>
    <row r="477">
      <c r="A477" s="5">
        <v>45534.0</v>
      </c>
      <c r="B477" s="1" t="s">
        <v>88</v>
      </c>
      <c r="C477" s="1" t="s">
        <v>107</v>
      </c>
      <c r="D477" s="4">
        <v>264.0</v>
      </c>
      <c r="E477" s="4">
        <v>0.0</v>
      </c>
      <c r="F477" s="1" t="s">
        <v>90</v>
      </c>
      <c r="G477" s="1" t="s">
        <v>91</v>
      </c>
      <c r="H477" s="1" t="s">
        <v>92</v>
      </c>
      <c r="I477" s="1" t="s">
        <v>1243</v>
      </c>
      <c r="J477" s="1" t="s">
        <v>1244</v>
      </c>
      <c r="K477" s="1" t="s">
        <v>1244</v>
      </c>
      <c r="M477" s="4">
        <v>-5.0</v>
      </c>
      <c r="O477" s="4">
        <v>9.643166666666668</v>
      </c>
    </row>
    <row r="478">
      <c r="A478" s="5">
        <v>45534.0</v>
      </c>
      <c r="B478" s="1" t="s">
        <v>95</v>
      </c>
      <c r="C478" s="1" t="s">
        <v>107</v>
      </c>
      <c r="D478" s="4">
        <v>382.0</v>
      </c>
      <c r="E478" s="4">
        <v>100.0</v>
      </c>
      <c r="G478" s="1" t="s">
        <v>91</v>
      </c>
      <c r="H478" s="1" t="s">
        <v>92</v>
      </c>
      <c r="I478" s="1" t="s">
        <v>1245</v>
      </c>
      <c r="J478" s="1" t="s">
        <v>1246</v>
      </c>
      <c r="K478" s="1" t="s">
        <v>1246</v>
      </c>
      <c r="M478" s="4">
        <v>0.0</v>
      </c>
      <c r="O478" s="4">
        <v>8.4278</v>
      </c>
    </row>
    <row r="479">
      <c r="A479" s="5">
        <v>45534.0</v>
      </c>
      <c r="B479" s="1" t="s">
        <v>110</v>
      </c>
      <c r="C479" s="1" t="s">
        <v>107</v>
      </c>
      <c r="D479" s="4">
        <v>49.0</v>
      </c>
      <c r="E479" s="4">
        <v>0.0</v>
      </c>
      <c r="G479" s="1" t="s">
        <v>111</v>
      </c>
      <c r="H479" s="1" t="s">
        <v>96</v>
      </c>
      <c r="I479" s="1" t="s">
        <v>1247</v>
      </c>
      <c r="J479" s="1" t="s">
        <v>1248</v>
      </c>
      <c r="K479" s="1" t="s">
        <v>1248</v>
      </c>
      <c r="M479" s="4">
        <v>1.0</v>
      </c>
      <c r="O479" s="4">
        <v>6.192716666666667</v>
      </c>
    </row>
    <row r="480">
      <c r="A480" s="5">
        <v>45534.0</v>
      </c>
      <c r="B480" s="1" t="s">
        <v>116</v>
      </c>
      <c r="C480" s="1" t="s">
        <v>107</v>
      </c>
      <c r="D480" s="4">
        <v>418.0</v>
      </c>
      <c r="E480" s="4">
        <v>0.0</v>
      </c>
      <c r="F480" s="1" t="s">
        <v>774</v>
      </c>
      <c r="G480" s="1" t="s">
        <v>175</v>
      </c>
      <c r="H480" s="1" t="s">
        <v>96</v>
      </c>
      <c r="I480" s="1" t="s">
        <v>1249</v>
      </c>
      <c r="J480" s="1" t="s">
        <v>1250</v>
      </c>
      <c r="K480" s="1" t="s">
        <v>1251</v>
      </c>
      <c r="L480" s="1" t="s">
        <v>1252</v>
      </c>
      <c r="M480" s="4">
        <v>-5.0</v>
      </c>
      <c r="N480" s="4">
        <v>0.008766666666666667</v>
      </c>
      <c r="O480" s="4">
        <v>12.185566666666666</v>
      </c>
    </row>
    <row r="481">
      <c r="A481" s="5">
        <v>45534.0</v>
      </c>
      <c r="B481" s="1" t="s">
        <v>95</v>
      </c>
      <c r="C481" s="1" t="s">
        <v>89</v>
      </c>
      <c r="D481" s="4">
        <v>278.0</v>
      </c>
      <c r="E481" s="4">
        <v>100.0</v>
      </c>
      <c r="G481" s="1" t="s">
        <v>91</v>
      </c>
      <c r="H481" s="1" t="s">
        <v>92</v>
      </c>
      <c r="I481" s="1" t="s">
        <v>1253</v>
      </c>
      <c r="J481" s="1" t="s">
        <v>1254</v>
      </c>
      <c r="K481" s="1" t="s">
        <v>1254</v>
      </c>
      <c r="M481" s="4">
        <v>-1.0</v>
      </c>
      <c r="O481" s="4">
        <v>6.837016666666667</v>
      </c>
    </row>
    <row r="482">
      <c r="A482" s="5">
        <v>45534.0</v>
      </c>
      <c r="B482" s="1" t="s">
        <v>88</v>
      </c>
      <c r="C482" s="1" t="s">
        <v>107</v>
      </c>
      <c r="D482" s="4">
        <v>329.0</v>
      </c>
      <c r="E482" s="4">
        <v>0.0</v>
      </c>
      <c r="F482" s="1" t="s">
        <v>90</v>
      </c>
      <c r="G482" s="1" t="s">
        <v>91</v>
      </c>
      <c r="H482" s="1" t="s">
        <v>92</v>
      </c>
      <c r="I482" s="1" t="s">
        <v>1255</v>
      </c>
      <c r="J482" s="1" t="s">
        <v>1256</v>
      </c>
      <c r="K482" s="1" t="s">
        <v>1256</v>
      </c>
      <c r="M482" s="4">
        <v>-6.0</v>
      </c>
      <c r="O482" s="4">
        <v>8.46635</v>
      </c>
    </row>
    <row r="483">
      <c r="A483" s="5">
        <v>45534.0</v>
      </c>
      <c r="B483" s="1" t="s">
        <v>116</v>
      </c>
      <c r="C483" s="1" t="s">
        <v>107</v>
      </c>
      <c r="D483" s="4">
        <v>250.0</v>
      </c>
      <c r="E483" s="4">
        <v>0.0</v>
      </c>
      <c r="F483" s="1" t="s">
        <v>774</v>
      </c>
      <c r="G483" s="1" t="s">
        <v>175</v>
      </c>
      <c r="H483" s="1" t="s">
        <v>92</v>
      </c>
      <c r="I483" s="1" t="s">
        <v>1257</v>
      </c>
      <c r="J483" s="1" t="s">
        <v>1258</v>
      </c>
      <c r="K483" s="1" t="s">
        <v>1259</v>
      </c>
      <c r="L483" s="1" t="s">
        <v>1260</v>
      </c>
      <c r="M483" s="4">
        <v>-12.0</v>
      </c>
      <c r="N483" s="4">
        <v>0.011483333333333333</v>
      </c>
      <c r="O483" s="4">
        <v>7.633783333333334</v>
      </c>
    </row>
    <row r="484">
      <c r="A484" s="5">
        <v>45534.0</v>
      </c>
      <c r="B484" s="1" t="s">
        <v>116</v>
      </c>
      <c r="C484" s="1" t="s">
        <v>107</v>
      </c>
      <c r="D484" s="4">
        <v>245.0</v>
      </c>
      <c r="E484" s="4">
        <v>61.0</v>
      </c>
      <c r="G484" s="1" t="s">
        <v>111</v>
      </c>
      <c r="H484" s="1" t="s">
        <v>194</v>
      </c>
      <c r="I484" s="1" t="s">
        <v>1261</v>
      </c>
      <c r="J484" s="1" t="s">
        <v>1262</v>
      </c>
      <c r="K484" s="1" t="s">
        <v>1262</v>
      </c>
      <c r="M484" s="4">
        <v>-9.0</v>
      </c>
      <c r="O484" s="4">
        <v>10.166416666666667</v>
      </c>
    </row>
    <row r="485">
      <c r="A485" s="5">
        <v>45534.0</v>
      </c>
      <c r="B485" s="1" t="s">
        <v>103</v>
      </c>
      <c r="C485" s="1" t="s">
        <v>89</v>
      </c>
      <c r="D485" s="4">
        <v>698.0</v>
      </c>
      <c r="E485" s="4">
        <v>0.0</v>
      </c>
      <c r="F485" s="1" t="s">
        <v>1263</v>
      </c>
      <c r="G485" s="1" t="s">
        <v>91</v>
      </c>
      <c r="H485" s="1" t="s">
        <v>92</v>
      </c>
      <c r="I485" s="1" t="s">
        <v>1264</v>
      </c>
      <c r="J485" s="1" t="s">
        <v>1265</v>
      </c>
      <c r="K485" s="1" t="s">
        <v>1265</v>
      </c>
      <c r="M485" s="4">
        <v>-9.0</v>
      </c>
      <c r="O485" s="4">
        <v>10.802766666666667</v>
      </c>
    </row>
    <row r="486">
      <c r="A486" s="5">
        <v>45534.0</v>
      </c>
      <c r="B486" s="1" t="s">
        <v>116</v>
      </c>
      <c r="C486" s="1" t="s">
        <v>107</v>
      </c>
      <c r="D486" s="4">
        <v>700.0</v>
      </c>
      <c r="E486" s="4">
        <v>0.0</v>
      </c>
      <c r="F486" s="1" t="s">
        <v>774</v>
      </c>
      <c r="G486" s="1" t="s">
        <v>175</v>
      </c>
      <c r="H486" s="1" t="s">
        <v>92</v>
      </c>
      <c r="I486" s="1" t="s">
        <v>1266</v>
      </c>
      <c r="J486" s="1" t="s">
        <v>1267</v>
      </c>
      <c r="K486" s="1" t="s">
        <v>1268</v>
      </c>
      <c r="L486" s="1" t="s">
        <v>1269</v>
      </c>
      <c r="M486" s="4">
        <v>-22.0</v>
      </c>
      <c r="N486" s="4">
        <v>0.009716666666666667</v>
      </c>
      <c r="O486" s="4">
        <v>8.967933333333333</v>
      </c>
    </row>
    <row r="487">
      <c r="A487" s="5">
        <v>45534.0</v>
      </c>
      <c r="B487" s="1" t="s">
        <v>95</v>
      </c>
      <c r="C487" s="1" t="s">
        <v>89</v>
      </c>
      <c r="D487" s="4">
        <v>264.0</v>
      </c>
      <c r="E487" s="4">
        <v>0.0</v>
      </c>
      <c r="G487" s="1" t="s">
        <v>91</v>
      </c>
      <c r="H487" s="1" t="s">
        <v>92</v>
      </c>
      <c r="I487" s="1" t="s">
        <v>1270</v>
      </c>
      <c r="J487" s="1" t="s">
        <v>1271</v>
      </c>
      <c r="K487" s="1" t="s">
        <v>1271</v>
      </c>
      <c r="M487" s="4">
        <v>0.0</v>
      </c>
      <c r="O487" s="4">
        <v>7.0982666666666665</v>
      </c>
    </row>
    <row r="488">
      <c r="A488" s="5">
        <v>45534.0</v>
      </c>
      <c r="B488" s="1" t="s">
        <v>88</v>
      </c>
      <c r="C488" s="1" t="s">
        <v>107</v>
      </c>
      <c r="D488" s="4">
        <v>329.0</v>
      </c>
      <c r="E488" s="4">
        <v>0.0</v>
      </c>
      <c r="F488" s="1" t="s">
        <v>90</v>
      </c>
      <c r="G488" s="1" t="s">
        <v>91</v>
      </c>
      <c r="H488" s="1" t="s">
        <v>92</v>
      </c>
      <c r="I488" s="1" t="s">
        <v>1272</v>
      </c>
      <c r="J488" s="1" t="s">
        <v>1273</v>
      </c>
      <c r="K488" s="1" t="s">
        <v>1273</v>
      </c>
      <c r="M488" s="4">
        <v>-7.0</v>
      </c>
      <c r="O488" s="4">
        <v>9.880633333333334</v>
      </c>
    </row>
    <row r="489">
      <c r="A489" s="5">
        <v>45534.0</v>
      </c>
      <c r="B489" s="1" t="s">
        <v>88</v>
      </c>
      <c r="C489" s="1" t="s">
        <v>107</v>
      </c>
      <c r="D489" s="4">
        <v>394.0</v>
      </c>
      <c r="E489" s="4">
        <v>0.0</v>
      </c>
      <c r="F489" s="1" t="s">
        <v>90</v>
      </c>
      <c r="G489" s="1" t="s">
        <v>91</v>
      </c>
      <c r="H489" s="1" t="s">
        <v>92</v>
      </c>
      <c r="I489" s="1" t="s">
        <v>1274</v>
      </c>
      <c r="J489" s="1" t="s">
        <v>1275</v>
      </c>
      <c r="K489" s="1" t="s">
        <v>1275</v>
      </c>
      <c r="M489" s="4">
        <v>-8.0</v>
      </c>
      <c r="O489" s="4">
        <v>6.671566666666667</v>
      </c>
    </row>
    <row r="490">
      <c r="A490" s="5">
        <v>45534.0</v>
      </c>
      <c r="B490" s="1" t="s">
        <v>95</v>
      </c>
      <c r="C490" s="1" t="s">
        <v>89</v>
      </c>
      <c r="D490" s="4">
        <v>329.0</v>
      </c>
      <c r="E490" s="4">
        <v>0.0</v>
      </c>
      <c r="G490" s="1" t="s">
        <v>91</v>
      </c>
      <c r="H490" s="1" t="s">
        <v>92</v>
      </c>
      <c r="I490" s="1" t="s">
        <v>1276</v>
      </c>
      <c r="J490" s="1" t="s">
        <v>1277</v>
      </c>
      <c r="K490" s="1" t="s">
        <v>1277</v>
      </c>
      <c r="M490" s="4">
        <v>0.0</v>
      </c>
      <c r="O490" s="4">
        <v>7.46965</v>
      </c>
    </row>
    <row r="491">
      <c r="A491" s="5">
        <v>45534.0</v>
      </c>
      <c r="B491" s="1" t="s">
        <v>88</v>
      </c>
      <c r="C491" s="1" t="s">
        <v>107</v>
      </c>
      <c r="D491" s="4">
        <v>516.0</v>
      </c>
      <c r="E491" s="4">
        <v>0.0</v>
      </c>
      <c r="F491" s="1" t="s">
        <v>90</v>
      </c>
      <c r="G491" s="1" t="s">
        <v>91</v>
      </c>
      <c r="H491" s="1" t="s">
        <v>92</v>
      </c>
      <c r="I491" s="1" t="s">
        <v>1278</v>
      </c>
      <c r="J491" s="1" t="s">
        <v>1279</v>
      </c>
      <c r="K491" s="1" t="s">
        <v>1279</v>
      </c>
      <c r="M491" s="4">
        <v>-12.0</v>
      </c>
      <c r="O491" s="4">
        <v>7.793616666666667</v>
      </c>
    </row>
    <row r="492">
      <c r="A492" s="5">
        <v>45534.0</v>
      </c>
      <c r="B492" s="1" t="s">
        <v>95</v>
      </c>
      <c r="C492" s="1" t="s">
        <v>107</v>
      </c>
      <c r="D492" s="4">
        <v>457.0</v>
      </c>
      <c r="E492" s="4">
        <v>0.0</v>
      </c>
      <c r="G492" s="1" t="s">
        <v>91</v>
      </c>
      <c r="H492" s="1" t="s">
        <v>92</v>
      </c>
      <c r="I492" s="1" t="s">
        <v>1280</v>
      </c>
      <c r="J492" s="1" t="s">
        <v>1281</v>
      </c>
      <c r="K492" s="1" t="s">
        <v>1281</v>
      </c>
      <c r="M492" s="4">
        <v>0.0</v>
      </c>
      <c r="O492" s="4">
        <v>9.637233333333333</v>
      </c>
    </row>
    <row r="493">
      <c r="A493" s="5">
        <v>45534.0</v>
      </c>
      <c r="B493" s="1" t="s">
        <v>88</v>
      </c>
      <c r="C493" s="1" t="s">
        <v>107</v>
      </c>
      <c r="D493" s="4">
        <v>458.0</v>
      </c>
      <c r="E493" s="4">
        <v>0.0</v>
      </c>
      <c r="F493" s="1" t="s">
        <v>90</v>
      </c>
      <c r="G493" s="1" t="s">
        <v>91</v>
      </c>
      <c r="H493" s="1" t="s">
        <v>92</v>
      </c>
      <c r="I493" s="1" t="s">
        <v>1282</v>
      </c>
      <c r="J493" s="1" t="s">
        <v>1283</v>
      </c>
      <c r="K493" s="1" t="s">
        <v>1283</v>
      </c>
      <c r="M493" s="4">
        <v>-6.0</v>
      </c>
      <c r="O493" s="4">
        <v>8.094216666666666</v>
      </c>
    </row>
    <row r="494">
      <c r="A494" s="5">
        <v>45534.0</v>
      </c>
      <c r="B494" s="1" t="s">
        <v>95</v>
      </c>
      <c r="C494" s="1" t="s">
        <v>107</v>
      </c>
      <c r="D494" s="4">
        <v>458.0</v>
      </c>
      <c r="E494" s="4">
        <v>0.0</v>
      </c>
      <c r="G494" s="1" t="s">
        <v>91</v>
      </c>
      <c r="H494" s="1" t="s">
        <v>96</v>
      </c>
      <c r="I494" s="1" t="s">
        <v>1284</v>
      </c>
      <c r="J494" s="1" t="s">
        <v>1285</v>
      </c>
      <c r="K494" s="1" t="s">
        <v>1285</v>
      </c>
      <c r="M494" s="4">
        <v>-3.0</v>
      </c>
      <c r="O494" s="4">
        <v>5.465183333333333</v>
      </c>
    </row>
    <row r="495">
      <c r="A495" s="5">
        <v>45534.0</v>
      </c>
      <c r="B495" s="1" t="s">
        <v>110</v>
      </c>
      <c r="C495" s="1" t="s">
        <v>107</v>
      </c>
      <c r="D495" s="4">
        <v>119.0</v>
      </c>
      <c r="E495" s="4">
        <v>0.0</v>
      </c>
      <c r="G495" s="1" t="s">
        <v>111</v>
      </c>
      <c r="H495" s="1" t="s">
        <v>96</v>
      </c>
      <c r="I495" s="1" t="s">
        <v>1286</v>
      </c>
      <c r="J495" s="1" t="s">
        <v>1287</v>
      </c>
      <c r="K495" s="1" t="s">
        <v>1287</v>
      </c>
      <c r="M495" s="4">
        <v>0.0</v>
      </c>
      <c r="O495" s="4">
        <v>5.451966666666666</v>
      </c>
    </row>
    <row r="496">
      <c r="A496" s="5">
        <v>45534.0</v>
      </c>
      <c r="B496" s="1" t="s">
        <v>116</v>
      </c>
      <c r="C496" s="1" t="s">
        <v>107</v>
      </c>
      <c r="D496" s="4">
        <v>375.0</v>
      </c>
      <c r="E496" s="4">
        <v>0.0</v>
      </c>
      <c r="F496" s="1" t="s">
        <v>774</v>
      </c>
      <c r="G496" s="1" t="s">
        <v>175</v>
      </c>
      <c r="H496" s="1" t="s">
        <v>96</v>
      </c>
      <c r="I496" s="1" t="s">
        <v>1288</v>
      </c>
      <c r="J496" s="1" t="s">
        <v>1289</v>
      </c>
      <c r="K496" s="1" t="s">
        <v>1290</v>
      </c>
      <c r="L496" s="1" t="s">
        <v>1291</v>
      </c>
      <c r="M496" s="4">
        <v>-17.0</v>
      </c>
      <c r="N496" s="4">
        <v>0.014816666666666667</v>
      </c>
      <c r="O496" s="4">
        <v>9.87175</v>
      </c>
    </row>
    <row r="497">
      <c r="A497" s="5">
        <v>45534.0</v>
      </c>
      <c r="B497" s="1" t="s">
        <v>103</v>
      </c>
      <c r="C497" s="1" t="s">
        <v>107</v>
      </c>
      <c r="D497" s="4">
        <v>369.0</v>
      </c>
      <c r="E497" s="4">
        <v>0.0</v>
      </c>
      <c r="F497" s="1" t="s">
        <v>1263</v>
      </c>
      <c r="G497" s="1" t="s">
        <v>91</v>
      </c>
      <c r="H497" s="1" t="s">
        <v>92</v>
      </c>
      <c r="I497" s="1" t="s">
        <v>1292</v>
      </c>
      <c r="J497" s="1" t="s">
        <v>1293</v>
      </c>
      <c r="K497" s="1" t="s">
        <v>1293</v>
      </c>
      <c r="M497" s="4">
        <v>-5.0</v>
      </c>
      <c r="O497" s="4">
        <v>9.609566666666666</v>
      </c>
    </row>
    <row r="498">
      <c r="A498" s="5">
        <v>45534.0</v>
      </c>
      <c r="B498" s="1" t="s">
        <v>88</v>
      </c>
      <c r="C498" s="1" t="s">
        <v>107</v>
      </c>
      <c r="D498" s="4">
        <v>329.0</v>
      </c>
      <c r="E498" s="4">
        <v>0.0</v>
      </c>
      <c r="F498" s="1" t="s">
        <v>90</v>
      </c>
      <c r="G498" s="1" t="s">
        <v>91</v>
      </c>
      <c r="H498" s="1" t="s">
        <v>92</v>
      </c>
      <c r="I498" s="1" t="s">
        <v>1294</v>
      </c>
      <c r="J498" s="1" t="s">
        <v>1295</v>
      </c>
      <c r="K498" s="1" t="s">
        <v>1295</v>
      </c>
      <c r="M498" s="4">
        <v>-8.0</v>
      </c>
      <c r="O498" s="4">
        <v>6.13105</v>
      </c>
    </row>
    <row r="499">
      <c r="A499" s="5">
        <v>45534.0</v>
      </c>
      <c r="B499" s="1" t="s">
        <v>88</v>
      </c>
      <c r="C499" s="1" t="s">
        <v>107</v>
      </c>
      <c r="D499" s="4">
        <v>303.0</v>
      </c>
      <c r="E499" s="4">
        <v>0.0</v>
      </c>
      <c r="F499" s="1" t="s">
        <v>90</v>
      </c>
      <c r="G499" s="1" t="s">
        <v>91</v>
      </c>
      <c r="H499" s="1" t="s">
        <v>92</v>
      </c>
      <c r="I499" s="1" t="s">
        <v>1296</v>
      </c>
      <c r="J499" s="1" t="s">
        <v>1297</v>
      </c>
      <c r="K499" s="1" t="s">
        <v>1297</v>
      </c>
      <c r="M499" s="4">
        <v>-5.0</v>
      </c>
      <c r="O499" s="4">
        <v>9.331033333333334</v>
      </c>
    </row>
    <row r="500">
      <c r="A500" s="5">
        <v>45534.0</v>
      </c>
      <c r="B500" s="1" t="s">
        <v>110</v>
      </c>
      <c r="C500" s="1" t="s">
        <v>107</v>
      </c>
      <c r="D500" s="4">
        <v>667.0</v>
      </c>
      <c r="E500" s="4">
        <v>0.0</v>
      </c>
      <c r="G500" s="1" t="s">
        <v>111</v>
      </c>
      <c r="H500" s="1" t="s">
        <v>96</v>
      </c>
      <c r="I500" s="1" t="s">
        <v>1298</v>
      </c>
      <c r="J500" s="1" t="s">
        <v>1299</v>
      </c>
      <c r="K500" s="1" t="s">
        <v>1299</v>
      </c>
      <c r="M500" s="4">
        <v>-2.0</v>
      </c>
      <c r="O500" s="4">
        <v>7.282883333333333</v>
      </c>
    </row>
    <row r="501">
      <c r="A501" s="5">
        <v>45534.0</v>
      </c>
      <c r="B501" s="1" t="s">
        <v>110</v>
      </c>
      <c r="C501" s="1" t="s">
        <v>107</v>
      </c>
      <c r="D501" s="4">
        <v>368.0</v>
      </c>
      <c r="E501" s="4">
        <v>0.0</v>
      </c>
      <c r="G501" s="1" t="s">
        <v>111</v>
      </c>
      <c r="H501" s="1" t="s">
        <v>96</v>
      </c>
      <c r="I501" s="1" t="s">
        <v>1300</v>
      </c>
      <c r="J501" s="1" t="s">
        <v>1301</v>
      </c>
      <c r="K501" s="1" t="s">
        <v>1301</v>
      </c>
      <c r="M501" s="4">
        <v>1.0</v>
      </c>
      <c r="O501" s="4">
        <v>6.33655</v>
      </c>
    </row>
    <row r="502">
      <c r="A502" s="5">
        <v>45534.0</v>
      </c>
      <c r="B502" s="1" t="s">
        <v>116</v>
      </c>
      <c r="C502" s="1" t="s">
        <v>107</v>
      </c>
      <c r="D502" s="4">
        <v>843.0</v>
      </c>
      <c r="E502" s="4">
        <v>0.0</v>
      </c>
      <c r="F502" s="1" t="s">
        <v>774</v>
      </c>
      <c r="G502" s="1" t="s">
        <v>175</v>
      </c>
      <c r="H502" s="1" t="s">
        <v>96</v>
      </c>
      <c r="I502" s="1" t="s">
        <v>1302</v>
      </c>
      <c r="J502" s="1" t="s">
        <v>1303</v>
      </c>
      <c r="K502" s="1" t="s">
        <v>1304</v>
      </c>
      <c r="L502" s="1" t="s">
        <v>1305</v>
      </c>
      <c r="M502" s="4">
        <v>-14.0</v>
      </c>
      <c r="N502" s="4">
        <v>0.015133333333333334</v>
      </c>
      <c r="O502" s="4">
        <v>11.313083333333333</v>
      </c>
    </row>
    <row r="503">
      <c r="A503" s="5">
        <v>45534.0</v>
      </c>
      <c r="B503" s="1" t="s">
        <v>88</v>
      </c>
      <c r="C503" s="1" t="s">
        <v>107</v>
      </c>
      <c r="D503" s="4">
        <v>394.0</v>
      </c>
      <c r="E503" s="4">
        <v>0.0</v>
      </c>
      <c r="F503" s="1" t="s">
        <v>90</v>
      </c>
      <c r="G503" s="1" t="s">
        <v>91</v>
      </c>
      <c r="H503" s="1" t="s">
        <v>92</v>
      </c>
      <c r="I503" s="1" t="s">
        <v>1306</v>
      </c>
      <c r="J503" s="1" t="s">
        <v>1307</v>
      </c>
      <c r="K503" s="1" t="s">
        <v>1307</v>
      </c>
      <c r="M503" s="4">
        <v>-6.0</v>
      </c>
      <c r="O503" s="4">
        <v>8.1831</v>
      </c>
    </row>
    <row r="504">
      <c r="A504" s="5">
        <v>45534.0</v>
      </c>
      <c r="B504" s="1" t="s">
        <v>116</v>
      </c>
      <c r="C504" s="1" t="s">
        <v>107</v>
      </c>
      <c r="D504" s="4">
        <v>348.0</v>
      </c>
      <c r="E504" s="4">
        <v>24.0</v>
      </c>
      <c r="F504" s="1" t="s">
        <v>774</v>
      </c>
      <c r="G504" s="1" t="s">
        <v>175</v>
      </c>
      <c r="H504" s="1" t="s">
        <v>92</v>
      </c>
      <c r="I504" s="1" t="s">
        <v>1308</v>
      </c>
      <c r="J504" s="1" t="s">
        <v>1309</v>
      </c>
      <c r="K504" s="1" t="s">
        <v>1310</v>
      </c>
      <c r="L504" s="1" t="s">
        <v>1311</v>
      </c>
      <c r="M504" s="4">
        <v>-12.0</v>
      </c>
      <c r="N504" s="4">
        <v>0.013583333333333333</v>
      </c>
      <c r="O504" s="4">
        <v>6.956833333333333</v>
      </c>
    </row>
    <row r="505">
      <c r="A505" s="5">
        <v>45534.0</v>
      </c>
      <c r="B505" s="1" t="s">
        <v>103</v>
      </c>
      <c r="C505" s="1" t="s">
        <v>107</v>
      </c>
      <c r="D505" s="4">
        <v>264.0</v>
      </c>
      <c r="E505" s="4">
        <v>0.0</v>
      </c>
      <c r="F505" s="1" t="s">
        <v>1312</v>
      </c>
      <c r="G505" s="1" t="s">
        <v>91</v>
      </c>
      <c r="H505" s="1" t="s">
        <v>92</v>
      </c>
      <c r="I505" s="1" t="s">
        <v>1313</v>
      </c>
      <c r="J505" s="1" t="s">
        <v>1314</v>
      </c>
      <c r="K505" s="1" t="s">
        <v>1314</v>
      </c>
      <c r="M505" s="4">
        <v>-8.0</v>
      </c>
      <c r="O505" s="4">
        <v>6.175583333333333</v>
      </c>
    </row>
    <row r="506">
      <c r="A506" s="5">
        <v>45534.0</v>
      </c>
      <c r="B506" s="1" t="s">
        <v>88</v>
      </c>
      <c r="C506" s="1" t="s">
        <v>107</v>
      </c>
      <c r="D506" s="4">
        <v>841.0</v>
      </c>
      <c r="E506" s="4">
        <v>0.0</v>
      </c>
      <c r="F506" s="1" t="s">
        <v>90</v>
      </c>
      <c r="G506" s="1" t="s">
        <v>91</v>
      </c>
      <c r="H506" s="1" t="s">
        <v>92</v>
      </c>
      <c r="I506" s="1" t="s">
        <v>1315</v>
      </c>
      <c r="J506" s="1" t="s">
        <v>1316</v>
      </c>
      <c r="K506" s="1" t="s">
        <v>1316</v>
      </c>
      <c r="M506" s="4">
        <v>-9.0</v>
      </c>
      <c r="O506" s="4">
        <v>10.91095</v>
      </c>
    </row>
    <row r="507">
      <c r="A507" s="5">
        <v>45534.0</v>
      </c>
      <c r="B507" s="1" t="s">
        <v>88</v>
      </c>
      <c r="C507" s="1" t="s">
        <v>107</v>
      </c>
      <c r="D507" s="4">
        <v>369.0</v>
      </c>
      <c r="E507" s="4">
        <v>0.0</v>
      </c>
      <c r="F507" s="1" t="s">
        <v>90</v>
      </c>
      <c r="G507" s="1" t="s">
        <v>91</v>
      </c>
      <c r="H507" s="1" t="s">
        <v>92</v>
      </c>
      <c r="I507" s="1" t="s">
        <v>1317</v>
      </c>
      <c r="J507" s="1" t="s">
        <v>1318</v>
      </c>
      <c r="K507" s="1" t="s">
        <v>1318</v>
      </c>
      <c r="M507" s="4">
        <v>-8.0</v>
      </c>
      <c r="O507" s="4">
        <v>6.856083333333333</v>
      </c>
    </row>
    <row r="508">
      <c r="A508" s="5">
        <v>45534.0</v>
      </c>
      <c r="B508" s="1" t="s">
        <v>116</v>
      </c>
      <c r="C508" s="1" t="s">
        <v>107</v>
      </c>
      <c r="D508" s="4">
        <v>396.0</v>
      </c>
      <c r="E508" s="4">
        <v>77.0</v>
      </c>
      <c r="G508" s="1" t="s">
        <v>111</v>
      </c>
      <c r="H508" s="1" t="s">
        <v>92</v>
      </c>
      <c r="I508" s="1" t="s">
        <v>1319</v>
      </c>
      <c r="J508" s="1" t="s">
        <v>1320</v>
      </c>
      <c r="K508" s="1" t="s">
        <v>1320</v>
      </c>
      <c r="M508" s="4">
        <v>-6.0</v>
      </c>
      <c r="O508" s="4">
        <v>10.987633333333333</v>
      </c>
    </row>
    <row r="509">
      <c r="A509" s="5">
        <v>45534.0</v>
      </c>
      <c r="B509" s="1" t="s">
        <v>116</v>
      </c>
      <c r="C509" s="1" t="s">
        <v>107</v>
      </c>
      <c r="D509" s="4">
        <v>398.0</v>
      </c>
      <c r="E509" s="4">
        <v>100.0</v>
      </c>
      <c r="G509" s="1" t="s">
        <v>111</v>
      </c>
      <c r="H509" s="1" t="s">
        <v>194</v>
      </c>
      <c r="I509" s="1" t="s">
        <v>1321</v>
      </c>
      <c r="J509" s="1" t="s">
        <v>1322</v>
      </c>
      <c r="K509" s="1" t="s">
        <v>1322</v>
      </c>
      <c r="M509" s="4">
        <v>-9.0</v>
      </c>
      <c r="O509" s="4">
        <v>9.762466666666667</v>
      </c>
    </row>
    <row r="510">
      <c r="A510" s="5">
        <v>45534.0</v>
      </c>
      <c r="B510" s="1" t="s">
        <v>95</v>
      </c>
      <c r="C510" s="1" t="s">
        <v>107</v>
      </c>
      <c r="D510" s="4">
        <v>321.0</v>
      </c>
      <c r="E510" s="4">
        <v>0.0</v>
      </c>
      <c r="G510" s="1" t="s">
        <v>91</v>
      </c>
      <c r="H510" s="1" t="s">
        <v>96</v>
      </c>
      <c r="I510" s="1" t="s">
        <v>1323</v>
      </c>
      <c r="J510" s="1" t="s">
        <v>1324</v>
      </c>
      <c r="K510" s="1" t="s">
        <v>1324</v>
      </c>
      <c r="M510" s="4">
        <v>-1.0</v>
      </c>
      <c r="O510" s="4">
        <v>6.954066666666667</v>
      </c>
    </row>
    <row r="511">
      <c r="A511" s="5">
        <v>45534.0</v>
      </c>
      <c r="B511" s="1" t="s">
        <v>103</v>
      </c>
      <c r="C511" s="1" t="s">
        <v>89</v>
      </c>
      <c r="D511" s="4">
        <v>329.0</v>
      </c>
      <c r="E511" s="4">
        <v>0.0</v>
      </c>
      <c r="F511" s="1" t="s">
        <v>1325</v>
      </c>
      <c r="G511" s="1" t="s">
        <v>91</v>
      </c>
      <c r="H511" s="1" t="s">
        <v>92</v>
      </c>
      <c r="I511" s="1" t="s">
        <v>1326</v>
      </c>
      <c r="J511" s="1" t="s">
        <v>1327</v>
      </c>
      <c r="K511" s="1" t="s">
        <v>1327</v>
      </c>
      <c r="M511" s="4">
        <v>-9.0</v>
      </c>
      <c r="O511" s="4">
        <v>5.57905</v>
      </c>
    </row>
    <row r="512">
      <c r="A512" s="5">
        <v>45534.0</v>
      </c>
      <c r="B512" s="1" t="s">
        <v>95</v>
      </c>
      <c r="C512" s="1" t="s">
        <v>107</v>
      </c>
      <c r="D512" s="4">
        <v>658.0</v>
      </c>
      <c r="E512" s="4">
        <v>0.0</v>
      </c>
      <c r="G512" s="1" t="s">
        <v>91</v>
      </c>
      <c r="H512" s="1" t="s">
        <v>92</v>
      </c>
      <c r="I512" s="1" t="s">
        <v>1328</v>
      </c>
      <c r="J512" s="1" t="s">
        <v>1329</v>
      </c>
      <c r="K512" s="1" t="s">
        <v>1329</v>
      </c>
      <c r="M512" s="4">
        <v>-2.0</v>
      </c>
      <c r="O512" s="4">
        <v>7.879666666666667</v>
      </c>
    </row>
    <row r="513">
      <c r="A513" s="5">
        <v>45534.0</v>
      </c>
      <c r="B513" s="1" t="s">
        <v>116</v>
      </c>
      <c r="C513" s="1" t="s">
        <v>107</v>
      </c>
      <c r="D513" s="4">
        <v>295.0</v>
      </c>
      <c r="E513" s="4">
        <v>66.0</v>
      </c>
      <c r="G513" s="1" t="s">
        <v>111</v>
      </c>
      <c r="H513" s="1" t="s">
        <v>92</v>
      </c>
      <c r="I513" s="1" t="s">
        <v>1330</v>
      </c>
      <c r="J513" s="1" t="s">
        <v>1331</v>
      </c>
      <c r="K513" s="1" t="s">
        <v>1331</v>
      </c>
      <c r="M513" s="4">
        <v>-9.0</v>
      </c>
      <c r="O513" s="4">
        <v>26.2367</v>
      </c>
    </row>
    <row r="514">
      <c r="A514" s="5">
        <v>45534.0</v>
      </c>
      <c r="B514" s="1" t="s">
        <v>116</v>
      </c>
      <c r="C514" s="1" t="s">
        <v>107</v>
      </c>
      <c r="D514" s="4">
        <v>250.0</v>
      </c>
      <c r="E514" s="4">
        <v>0.0</v>
      </c>
      <c r="F514" s="1" t="s">
        <v>774</v>
      </c>
      <c r="G514" s="1" t="s">
        <v>175</v>
      </c>
      <c r="H514" s="1" t="s">
        <v>96</v>
      </c>
      <c r="I514" s="1" t="s">
        <v>1332</v>
      </c>
      <c r="J514" s="1" t="s">
        <v>1333</v>
      </c>
      <c r="K514" s="1" t="s">
        <v>1334</v>
      </c>
      <c r="L514" s="1" t="s">
        <v>1335</v>
      </c>
      <c r="M514" s="4">
        <v>-13.0</v>
      </c>
      <c r="N514" s="4">
        <v>0.008566666666666667</v>
      </c>
      <c r="O514" s="4">
        <v>5.336516666666666</v>
      </c>
    </row>
    <row r="515">
      <c r="A515" s="5">
        <v>45534.0</v>
      </c>
      <c r="B515" s="1" t="s">
        <v>116</v>
      </c>
      <c r="C515" s="1" t="s">
        <v>107</v>
      </c>
      <c r="D515" s="4">
        <v>202.0</v>
      </c>
      <c r="E515" s="4">
        <v>67.0</v>
      </c>
      <c r="G515" s="1" t="s">
        <v>111</v>
      </c>
      <c r="H515" s="1" t="s">
        <v>92</v>
      </c>
      <c r="I515" s="1" t="s">
        <v>1336</v>
      </c>
      <c r="J515" s="1" t="s">
        <v>1337</v>
      </c>
      <c r="K515" s="1" t="s">
        <v>1337</v>
      </c>
      <c r="M515" s="4">
        <v>-10.0</v>
      </c>
      <c r="O515" s="4">
        <v>7.5425</v>
      </c>
    </row>
    <row r="516">
      <c r="A516" s="5">
        <v>45534.0</v>
      </c>
      <c r="B516" s="1" t="s">
        <v>95</v>
      </c>
      <c r="C516" s="1" t="s">
        <v>107</v>
      </c>
      <c r="D516" s="4">
        <v>346.0</v>
      </c>
      <c r="E516" s="4">
        <v>0.0</v>
      </c>
      <c r="G516" s="1" t="s">
        <v>91</v>
      </c>
      <c r="H516" s="1" t="s">
        <v>92</v>
      </c>
      <c r="I516" s="1" t="s">
        <v>1338</v>
      </c>
      <c r="J516" s="1" t="s">
        <v>1339</v>
      </c>
      <c r="K516" s="1" t="s">
        <v>1339</v>
      </c>
      <c r="M516" s="4">
        <v>1.0</v>
      </c>
      <c r="O516" s="4">
        <v>9.280466666666667</v>
      </c>
    </row>
    <row r="517">
      <c r="A517" s="5">
        <v>45534.0</v>
      </c>
      <c r="B517" s="1" t="s">
        <v>88</v>
      </c>
      <c r="C517" s="1" t="s">
        <v>107</v>
      </c>
      <c r="D517" s="4">
        <v>406.0</v>
      </c>
      <c r="E517" s="4">
        <v>0.0</v>
      </c>
      <c r="F517" s="1" t="s">
        <v>90</v>
      </c>
      <c r="G517" s="1" t="s">
        <v>91</v>
      </c>
      <c r="H517" s="1" t="s">
        <v>92</v>
      </c>
      <c r="I517" s="1" t="s">
        <v>1340</v>
      </c>
      <c r="J517" s="1" t="s">
        <v>1341</v>
      </c>
      <c r="K517" s="1" t="s">
        <v>1341</v>
      </c>
      <c r="M517" s="4">
        <v>-3.0</v>
      </c>
      <c r="O517" s="4">
        <v>11.781766666666666</v>
      </c>
    </row>
    <row r="518">
      <c r="A518" s="5">
        <v>45534.0</v>
      </c>
      <c r="B518" s="1" t="s">
        <v>103</v>
      </c>
      <c r="C518" s="1" t="s">
        <v>89</v>
      </c>
      <c r="D518" s="4">
        <v>264.0</v>
      </c>
      <c r="E518" s="4">
        <v>0.0</v>
      </c>
      <c r="F518" s="1" t="s">
        <v>1342</v>
      </c>
      <c r="G518" s="1" t="s">
        <v>91</v>
      </c>
      <c r="H518" s="1" t="s">
        <v>92</v>
      </c>
      <c r="I518" s="1" t="s">
        <v>1343</v>
      </c>
      <c r="J518" s="1" t="s">
        <v>1344</v>
      </c>
      <c r="K518" s="1" t="s">
        <v>1344</v>
      </c>
      <c r="M518" s="4">
        <v>-10.0</v>
      </c>
      <c r="O518" s="4">
        <v>4.885866666666667</v>
      </c>
    </row>
    <row r="519">
      <c r="A519" s="5">
        <v>45534.0</v>
      </c>
      <c r="B519" s="1" t="s">
        <v>95</v>
      </c>
      <c r="C519" s="1" t="s">
        <v>89</v>
      </c>
      <c r="D519" s="4">
        <v>313.0</v>
      </c>
      <c r="E519" s="4">
        <v>0.0</v>
      </c>
      <c r="G519" s="1" t="s">
        <v>91</v>
      </c>
      <c r="H519" s="1" t="s">
        <v>92</v>
      </c>
      <c r="I519" s="1" t="s">
        <v>1345</v>
      </c>
      <c r="J519" s="1" t="s">
        <v>1346</v>
      </c>
      <c r="K519" s="1" t="s">
        <v>1346</v>
      </c>
      <c r="M519" s="4">
        <v>0.0</v>
      </c>
      <c r="O519" s="4">
        <v>6.14485</v>
      </c>
    </row>
    <row r="520">
      <c r="A520" s="5">
        <v>45534.0</v>
      </c>
      <c r="B520" s="1" t="s">
        <v>103</v>
      </c>
      <c r="C520" s="1" t="s">
        <v>89</v>
      </c>
      <c r="D520" s="4">
        <v>393.0</v>
      </c>
      <c r="E520" s="4">
        <v>0.0</v>
      </c>
      <c r="F520" s="1" t="s">
        <v>1347</v>
      </c>
      <c r="G520" s="1" t="s">
        <v>91</v>
      </c>
      <c r="H520" s="1" t="s">
        <v>92</v>
      </c>
      <c r="I520" s="1" t="s">
        <v>1348</v>
      </c>
      <c r="J520" s="1" t="s">
        <v>1349</v>
      </c>
      <c r="K520" s="1" t="s">
        <v>1349</v>
      </c>
      <c r="M520" s="4">
        <v>-7.0</v>
      </c>
      <c r="O520" s="4">
        <v>7.2645333333333335</v>
      </c>
    </row>
    <row r="521">
      <c r="A521" s="5">
        <v>45534.0</v>
      </c>
      <c r="B521" s="1" t="s">
        <v>88</v>
      </c>
      <c r="C521" s="1" t="s">
        <v>107</v>
      </c>
      <c r="D521" s="4">
        <v>329.0</v>
      </c>
      <c r="E521" s="4">
        <v>0.0</v>
      </c>
      <c r="F521" s="1" t="s">
        <v>90</v>
      </c>
      <c r="G521" s="1" t="s">
        <v>91</v>
      </c>
      <c r="H521" s="1" t="s">
        <v>92</v>
      </c>
      <c r="I521" s="1" t="s">
        <v>1350</v>
      </c>
      <c r="J521" s="1" t="s">
        <v>1351</v>
      </c>
      <c r="K521" s="1" t="s">
        <v>1351</v>
      </c>
      <c r="M521" s="4">
        <v>-6.0</v>
      </c>
      <c r="O521" s="4">
        <v>8.127916666666666</v>
      </c>
    </row>
    <row r="522">
      <c r="A522" s="5">
        <v>45534.0</v>
      </c>
      <c r="B522" s="1" t="s">
        <v>88</v>
      </c>
      <c r="C522" s="1" t="s">
        <v>107</v>
      </c>
      <c r="D522" s="4">
        <v>378.0</v>
      </c>
      <c r="E522" s="4">
        <v>0.0</v>
      </c>
      <c r="F522" s="1" t="s">
        <v>90</v>
      </c>
      <c r="G522" s="1" t="s">
        <v>91</v>
      </c>
      <c r="H522" s="1" t="s">
        <v>92</v>
      </c>
      <c r="I522" s="1" t="s">
        <v>1352</v>
      </c>
      <c r="J522" s="1" t="s">
        <v>1353</v>
      </c>
      <c r="K522" s="1" t="s">
        <v>1353</v>
      </c>
      <c r="M522" s="4">
        <v>-6.0</v>
      </c>
      <c r="O522" s="4">
        <v>8.64015</v>
      </c>
    </row>
    <row r="523">
      <c r="A523" s="5">
        <v>45534.0</v>
      </c>
      <c r="B523" s="1" t="s">
        <v>88</v>
      </c>
      <c r="C523" s="1" t="s">
        <v>107</v>
      </c>
      <c r="D523" s="4">
        <v>632.0</v>
      </c>
      <c r="E523" s="4">
        <v>0.0</v>
      </c>
      <c r="F523" s="1" t="s">
        <v>90</v>
      </c>
      <c r="G523" s="1" t="s">
        <v>91</v>
      </c>
      <c r="H523" s="1" t="s">
        <v>92</v>
      </c>
      <c r="I523" s="1" t="s">
        <v>1354</v>
      </c>
      <c r="J523" s="1" t="s">
        <v>1355</v>
      </c>
      <c r="K523" s="1" t="s">
        <v>1355</v>
      </c>
      <c r="M523" s="4">
        <v>-5.0</v>
      </c>
      <c r="O523" s="4">
        <v>14.212733333333333</v>
      </c>
    </row>
    <row r="524">
      <c r="A524" s="5">
        <v>45534.0</v>
      </c>
      <c r="B524" s="1" t="s">
        <v>95</v>
      </c>
      <c r="C524" s="1" t="s">
        <v>107</v>
      </c>
      <c r="D524" s="4">
        <v>264.0</v>
      </c>
      <c r="E524" s="4">
        <v>0.0</v>
      </c>
      <c r="G524" s="1" t="s">
        <v>91</v>
      </c>
      <c r="H524" s="1" t="s">
        <v>92</v>
      </c>
      <c r="I524" s="1" t="s">
        <v>1356</v>
      </c>
      <c r="J524" s="1" t="s">
        <v>1357</v>
      </c>
      <c r="K524" s="1" t="s">
        <v>1357</v>
      </c>
      <c r="M524" s="4">
        <v>0.0</v>
      </c>
      <c r="O524" s="4">
        <v>8.1918</v>
      </c>
    </row>
    <row r="525">
      <c r="A525" s="5">
        <v>45534.0</v>
      </c>
      <c r="B525" s="1" t="s">
        <v>116</v>
      </c>
      <c r="C525" s="1" t="s">
        <v>107</v>
      </c>
      <c r="D525" s="4">
        <v>430.0</v>
      </c>
      <c r="E525" s="4">
        <v>57.0</v>
      </c>
      <c r="G525" s="1" t="s">
        <v>111</v>
      </c>
      <c r="H525" s="1" t="s">
        <v>92</v>
      </c>
      <c r="I525" s="1" t="s">
        <v>1358</v>
      </c>
      <c r="J525" s="1" t="s">
        <v>1359</v>
      </c>
      <c r="K525" s="1" t="s">
        <v>1359</v>
      </c>
      <c r="M525" s="4">
        <v>1.0</v>
      </c>
      <c r="O525" s="4">
        <v>19.366566666666667</v>
      </c>
    </row>
    <row r="526">
      <c r="A526" s="5">
        <v>45534.0</v>
      </c>
      <c r="B526" s="1" t="s">
        <v>103</v>
      </c>
      <c r="C526" s="1" t="s">
        <v>89</v>
      </c>
      <c r="D526" s="4">
        <v>594.0</v>
      </c>
      <c r="E526" s="4">
        <v>0.0</v>
      </c>
      <c r="F526" s="1" t="s">
        <v>1347</v>
      </c>
      <c r="G526" s="1" t="s">
        <v>91</v>
      </c>
      <c r="H526" s="1" t="s">
        <v>92</v>
      </c>
      <c r="I526" s="1" t="s">
        <v>1360</v>
      </c>
      <c r="J526" s="1" t="s">
        <v>1361</v>
      </c>
      <c r="K526" s="1" t="s">
        <v>1361</v>
      </c>
      <c r="M526" s="4">
        <v>-1.0</v>
      </c>
      <c r="O526" s="4">
        <v>18.60165</v>
      </c>
    </row>
    <row r="527">
      <c r="A527" s="5">
        <v>45534.0</v>
      </c>
      <c r="B527" s="1" t="s">
        <v>116</v>
      </c>
      <c r="C527" s="1" t="s">
        <v>107</v>
      </c>
      <c r="D527" s="4">
        <v>319.0</v>
      </c>
      <c r="E527" s="4">
        <v>75.0</v>
      </c>
      <c r="G527" s="1" t="s">
        <v>111</v>
      </c>
      <c r="H527" s="1" t="s">
        <v>92</v>
      </c>
      <c r="I527" s="1" t="s">
        <v>1362</v>
      </c>
      <c r="J527" s="1" t="s">
        <v>1363</v>
      </c>
      <c r="K527" s="1" t="s">
        <v>1363</v>
      </c>
      <c r="M527" s="4">
        <v>-3.0</v>
      </c>
      <c r="O527" s="4">
        <v>15.9149</v>
      </c>
    </row>
    <row r="528">
      <c r="A528" s="5">
        <v>45534.0</v>
      </c>
      <c r="B528" s="1" t="s">
        <v>88</v>
      </c>
      <c r="C528" s="1" t="s">
        <v>107</v>
      </c>
      <c r="D528" s="4">
        <v>1127.0</v>
      </c>
      <c r="E528" s="4">
        <v>0.0</v>
      </c>
      <c r="F528" s="1" t="s">
        <v>90</v>
      </c>
      <c r="G528" s="1" t="s">
        <v>91</v>
      </c>
      <c r="H528" s="1" t="s">
        <v>92</v>
      </c>
      <c r="I528" s="1" t="s">
        <v>1364</v>
      </c>
      <c r="J528" s="1" t="s">
        <v>1365</v>
      </c>
      <c r="K528" s="1" t="s">
        <v>1365</v>
      </c>
      <c r="M528" s="4">
        <v>-6.0</v>
      </c>
      <c r="O528" s="4">
        <v>13.798683333333333</v>
      </c>
    </row>
    <row r="529">
      <c r="A529" s="5">
        <v>45534.0</v>
      </c>
      <c r="B529" s="1" t="s">
        <v>116</v>
      </c>
      <c r="C529" s="1" t="s">
        <v>107</v>
      </c>
      <c r="D529" s="4">
        <v>199.0</v>
      </c>
      <c r="E529" s="4">
        <v>50.0</v>
      </c>
      <c r="G529" s="1" t="s">
        <v>111</v>
      </c>
      <c r="H529" s="1" t="s">
        <v>194</v>
      </c>
      <c r="I529" s="1" t="s">
        <v>1366</v>
      </c>
      <c r="J529" s="1" t="s">
        <v>1367</v>
      </c>
      <c r="K529" s="1" t="s">
        <v>1367</v>
      </c>
      <c r="M529" s="4">
        <v>-10.0</v>
      </c>
      <c r="O529" s="4">
        <v>8.706</v>
      </c>
    </row>
    <row r="530">
      <c r="A530" s="5">
        <v>45534.0</v>
      </c>
      <c r="B530" s="1" t="s">
        <v>116</v>
      </c>
      <c r="C530" s="1" t="s">
        <v>107</v>
      </c>
      <c r="D530" s="4">
        <v>389.0</v>
      </c>
      <c r="E530" s="4">
        <v>0.0</v>
      </c>
      <c r="F530" s="1" t="s">
        <v>774</v>
      </c>
      <c r="G530" s="1" t="s">
        <v>175</v>
      </c>
      <c r="H530" s="1" t="s">
        <v>92</v>
      </c>
      <c r="I530" s="1" t="s">
        <v>1368</v>
      </c>
      <c r="J530" s="1" t="s">
        <v>1369</v>
      </c>
      <c r="K530" s="1" t="s">
        <v>1370</v>
      </c>
      <c r="L530" s="1" t="s">
        <v>1371</v>
      </c>
      <c r="M530" s="4">
        <v>-1.0</v>
      </c>
      <c r="N530" s="4">
        <v>0.008583333333333333</v>
      </c>
      <c r="O530" s="4">
        <v>9.336366666666667</v>
      </c>
    </row>
    <row r="531">
      <c r="A531" s="5">
        <v>45534.0</v>
      </c>
      <c r="B531" s="1" t="s">
        <v>116</v>
      </c>
      <c r="C531" s="1" t="s">
        <v>107</v>
      </c>
      <c r="D531" s="4">
        <v>393.0</v>
      </c>
      <c r="E531" s="4">
        <v>0.0</v>
      </c>
      <c r="F531" s="1" t="s">
        <v>774</v>
      </c>
      <c r="G531" s="1" t="s">
        <v>175</v>
      </c>
      <c r="H531" s="1" t="s">
        <v>92</v>
      </c>
      <c r="I531" s="1" t="s">
        <v>1372</v>
      </c>
      <c r="J531" s="1" t="s">
        <v>1373</v>
      </c>
      <c r="K531" s="1" t="s">
        <v>1374</v>
      </c>
      <c r="L531" s="1" t="s">
        <v>1375</v>
      </c>
      <c r="M531" s="4">
        <v>-9.0</v>
      </c>
      <c r="N531" s="4">
        <v>0.00855</v>
      </c>
      <c r="O531" s="4">
        <v>6.102633333333333</v>
      </c>
    </row>
    <row r="532">
      <c r="A532" s="5">
        <v>45534.0</v>
      </c>
      <c r="B532" s="1" t="s">
        <v>95</v>
      </c>
      <c r="C532" s="1" t="s">
        <v>89</v>
      </c>
      <c r="D532" s="4">
        <v>264.0</v>
      </c>
      <c r="E532" s="4">
        <v>0.0</v>
      </c>
      <c r="G532" s="1" t="s">
        <v>91</v>
      </c>
      <c r="H532" s="1" t="s">
        <v>92</v>
      </c>
      <c r="I532" s="1" t="s">
        <v>1376</v>
      </c>
      <c r="J532" s="1" t="s">
        <v>1377</v>
      </c>
      <c r="K532" s="1" t="s">
        <v>1377</v>
      </c>
      <c r="M532" s="4">
        <v>1.0</v>
      </c>
      <c r="O532" s="4">
        <v>10.45285</v>
      </c>
    </row>
    <row r="533">
      <c r="A533" s="5">
        <v>45534.0</v>
      </c>
      <c r="B533" s="1" t="s">
        <v>95</v>
      </c>
      <c r="C533" s="1" t="s">
        <v>89</v>
      </c>
      <c r="D533" s="4">
        <v>329.0</v>
      </c>
      <c r="E533" s="4">
        <v>0.0</v>
      </c>
      <c r="G533" s="1" t="s">
        <v>91</v>
      </c>
      <c r="H533" s="1" t="s">
        <v>92</v>
      </c>
      <c r="I533" s="1" t="s">
        <v>1378</v>
      </c>
      <c r="J533" s="1" t="s">
        <v>1379</v>
      </c>
      <c r="K533" s="1" t="s">
        <v>1379</v>
      </c>
      <c r="M533" s="4">
        <v>4.0</v>
      </c>
      <c r="O533" s="4">
        <v>12.892466666666667</v>
      </c>
    </row>
    <row r="534">
      <c r="A534" s="5">
        <v>45534.0</v>
      </c>
      <c r="B534" s="1" t="s">
        <v>95</v>
      </c>
      <c r="C534" s="1" t="s">
        <v>89</v>
      </c>
      <c r="D534" s="4">
        <v>264.0</v>
      </c>
      <c r="E534" s="4">
        <v>0.0</v>
      </c>
      <c r="G534" s="1" t="s">
        <v>91</v>
      </c>
      <c r="H534" s="1" t="s">
        <v>92</v>
      </c>
      <c r="I534" s="1" t="s">
        <v>1380</v>
      </c>
      <c r="J534" s="1" t="s">
        <v>1381</v>
      </c>
      <c r="K534" s="1" t="s">
        <v>1381</v>
      </c>
      <c r="M534" s="4">
        <v>2.0</v>
      </c>
      <c r="O534" s="4">
        <v>9.478816666666667</v>
      </c>
    </row>
    <row r="535">
      <c r="A535" s="5">
        <v>45534.0</v>
      </c>
      <c r="B535" s="1" t="s">
        <v>95</v>
      </c>
      <c r="C535" s="1" t="s">
        <v>89</v>
      </c>
      <c r="D535" s="4">
        <v>264.0</v>
      </c>
      <c r="E535" s="4">
        <v>0.0</v>
      </c>
      <c r="G535" s="1" t="s">
        <v>91</v>
      </c>
      <c r="H535" s="1" t="s">
        <v>92</v>
      </c>
      <c r="I535" s="1" t="s">
        <v>1382</v>
      </c>
      <c r="J535" s="1" t="s">
        <v>1383</v>
      </c>
      <c r="K535" s="1" t="s">
        <v>1383</v>
      </c>
      <c r="M535" s="4">
        <v>2.0</v>
      </c>
      <c r="O535" s="4">
        <v>9.18165</v>
      </c>
    </row>
    <row r="536">
      <c r="A536" s="5">
        <v>45534.0</v>
      </c>
      <c r="B536" s="1" t="s">
        <v>88</v>
      </c>
      <c r="C536" s="1" t="s">
        <v>107</v>
      </c>
      <c r="D536" s="4">
        <v>393.0</v>
      </c>
      <c r="E536" s="4">
        <v>0.0</v>
      </c>
      <c r="F536" s="1" t="s">
        <v>90</v>
      </c>
      <c r="G536" s="1" t="s">
        <v>91</v>
      </c>
      <c r="H536" s="1" t="s">
        <v>92</v>
      </c>
      <c r="I536" s="1" t="s">
        <v>1384</v>
      </c>
      <c r="J536" s="1" t="s">
        <v>1385</v>
      </c>
      <c r="K536" s="1" t="s">
        <v>1385</v>
      </c>
      <c r="M536" s="4">
        <v>-6.0</v>
      </c>
      <c r="O536" s="4">
        <v>8.463833333333334</v>
      </c>
    </row>
    <row r="537">
      <c r="A537" s="5">
        <v>45534.0</v>
      </c>
      <c r="B537" s="1" t="s">
        <v>88</v>
      </c>
      <c r="C537" s="1" t="s">
        <v>107</v>
      </c>
      <c r="D537" s="4">
        <v>264.0</v>
      </c>
      <c r="E537" s="4">
        <v>0.0</v>
      </c>
      <c r="F537" s="1" t="s">
        <v>90</v>
      </c>
      <c r="G537" s="1" t="s">
        <v>91</v>
      </c>
      <c r="H537" s="1" t="s">
        <v>92</v>
      </c>
      <c r="I537" s="1" t="s">
        <v>1386</v>
      </c>
      <c r="J537" s="1" t="s">
        <v>1387</v>
      </c>
      <c r="K537" s="1" t="s">
        <v>1387</v>
      </c>
      <c r="M537" s="4">
        <v>-8.0</v>
      </c>
      <c r="O537" s="4">
        <v>6.7729</v>
      </c>
    </row>
    <row r="538">
      <c r="A538" s="5">
        <v>45534.0</v>
      </c>
      <c r="B538" s="1" t="s">
        <v>116</v>
      </c>
      <c r="C538" s="1" t="s">
        <v>107</v>
      </c>
      <c r="D538" s="4">
        <v>772.0</v>
      </c>
      <c r="E538" s="4">
        <v>0.0</v>
      </c>
      <c r="F538" s="1" t="s">
        <v>774</v>
      </c>
      <c r="G538" s="1" t="s">
        <v>175</v>
      </c>
      <c r="H538" s="1" t="s">
        <v>92</v>
      </c>
      <c r="I538" s="1" t="s">
        <v>1388</v>
      </c>
      <c r="J538" s="1" t="s">
        <v>1389</v>
      </c>
      <c r="K538" s="1" t="s">
        <v>1390</v>
      </c>
      <c r="L538" s="1" t="s">
        <v>1391</v>
      </c>
      <c r="M538" s="4">
        <v>-24.0</v>
      </c>
      <c r="N538" s="4">
        <v>0.018833333333333334</v>
      </c>
      <c r="O538" s="4">
        <v>9.496133333333333</v>
      </c>
    </row>
    <row r="539">
      <c r="A539" s="5">
        <v>45534.0</v>
      </c>
      <c r="B539" s="1" t="s">
        <v>88</v>
      </c>
      <c r="C539" s="1" t="s">
        <v>107</v>
      </c>
      <c r="D539" s="4">
        <v>528.0</v>
      </c>
      <c r="E539" s="4">
        <v>0.0</v>
      </c>
      <c r="F539" s="1" t="s">
        <v>90</v>
      </c>
      <c r="G539" s="1" t="s">
        <v>91</v>
      </c>
      <c r="H539" s="1" t="s">
        <v>92</v>
      </c>
      <c r="I539" s="1" t="s">
        <v>1392</v>
      </c>
      <c r="J539" s="1" t="s">
        <v>1393</v>
      </c>
      <c r="K539" s="1" t="s">
        <v>1393</v>
      </c>
      <c r="M539" s="4">
        <v>-12.0</v>
      </c>
      <c r="O539" s="4">
        <v>7.396583333333333</v>
      </c>
    </row>
    <row r="540">
      <c r="A540" s="5">
        <v>45534.0</v>
      </c>
      <c r="B540" s="1" t="s">
        <v>88</v>
      </c>
      <c r="C540" s="1" t="s">
        <v>107</v>
      </c>
      <c r="D540" s="4">
        <v>399.0</v>
      </c>
      <c r="E540" s="4">
        <v>0.0</v>
      </c>
      <c r="F540" s="1" t="s">
        <v>90</v>
      </c>
      <c r="G540" s="1" t="s">
        <v>91</v>
      </c>
      <c r="H540" s="1" t="s">
        <v>92</v>
      </c>
      <c r="I540" s="1" t="s">
        <v>1394</v>
      </c>
      <c r="J540" s="1" t="s">
        <v>1395</v>
      </c>
      <c r="K540" s="1" t="s">
        <v>1395</v>
      </c>
      <c r="M540" s="4">
        <v>-7.0</v>
      </c>
      <c r="O540" s="4">
        <v>7.59105</v>
      </c>
    </row>
    <row r="541">
      <c r="A541" s="5">
        <v>45534.0</v>
      </c>
      <c r="B541" s="1" t="s">
        <v>95</v>
      </c>
      <c r="C541" s="1" t="s">
        <v>89</v>
      </c>
      <c r="D541" s="4">
        <v>406.0</v>
      </c>
      <c r="E541" s="4">
        <v>0.0</v>
      </c>
      <c r="G541" s="1" t="s">
        <v>91</v>
      </c>
      <c r="H541" s="1" t="s">
        <v>92</v>
      </c>
      <c r="I541" s="1" t="s">
        <v>1396</v>
      </c>
      <c r="J541" s="1" t="s">
        <v>1397</v>
      </c>
      <c r="K541" s="1" t="s">
        <v>1397</v>
      </c>
      <c r="M541" s="4">
        <v>2.0</v>
      </c>
      <c r="O541" s="4">
        <v>11.326483333333334</v>
      </c>
    </row>
    <row r="542">
      <c r="A542" s="5">
        <v>45534.0</v>
      </c>
      <c r="B542" s="1" t="s">
        <v>116</v>
      </c>
      <c r="C542" s="1" t="s">
        <v>107</v>
      </c>
      <c r="D542" s="4">
        <v>279.0</v>
      </c>
      <c r="E542" s="4">
        <v>0.0</v>
      </c>
      <c r="F542" s="1" t="s">
        <v>774</v>
      </c>
      <c r="G542" s="1" t="s">
        <v>175</v>
      </c>
      <c r="H542" s="1" t="s">
        <v>92</v>
      </c>
      <c r="I542" s="1" t="s">
        <v>1398</v>
      </c>
      <c r="J542" s="1" t="s">
        <v>1399</v>
      </c>
      <c r="K542" s="1" t="s">
        <v>1400</v>
      </c>
      <c r="L542" s="1" t="s">
        <v>1401</v>
      </c>
      <c r="M542" s="4">
        <v>-5.0</v>
      </c>
      <c r="N542" s="4">
        <v>0.009866666666666666</v>
      </c>
      <c r="O542" s="4">
        <v>6.064816666666666</v>
      </c>
    </row>
    <row r="543">
      <c r="A543" s="5">
        <v>45534.0</v>
      </c>
      <c r="B543" s="1" t="s">
        <v>95</v>
      </c>
      <c r="C543" s="1" t="s">
        <v>107</v>
      </c>
      <c r="D543" s="4">
        <v>264.0</v>
      </c>
      <c r="E543" s="4">
        <v>0.0</v>
      </c>
      <c r="G543" s="1" t="s">
        <v>91</v>
      </c>
      <c r="H543" s="1" t="s">
        <v>92</v>
      </c>
      <c r="I543" s="1" t="s">
        <v>1402</v>
      </c>
      <c r="J543" s="1" t="s">
        <v>1403</v>
      </c>
      <c r="K543" s="1" t="s">
        <v>1403</v>
      </c>
      <c r="M543" s="4">
        <v>-1.0</v>
      </c>
      <c r="O543" s="4">
        <v>7.6789</v>
      </c>
    </row>
    <row r="544">
      <c r="A544" s="5">
        <v>45534.0</v>
      </c>
      <c r="B544" s="1" t="s">
        <v>95</v>
      </c>
      <c r="C544" s="1" t="s">
        <v>107</v>
      </c>
      <c r="D544" s="4">
        <v>129.0</v>
      </c>
      <c r="E544" s="4">
        <v>0.0</v>
      </c>
      <c r="G544" s="1" t="s">
        <v>91</v>
      </c>
      <c r="H544" s="1" t="s">
        <v>92</v>
      </c>
      <c r="I544" s="1" t="s">
        <v>1404</v>
      </c>
      <c r="J544" s="1" t="s">
        <v>1405</v>
      </c>
      <c r="K544" s="1" t="s">
        <v>1405</v>
      </c>
      <c r="M544" s="4">
        <v>0.0</v>
      </c>
      <c r="O544" s="4">
        <v>6.608316666666667</v>
      </c>
    </row>
    <row r="545">
      <c r="A545" s="5">
        <v>45534.0</v>
      </c>
      <c r="B545" s="1" t="s">
        <v>95</v>
      </c>
      <c r="C545" s="1" t="s">
        <v>107</v>
      </c>
      <c r="D545" s="4">
        <v>348.0</v>
      </c>
      <c r="E545" s="4">
        <v>0.0</v>
      </c>
      <c r="G545" s="1" t="s">
        <v>91</v>
      </c>
      <c r="H545" s="1" t="s">
        <v>92</v>
      </c>
      <c r="I545" s="1" t="s">
        <v>1406</v>
      </c>
      <c r="J545" s="1" t="s">
        <v>1407</v>
      </c>
      <c r="K545" s="1" t="s">
        <v>1407</v>
      </c>
      <c r="M545" s="4">
        <v>-1.0</v>
      </c>
      <c r="O545" s="4">
        <v>7.372533333333333</v>
      </c>
    </row>
    <row r="546">
      <c r="A546" s="5">
        <v>45534.0</v>
      </c>
      <c r="B546" s="1" t="s">
        <v>116</v>
      </c>
      <c r="C546" s="1" t="s">
        <v>107</v>
      </c>
      <c r="D546" s="4">
        <v>558.0</v>
      </c>
      <c r="E546" s="4">
        <v>0.0</v>
      </c>
      <c r="F546" s="1" t="s">
        <v>774</v>
      </c>
      <c r="G546" s="1" t="s">
        <v>175</v>
      </c>
      <c r="H546" s="1" t="s">
        <v>96</v>
      </c>
      <c r="I546" s="1" t="s">
        <v>1408</v>
      </c>
      <c r="J546" s="1" t="s">
        <v>1409</v>
      </c>
      <c r="K546" s="1" t="s">
        <v>1410</v>
      </c>
      <c r="L546" s="1" t="s">
        <v>1411</v>
      </c>
      <c r="M546" s="4">
        <v>-13.0</v>
      </c>
      <c r="N546" s="4">
        <v>0.010066666666666666</v>
      </c>
      <c r="O546" s="4">
        <v>12.24635</v>
      </c>
    </row>
    <row r="547">
      <c r="A547" s="5">
        <v>45534.0</v>
      </c>
      <c r="B547" s="1" t="s">
        <v>95</v>
      </c>
      <c r="C547" s="1" t="s">
        <v>107</v>
      </c>
      <c r="D547" s="4">
        <v>429.0</v>
      </c>
      <c r="E547" s="4">
        <v>0.0</v>
      </c>
      <c r="G547" s="1" t="s">
        <v>91</v>
      </c>
      <c r="H547" s="1" t="s">
        <v>92</v>
      </c>
      <c r="I547" s="1" t="s">
        <v>1412</v>
      </c>
      <c r="J547" s="1" t="s">
        <v>1413</v>
      </c>
      <c r="K547" s="1" t="s">
        <v>1413</v>
      </c>
      <c r="M547" s="4">
        <v>0.0</v>
      </c>
      <c r="O547" s="4">
        <v>9.67</v>
      </c>
    </row>
    <row r="548">
      <c r="A548" s="5">
        <v>45534.0</v>
      </c>
      <c r="B548" s="1" t="s">
        <v>95</v>
      </c>
      <c r="C548" s="1" t="s">
        <v>107</v>
      </c>
      <c r="D548" s="4">
        <v>334.0</v>
      </c>
      <c r="E548" s="4">
        <v>100.0</v>
      </c>
      <c r="G548" s="1" t="s">
        <v>91</v>
      </c>
      <c r="H548" s="1" t="s">
        <v>92</v>
      </c>
      <c r="I548" s="1" t="s">
        <v>1414</v>
      </c>
      <c r="J548" s="1" t="s">
        <v>1415</v>
      </c>
      <c r="K548" s="1" t="s">
        <v>1415</v>
      </c>
      <c r="M548" s="4">
        <v>-1.0</v>
      </c>
      <c r="O548" s="4">
        <v>7.9724</v>
      </c>
    </row>
    <row r="549">
      <c r="A549" s="5">
        <v>45534.0</v>
      </c>
      <c r="B549" s="1" t="s">
        <v>95</v>
      </c>
      <c r="C549" s="1" t="s">
        <v>107</v>
      </c>
      <c r="D549" s="4">
        <v>707.0</v>
      </c>
      <c r="E549" s="4">
        <v>0.0</v>
      </c>
      <c r="G549" s="1" t="s">
        <v>91</v>
      </c>
      <c r="H549" s="1" t="s">
        <v>92</v>
      </c>
      <c r="I549" s="1" t="s">
        <v>1416</v>
      </c>
      <c r="J549" s="1" t="s">
        <v>1417</v>
      </c>
      <c r="K549" s="1" t="s">
        <v>1417</v>
      </c>
      <c r="M549" s="4">
        <v>-1.0</v>
      </c>
      <c r="O549" s="4">
        <v>8.57375</v>
      </c>
    </row>
    <row r="550">
      <c r="A550" s="5">
        <v>45534.0</v>
      </c>
      <c r="B550" s="1" t="s">
        <v>103</v>
      </c>
      <c r="C550" s="1" t="s">
        <v>107</v>
      </c>
      <c r="D550" s="4">
        <v>642.0</v>
      </c>
      <c r="E550" s="4">
        <v>0.0</v>
      </c>
      <c r="F550" s="1" t="s">
        <v>1418</v>
      </c>
      <c r="G550" s="1" t="s">
        <v>91</v>
      </c>
      <c r="H550" s="1" t="s">
        <v>92</v>
      </c>
      <c r="I550" s="1" t="s">
        <v>1419</v>
      </c>
      <c r="J550" s="1" t="s">
        <v>1420</v>
      </c>
      <c r="K550" s="1" t="s">
        <v>1420</v>
      </c>
      <c r="M550" s="4">
        <v>-5.0</v>
      </c>
      <c r="O550" s="4">
        <v>14.607583333333332</v>
      </c>
    </row>
    <row r="551">
      <c r="A551" s="5">
        <v>45534.0</v>
      </c>
      <c r="B551" s="1" t="s">
        <v>88</v>
      </c>
      <c r="C551" s="1" t="s">
        <v>107</v>
      </c>
      <c r="D551" s="4">
        <v>264.0</v>
      </c>
      <c r="E551" s="4">
        <v>0.0</v>
      </c>
      <c r="F551" s="1" t="s">
        <v>90</v>
      </c>
      <c r="G551" s="1" t="s">
        <v>91</v>
      </c>
      <c r="H551" s="1" t="s">
        <v>92</v>
      </c>
      <c r="I551" s="1" t="s">
        <v>1421</v>
      </c>
      <c r="J551" s="1" t="s">
        <v>1422</v>
      </c>
      <c r="K551" s="1" t="s">
        <v>1422</v>
      </c>
      <c r="M551" s="4">
        <v>-9.0</v>
      </c>
      <c r="O551" s="4">
        <v>5.340783333333333</v>
      </c>
    </row>
    <row r="552">
      <c r="A552" s="5">
        <v>45534.0</v>
      </c>
      <c r="B552" s="1" t="s">
        <v>116</v>
      </c>
      <c r="C552" s="1" t="s">
        <v>107</v>
      </c>
      <c r="D552" s="4">
        <v>578.0</v>
      </c>
      <c r="E552" s="4">
        <v>0.0</v>
      </c>
      <c r="F552" s="1" t="s">
        <v>774</v>
      </c>
      <c r="G552" s="1" t="s">
        <v>175</v>
      </c>
      <c r="H552" s="1" t="s">
        <v>92</v>
      </c>
      <c r="I552" s="1" t="s">
        <v>1423</v>
      </c>
      <c r="J552" s="1" t="s">
        <v>1424</v>
      </c>
      <c r="K552" s="1" t="s">
        <v>1425</v>
      </c>
      <c r="L552" s="1" t="s">
        <v>1426</v>
      </c>
      <c r="M552" s="4">
        <v>-9.0</v>
      </c>
      <c r="N552" s="4">
        <v>0.0101</v>
      </c>
      <c r="O552" s="4">
        <v>7.103016666666667</v>
      </c>
    </row>
    <row r="553">
      <c r="A553" s="5">
        <v>45534.0</v>
      </c>
      <c r="B553" s="1" t="s">
        <v>116</v>
      </c>
      <c r="C553" s="1" t="s">
        <v>107</v>
      </c>
      <c r="D553" s="4">
        <v>258.0</v>
      </c>
      <c r="E553" s="4">
        <v>0.0</v>
      </c>
      <c r="G553" s="1" t="s">
        <v>111</v>
      </c>
      <c r="H553" s="1" t="s">
        <v>92</v>
      </c>
      <c r="I553" s="1" t="s">
        <v>1427</v>
      </c>
      <c r="J553" s="1" t="s">
        <v>1428</v>
      </c>
      <c r="K553" s="1" t="s">
        <v>1428</v>
      </c>
      <c r="M553" s="4">
        <v>-14.0</v>
      </c>
      <c r="O553" s="4">
        <v>4.8348</v>
      </c>
    </row>
    <row r="554">
      <c r="A554" s="5">
        <v>45534.0</v>
      </c>
      <c r="B554" s="1" t="s">
        <v>88</v>
      </c>
      <c r="C554" s="1" t="s">
        <v>107</v>
      </c>
      <c r="D554" s="4">
        <v>329.0</v>
      </c>
      <c r="E554" s="4">
        <v>0.0</v>
      </c>
      <c r="F554" s="1" t="s">
        <v>90</v>
      </c>
      <c r="G554" s="1" t="s">
        <v>91</v>
      </c>
      <c r="H554" s="1" t="s">
        <v>92</v>
      </c>
      <c r="I554" s="1" t="s">
        <v>1429</v>
      </c>
      <c r="J554" s="1" t="s">
        <v>1430</v>
      </c>
      <c r="K554" s="1" t="s">
        <v>1430</v>
      </c>
      <c r="M554" s="4">
        <v>-8.0</v>
      </c>
      <c r="O554" s="4">
        <v>6.7577</v>
      </c>
    </row>
    <row r="555">
      <c r="A555" s="5">
        <v>45534.0</v>
      </c>
      <c r="B555" s="1" t="s">
        <v>116</v>
      </c>
      <c r="C555" s="1" t="s">
        <v>107</v>
      </c>
      <c r="D555" s="4">
        <v>387.0</v>
      </c>
      <c r="E555" s="4">
        <v>0.0</v>
      </c>
      <c r="F555" s="1" t="s">
        <v>90</v>
      </c>
      <c r="G555" s="1" t="s">
        <v>175</v>
      </c>
      <c r="H555" s="1" t="s">
        <v>92</v>
      </c>
      <c r="I555" s="1" t="s">
        <v>1431</v>
      </c>
      <c r="J555" s="1" t="s">
        <v>1432</v>
      </c>
      <c r="K555" s="1" t="s">
        <v>1433</v>
      </c>
      <c r="L555" s="1" t="s">
        <v>1434</v>
      </c>
      <c r="M555" s="4">
        <v>-18.0</v>
      </c>
      <c r="N555" s="4">
        <v>4.44795</v>
      </c>
      <c r="O555" s="4">
        <v>7.573733333333333</v>
      </c>
    </row>
    <row r="556">
      <c r="A556" s="5">
        <v>45534.0</v>
      </c>
      <c r="B556" s="1" t="s">
        <v>116</v>
      </c>
      <c r="C556" s="1" t="s">
        <v>107</v>
      </c>
      <c r="D556" s="4">
        <v>299.0</v>
      </c>
      <c r="E556" s="4">
        <v>75.0</v>
      </c>
      <c r="G556" s="1" t="s">
        <v>111</v>
      </c>
      <c r="H556" s="1" t="s">
        <v>92</v>
      </c>
      <c r="I556" s="1" t="s">
        <v>1435</v>
      </c>
      <c r="J556" s="1" t="s">
        <v>1436</v>
      </c>
      <c r="K556" s="1" t="s">
        <v>1436</v>
      </c>
      <c r="M556" s="4">
        <v>-33.0</v>
      </c>
      <c r="O556" s="4">
        <v>8.591733333333334</v>
      </c>
    </row>
    <row r="557">
      <c r="A557" s="5">
        <v>45534.0</v>
      </c>
      <c r="B557" s="1" t="s">
        <v>95</v>
      </c>
      <c r="C557" s="1" t="s">
        <v>89</v>
      </c>
      <c r="D557" s="4">
        <v>264.0</v>
      </c>
      <c r="E557" s="4">
        <v>0.0</v>
      </c>
      <c r="G557" s="1" t="s">
        <v>91</v>
      </c>
      <c r="H557" s="1" t="s">
        <v>92</v>
      </c>
      <c r="I557" s="1" t="s">
        <v>1437</v>
      </c>
      <c r="J557" s="1" t="s">
        <v>1438</v>
      </c>
      <c r="K557" s="1" t="s">
        <v>1438</v>
      </c>
      <c r="M557" s="4">
        <v>0.0</v>
      </c>
      <c r="O557" s="4">
        <v>7.035716666666667</v>
      </c>
    </row>
    <row r="558">
      <c r="A558" s="5">
        <v>45534.0</v>
      </c>
      <c r="B558" s="1" t="s">
        <v>116</v>
      </c>
      <c r="C558" s="1" t="s">
        <v>107</v>
      </c>
      <c r="D558" s="4">
        <v>284.0</v>
      </c>
      <c r="E558" s="4">
        <v>0.0</v>
      </c>
      <c r="F558" s="1" t="s">
        <v>774</v>
      </c>
      <c r="G558" s="1" t="s">
        <v>175</v>
      </c>
      <c r="H558" s="1" t="s">
        <v>92</v>
      </c>
      <c r="I558" s="1" t="s">
        <v>1439</v>
      </c>
      <c r="J558" s="1" t="s">
        <v>1440</v>
      </c>
      <c r="K558" s="1" t="s">
        <v>1441</v>
      </c>
      <c r="L558" s="1" t="s">
        <v>1442</v>
      </c>
      <c r="M558" s="4">
        <v>6.0</v>
      </c>
      <c r="N558" s="4">
        <v>0.009416666666666667</v>
      </c>
      <c r="O558" s="4">
        <v>9.395516666666667</v>
      </c>
    </row>
    <row r="559">
      <c r="A559" s="5">
        <v>45534.0</v>
      </c>
      <c r="B559" s="1" t="s">
        <v>103</v>
      </c>
      <c r="C559" s="1" t="s">
        <v>89</v>
      </c>
      <c r="D559" s="4">
        <v>593.0</v>
      </c>
      <c r="E559" s="4">
        <v>0.0</v>
      </c>
      <c r="F559" s="1" t="s">
        <v>1443</v>
      </c>
      <c r="G559" s="1" t="s">
        <v>91</v>
      </c>
      <c r="H559" s="1" t="s">
        <v>92</v>
      </c>
      <c r="I559" s="1" t="s">
        <v>1444</v>
      </c>
      <c r="J559" s="1" t="s">
        <v>1445</v>
      </c>
      <c r="K559" s="1" t="s">
        <v>1445</v>
      </c>
      <c r="M559" s="4">
        <v>-12.0</v>
      </c>
      <c r="O559" s="4">
        <v>7.525</v>
      </c>
    </row>
    <row r="560">
      <c r="A560" s="5">
        <v>45534.0</v>
      </c>
      <c r="B560" s="1" t="s">
        <v>116</v>
      </c>
      <c r="C560" s="1" t="s">
        <v>107</v>
      </c>
      <c r="D560" s="4">
        <v>762.0</v>
      </c>
      <c r="E560" s="4">
        <v>0.0</v>
      </c>
      <c r="F560" s="1" t="s">
        <v>774</v>
      </c>
      <c r="G560" s="1" t="s">
        <v>175</v>
      </c>
      <c r="H560" s="1" t="s">
        <v>92</v>
      </c>
      <c r="I560" s="1" t="s">
        <v>1446</v>
      </c>
      <c r="J560" s="1" t="s">
        <v>1447</v>
      </c>
      <c r="K560" s="1" t="s">
        <v>1448</v>
      </c>
      <c r="L560" s="1" t="s">
        <v>1449</v>
      </c>
      <c r="M560" s="4">
        <v>-14.0</v>
      </c>
      <c r="N560" s="4">
        <v>0.011366666666666667</v>
      </c>
      <c r="O560" s="4">
        <v>9.52295</v>
      </c>
    </row>
    <row r="561">
      <c r="A561" s="5">
        <v>45534.0</v>
      </c>
      <c r="B561" s="1" t="s">
        <v>95</v>
      </c>
      <c r="C561" s="1" t="s">
        <v>107</v>
      </c>
      <c r="D561" s="4">
        <v>323.0</v>
      </c>
      <c r="E561" s="4">
        <v>100.0</v>
      </c>
      <c r="G561" s="1" t="s">
        <v>91</v>
      </c>
      <c r="H561" s="1" t="s">
        <v>92</v>
      </c>
      <c r="I561" s="1" t="s">
        <v>1450</v>
      </c>
      <c r="J561" s="1" t="s">
        <v>1451</v>
      </c>
      <c r="K561" s="1" t="s">
        <v>1451</v>
      </c>
      <c r="M561" s="4">
        <v>-1.0</v>
      </c>
      <c r="O561" s="4">
        <v>7.0548166666666665</v>
      </c>
    </row>
    <row r="562">
      <c r="A562" s="5">
        <v>45534.0</v>
      </c>
      <c r="B562" s="1" t="s">
        <v>88</v>
      </c>
      <c r="C562" s="1" t="s">
        <v>107</v>
      </c>
      <c r="D562" s="4">
        <v>263.0</v>
      </c>
      <c r="E562" s="4">
        <v>0.0</v>
      </c>
      <c r="F562" s="1" t="s">
        <v>90</v>
      </c>
      <c r="G562" s="1" t="s">
        <v>91</v>
      </c>
      <c r="H562" s="1" t="s">
        <v>92</v>
      </c>
      <c r="I562" s="1" t="s">
        <v>1452</v>
      </c>
      <c r="J562" s="1" t="s">
        <v>1453</v>
      </c>
      <c r="K562" s="1" t="s">
        <v>1453</v>
      </c>
      <c r="M562" s="4">
        <v>-8.0</v>
      </c>
      <c r="O562" s="4">
        <v>6.5994</v>
      </c>
    </row>
    <row r="563">
      <c r="A563" s="5">
        <v>45534.0</v>
      </c>
      <c r="B563" s="1" t="s">
        <v>95</v>
      </c>
      <c r="C563" s="1" t="s">
        <v>107</v>
      </c>
      <c r="D563" s="4">
        <v>418.0</v>
      </c>
      <c r="E563" s="4">
        <v>0.0</v>
      </c>
      <c r="G563" s="1" t="s">
        <v>91</v>
      </c>
      <c r="H563" s="1" t="s">
        <v>92</v>
      </c>
      <c r="I563" s="1" t="s">
        <v>1454</v>
      </c>
      <c r="J563" s="1" t="s">
        <v>1455</v>
      </c>
      <c r="K563" s="1" t="s">
        <v>1455</v>
      </c>
      <c r="M563" s="4">
        <v>0.0</v>
      </c>
      <c r="O563" s="4">
        <v>7.2762166666666666</v>
      </c>
    </row>
    <row r="564">
      <c r="A564" s="5">
        <v>45534.0</v>
      </c>
      <c r="B564" s="1" t="s">
        <v>116</v>
      </c>
      <c r="C564" s="1" t="s">
        <v>107</v>
      </c>
      <c r="D564" s="4">
        <v>398.0</v>
      </c>
      <c r="E564" s="4">
        <v>100.0</v>
      </c>
      <c r="G564" s="1" t="s">
        <v>111</v>
      </c>
      <c r="H564" s="1" t="s">
        <v>194</v>
      </c>
      <c r="I564" s="1" t="s">
        <v>1456</v>
      </c>
      <c r="J564" s="1" t="s">
        <v>1457</v>
      </c>
      <c r="K564" s="1" t="s">
        <v>1457</v>
      </c>
      <c r="M564" s="4">
        <v>-9.0</v>
      </c>
      <c r="O564" s="4">
        <v>9.869666666666667</v>
      </c>
    </row>
    <row r="565">
      <c r="A565" s="5">
        <v>45534.0</v>
      </c>
      <c r="B565" s="1" t="s">
        <v>95</v>
      </c>
      <c r="C565" s="1" t="s">
        <v>107</v>
      </c>
      <c r="D565" s="4">
        <v>382.0</v>
      </c>
      <c r="E565" s="4">
        <v>0.0</v>
      </c>
      <c r="G565" s="1" t="s">
        <v>91</v>
      </c>
      <c r="H565" s="1" t="s">
        <v>92</v>
      </c>
      <c r="I565" s="1" t="s">
        <v>1458</v>
      </c>
      <c r="J565" s="1" t="s">
        <v>1459</v>
      </c>
      <c r="K565" s="1" t="s">
        <v>1459</v>
      </c>
      <c r="M565" s="4">
        <v>-2.0</v>
      </c>
      <c r="O565" s="4">
        <v>6.9763</v>
      </c>
    </row>
    <row r="566">
      <c r="A566" s="5">
        <v>45534.0</v>
      </c>
      <c r="B566" s="1" t="s">
        <v>116</v>
      </c>
      <c r="C566" s="1" t="s">
        <v>107</v>
      </c>
      <c r="D566" s="4">
        <v>319.0</v>
      </c>
      <c r="E566" s="4">
        <v>75.0</v>
      </c>
      <c r="G566" s="1" t="s">
        <v>111</v>
      </c>
      <c r="H566" s="1" t="s">
        <v>194</v>
      </c>
      <c r="I566" s="1" t="s">
        <v>1460</v>
      </c>
      <c r="J566" s="1" t="s">
        <v>1461</v>
      </c>
      <c r="K566" s="1" t="s">
        <v>1461</v>
      </c>
      <c r="M566" s="4">
        <v>-50.0</v>
      </c>
      <c r="O566" s="4">
        <v>8.617566666666667</v>
      </c>
    </row>
    <row r="567">
      <c r="A567" s="5">
        <v>45534.0</v>
      </c>
      <c r="B567" s="1" t="s">
        <v>110</v>
      </c>
      <c r="C567" s="1" t="s">
        <v>107</v>
      </c>
      <c r="D567" s="4">
        <v>249.0</v>
      </c>
      <c r="E567" s="4">
        <v>0.0</v>
      </c>
      <c r="G567" s="1" t="s">
        <v>111</v>
      </c>
      <c r="H567" s="1" t="s">
        <v>96</v>
      </c>
      <c r="I567" s="1" t="s">
        <v>1462</v>
      </c>
      <c r="J567" s="1" t="s">
        <v>1463</v>
      </c>
      <c r="K567" s="1" t="s">
        <v>1463</v>
      </c>
      <c r="M567" s="4">
        <v>2.0</v>
      </c>
      <c r="O567" s="4">
        <v>7.60215</v>
      </c>
    </row>
    <row r="568">
      <c r="A568" s="5">
        <v>45534.0</v>
      </c>
      <c r="B568" s="1" t="s">
        <v>103</v>
      </c>
      <c r="C568" s="1" t="s">
        <v>89</v>
      </c>
      <c r="D568" s="4">
        <v>394.0</v>
      </c>
      <c r="E568" s="4">
        <v>0.0</v>
      </c>
      <c r="F568" s="1" t="s">
        <v>122</v>
      </c>
      <c r="G568" s="1" t="s">
        <v>91</v>
      </c>
      <c r="H568" s="1" t="s">
        <v>92</v>
      </c>
      <c r="I568" s="1" t="s">
        <v>1464</v>
      </c>
      <c r="J568" s="1" t="s">
        <v>1465</v>
      </c>
      <c r="K568" s="1" t="s">
        <v>1465</v>
      </c>
      <c r="M568" s="4">
        <v>-4.0</v>
      </c>
      <c r="O568" s="4">
        <v>10.228966666666667</v>
      </c>
    </row>
    <row r="569">
      <c r="A569" s="5">
        <v>45534.0</v>
      </c>
      <c r="B569" s="1" t="s">
        <v>95</v>
      </c>
      <c r="C569" s="1" t="s">
        <v>89</v>
      </c>
      <c r="D569" s="4">
        <v>613.0</v>
      </c>
      <c r="E569" s="4">
        <v>0.0</v>
      </c>
      <c r="G569" s="1" t="s">
        <v>91</v>
      </c>
      <c r="H569" s="1" t="s">
        <v>92</v>
      </c>
      <c r="I569" s="1" t="s">
        <v>1466</v>
      </c>
      <c r="J569" s="1" t="s">
        <v>1467</v>
      </c>
      <c r="K569" s="1" t="s">
        <v>1467</v>
      </c>
      <c r="M569" s="4">
        <v>1.0</v>
      </c>
      <c r="O569" s="4">
        <v>10.843383333333334</v>
      </c>
    </row>
    <row r="570">
      <c r="A570" s="5">
        <v>45534.0</v>
      </c>
      <c r="B570" s="1" t="s">
        <v>95</v>
      </c>
      <c r="C570" s="1" t="s">
        <v>89</v>
      </c>
      <c r="D570" s="4">
        <v>279.0</v>
      </c>
      <c r="E570" s="4">
        <v>50.0</v>
      </c>
      <c r="G570" s="1" t="s">
        <v>91</v>
      </c>
      <c r="H570" s="1" t="s">
        <v>92</v>
      </c>
      <c r="I570" s="1" t="s">
        <v>1468</v>
      </c>
      <c r="J570" s="1" t="s">
        <v>1469</v>
      </c>
      <c r="K570" s="1" t="s">
        <v>1469</v>
      </c>
      <c r="M570" s="4">
        <v>0.0</v>
      </c>
      <c r="O570" s="4">
        <v>6.1954</v>
      </c>
    </row>
    <row r="571">
      <c r="A571" s="5">
        <v>45534.0</v>
      </c>
      <c r="B571" s="1" t="s">
        <v>103</v>
      </c>
      <c r="C571" s="1" t="s">
        <v>89</v>
      </c>
      <c r="D571" s="4">
        <v>307.0</v>
      </c>
      <c r="E571" s="4">
        <v>0.0</v>
      </c>
      <c r="F571" s="1" t="s">
        <v>1470</v>
      </c>
      <c r="G571" s="1" t="s">
        <v>91</v>
      </c>
      <c r="H571" s="1" t="s">
        <v>92</v>
      </c>
      <c r="I571" s="1" t="s">
        <v>1471</v>
      </c>
      <c r="J571" s="1" t="s">
        <v>1472</v>
      </c>
      <c r="K571" s="1" t="s">
        <v>1472</v>
      </c>
      <c r="M571" s="4">
        <v>-7.0</v>
      </c>
      <c r="O571" s="4">
        <v>7.022283333333333</v>
      </c>
    </row>
    <row r="572">
      <c r="A572" s="5">
        <v>45534.0</v>
      </c>
      <c r="B572" s="1" t="s">
        <v>95</v>
      </c>
      <c r="C572" s="1" t="s">
        <v>89</v>
      </c>
      <c r="D572" s="4">
        <v>393.0</v>
      </c>
      <c r="E572" s="4">
        <v>0.0</v>
      </c>
      <c r="G572" s="1" t="s">
        <v>91</v>
      </c>
      <c r="H572" s="1" t="s">
        <v>92</v>
      </c>
      <c r="I572" s="1" t="s">
        <v>1473</v>
      </c>
      <c r="J572" s="1" t="s">
        <v>1474</v>
      </c>
      <c r="K572" s="1" t="s">
        <v>1474</v>
      </c>
      <c r="M572" s="4">
        <v>-1.0</v>
      </c>
      <c r="O572" s="4">
        <v>6.81115</v>
      </c>
    </row>
    <row r="573">
      <c r="A573" s="5">
        <v>45534.0</v>
      </c>
      <c r="B573" s="1" t="s">
        <v>88</v>
      </c>
      <c r="C573" s="1" t="s">
        <v>107</v>
      </c>
      <c r="D573" s="4">
        <v>356.0</v>
      </c>
      <c r="E573" s="4">
        <v>0.0</v>
      </c>
      <c r="F573" s="1" t="s">
        <v>90</v>
      </c>
      <c r="G573" s="1" t="s">
        <v>91</v>
      </c>
      <c r="H573" s="1" t="s">
        <v>92</v>
      </c>
      <c r="I573" s="1" t="s">
        <v>1475</v>
      </c>
      <c r="J573" s="1" t="s">
        <v>1476</v>
      </c>
      <c r="K573" s="1" t="s">
        <v>1476</v>
      </c>
      <c r="M573" s="4">
        <v>-7.0</v>
      </c>
      <c r="O573" s="4">
        <v>7.191333333333334</v>
      </c>
    </row>
    <row r="574">
      <c r="A574" s="5">
        <v>45534.0</v>
      </c>
      <c r="B574" s="1" t="s">
        <v>116</v>
      </c>
      <c r="C574" s="1" t="s">
        <v>107</v>
      </c>
      <c r="D574" s="4">
        <v>407.0</v>
      </c>
      <c r="E574" s="4">
        <v>0.0</v>
      </c>
      <c r="F574" s="1" t="s">
        <v>774</v>
      </c>
      <c r="G574" s="1" t="s">
        <v>175</v>
      </c>
      <c r="H574" s="1" t="s">
        <v>92</v>
      </c>
      <c r="I574" s="1" t="s">
        <v>1477</v>
      </c>
      <c r="J574" s="1" t="s">
        <v>1478</v>
      </c>
      <c r="K574" s="1" t="s">
        <v>1479</v>
      </c>
      <c r="L574" s="1" t="s">
        <v>1480</v>
      </c>
      <c r="M574" s="4">
        <v>-15.0</v>
      </c>
      <c r="N574" s="4">
        <v>0.0098</v>
      </c>
      <c r="O574" s="4">
        <v>10.979316666666668</v>
      </c>
    </row>
    <row r="575">
      <c r="A575" s="5">
        <v>45534.0</v>
      </c>
      <c r="B575" s="1" t="s">
        <v>116</v>
      </c>
      <c r="C575" s="1" t="s">
        <v>107</v>
      </c>
      <c r="D575" s="4">
        <v>250.0</v>
      </c>
      <c r="E575" s="4">
        <v>0.0</v>
      </c>
      <c r="F575" s="1" t="s">
        <v>90</v>
      </c>
      <c r="G575" s="1" t="s">
        <v>175</v>
      </c>
      <c r="H575" s="1" t="s">
        <v>92</v>
      </c>
      <c r="I575" s="1" t="s">
        <v>1481</v>
      </c>
      <c r="J575" s="1" t="s">
        <v>1482</v>
      </c>
      <c r="K575" s="1" t="s">
        <v>1483</v>
      </c>
      <c r="L575" s="1" t="s">
        <v>1484</v>
      </c>
      <c r="M575" s="4">
        <v>-9.0</v>
      </c>
      <c r="N575" s="4">
        <v>2.1130166666666668</v>
      </c>
      <c r="O575" s="4">
        <v>6.5643</v>
      </c>
    </row>
    <row r="576">
      <c r="A576" s="5">
        <v>45534.0</v>
      </c>
      <c r="B576" s="1" t="s">
        <v>95</v>
      </c>
      <c r="C576" s="1" t="s">
        <v>107</v>
      </c>
      <c r="D576" s="4">
        <v>378.0</v>
      </c>
      <c r="E576" s="4">
        <v>150.0</v>
      </c>
      <c r="G576" s="1" t="s">
        <v>91</v>
      </c>
      <c r="H576" s="1" t="s">
        <v>92</v>
      </c>
      <c r="I576" s="1" t="s">
        <v>1485</v>
      </c>
      <c r="J576" s="1" t="s">
        <v>1486</v>
      </c>
      <c r="K576" s="1" t="s">
        <v>1486</v>
      </c>
      <c r="M576" s="4">
        <v>-1.0</v>
      </c>
      <c r="O576" s="4">
        <v>7.8474</v>
      </c>
    </row>
    <row r="577">
      <c r="A577" s="5">
        <v>45534.0</v>
      </c>
      <c r="B577" s="1" t="s">
        <v>116</v>
      </c>
      <c r="C577" s="1" t="s">
        <v>107</v>
      </c>
      <c r="D577" s="4">
        <v>437.0</v>
      </c>
      <c r="E577" s="4">
        <v>0.0</v>
      </c>
      <c r="F577" s="1" t="s">
        <v>386</v>
      </c>
      <c r="G577" s="1" t="s">
        <v>175</v>
      </c>
      <c r="H577" s="1" t="s">
        <v>92</v>
      </c>
      <c r="I577" s="1" t="s">
        <v>1487</v>
      </c>
      <c r="J577" s="1" t="s">
        <v>1488</v>
      </c>
      <c r="K577" s="1" t="s">
        <v>1489</v>
      </c>
      <c r="L577" s="1" t="s">
        <v>1490</v>
      </c>
      <c r="M577" s="4">
        <v>-21.0</v>
      </c>
      <c r="N577" s="4">
        <v>0.014583333333333334</v>
      </c>
      <c r="O577" s="4">
        <v>7.577016666666666</v>
      </c>
    </row>
    <row r="578">
      <c r="A578" s="5">
        <v>45534.0</v>
      </c>
      <c r="B578" s="1" t="s">
        <v>116</v>
      </c>
      <c r="C578" s="1" t="s">
        <v>107</v>
      </c>
      <c r="D578" s="4">
        <v>603.0</v>
      </c>
      <c r="E578" s="4">
        <v>149.0</v>
      </c>
      <c r="G578" s="1" t="s">
        <v>111</v>
      </c>
      <c r="H578" s="1" t="s">
        <v>92</v>
      </c>
      <c r="I578" s="1" t="s">
        <v>1491</v>
      </c>
      <c r="J578" s="1" t="s">
        <v>1492</v>
      </c>
      <c r="K578" s="1" t="s">
        <v>1492</v>
      </c>
      <c r="M578" s="4">
        <v>-13.0</v>
      </c>
      <c r="O578" s="4">
        <v>9.189666666666668</v>
      </c>
    </row>
    <row r="579">
      <c r="A579" s="5">
        <v>45534.0</v>
      </c>
      <c r="B579" s="1" t="s">
        <v>116</v>
      </c>
      <c r="C579" s="1" t="s">
        <v>107</v>
      </c>
      <c r="D579" s="4">
        <v>200.0</v>
      </c>
      <c r="E579" s="4">
        <v>59.0</v>
      </c>
      <c r="G579" s="1" t="s">
        <v>111</v>
      </c>
      <c r="H579" s="1" t="s">
        <v>92</v>
      </c>
      <c r="I579" s="1" t="s">
        <v>1493</v>
      </c>
      <c r="J579" s="1" t="s">
        <v>1494</v>
      </c>
      <c r="K579" s="1" t="s">
        <v>1494</v>
      </c>
      <c r="M579" s="4">
        <v>-11.0</v>
      </c>
      <c r="O579" s="4">
        <v>4.875133333333333</v>
      </c>
    </row>
    <row r="580">
      <c r="A580" s="5">
        <v>45534.0</v>
      </c>
      <c r="B580" s="1" t="s">
        <v>88</v>
      </c>
      <c r="C580" s="1" t="s">
        <v>107</v>
      </c>
      <c r="D580" s="4">
        <v>642.0</v>
      </c>
      <c r="E580" s="4">
        <v>0.0</v>
      </c>
      <c r="F580" s="1" t="s">
        <v>90</v>
      </c>
      <c r="G580" s="1" t="s">
        <v>91</v>
      </c>
      <c r="H580" s="1" t="s">
        <v>92</v>
      </c>
      <c r="I580" s="1" t="s">
        <v>1495</v>
      </c>
      <c r="J580" s="1" t="s">
        <v>1496</v>
      </c>
      <c r="K580" s="1" t="s">
        <v>1496</v>
      </c>
      <c r="M580" s="4">
        <v>-10.0</v>
      </c>
      <c r="O580" s="4">
        <v>9.992216666666666</v>
      </c>
    </row>
    <row r="581">
      <c r="A581" s="5">
        <v>45534.0</v>
      </c>
      <c r="B581" s="1" t="s">
        <v>88</v>
      </c>
      <c r="C581" s="1" t="s">
        <v>107</v>
      </c>
      <c r="D581" s="4">
        <v>822.0</v>
      </c>
      <c r="E581" s="4">
        <v>0.0</v>
      </c>
      <c r="F581" s="1" t="s">
        <v>90</v>
      </c>
      <c r="G581" s="1" t="s">
        <v>91</v>
      </c>
      <c r="H581" s="1" t="s">
        <v>92</v>
      </c>
      <c r="I581" s="1" t="s">
        <v>1497</v>
      </c>
      <c r="J581" s="1" t="s">
        <v>1498</v>
      </c>
      <c r="K581" s="1" t="s">
        <v>1498</v>
      </c>
      <c r="M581" s="4">
        <v>-10.0</v>
      </c>
      <c r="O581" s="4">
        <v>9.447983333333333</v>
      </c>
    </row>
    <row r="582">
      <c r="A582" s="5">
        <v>45534.0</v>
      </c>
      <c r="B582" s="1" t="s">
        <v>116</v>
      </c>
      <c r="C582" s="1" t="s">
        <v>107</v>
      </c>
      <c r="D582" s="4">
        <v>403.0</v>
      </c>
      <c r="E582" s="4">
        <v>61.0</v>
      </c>
      <c r="G582" s="1" t="s">
        <v>111</v>
      </c>
      <c r="H582" s="1" t="s">
        <v>92</v>
      </c>
      <c r="I582" s="1" t="s">
        <v>1499</v>
      </c>
      <c r="J582" s="1" t="s">
        <v>1500</v>
      </c>
      <c r="K582" s="1" t="s">
        <v>1500</v>
      </c>
      <c r="M582" s="4">
        <v>-10.0</v>
      </c>
      <c r="O582" s="4">
        <v>8.146983333333333</v>
      </c>
    </row>
    <row r="583">
      <c r="A583" s="5">
        <v>45534.0</v>
      </c>
      <c r="B583" s="1" t="s">
        <v>95</v>
      </c>
      <c r="C583" s="1" t="s">
        <v>89</v>
      </c>
      <c r="D583" s="4">
        <v>270.0</v>
      </c>
      <c r="E583" s="4">
        <v>100.0</v>
      </c>
      <c r="G583" s="1" t="s">
        <v>91</v>
      </c>
      <c r="H583" s="1" t="s">
        <v>92</v>
      </c>
      <c r="I583" s="1" t="s">
        <v>1501</v>
      </c>
      <c r="J583" s="1" t="s">
        <v>1502</v>
      </c>
      <c r="K583" s="1" t="s">
        <v>1502</v>
      </c>
      <c r="M583" s="4">
        <v>-1.0</v>
      </c>
      <c r="O583" s="4">
        <v>6.533616666666667</v>
      </c>
    </row>
    <row r="584">
      <c r="A584" s="5">
        <v>45534.0</v>
      </c>
      <c r="B584" s="1" t="s">
        <v>116</v>
      </c>
      <c r="C584" s="1" t="s">
        <v>107</v>
      </c>
      <c r="D584" s="4">
        <v>250.0</v>
      </c>
      <c r="E584" s="4">
        <v>0.0</v>
      </c>
      <c r="F584" s="1" t="s">
        <v>386</v>
      </c>
      <c r="G584" s="1" t="s">
        <v>175</v>
      </c>
      <c r="H584" s="1" t="s">
        <v>92</v>
      </c>
      <c r="I584" s="1" t="s">
        <v>1503</v>
      </c>
      <c r="J584" s="1" t="s">
        <v>1504</v>
      </c>
      <c r="K584" s="1" t="s">
        <v>1505</v>
      </c>
      <c r="L584" s="1" t="s">
        <v>1506</v>
      </c>
      <c r="M584" s="4">
        <v>-15.0</v>
      </c>
      <c r="N584" s="4">
        <v>0.010166666666666666</v>
      </c>
      <c r="O584" s="4">
        <v>7.6722166666666665</v>
      </c>
    </row>
    <row r="585">
      <c r="A585" s="5">
        <v>45534.0</v>
      </c>
      <c r="B585" s="1" t="s">
        <v>95</v>
      </c>
      <c r="C585" s="1" t="s">
        <v>89</v>
      </c>
      <c r="D585" s="4">
        <v>645.0</v>
      </c>
      <c r="E585" s="4">
        <v>0.0</v>
      </c>
      <c r="G585" s="1" t="s">
        <v>91</v>
      </c>
      <c r="H585" s="1" t="s">
        <v>92</v>
      </c>
      <c r="I585" s="1" t="s">
        <v>1507</v>
      </c>
      <c r="J585" s="1" t="s">
        <v>1508</v>
      </c>
      <c r="K585" s="1" t="s">
        <v>1508</v>
      </c>
      <c r="M585" s="4">
        <v>1.0</v>
      </c>
      <c r="O585" s="4">
        <v>10.611033333333333</v>
      </c>
    </row>
    <row r="586">
      <c r="A586" s="5">
        <v>45534.0</v>
      </c>
      <c r="B586" s="1" t="s">
        <v>116</v>
      </c>
      <c r="C586" s="1" t="s">
        <v>107</v>
      </c>
      <c r="D586" s="4">
        <v>247.0</v>
      </c>
      <c r="E586" s="4">
        <v>62.0</v>
      </c>
      <c r="G586" s="1" t="s">
        <v>111</v>
      </c>
      <c r="H586" s="1" t="s">
        <v>194</v>
      </c>
      <c r="I586" s="1" t="s">
        <v>1509</v>
      </c>
      <c r="J586" s="1" t="s">
        <v>1510</v>
      </c>
      <c r="K586" s="1" t="s">
        <v>1510</v>
      </c>
      <c r="M586" s="4">
        <v>-12.0</v>
      </c>
      <c r="O586" s="4">
        <v>8.000883333333332</v>
      </c>
    </row>
    <row r="587">
      <c r="A587" s="5">
        <v>45534.0</v>
      </c>
      <c r="B587" s="1" t="s">
        <v>116</v>
      </c>
      <c r="C587" s="1" t="s">
        <v>107</v>
      </c>
      <c r="D587" s="4">
        <v>598.0</v>
      </c>
      <c r="E587" s="4">
        <v>149.0</v>
      </c>
      <c r="G587" s="1" t="s">
        <v>111</v>
      </c>
      <c r="H587" s="1" t="s">
        <v>194</v>
      </c>
      <c r="I587" s="1" t="s">
        <v>1511</v>
      </c>
      <c r="J587" s="1" t="s">
        <v>1512</v>
      </c>
      <c r="K587" s="1" t="s">
        <v>1512</v>
      </c>
      <c r="M587" s="4">
        <v>-15.0</v>
      </c>
      <c r="O587" s="4">
        <v>9.2897</v>
      </c>
    </row>
    <row r="588">
      <c r="A588" s="5">
        <v>45534.0</v>
      </c>
      <c r="B588" s="1" t="s">
        <v>110</v>
      </c>
      <c r="C588" s="1" t="s">
        <v>107</v>
      </c>
      <c r="D588" s="4">
        <v>309.0</v>
      </c>
      <c r="E588" s="4">
        <v>0.0</v>
      </c>
      <c r="G588" s="1" t="s">
        <v>111</v>
      </c>
      <c r="H588" s="1" t="s">
        <v>96</v>
      </c>
      <c r="I588" s="1" t="s">
        <v>1513</v>
      </c>
      <c r="J588" s="1" t="s">
        <v>1514</v>
      </c>
      <c r="K588" s="1" t="s">
        <v>1514</v>
      </c>
      <c r="M588" s="4">
        <v>-4.0</v>
      </c>
      <c r="O588" s="4">
        <v>0.57155</v>
      </c>
    </row>
    <row r="589">
      <c r="A589" s="5">
        <v>45534.0</v>
      </c>
      <c r="B589" s="1" t="s">
        <v>88</v>
      </c>
      <c r="C589" s="1" t="s">
        <v>107</v>
      </c>
      <c r="D589" s="4">
        <v>144.0</v>
      </c>
      <c r="E589" s="4">
        <v>0.0</v>
      </c>
      <c r="F589" s="1" t="s">
        <v>90</v>
      </c>
      <c r="G589" s="1" t="s">
        <v>91</v>
      </c>
      <c r="H589" s="1" t="s">
        <v>92</v>
      </c>
      <c r="I589" s="1" t="s">
        <v>1515</v>
      </c>
      <c r="J589" s="1" t="s">
        <v>1516</v>
      </c>
      <c r="K589" s="1" t="s">
        <v>1516</v>
      </c>
      <c r="M589" s="4">
        <v>-8.0</v>
      </c>
      <c r="O589" s="4">
        <v>6.068366666666667</v>
      </c>
    </row>
    <row r="590">
      <c r="A590" s="5">
        <v>45534.0</v>
      </c>
      <c r="B590" s="1" t="s">
        <v>88</v>
      </c>
      <c r="C590" s="1" t="s">
        <v>107</v>
      </c>
      <c r="D590" s="4">
        <v>364.0</v>
      </c>
      <c r="E590" s="4">
        <v>0.0</v>
      </c>
      <c r="F590" s="1" t="s">
        <v>90</v>
      </c>
      <c r="G590" s="1" t="s">
        <v>91</v>
      </c>
      <c r="H590" s="1" t="s">
        <v>92</v>
      </c>
      <c r="I590" s="1" t="s">
        <v>1517</v>
      </c>
      <c r="J590" s="1" t="s">
        <v>1518</v>
      </c>
      <c r="K590" s="1" t="s">
        <v>1518</v>
      </c>
      <c r="M590" s="4">
        <v>-8.0</v>
      </c>
      <c r="O590" s="4">
        <v>6.478683333333334</v>
      </c>
    </row>
    <row r="591">
      <c r="A591" s="5">
        <v>45534.0</v>
      </c>
      <c r="B591" s="1" t="s">
        <v>116</v>
      </c>
      <c r="C591" s="1" t="s">
        <v>107</v>
      </c>
      <c r="D591" s="4">
        <v>355.0</v>
      </c>
      <c r="E591" s="4">
        <v>0.0</v>
      </c>
      <c r="F591" s="1" t="s">
        <v>386</v>
      </c>
      <c r="G591" s="1" t="s">
        <v>175</v>
      </c>
      <c r="H591" s="1" t="s">
        <v>92</v>
      </c>
      <c r="I591" s="1" t="s">
        <v>1519</v>
      </c>
      <c r="J591" s="1" t="s">
        <v>1520</v>
      </c>
      <c r="K591" s="1" t="s">
        <v>1521</v>
      </c>
      <c r="L591" s="1" t="s">
        <v>1522</v>
      </c>
      <c r="M591" s="4">
        <v>-22.0</v>
      </c>
      <c r="N591" s="4">
        <v>0.013583333333333333</v>
      </c>
      <c r="O591" s="4">
        <v>10.487816666666667</v>
      </c>
    </row>
    <row r="592">
      <c r="A592" s="5">
        <v>45534.0</v>
      </c>
      <c r="B592" s="1" t="s">
        <v>95</v>
      </c>
      <c r="C592" s="1" t="s">
        <v>89</v>
      </c>
      <c r="D592" s="4">
        <v>319.0</v>
      </c>
      <c r="E592" s="4">
        <v>0.0</v>
      </c>
      <c r="G592" s="1" t="s">
        <v>91</v>
      </c>
      <c r="H592" s="1" t="s">
        <v>92</v>
      </c>
      <c r="I592" s="1" t="s">
        <v>1523</v>
      </c>
      <c r="J592" s="1" t="s">
        <v>1524</v>
      </c>
      <c r="K592" s="1" t="s">
        <v>1524</v>
      </c>
      <c r="M592" s="4">
        <v>0.0</v>
      </c>
      <c r="O592" s="4">
        <v>7.2187833333333336</v>
      </c>
    </row>
    <row r="593">
      <c r="A593" s="5">
        <v>45534.0</v>
      </c>
      <c r="B593" s="1" t="s">
        <v>88</v>
      </c>
      <c r="C593" s="1" t="s">
        <v>107</v>
      </c>
      <c r="D593" s="4">
        <v>294.0</v>
      </c>
      <c r="E593" s="4">
        <v>0.0</v>
      </c>
      <c r="F593" s="1" t="s">
        <v>90</v>
      </c>
      <c r="G593" s="1" t="s">
        <v>91</v>
      </c>
      <c r="H593" s="1" t="s">
        <v>92</v>
      </c>
      <c r="I593" s="1" t="s">
        <v>1525</v>
      </c>
      <c r="J593" s="1" t="s">
        <v>1526</v>
      </c>
      <c r="K593" s="1" t="s">
        <v>1526</v>
      </c>
      <c r="M593" s="4">
        <v>-7.0</v>
      </c>
      <c r="O593" s="4">
        <v>7.644333333333333</v>
      </c>
    </row>
    <row r="594">
      <c r="A594" s="5">
        <v>45534.0</v>
      </c>
      <c r="B594" s="1" t="s">
        <v>103</v>
      </c>
      <c r="C594" s="1" t="s">
        <v>89</v>
      </c>
      <c r="D594" s="4">
        <v>264.0</v>
      </c>
      <c r="E594" s="4">
        <v>0.0</v>
      </c>
      <c r="F594" s="1" t="s">
        <v>1527</v>
      </c>
      <c r="G594" s="1" t="s">
        <v>91</v>
      </c>
      <c r="H594" s="1" t="s">
        <v>92</v>
      </c>
      <c r="I594" s="1" t="s">
        <v>1528</v>
      </c>
      <c r="J594" s="1" t="s">
        <v>1529</v>
      </c>
      <c r="K594" s="1" t="s">
        <v>1529</v>
      </c>
      <c r="M594" s="4">
        <v>-9.0</v>
      </c>
      <c r="O594" s="4">
        <v>5.4252</v>
      </c>
    </row>
    <row r="595">
      <c r="A595" s="5">
        <v>45534.0</v>
      </c>
      <c r="B595" s="1" t="s">
        <v>95</v>
      </c>
      <c r="C595" s="1" t="s">
        <v>107</v>
      </c>
      <c r="D595" s="4">
        <v>289.0</v>
      </c>
      <c r="E595" s="4">
        <v>0.0</v>
      </c>
      <c r="G595" s="1" t="s">
        <v>91</v>
      </c>
      <c r="H595" s="1" t="s">
        <v>92</v>
      </c>
      <c r="I595" s="1" t="s">
        <v>1530</v>
      </c>
      <c r="J595" s="1" t="s">
        <v>1531</v>
      </c>
      <c r="K595" s="1" t="s">
        <v>1531</v>
      </c>
      <c r="M595" s="4">
        <v>3.0</v>
      </c>
      <c r="O595" s="4">
        <v>10.397283333333334</v>
      </c>
    </row>
    <row r="596">
      <c r="A596" s="5">
        <v>45534.0</v>
      </c>
      <c r="B596" s="1" t="s">
        <v>88</v>
      </c>
      <c r="C596" s="1" t="s">
        <v>107</v>
      </c>
      <c r="D596" s="4">
        <v>354.0</v>
      </c>
      <c r="E596" s="4">
        <v>0.0</v>
      </c>
      <c r="F596" s="1" t="s">
        <v>90</v>
      </c>
      <c r="G596" s="1" t="s">
        <v>91</v>
      </c>
      <c r="H596" s="1" t="s">
        <v>92</v>
      </c>
      <c r="I596" s="1" t="s">
        <v>1532</v>
      </c>
      <c r="J596" s="1" t="s">
        <v>1533</v>
      </c>
      <c r="K596" s="1" t="s">
        <v>1533</v>
      </c>
      <c r="M596" s="4">
        <v>-2.0</v>
      </c>
      <c r="O596" s="4">
        <v>12.733266666666667</v>
      </c>
    </row>
    <row r="597">
      <c r="A597" s="5">
        <v>45534.0</v>
      </c>
      <c r="B597" s="1" t="s">
        <v>88</v>
      </c>
      <c r="C597" s="1" t="s">
        <v>107</v>
      </c>
      <c r="D597" s="4">
        <v>428.0</v>
      </c>
      <c r="E597" s="4">
        <v>0.0</v>
      </c>
      <c r="F597" s="1" t="s">
        <v>90</v>
      </c>
      <c r="G597" s="1" t="s">
        <v>91</v>
      </c>
      <c r="H597" s="1" t="s">
        <v>92</v>
      </c>
      <c r="I597" s="1" t="s">
        <v>1534</v>
      </c>
      <c r="J597" s="1" t="s">
        <v>1535</v>
      </c>
      <c r="K597" s="1" t="s">
        <v>1535</v>
      </c>
      <c r="M597" s="4">
        <v>-1.0</v>
      </c>
      <c r="O597" s="4">
        <v>13.79905</v>
      </c>
    </row>
    <row r="598">
      <c r="A598" s="5">
        <v>45534.0</v>
      </c>
      <c r="B598" s="1" t="s">
        <v>116</v>
      </c>
      <c r="C598" s="1" t="s">
        <v>107</v>
      </c>
      <c r="D598" s="4">
        <v>285.0</v>
      </c>
      <c r="E598" s="4">
        <v>14.0</v>
      </c>
      <c r="F598" s="1" t="s">
        <v>386</v>
      </c>
      <c r="G598" s="1" t="s">
        <v>175</v>
      </c>
      <c r="H598" s="1" t="s">
        <v>92</v>
      </c>
      <c r="I598" s="1" t="s">
        <v>1536</v>
      </c>
      <c r="J598" s="1" t="s">
        <v>1537</v>
      </c>
      <c r="K598" s="1" t="s">
        <v>1538</v>
      </c>
      <c r="L598" s="1" t="s">
        <v>1539</v>
      </c>
      <c r="M598" s="4">
        <v>-21.0</v>
      </c>
      <c r="N598" s="4">
        <v>0.013066666666666667</v>
      </c>
      <c r="O598" s="4">
        <v>20.001733333333334</v>
      </c>
    </row>
    <row r="599">
      <c r="A599" s="5">
        <v>45534.0</v>
      </c>
      <c r="B599" s="1" t="s">
        <v>95</v>
      </c>
      <c r="C599" s="1" t="s">
        <v>107</v>
      </c>
      <c r="D599" s="4">
        <v>324.0</v>
      </c>
      <c r="E599" s="4">
        <v>0.0</v>
      </c>
      <c r="G599" s="1" t="s">
        <v>91</v>
      </c>
      <c r="H599" s="1" t="s">
        <v>92</v>
      </c>
      <c r="I599" s="1" t="s">
        <v>1540</v>
      </c>
      <c r="J599" s="1" t="s">
        <v>1541</v>
      </c>
      <c r="K599" s="1" t="s">
        <v>1541</v>
      </c>
      <c r="M599" s="4">
        <v>0.0</v>
      </c>
      <c r="O599" s="4">
        <v>7.793066666666666</v>
      </c>
    </row>
    <row r="600">
      <c r="A600" s="5">
        <v>45534.0</v>
      </c>
      <c r="B600" s="1" t="s">
        <v>116</v>
      </c>
      <c r="C600" s="1" t="s">
        <v>107</v>
      </c>
      <c r="D600" s="4">
        <v>203.0</v>
      </c>
      <c r="E600" s="4">
        <v>203.0</v>
      </c>
      <c r="F600" s="1" t="s">
        <v>386</v>
      </c>
      <c r="G600" s="1" t="s">
        <v>175</v>
      </c>
      <c r="H600" s="1" t="s">
        <v>92</v>
      </c>
      <c r="I600" s="1" t="s">
        <v>1542</v>
      </c>
      <c r="J600" s="1" t="s">
        <v>1543</v>
      </c>
      <c r="K600" s="1" t="s">
        <v>1544</v>
      </c>
      <c r="L600" s="1" t="s">
        <v>1545</v>
      </c>
      <c r="M600" s="4">
        <v>-19.0</v>
      </c>
      <c r="N600" s="4">
        <v>0.010966666666666666</v>
      </c>
      <c r="O600" s="4">
        <v>11.292</v>
      </c>
    </row>
    <row r="601">
      <c r="A601" s="5">
        <v>45534.0</v>
      </c>
      <c r="B601" s="1" t="s">
        <v>88</v>
      </c>
      <c r="C601" s="1" t="s">
        <v>107</v>
      </c>
      <c r="D601" s="4">
        <v>488.0</v>
      </c>
      <c r="E601" s="4">
        <v>0.0</v>
      </c>
      <c r="F601" s="1" t="s">
        <v>90</v>
      </c>
      <c r="G601" s="1" t="s">
        <v>91</v>
      </c>
      <c r="H601" s="1" t="s">
        <v>92</v>
      </c>
      <c r="I601" s="1" t="s">
        <v>1546</v>
      </c>
      <c r="J601" s="1" t="s">
        <v>1547</v>
      </c>
      <c r="K601" s="1" t="s">
        <v>1547</v>
      </c>
      <c r="M601" s="4">
        <v>0.0</v>
      </c>
      <c r="O601" s="4">
        <v>15.018016666666666</v>
      </c>
    </row>
    <row r="602">
      <c r="A602" s="5">
        <v>45534.0</v>
      </c>
      <c r="B602" s="1" t="s">
        <v>88</v>
      </c>
      <c r="C602" s="1" t="s">
        <v>107</v>
      </c>
      <c r="D602" s="4">
        <v>618.0</v>
      </c>
      <c r="E602" s="4">
        <v>0.0</v>
      </c>
      <c r="F602" s="1" t="s">
        <v>90</v>
      </c>
      <c r="G602" s="1" t="s">
        <v>91</v>
      </c>
      <c r="H602" s="1" t="s">
        <v>92</v>
      </c>
      <c r="I602" s="1" t="s">
        <v>1548</v>
      </c>
      <c r="J602" s="1" t="s">
        <v>1549</v>
      </c>
      <c r="K602" s="1" t="s">
        <v>1549</v>
      </c>
      <c r="M602" s="4">
        <v>-7.0</v>
      </c>
      <c r="O602" s="4">
        <v>12.282166666666667</v>
      </c>
    </row>
    <row r="603">
      <c r="A603" s="5">
        <v>45535.0</v>
      </c>
      <c r="B603" s="1" t="s">
        <v>88</v>
      </c>
      <c r="C603" s="1" t="s">
        <v>107</v>
      </c>
      <c r="D603" s="4">
        <v>264.0</v>
      </c>
      <c r="E603" s="4">
        <v>0.0</v>
      </c>
      <c r="F603" s="1" t="s">
        <v>90</v>
      </c>
      <c r="G603" s="1" t="s">
        <v>91</v>
      </c>
      <c r="H603" s="1" t="s">
        <v>92</v>
      </c>
      <c r="I603" s="1" t="s">
        <v>1550</v>
      </c>
      <c r="J603" s="1" t="s">
        <v>1551</v>
      </c>
      <c r="K603" s="1" t="s">
        <v>1551</v>
      </c>
      <c r="M603" s="4">
        <v>-7.0</v>
      </c>
      <c r="O603" s="4">
        <v>7.762183333333334</v>
      </c>
    </row>
    <row r="604">
      <c r="A604" s="5">
        <v>45535.0</v>
      </c>
      <c r="B604" s="1" t="s">
        <v>116</v>
      </c>
      <c r="C604" s="1" t="s">
        <v>107</v>
      </c>
      <c r="D604" s="4">
        <v>389.0</v>
      </c>
      <c r="E604" s="4">
        <v>109.0</v>
      </c>
      <c r="G604" s="1" t="s">
        <v>111</v>
      </c>
      <c r="H604" s="1" t="s">
        <v>194</v>
      </c>
      <c r="I604" s="1" t="s">
        <v>1552</v>
      </c>
      <c r="J604" s="1" t="s">
        <v>1553</v>
      </c>
      <c r="K604" s="1" t="s">
        <v>1553</v>
      </c>
      <c r="M604" s="4">
        <v>-9.0</v>
      </c>
      <c r="O604" s="4">
        <v>10.280116666666666</v>
      </c>
    </row>
    <row r="605">
      <c r="A605" s="5">
        <v>45535.0</v>
      </c>
      <c r="B605" s="1" t="s">
        <v>88</v>
      </c>
      <c r="C605" s="1" t="s">
        <v>107</v>
      </c>
      <c r="D605" s="4">
        <v>364.0</v>
      </c>
      <c r="E605" s="4">
        <v>0.0</v>
      </c>
      <c r="F605" s="1" t="s">
        <v>90</v>
      </c>
      <c r="G605" s="1" t="s">
        <v>91</v>
      </c>
      <c r="H605" s="1" t="s">
        <v>92</v>
      </c>
      <c r="I605" s="1" t="s">
        <v>1554</v>
      </c>
      <c r="J605" s="1" t="s">
        <v>1555</v>
      </c>
      <c r="K605" s="1" t="s">
        <v>1555</v>
      </c>
      <c r="M605" s="4">
        <v>-8.0</v>
      </c>
      <c r="O605" s="4">
        <v>8.3564</v>
      </c>
    </row>
    <row r="606">
      <c r="A606" s="5">
        <v>45535.0</v>
      </c>
      <c r="B606" s="1" t="s">
        <v>103</v>
      </c>
      <c r="C606" s="1" t="s">
        <v>107</v>
      </c>
      <c r="D606" s="4">
        <v>329.0</v>
      </c>
      <c r="E606" s="4">
        <v>0.0</v>
      </c>
      <c r="F606" s="1" t="s">
        <v>1556</v>
      </c>
      <c r="G606" s="1" t="s">
        <v>91</v>
      </c>
      <c r="H606" s="1" t="s">
        <v>92</v>
      </c>
      <c r="I606" s="1" t="s">
        <v>1557</v>
      </c>
      <c r="J606" s="1" t="s">
        <v>1558</v>
      </c>
      <c r="K606" s="1" t="s">
        <v>1558</v>
      </c>
      <c r="M606" s="4">
        <v>-7.0</v>
      </c>
      <c r="O606" s="4">
        <v>7.041133333333334</v>
      </c>
    </row>
    <row r="607">
      <c r="A607" s="5">
        <v>45535.0</v>
      </c>
      <c r="B607" s="1" t="s">
        <v>116</v>
      </c>
      <c r="C607" s="1" t="s">
        <v>107</v>
      </c>
      <c r="D607" s="4">
        <v>139.0</v>
      </c>
      <c r="E607" s="4">
        <v>0.0</v>
      </c>
      <c r="G607" s="1" t="s">
        <v>111</v>
      </c>
      <c r="H607" s="1" t="s">
        <v>96</v>
      </c>
      <c r="I607" s="1" t="s">
        <v>1559</v>
      </c>
      <c r="J607" s="1" t="s">
        <v>1560</v>
      </c>
      <c r="K607" s="1" t="s">
        <v>1560</v>
      </c>
      <c r="M607" s="4">
        <v>-12.0</v>
      </c>
      <c r="O607" s="4">
        <v>6.412583333333333</v>
      </c>
    </row>
    <row r="608">
      <c r="A608" s="5">
        <v>45535.0</v>
      </c>
      <c r="B608" s="1" t="s">
        <v>95</v>
      </c>
      <c r="C608" s="1" t="s">
        <v>107</v>
      </c>
      <c r="D608" s="4">
        <v>294.0</v>
      </c>
      <c r="E608" s="4">
        <v>100.0</v>
      </c>
      <c r="G608" s="1" t="s">
        <v>91</v>
      </c>
      <c r="H608" s="1" t="s">
        <v>96</v>
      </c>
      <c r="I608" s="1" t="s">
        <v>1561</v>
      </c>
      <c r="J608" s="1" t="s">
        <v>1562</v>
      </c>
      <c r="K608" s="1" t="s">
        <v>1562</v>
      </c>
      <c r="M608" s="4">
        <v>0.0</v>
      </c>
      <c r="O608" s="4">
        <v>8.138183333333334</v>
      </c>
    </row>
    <row r="609">
      <c r="A609" s="5">
        <v>45535.0</v>
      </c>
      <c r="B609" s="1" t="s">
        <v>88</v>
      </c>
      <c r="C609" s="1" t="s">
        <v>107</v>
      </c>
      <c r="D609" s="4">
        <v>707.0</v>
      </c>
      <c r="E609" s="4">
        <v>0.0</v>
      </c>
      <c r="F609" s="1" t="s">
        <v>90</v>
      </c>
      <c r="G609" s="1" t="s">
        <v>91</v>
      </c>
      <c r="H609" s="1" t="s">
        <v>92</v>
      </c>
      <c r="I609" s="1" t="s">
        <v>1563</v>
      </c>
      <c r="J609" s="1" t="s">
        <v>1564</v>
      </c>
      <c r="K609" s="1" t="s">
        <v>1564</v>
      </c>
      <c r="M609" s="4">
        <v>-7.0</v>
      </c>
      <c r="O609" s="4">
        <v>12.2552</v>
      </c>
    </row>
    <row r="610">
      <c r="A610" s="5">
        <v>45535.0</v>
      </c>
      <c r="B610" s="1" t="s">
        <v>95</v>
      </c>
      <c r="C610" s="1" t="s">
        <v>107</v>
      </c>
      <c r="D610" s="4">
        <v>269.0</v>
      </c>
      <c r="E610" s="4">
        <v>100.0</v>
      </c>
      <c r="G610" s="1" t="s">
        <v>91</v>
      </c>
      <c r="H610" s="1" t="s">
        <v>96</v>
      </c>
      <c r="I610" s="1" t="s">
        <v>1565</v>
      </c>
      <c r="J610" s="1" t="s">
        <v>1566</v>
      </c>
      <c r="K610" s="1" t="s">
        <v>1566</v>
      </c>
      <c r="M610" s="4">
        <v>0.0</v>
      </c>
      <c r="O610" s="4">
        <v>6.99255</v>
      </c>
    </row>
    <row r="611">
      <c r="A611" s="5">
        <v>45535.0</v>
      </c>
      <c r="B611" s="1" t="s">
        <v>103</v>
      </c>
      <c r="C611" s="1" t="s">
        <v>107</v>
      </c>
      <c r="D611" s="4">
        <v>474.0</v>
      </c>
      <c r="E611" s="4">
        <v>0.0</v>
      </c>
      <c r="F611" s="1" t="s">
        <v>1567</v>
      </c>
      <c r="G611" s="1" t="s">
        <v>91</v>
      </c>
      <c r="H611" s="1" t="s">
        <v>92</v>
      </c>
      <c r="I611" s="1" t="s">
        <v>1568</v>
      </c>
      <c r="J611" s="1" t="s">
        <v>1569</v>
      </c>
      <c r="K611" s="1" t="s">
        <v>1569</v>
      </c>
      <c r="M611" s="4">
        <v>-5.0</v>
      </c>
      <c r="O611" s="4">
        <v>9.130516666666667</v>
      </c>
    </row>
    <row r="612">
      <c r="A612" s="5">
        <v>45535.0</v>
      </c>
      <c r="B612" s="1" t="s">
        <v>95</v>
      </c>
      <c r="C612" s="1" t="s">
        <v>107</v>
      </c>
      <c r="D612" s="4">
        <v>329.0</v>
      </c>
      <c r="E612" s="4">
        <v>0.0</v>
      </c>
      <c r="G612" s="1" t="s">
        <v>91</v>
      </c>
      <c r="H612" s="1" t="s">
        <v>96</v>
      </c>
      <c r="I612" s="1" t="s">
        <v>1570</v>
      </c>
      <c r="J612" s="1" t="s">
        <v>1571</v>
      </c>
      <c r="K612" s="1" t="s">
        <v>1571</v>
      </c>
      <c r="M612" s="4">
        <v>0.0</v>
      </c>
      <c r="O612" s="4">
        <v>8.460083333333333</v>
      </c>
    </row>
    <row r="613">
      <c r="A613" s="5">
        <v>45535.0</v>
      </c>
      <c r="B613" s="1" t="s">
        <v>95</v>
      </c>
      <c r="C613" s="1" t="s">
        <v>107</v>
      </c>
      <c r="D613" s="4">
        <v>658.0</v>
      </c>
      <c r="E613" s="4">
        <v>0.0</v>
      </c>
      <c r="G613" s="1" t="s">
        <v>91</v>
      </c>
      <c r="H613" s="1" t="s">
        <v>92</v>
      </c>
      <c r="I613" s="1" t="s">
        <v>1572</v>
      </c>
      <c r="J613" s="1" t="s">
        <v>1573</v>
      </c>
      <c r="K613" s="1" t="s">
        <v>1573</v>
      </c>
      <c r="M613" s="4">
        <v>-1.0</v>
      </c>
      <c r="O613" s="4">
        <v>9.407666666666668</v>
      </c>
    </row>
    <row r="614">
      <c r="A614" s="5">
        <v>45535.0</v>
      </c>
      <c r="B614" s="1" t="s">
        <v>116</v>
      </c>
      <c r="C614" s="1" t="s">
        <v>107</v>
      </c>
      <c r="D614" s="4">
        <v>494.0</v>
      </c>
      <c r="E614" s="4">
        <v>124.0</v>
      </c>
      <c r="G614" s="1" t="s">
        <v>111</v>
      </c>
      <c r="H614" s="1" t="s">
        <v>194</v>
      </c>
      <c r="I614" s="1" t="s">
        <v>1574</v>
      </c>
      <c r="J614" s="1" t="s">
        <v>1575</v>
      </c>
      <c r="K614" s="1" t="s">
        <v>1575</v>
      </c>
      <c r="M614" s="4">
        <v>-2.0</v>
      </c>
      <c r="O614" s="4">
        <v>16.827583333333333</v>
      </c>
    </row>
    <row r="615">
      <c r="A615" s="5">
        <v>45535.0</v>
      </c>
      <c r="B615" s="1" t="s">
        <v>95</v>
      </c>
      <c r="C615" s="1" t="s">
        <v>107</v>
      </c>
      <c r="D615" s="4">
        <v>321.0</v>
      </c>
      <c r="E615" s="4">
        <v>0.0</v>
      </c>
      <c r="G615" s="1" t="s">
        <v>91</v>
      </c>
      <c r="H615" s="1" t="s">
        <v>96</v>
      </c>
      <c r="I615" s="1" t="s">
        <v>1576</v>
      </c>
      <c r="J615" s="1" t="s">
        <v>1577</v>
      </c>
      <c r="K615" s="1" t="s">
        <v>1577</v>
      </c>
      <c r="M615" s="4">
        <v>2.0</v>
      </c>
      <c r="O615" s="4">
        <v>9.93545</v>
      </c>
    </row>
    <row r="616">
      <c r="A616" s="5">
        <v>45535.0</v>
      </c>
      <c r="B616" s="1" t="s">
        <v>95</v>
      </c>
      <c r="C616" s="1" t="s">
        <v>107</v>
      </c>
      <c r="D616" s="4">
        <v>329.0</v>
      </c>
      <c r="E616" s="4">
        <v>0.0</v>
      </c>
      <c r="G616" s="1" t="s">
        <v>91</v>
      </c>
      <c r="H616" s="1" t="s">
        <v>96</v>
      </c>
      <c r="I616" s="1" t="s">
        <v>1578</v>
      </c>
      <c r="J616" s="1" t="s">
        <v>1579</v>
      </c>
      <c r="K616" s="1" t="s">
        <v>1579</v>
      </c>
      <c r="M616" s="4">
        <v>-1.0</v>
      </c>
      <c r="O616" s="4">
        <v>6.57075</v>
      </c>
    </row>
    <row r="617">
      <c r="A617" s="5">
        <v>45535.0</v>
      </c>
      <c r="B617" s="1" t="s">
        <v>88</v>
      </c>
      <c r="C617" s="1" t="s">
        <v>107</v>
      </c>
      <c r="D617" s="4">
        <v>263.0</v>
      </c>
      <c r="E617" s="4">
        <v>0.0</v>
      </c>
      <c r="F617" s="1" t="s">
        <v>90</v>
      </c>
      <c r="G617" s="1" t="s">
        <v>91</v>
      </c>
      <c r="H617" s="1" t="s">
        <v>92</v>
      </c>
      <c r="I617" s="1" t="s">
        <v>1580</v>
      </c>
      <c r="J617" s="1" t="s">
        <v>1581</v>
      </c>
      <c r="K617" s="1" t="s">
        <v>1581</v>
      </c>
      <c r="M617" s="4">
        <v>-10.0</v>
      </c>
      <c r="O617" s="4">
        <v>4.04595</v>
      </c>
    </row>
    <row r="618">
      <c r="A618" s="5">
        <v>45535.0</v>
      </c>
      <c r="B618" s="1" t="s">
        <v>103</v>
      </c>
      <c r="C618" s="1" t="s">
        <v>107</v>
      </c>
      <c r="D618" s="4">
        <v>618.0</v>
      </c>
      <c r="E618" s="4">
        <v>0.0</v>
      </c>
      <c r="F618" s="1" t="s">
        <v>1556</v>
      </c>
      <c r="G618" s="1" t="s">
        <v>91</v>
      </c>
      <c r="H618" s="1" t="s">
        <v>92</v>
      </c>
      <c r="I618" s="1" t="s">
        <v>1582</v>
      </c>
      <c r="J618" s="1" t="s">
        <v>1583</v>
      </c>
      <c r="K618" s="1" t="s">
        <v>1583</v>
      </c>
      <c r="M618" s="4">
        <v>-14.0</v>
      </c>
      <c r="O618" s="4">
        <v>5.59285</v>
      </c>
    </row>
    <row r="619">
      <c r="A619" s="5">
        <v>45535.0</v>
      </c>
      <c r="B619" s="1" t="s">
        <v>103</v>
      </c>
      <c r="C619" s="1" t="s">
        <v>107</v>
      </c>
      <c r="D619" s="4">
        <v>321.0</v>
      </c>
      <c r="E619" s="4">
        <v>0.0</v>
      </c>
      <c r="F619" s="1" t="s">
        <v>1556</v>
      </c>
      <c r="G619" s="1" t="s">
        <v>91</v>
      </c>
      <c r="H619" s="1" t="s">
        <v>92</v>
      </c>
      <c r="I619" s="1" t="s">
        <v>1584</v>
      </c>
      <c r="J619" s="1" t="s">
        <v>1585</v>
      </c>
      <c r="K619" s="1" t="s">
        <v>1585</v>
      </c>
      <c r="M619" s="4">
        <v>-8.0</v>
      </c>
      <c r="O619" s="4">
        <v>6.139316666666667</v>
      </c>
    </row>
    <row r="620">
      <c r="A620" s="5">
        <v>45535.0</v>
      </c>
      <c r="B620" s="1" t="s">
        <v>95</v>
      </c>
      <c r="C620" s="1" t="s">
        <v>107</v>
      </c>
      <c r="D620" s="4">
        <v>381.0</v>
      </c>
      <c r="E620" s="4">
        <v>0.0</v>
      </c>
      <c r="G620" s="1" t="s">
        <v>91</v>
      </c>
      <c r="H620" s="1" t="s">
        <v>92</v>
      </c>
      <c r="I620" s="1" t="s">
        <v>1586</v>
      </c>
      <c r="J620" s="1" t="s">
        <v>1587</v>
      </c>
      <c r="K620" s="1" t="s">
        <v>1587</v>
      </c>
      <c r="M620" s="4">
        <v>0.0</v>
      </c>
      <c r="O620" s="4">
        <v>7.9105</v>
      </c>
    </row>
    <row r="621">
      <c r="A621" s="5">
        <v>45535.0</v>
      </c>
      <c r="B621" s="1" t="s">
        <v>88</v>
      </c>
      <c r="C621" s="1" t="s">
        <v>107</v>
      </c>
      <c r="D621" s="4">
        <v>326.0</v>
      </c>
      <c r="E621" s="4">
        <v>0.0</v>
      </c>
      <c r="F621" s="1" t="s">
        <v>90</v>
      </c>
      <c r="G621" s="1" t="s">
        <v>91</v>
      </c>
      <c r="H621" s="1" t="s">
        <v>92</v>
      </c>
      <c r="I621" s="1" t="s">
        <v>1588</v>
      </c>
      <c r="J621" s="1" t="s">
        <v>1589</v>
      </c>
      <c r="K621" s="1" t="s">
        <v>1589</v>
      </c>
      <c r="M621" s="4">
        <v>-10.0</v>
      </c>
      <c r="O621" s="4">
        <v>4.644666666666667</v>
      </c>
    </row>
    <row r="622">
      <c r="A622" s="5">
        <v>45535.0</v>
      </c>
      <c r="B622" s="1" t="s">
        <v>88</v>
      </c>
      <c r="C622" s="1" t="s">
        <v>107</v>
      </c>
      <c r="D622" s="4">
        <v>324.0</v>
      </c>
      <c r="E622" s="4">
        <v>0.0</v>
      </c>
      <c r="F622" s="1" t="s">
        <v>90</v>
      </c>
      <c r="G622" s="1" t="s">
        <v>91</v>
      </c>
      <c r="H622" s="1" t="s">
        <v>92</v>
      </c>
      <c r="I622" s="1" t="s">
        <v>1590</v>
      </c>
      <c r="J622" s="1" t="s">
        <v>1591</v>
      </c>
      <c r="K622" s="1" t="s">
        <v>1591</v>
      </c>
      <c r="M622" s="4">
        <v>-8.0</v>
      </c>
      <c r="O622" s="4">
        <v>6.22515</v>
      </c>
    </row>
    <row r="623">
      <c r="A623" s="5">
        <v>45535.0</v>
      </c>
      <c r="B623" s="1" t="s">
        <v>116</v>
      </c>
      <c r="C623" s="1" t="s">
        <v>107</v>
      </c>
      <c r="D623" s="4">
        <v>119.0</v>
      </c>
      <c r="E623" s="4">
        <v>0.0</v>
      </c>
      <c r="G623" s="1" t="s">
        <v>111</v>
      </c>
      <c r="H623" s="1" t="s">
        <v>96</v>
      </c>
      <c r="I623" s="1" t="s">
        <v>1592</v>
      </c>
      <c r="J623" s="1" t="s">
        <v>1593</v>
      </c>
      <c r="K623" s="1" t="s">
        <v>1593</v>
      </c>
      <c r="M623" s="4">
        <v>-14.0</v>
      </c>
      <c r="O623" s="4">
        <v>5.1471</v>
      </c>
    </row>
    <row r="624">
      <c r="A624" s="5">
        <v>45535.0</v>
      </c>
      <c r="B624" s="1" t="s">
        <v>110</v>
      </c>
      <c r="C624" s="1" t="s">
        <v>107</v>
      </c>
      <c r="D624" s="4">
        <v>49.0</v>
      </c>
      <c r="E624" s="4">
        <v>0.0</v>
      </c>
      <c r="G624" s="1" t="s">
        <v>111</v>
      </c>
      <c r="H624" s="1" t="s">
        <v>96</v>
      </c>
      <c r="I624" s="1" t="s">
        <v>1594</v>
      </c>
      <c r="J624" s="1" t="s">
        <v>1595</v>
      </c>
      <c r="K624" s="1" t="s">
        <v>1595</v>
      </c>
      <c r="M624" s="4">
        <v>-4.0</v>
      </c>
      <c r="O624" s="4">
        <v>0.0539</v>
      </c>
    </row>
    <row r="625">
      <c r="A625" s="5">
        <v>45535.0</v>
      </c>
      <c r="B625" s="1" t="s">
        <v>103</v>
      </c>
      <c r="C625" s="1" t="s">
        <v>107</v>
      </c>
      <c r="D625" s="4">
        <v>329.0</v>
      </c>
      <c r="E625" s="4">
        <v>0.0</v>
      </c>
      <c r="F625" s="1" t="s">
        <v>1556</v>
      </c>
      <c r="G625" s="1" t="s">
        <v>91</v>
      </c>
      <c r="H625" s="1" t="s">
        <v>92</v>
      </c>
      <c r="I625" s="1" t="s">
        <v>1596</v>
      </c>
      <c r="J625" s="1" t="s">
        <v>1597</v>
      </c>
      <c r="K625" s="1" t="s">
        <v>1597</v>
      </c>
      <c r="M625" s="4">
        <v>-9.0</v>
      </c>
      <c r="O625" s="4">
        <v>5.808683333333334</v>
      </c>
    </row>
    <row r="626">
      <c r="A626" s="5">
        <v>45535.0</v>
      </c>
      <c r="B626" s="1" t="s">
        <v>116</v>
      </c>
      <c r="C626" s="1" t="s">
        <v>107</v>
      </c>
      <c r="D626" s="4">
        <v>398.0</v>
      </c>
      <c r="E626" s="4">
        <v>100.0</v>
      </c>
      <c r="G626" s="1" t="s">
        <v>111</v>
      </c>
      <c r="H626" s="1" t="s">
        <v>92</v>
      </c>
      <c r="I626" s="1" t="s">
        <v>1598</v>
      </c>
      <c r="J626" s="1" t="s">
        <v>1599</v>
      </c>
      <c r="K626" s="1" t="s">
        <v>1599</v>
      </c>
      <c r="M626" s="4">
        <v>-12.0</v>
      </c>
      <c r="O626" s="4">
        <v>6.491733333333333</v>
      </c>
    </row>
    <row r="627">
      <c r="A627" s="5">
        <v>45535.0</v>
      </c>
      <c r="B627" s="1" t="s">
        <v>88</v>
      </c>
      <c r="C627" s="1" t="s">
        <v>107</v>
      </c>
      <c r="D627" s="4">
        <v>393.0</v>
      </c>
      <c r="E627" s="4">
        <v>0.0</v>
      </c>
      <c r="F627" s="1" t="s">
        <v>90</v>
      </c>
      <c r="G627" s="1" t="s">
        <v>91</v>
      </c>
      <c r="H627" s="1" t="s">
        <v>92</v>
      </c>
      <c r="I627" s="1" t="s">
        <v>1600</v>
      </c>
      <c r="J627" s="1" t="s">
        <v>1601</v>
      </c>
      <c r="K627" s="1" t="s">
        <v>1601</v>
      </c>
      <c r="M627" s="4">
        <v>-9.0</v>
      </c>
      <c r="O627" s="4">
        <v>5.992233333333333</v>
      </c>
    </row>
    <row r="628">
      <c r="A628" s="5">
        <v>45535.0</v>
      </c>
      <c r="B628" s="1" t="s">
        <v>116</v>
      </c>
      <c r="C628" s="1" t="s">
        <v>107</v>
      </c>
      <c r="D628" s="4">
        <v>368.0</v>
      </c>
      <c r="E628" s="4">
        <v>0.0</v>
      </c>
      <c r="F628" s="1" t="s">
        <v>90</v>
      </c>
      <c r="G628" s="1" t="s">
        <v>175</v>
      </c>
      <c r="H628" s="1" t="s">
        <v>92</v>
      </c>
      <c r="I628" s="1" t="s">
        <v>1602</v>
      </c>
      <c r="J628" s="1" t="s">
        <v>1603</v>
      </c>
      <c r="K628" s="1" t="s">
        <v>1604</v>
      </c>
      <c r="L628" s="1" t="s">
        <v>1605</v>
      </c>
      <c r="M628" s="4">
        <v>-7.0</v>
      </c>
      <c r="N628" s="4">
        <v>2.9238166666666667</v>
      </c>
      <c r="O628" s="4">
        <v>5.866083333333333</v>
      </c>
    </row>
    <row r="629">
      <c r="A629" s="5">
        <v>45535.0</v>
      </c>
      <c r="B629" s="1" t="s">
        <v>110</v>
      </c>
      <c r="C629" s="1" t="s">
        <v>107</v>
      </c>
      <c r="D629" s="4">
        <v>288.0</v>
      </c>
      <c r="E629" s="4">
        <v>0.0</v>
      </c>
      <c r="G629" s="1" t="s">
        <v>111</v>
      </c>
      <c r="H629" s="1" t="s">
        <v>96</v>
      </c>
      <c r="I629" s="1" t="s">
        <v>1606</v>
      </c>
      <c r="J629" s="1" t="s">
        <v>1607</v>
      </c>
      <c r="K629" s="1" t="s">
        <v>1607</v>
      </c>
      <c r="M629" s="4">
        <v>-1.0</v>
      </c>
      <c r="O629" s="4">
        <v>3.375766666666667</v>
      </c>
    </row>
    <row r="630">
      <c r="A630" s="5">
        <v>45535.0</v>
      </c>
      <c r="B630" s="1" t="s">
        <v>116</v>
      </c>
      <c r="C630" s="1" t="s">
        <v>107</v>
      </c>
      <c r="D630" s="4">
        <v>306.0</v>
      </c>
      <c r="E630" s="4">
        <v>0.0</v>
      </c>
      <c r="F630" s="1" t="s">
        <v>90</v>
      </c>
      <c r="G630" s="1" t="s">
        <v>175</v>
      </c>
      <c r="H630" s="1" t="s">
        <v>96</v>
      </c>
      <c r="I630" s="1" t="s">
        <v>1608</v>
      </c>
      <c r="J630" s="1" t="s">
        <v>1609</v>
      </c>
      <c r="K630" s="1" t="s">
        <v>1610</v>
      </c>
      <c r="L630" s="1" t="s">
        <v>1611</v>
      </c>
      <c r="M630" s="4">
        <v>-1.0</v>
      </c>
      <c r="N630" s="4">
        <v>7.0123</v>
      </c>
      <c r="O630" s="4">
        <v>7.558033333333333</v>
      </c>
    </row>
    <row r="631">
      <c r="A631" s="5">
        <v>45535.0</v>
      </c>
      <c r="B631" s="1" t="s">
        <v>88</v>
      </c>
      <c r="C631" s="1" t="s">
        <v>107</v>
      </c>
      <c r="D631" s="4">
        <v>289.0</v>
      </c>
      <c r="E631" s="4">
        <v>0.0</v>
      </c>
      <c r="F631" s="1" t="s">
        <v>90</v>
      </c>
      <c r="G631" s="1" t="s">
        <v>91</v>
      </c>
      <c r="H631" s="1" t="s">
        <v>92</v>
      </c>
      <c r="I631" s="1" t="s">
        <v>1612</v>
      </c>
      <c r="J631" s="1" t="s">
        <v>1613</v>
      </c>
      <c r="K631" s="1" t="s">
        <v>1613</v>
      </c>
      <c r="M631" s="4">
        <v>-7.0</v>
      </c>
      <c r="O631" s="4">
        <v>7.1382666666666665</v>
      </c>
    </row>
    <row r="632">
      <c r="A632" s="5">
        <v>45535.0</v>
      </c>
      <c r="B632" s="1" t="s">
        <v>95</v>
      </c>
      <c r="C632" s="1" t="s">
        <v>107</v>
      </c>
      <c r="D632" s="4">
        <v>611.0</v>
      </c>
      <c r="E632" s="4">
        <v>0.0</v>
      </c>
      <c r="G632" s="1" t="s">
        <v>91</v>
      </c>
      <c r="H632" s="1" t="s">
        <v>92</v>
      </c>
      <c r="I632" s="1" t="s">
        <v>1614</v>
      </c>
      <c r="J632" s="1" t="s">
        <v>1615</v>
      </c>
      <c r="K632" s="1" t="s">
        <v>1615</v>
      </c>
      <c r="M632" s="4">
        <v>-2.0</v>
      </c>
      <c r="O632" s="4">
        <v>8.675016666666666</v>
      </c>
    </row>
    <row r="633">
      <c r="A633" s="5">
        <v>45535.0</v>
      </c>
      <c r="B633" s="1" t="s">
        <v>88</v>
      </c>
      <c r="C633" s="1" t="s">
        <v>107</v>
      </c>
      <c r="D633" s="4">
        <v>264.0</v>
      </c>
      <c r="E633" s="4">
        <v>0.0</v>
      </c>
      <c r="F633" s="1" t="s">
        <v>90</v>
      </c>
      <c r="G633" s="1" t="s">
        <v>91</v>
      </c>
      <c r="H633" s="1" t="s">
        <v>92</v>
      </c>
      <c r="I633" s="1" t="s">
        <v>1616</v>
      </c>
      <c r="J633" s="1" t="s">
        <v>1617</v>
      </c>
      <c r="K633" s="1" t="s">
        <v>1617</v>
      </c>
      <c r="M633" s="4">
        <v>-5.0</v>
      </c>
      <c r="O633" s="4">
        <v>9.037183333333333</v>
      </c>
    </row>
    <row r="634">
      <c r="A634" s="5">
        <v>45535.0</v>
      </c>
      <c r="B634" s="1" t="s">
        <v>95</v>
      </c>
      <c r="C634" s="1" t="s">
        <v>107</v>
      </c>
      <c r="D634" s="4">
        <v>289.0</v>
      </c>
      <c r="E634" s="4">
        <v>0.0</v>
      </c>
      <c r="G634" s="1" t="s">
        <v>91</v>
      </c>
      <c r="H634" s="1" t="s">
        <v>92</v>
      </c>
      <c r="I634" s="1" t="s">
        <v>1618</v>
      </c>
      <c r="J634" s="1" t="s">
        <v>1619</v>
      </c>
      <c r="K634" s="1" t="s">
        <v>1619</v>
      </c>
      <c r="M634" s="4">
        <v>0.0</v>
      </c>
      <c r="O634" s="4">
        <v>7.8327</v>
      </c>
    </row>
    <row r="635">
      <c r="A635" s="5">
        <v>45535.0</v>
      </c>
      <c r="B635" s="1" t="s">
        <v>95</v>
      </c>
      <c r="C635" s="1" t="s">
        <v>107</v>
      </c>
      <c r="D635" s="4">
        <v>702.0</v>
      </c>
      <c r="E635" s="4">
        <v>0.0</v>
      </c>
      <c r="G635" s="1" t="s">
        <v>91</v>
      </c>
      <c r="H635" s="1" t="s">
        <v>96</v>
      </c>
      <c r="I635" s="1" t="s">
        <v>1620</v>
      </c>
      <c r="J635" s="1" t="s">
        <v>1621</v>
      </c>
      <c r="K635" s="1" t="s">
        <v>1621</v>
      </c>
      <c r="M635" s="4">
        <v>3.0</v>
      </c>
      <c r="O635" s="4">
        <v>14.2594</v>
      </c>
    </row>
    <row r="636">
      <c r="A636" s="5">
        <v>45535.0</v>
      </c>
      <c r="B636" s="1" t="s">
        <v>110</v>
      </c>
      <c r="C636" s="1" t="s">
        <v>107</v>
      </c>
      <c r="D636" s="4">
        <v>358.0</v>
      </c>
      <c r="E636" s="4">
        <v>0.0</v>
      </c>
      <c r="F636" s="1" t="s">
        <v>174</v>
      </c>
      <c r="G636" s="1" t="s">
        <v>175</v>
      </c>
      <c r="H636" s="1" t="s">
        <v>96</v>
      </c>
      <c r="I636" s="1" t="s">
        <v>1622</v>
      </c>
      <c r="J636" s="1" t="s">
        <v>1623</v>
      </c>
      <c r="K636" s="1" t="s">
        <v>1624</v>
      </c>
      <c r="L636" s="1" t="s">
        <v>1625</v>
      </c>
      <c r="M636" s="4">
        <v>5.0</v>
      </c>
      <c r="N636" s="4">
        <v>0.010666666666666666</v>
      </c>
      <c r="O636" s="4">
        <v>5.17485</v>
      </c>
    </row>
    <row r="637">
      <c r="A637" s="5">
        <v>45535.0</v>
      </c>
      <c r="B637" s="1" t="s">
        <v>95</v>
      </c>
      <c r="C637" s="1" t="s">
        <v>89</v>
      </c>
      <c r="D637" s="4">
        <v>299.0</v>
      </c>
      <c r="E637" s="4">
        <v>0.0</v>
      </c>
      <c r="G637" s="1" t="s">
        <v>91</v>
      </c>
      <c r="H637" s="1" t="s">
        <v>92</v>
      </c>
      <c r="I637" s="1" t="s">
        <v>1626</v>
      </c>
      <c r="J637" s="1" t="s">
        <v>1627</v>
      </c>
      <c r="K637" s="1" t="s">
        <v>1627</v>
      </c>
      <c r="M637" s="4">
        <v>-1.0</v>
      </c>
      <c r="O637" s="4">
        <v>5.736266666666666</v>
      </c>
    </row>
    <row r="638">
      <c r="A638" s="5">
        <v>45535.0</v>
      </c>
      <c r="B638" s="1" t="s">
        <v>103</v>
      </c>
      <c r="C638" s="1" t="s">
        <v>107</v>
      </c>
      <c r="D638" s="4">
        <v>324.0</v>
      </c>
      <c r="E638" s="4">
        <v>0.0</v>
      </c>
      <c r="F638" s="1" t="s">
        <v>1628</v>
      </c>
      <c r="G638" s="1" t="s">
        <v>91</v>
      </c>
      <c r="H638" s="1" t="s">
        <v>92</v>
      </c>
      <c r="I638" s="1" t="s">
        <v>1629</v>
      </c>
      <c r="J638" s="1" t="s">
        <v>1630</v>
      </c>
      <c r="K638" s="1" t="s">
        <v>1630</v>
      </c>
      <c r="M638" s="4">
        <v>-8.0</v>
      </c>
      <c r="O638" s="4">
        <v>6.516366666666666</v>
      </c>
    </row>
    <row r="639">
      <c r="A639" s="5">
        <v>45535.0</v>
      </c>
      <c r="B639" s="1" t="s">
        <v>116</v>
      </c>
      <c r="C639" s="1" t="s">
        <v>107</v>
      </c>
      <c r="D639" s="4">
        <v>468.0</v>
      </c>
      <c r="E639" s="4">
        <v>0.0</v>
      </c>
      <c r="F639" s="1" t="s">
        <v>174</v>
      </c>
      <c r="G639" s="1" t="s">
        <v>175</v>
      </c>
      <c r="H639" s="1" t="s">
        <v>92</v>
      </c>
      <c r="I639" s="1" t="s">
        <v>1631</v>
      </c>
      <c r="J639" s="1" t="s">
        <v>1632</v>
      </c>
      <c r="K639" s="1" t="s">
        <v>1633</v>
      </c>
      <c r="L639" s="1" t="s">
        <v>1634</v>
      </c>
      <c r="M639" s="4">
        <v>-11.0</v>
      </c>
      <c r="N639" s="4">
        <v>0.00885</v>
      </c>
      <c r="O639" s="4">
        <v>6.7374833333333335</v>
      </c>
    </row>
    <row r="640">
      <c r="A640" s="5">
        <v>45535.0</v>
      </c>
      <c r="B640" s="1" t="s">
        <v>88</v>
      </c>
      <c r="C640" s="1" t="s">
        <v>107</v>
      </c>
      <c r="D640" s="4">
        <v>658.0</v>
      </c>
      <c r="E640" s="4">
        <v>0.0</v>
      </c>
      <c r="F640" s="1" t="s">
        <v>90</v>
      </c>
      <c r="G640" s="1" t="s">
        <v>91</v>
      </c>
      <c r="H640" s="1" t="s">
        <v>92</v>
      </c>
      <c r="I640" s="1" t="s">
        <v>1635</v>
      </c>
      <c r="J640" s="1" t="s">
        <v>1636</v>
      </c>
      <c r="K640" s="1" t="s">
        <v>1636</v>
      </c>
      <c r="M640" s="4">
        <v>-12.0</v>
      </c>
      <c r="O640" s="4">
        <v>7.883966666666667</v>
      </c>
    </row>
    <row r="641">
      <c r="A641" s="5">
        <v>45535.0</v>
      </c>
      <c r="B641" s="1" t="s">
        <v>88</v>
      </c>
      <c r="C641" s="1" t="s">
        <v>107</v>
      </c>
      <c r="D641" s="4">
        <v>672.0</v>
      </c>
      <c r="E641" s="4">
        <v>0.0</v>
      </c>
      <c r="F641" s="1" t="s">
        <v>90</v>
      </c>
      <c r="G641" s="1" t="s">
        <v>91</v>
      </c>
      <c r="H641" s="1" t="s">
        <v>92</v>
      </c>
      <c r="I641" s="1" t="s">
        <v>1637</v>
      </c>
      <c r="J641" s="1" t="s">
        <v>1638</v>
      </c>
      <c r="K641" s="1" t="s">
        <v>1638</v>
      </c>
      <c r="M641" s="4">
        <v>-13.0</v>
      </c>
      <c r="O641" s="4">
        <v>6.604266666666667</v>
      </c>
    </row>
    <row r="642">
      <c r="A642" s="5">
        <v>45535.0</v>
      </c>
      <c r="B642" s="1" t="s">
        <v>110</v>
      </c>
      <c r="C642" s="1" t="s">
        <v>107</v>
      </c>
      <c r="D642" s="4">
        <v>249.0</v>
      </c>
      <c r="E642" s="4">
        <v>0.0</v>
      </c>
      <c r="G642" s="1" t="s">
        <v>111</v>
      </c>
      <c r="H642" s="1" t="s">
        <v>96</v>
      </c>
      <c r="I642" s="1" t="s">
        <v>1639</v>
      </c>
      <c r="J642" s="1" t="s">
        <v>1640</v>
      </c>
      <c r="K642" s="1" t="s">
        <v>1640</v>
      </c>
      <c r="M642" s="4">
        <v>0.0</v>
      </c>
      <c r="O642" s="4">
        <v>4.93345</v>
      </c>
    </row>
    <row r="643">
      <c r="A643" s="5">
        <v>45535.0</v>
      </c>
      <c r="B643" s="1" t="s">
        <v>116</v>
      </c>
      <c r="C643" s="1" t="s">
        <v>107</v>
      </c>
      <c r="D643" s="4">
        <v>199.0</v>
      </c>
      <c r="E643" s="4">
        <v>50.0</v>
      </c>
      <c r="G643" s="1" t="s">
        <v>111</v>
      </c>
      <c r="H643" s="1" t="s">
        <v>92</v>
      </c>
      <c r="I643" s="1" t="s">
        <v>1641</v>
      </c>
      <c r="J643" s="1" t="s">
        <v>1642</v>
      </c>
      <c r="K643" s="1" t="s">
        <v>1642</v>
      </c>
      <c r="M643" s="4">
        <v>-13.0</v>
      </c>
      <c r="O643" s="4">
        <v>6.3033</v>
      </c>
    </row>
    <row r="644">
      <c r="A644" s="5">
        <v>45535.0</v>
      </c>
      <c r="B644" s="1" t="s">
        <v>95</v>
      </c>
      <c r="C644" s="1" t="s">
        <v>107</v>
      </c>
      <c r="D644" s="4">
        <v>370.0</v>
      </c>
      <c r="E644" s="4">
        <v>0.0</v>
      </c>
      <c r="G644" s="1" t="s">
        <v>91</v>
      </c>
      <c r="H644" s="1" t="s">
        <v>92</v>
      </c>
      <c r="I644" s="1" t="s">
        <v>1643</v>
      </c>
      <c r="J644" s="1" t="s">
        <v>1644</v>
      </c>
      <c r="K644" s="1" t="s">
        <v>1644</v>
      </c>
      <c r="M644" s="4">
        <v>0.0</v>
      </c>
      <c r="O644" s="4">
        <v>7.319733333333334</v>
      </c>
    </row>
    <row r="645">
      <c r="A645" s="5">
        <v>45535.0</v>
      </c>
      <c r="B645" s="1" t="s">
        <v>103</v>
      </c>
      <c r="C645" s="1" t="s">
        <v>107</v>
      </c>
      <c r="D645" s="4">
        <v>329.0</v>
      </c>
      <c r="E645" s="4">
        <v>0.0</v>
      </c>
      <c r="F645" s="1" t="s">
        <v>1224</v>
      </c>
      <c r="G645" s="1" t="s">
        <v>91</v>
      </c>
      <c r="H645" s="1" t="s">
        <v>92</v>
      </c>
      <c r="I645" s="1" t="s">
        <v>1645</v>
      </c>
      <c r="J645" s="1" t="s">
        <v>1646</v>
      </c>
      <c r="K645" s="1" t="s">
        <v>1646</v>
      </c>
      <c r="M645" s="4">
        <v>-7.0</v>
      </c>
      <c r="O645" s="4">
        <v>7.833783333333334</v>
      </c>
    </row>
    <row r="646">
      <c r="A646" s="5">
        <v>45535.0</v>
      </c>
      <c r="B646" s="1" t="s">
        <v>116</v>
      </c>
      <c r="C646" s="1" t="s">
        <v>107</v>
      </c>
      <c r="D646" s="4">
        <v>638.0</v>
      </c>
      <c r="E646" s="4">
        <v>0.0</v>
      </c>
      <c r="F646" s="1" t="s">
        <v>174</v>
      </c>
      <c r="G646" s="1" t="s">
        <v>175</v>
      </c>
      <c r="H646" s="1" t="s">
        <v>92</v>
      </c>
      <c r="I646" s="1" t="s">
        <v>1647</v>
      </c>
      <c r="J646" s="1" t="s">
        <v>1648</v>
      </c>
      <c r="K646" s="1" t="s">
        <v>1649</v>
      </c>
      <c r="L646" s="1" t="s">
        <v>1650</v>
      </c>
      <c r="M646" s="4">
        <v>-20.0</v>
      </c>
      <c r="N646" s="4">
        <v>0.009116666666666667</v>
      </c>
      <c r="O646" s="4">
        <v>7.696883333333333</v>
      </c>
    </row>
    <row r="647">
      <c r="A647" s="5">
        <v>45535.0</v>
      </c>
      <c r="B647" s="1" t="s">
        <v>103</v>
      </c>
      <c r="C647" s="1" t="s">
        <v>107</v>
      </c>
      <c r="D647" s="4">
        <v>364.0</v>
      </c>
      <c r="E647" s="4">
        <v>0.0</v>
      </c>
      <c r="F647" s="1" t="s">
        <v>1651</v>
      </c>
      <c r="G647" s="1" t="s">
        <v>91</v>
      </c>
      <c r="H647" s="1" t="s">
        <v>92</v>
      </c>
      <c r="I647" s="1" t="s">
        <v>1652</v>
      </c>
      <c r="J647" s="1" t="s">
        <v>1653</v>
      </c>
      <c r="K647" s="1" t="s">
        <v>1653</v>
      </c>
      <c r="M647" s="4">
        <v>-6.0</v>
      </c>
      <c r="O647" s="4">
        <v>8.05135</v>
      </c>
    </row>
    <row r="648">
      <c r="A648" s="5">
        <v>45535.0</v>
      </c>
      <c r="B648" s="1" t="s">
        <v>88</v>
      </c>
      <c r="C648" s="1" t="s">
        <v>107</v>
      </c>
      <c r="D648" s="4">
        <v>264.0</v>
      </c>
      <c r="E648" s="4">
        <v>0.0</v>
      </c>
      <c r="F648" s="1" t="s">
        <v>90</v>
      </c>
      <c r="G648" s="1" t="s">
        <v>91</v>
      </c>
      <c r="H648" s="1" t="s">
        <v>92</v>
      </c>
      <c r="I648" s="1" t="s">
        <v>1654</v>
      </c>
      <c r="J648" s="1" t="s">
        <v>1655</v>
      </c>
      <c r="K648" s="1" t="s">
        <v>1655</v>
      </c>
      <c r="M648" s="4">
        <v>-5.0</v>
      </c>
      <c r="O648" s="4">
        <v>9.083666666666666</v>
      </c>
    </row>
    <row r="649">
      <c r="A649" s="5">
        <v>45535.0</v>
      </c>
      <c r="B649" s="1" t="s">
        <v>95</v>
      </c>
      <c r="C649" s="1" t="s">
        <v>107</v>
      </c>
      <c r="D649" s="4">
        <v>364.0</v>
      </c>
      <c r="E649" s="4">
        <v>0.0</v>
      </c>
      <c r="G649" s="1" t="s">
        <v>91</v>
      </c>
      <c r="H649" s="1" t="s">
        <v>92</v>
      </c>
      <c r="I649" s="1" t="s">
        <v>1656</v>
      </c>
      <c r="J649" s="1" t="s">
        <v>1657</v>
      </c>
      <c r="K649" s="1" t="s">
        <v>1657</v>
      </c>
      <c r="M649" s="4">
        <v>0.0</v>
      </c>
      <c r="O649" s="4">
        <v>7.680266666666666</v>
      </c>
    </row>
    <row r="650">
      <c r="A650" s="5">
        <v>45535.0</v>
      </c>
      <c r="B650" s="1" t="s">
        <v>103</v>
      </c>
      <c r="C650" s="1" t="s">
        <v>107</v>
      </c>
      <c r="D650" s="4">
        <v>279.0</v>
      </c>
      <c r="E650" s="4">
        <v>0.0</v>
      </c>
      <c r="F650" s="1" t="s">
        <v>1658</v>
      </c>
      <c r="G650" s="1" t="s">
        <v>91</v>
      </c>
      <c r="H650" s="1" t="s">
        <v>92</v>
      </c>
      <c r="I650" s="1" t="s">
        <v>1659</v>
      </c>
      <c r="J650" s="1" t="s">
        <v>1660</v>
      </c>
      <c r="K650" s="1" t="s">
        <v>1660</v>
      </c>
      <c r="M650" s="4">
        <v>-9.0</v>
      </c>
      <c r="O650" s="4">
        <v>5.6390666666666664</v>
      </c>
    </row>
    <row r="651">
      <c r="A651" s="5">
        <v>45535.0</v>
      </c>
      <c r="B651" s="1" t="s">
        <v>95</v>
      </c>
      <c r="C651" s="1" t="s">
        <v>107</v>
      </c>
      <c r="D651" s="4">
        <v>264.0</v>
      </c>
      <c r="E651" s="4">
        <v>0.0</v>
      </c>
      <c r="G651" s="1" t="s">
        <v>91</v>
      </c>
      <c r="H651" s="1" t="s">
        <v>92</v>
      </c>
      <c r="I651" s="1" t="s">
        <v>1661</v>
      </c>
      <c r="J651" s="1" t="s">
        <v>1662</v>
      </c>
      <c r="K651" s="1" t="s">
        <v>1662</v>
      </c>
      <c r="M651" s="4">
        <v>-1.0</v>
      </c>
      <c r="O651" s="4">
        <v>5.949966666666667</v>
      </c>
    </row>
    <row r="652">
      <c r="A652" s="5">
        <v>45535.0</v>
      </c>
      <c r="B652" s="1" t="s">
        <v>88</v>
      </c>
      <c r="C652" s="1" t="s">
        <v>107</v>
      </c>
      <c r="D652" s="4">
        <v>488.0</v>
      </c>
      <c r="E652" s="4">
        <v>0.0</v>
      </c>
      <c r="F652" s="1" t="s">
        <v>90</v>
      </c>
      <c r="G652" s="1" t="s">
        <v>91</v>
      </c>
      <c r="H652" s="1" t="s">
        <v>92</v>
      </c>
      <c r="I652" s="1" t="s">
        <v>1663</v>
      </c>
      <c r="J652" s="1" t="s">
        <v>1664</v>
      </c>
      <c r="K652" s="1" t="s">
        <v>1664</v>
      </c>
      <c r="M652" s="4">
        <v>-8.0</v>
      </c>
      <c r="O652" s="4">
        <v>6.128516666666667</v>
      </c>
    </row>
    <row r="653">
      <c r="A653" s="5">
        <v>45535.0</v>
      </c>
      <c r="B653" s="1" t="s">
        <v>103</v>
      </c>
      <c r="C653" s="1" t="s">
        <v>107</v>
      </c>
      <c r="D653" s="4">
        <v>329.0</v>
      </c>
      <c r="E653" s="4">
        <v>0.0</v>
      </c>
      <c r="F653" s="1" t="s">
        <v>1665</v>
      </c>
      <c r="G653" s="1" t="s">
        <v>91</v>
      </c>
      <c r="H653" s="1" t="s">
        <v>92</v>
      </c>
      <c r="I653" s="1" t="s">
        <v>1666</v>
      </c>
      <c r="J653" s="1" t="s">
        <v>1667</v>
      </c>
      <c r="K653" s="1" t="s">
        <v>1667</v>
      </c>
      <c r="M653" s="4">
        <v>-5.0</v>
      </c>
      <c r="O653" s="4">
        <v>9.73475</v>
      </c>
    </row>
    <row r="654">
      <c r="A654" s="5">
        <v>45535.0</v>
      </c>
      <c r="B654" s="1" t="s">
        <v>95</v>
      </c>
      <c r="C654" s="1" t="s">
        <v>107</v>
      </c>
      <c r="D654" s="4">
        <v>492.0</v>
      </c>
      <c r="E654" s="4">
        <v>0.0</v>
      </c>
      <c r="G654" s="1" t="s">
        <v>91</v>
      </c>
      <c r="H654" s="1" t="s">
        <v>96</v>
      </c>
      <c r="I654" s="1" t="s">
        <v>1668</v>
      </c>
      <c r="J654" s="1" t="s">
        <v>1669</v>
      </c>
      <c r="K654" s="1" t="s">
        <v>1669</v>
      </c>
      <c r="M654" s="4">
        <v>0.0</v>
      </c>
      <c r="O654" s="4">
        <v>9.798083333333333</v>
      </c>
    </row>
    <row r="655">
      <c r="A655" s="5">
        <v>45535.0</v>
      </c>
      <c r="B655" s="1" t="s">
        <v>103</v>
      </c>
      <c r="C655" s="1" t="s">
        <v>107</v>
      </c>
      <c r="D655" s="4">
        <v>642.0</v>
      </c>
      <c r="E655" s="4">
        <v>0.0</v>
      </c>
      <c r="F655" s="1" t="s">
        <v>722</v>
      </c>
      <c r="G655" s="1" t="s">
        <v>91</v>
      </c>
      <c r="H655" s="1" t="s">
        <v>92</v>
      </c>
      <c r="I655" s="1" t="s">
        <v>1670</v>
      </c>
      <c r="J655" s="1" t="s">
        <v>1671</v>
      </c>
      <c r="K655" s="1" t="s">
        <v>1671</v>
      </c>
      <c r="M655" s="4">
        <v>-11.0</v>
      </c>
      <c r="O655" s="4">
        <v>8.453116666666666</v>
      </c>
    </row>
    <row r="656">
      <c r="A656" s="5">
        <v>45535.0</v>
      </c>
      <c r="B656" s="1" t="s">
        <v>103</v>
      </c>
      <c r="C656" s="1" t="s">
        <v>107</v>
      </c>
      <c r="D656" s="4">
        <v>264.0</v>
      </c>
      <c r="E656" s="4">
        <v>0.0</v>
      </c>
      <c r="F656" s="1" t="s">
        <v>1665</v>
      </c>
      <c r="G656" s="1" t="s">
        <v>91</v>
      </c>
      <c r="H656" s="1" t="s">
        <v>92</v>
      </c>
      <c r="I656" s="1" t="s">
        <v>1672</v>
      </c>
      <c r="J656" s="1" t="s">
        <v>1673</v>
      </c>
      <c r="K656" s="1" t="s">
        <v>1673</v>
      </c>
      <c r="M656" s="4">
        <v>-8.0</v>
      </c>
      <c r="O656" s="4">
        <v>6.05255</v>
      </c>
    </row>
    <row r="657">
      <c r="A657" s="5">
        <v>45535.0</v>
      </c>
      <c r="B657" s="1" t="s">
        <v>116</v>
      </c>
      <c r="C657" s="1" t="s">
        <v>107</v>
      </c>
      <c r="D657" s="4">
        <v>250.0</v>
      </c>
      <c r="E657" s="4">
        <v>0.0</v>
      </c>
      <c r="F657" s="1" t="s">
        <v>174</v>
      </c>
      <c r="G657" s="1" t="s">
        <v>175</v>
      </c>
      <c r="H657" s="1" t="s">
        <v>92</v>
      </c>
      <c r="I657" s="1" t="s">
        <v>1674</v>
      </c>
      <c r="J657" s="1" t="s">
        <v>1675</v>
      </c>
      <c r="K657" s="1" t="s">
        <v>1676</v>
      </c>
      <c r="L657" s="1" t="s">
        <v>1677</v>
      </c>
      <c r="M657" s="4">
        <v>-1.0</v>
      </c>
      <c r="N657" s="4">
        <v>0.01</v>
      </c>
      <c r="O657" s="4">
        <v>7.417883333333333</v>
      </c>
    </row>
    <row r="658">
      <c r="A658" s="5">
        <v>45535.0</v>
      </c>
      <c r="B658" s="1" t="s">
        <v>110</v>
      </c>
      <c r="C658" s="1" t="s">
        <v>107</v>
      </c>
      <c r="D658" s="4">
        <v>119.0</v>
      </c>
      <c r="E658" s="4">
        <v>0.0</v>
      </c>
      <c r="G658" s="1" t="s">
        <v>111</v>
      </c>
      <c r="H658" s="1" t="s">
        <v>96</v>
      </c>
      <c r="I658" s="1" t="s">
        <v>1678</v>
      </c>
      <c r="J658" s="1" t="s">
        <v>1679</v>
      </c>
      <c r="K658" s="1" t="s">
        <v>1679</v>
      </c>
      <c r="M658" s="4">
        <v>0.0</v>
      </c>
      <c r="O658" s="4">
        <v>4.230083333333333</v>
      </c>
    </row>
    <row r="659">
      <c r="A659" s="5">
        <v>45535.0</v>
      </c>
      <c r="B659" s="1" t="s">
        <v>95</v>
      </c>
      <c r="C659" s="1" t="s">
        <v>107</v>
      </c>
      <c r="D659" s="4">
        <v>321.0</v>
      </c>
      <c r="E659" s="4">
        <v>0.0</v>
      </c>
      <c r="G659" s="1" t="s">
        <v>91</v>
      </c>
      <c r="H659" s="1" t="s">
        <v>96</v>
      </c>
      <c r="I659" s="1" t="s">
        <v>1680</v>
      </c>
      <c r="J659" s="1" t="s">
        <v>1681</v>
      </c>
      <c r="K659" s="1" t="s">
        <v>1681</v>
      </c>
      <c r="M659" s="4">
        <v>1.0</v>
      </c>
      <c r="O659" s="4">
        <v>8.733466666666667</v>
      </c>
    </row>
    <row r="660">
      <c r="A660" s="5">
        <v>45535.0</v>
      </c>
      <c r="B660" s="1" t="s">
        <v>110</v>
      </c>
      <c r="C660" s="1" t="s">
        <v>107</v>
      </c>
      <c r="D660" s="4">
        <v>347.0</v>
      </c>
      <c r="E660" s="4">
        <v>0.0</v>
      </c>
      <c r="F660" s="1" t="s">
        <v>174</v>
      </c>
      <c r="G660" s="1" t="s">
        <v>175</v>
      </c>
      <c r="H660" s="1" t="s">
        <v>96</v>
      </c>
      <c r="I660" s="1" t="s">
        <v>1682</v>
      </c>
      <c r="J660" s="1" t="s">
        <v>1683</v>
      </c>
      <c r="K660" s="1" t="s">
        <v>1684</v>
      </c>
      <c r="L660" s="1" t="s">
        <v>1685</v>
      </c>
      <c r="M660" s="4">
        <v>-11.0</v>
      </c>
      <c r="N660" s="4">
        <v>0.012466666666666666</v>
      </c>
      <c r="O660" s="4">
        <v>4.511633333333333</v>
      </c>
    </row>
    <row r="661">
      <c r="A661" s="5">
        <v>45535.0</v>
      </c>
      <c r="B661" s="1" t="s">
        <v>88</v>
      </c>
      <c r="C661" s="1" t="s">
        <v>107</v>
      </c>
      <c r="D661" s="4">
        <v>528.0</v>
      </c>
      <c r="E661" s="4">
        <v>0.0</v>
      </c>
      <c r="F661" s="1" t="s">
        <v>90</v>
      </c>
      <c r="G661" s="1" t="s">
        <v>91</v>
      </c>
      <c r="H661" s="1" t="s">
        <v>92</v>
      </c>
      <c r="I661" s="1" t="s">
        <v>1686</v>
      </c>
      <c r="J661" s="1" t="s">
        <v>1687</v>
      </c>
      <c r="K661" s="1" t="s">
        <v>1687</v>
      </c>
      <c r="M661" s="4">
        <v>-12.0</v>
      </c>
      <c r="O661" s="4">
        <v>7.352566666666666</v>
      </c>
    </row>
    <row r="662">
      <c r="A662" s="5">
        <v>45535.0</v>
      </c>
      <c r="B662" s="1" t="s">
        <v>103</v>
      </c>
      <c r="C662" s="1" t="s">
        <v>89</v>
      </c>
      <c r="D662" s="4">
        <v>528.0</v>
      </c>
      <c r="E662" s="4">
        <v>0.0</v>
      </c>
      <c r="F662" s="1" t="s">
        <v>1665</v>
      </c>
      <c r="G662" s="1" t="s">
        <v>91</v>
      </c>
      <c r="H662" s="1" t="s">
        <v>92</v>
      </c>
      <c r="I662" s="1" t="s">
        <v>1688</v>
      </c>
      <c r="J662" s="1" t="s">
        <v>1689</v>
      </c>
      <c r="K662" s="1" t="s">
        <v>1689</v>
      </c>
      <c r="M662" s="4">
        <v>-12.0</v>
      </c>
      <c r="O662" s="4">
        <v>7.738216666666666</v>
      </c>
    </row>
    <row r="663">
      <c r="A663" s="5">
        <v>45535.0</v>
      </c>
      <c r="B663" s="1" t="s">
        <v>103</v>
      </c>
      <c r="C663" s="1" t="s">
        <v>107</v>
      </c>
      <c r="D663" s="4">
        <v>394.0</v>
      </c>
      <c r="E663" s="4">
        <v>0.0</v>
      </c>
      <c r="F663" s="1" t="s">
        <v>483</v>
      </c>
      <c r="G663" s="1" t="s">
        <v>91</v>
      </c>
      <c r="H663" s="1" t="s">
        <v>92</v>
      </c>
      <c r="I663" s="1" t="s">
        <v>1690</v>
      </c>
      <c r="J663" s="1" t="s">
        <v>1691</v>
      </c>
      <c r="K663" s="1" t="s">
        <v>1691</v>
      </c>
      <c r="M663" s="4">
        <v>-6.0</v>
      </c>
      <c r="O663" s="4">
        <v>8.222333333333333</v>
      </c>
    </row>
    <row r="664">
      <c r="A664" s="5">
        <v>45535.0</v>
      </c>
      <c r="B664" s="1" t="s">
        <v>116</v>
      </c>
      <c r="C664" s="1" t="s">
        <v>107</v>
      </c>
      <c r="D664" s="4">
        <v>199.0</v>
      </c>
      <c r="E664" s="4">
        <v>50.0</v>
      </c>
      <c r="G664" s="1" t="s">
        <v>111</v>
      </c>
      <c r="H664" s="1" t="s">
        <v>194</v>
      </c>
      <c r="I664" s="1" t="s">
        <v>1692</v>
      </c>
      <c r="J664" s="1" t="s">
        <v>1693</v>
      </c>
      <c r="K664" s="1" t="s">
        <v>1693</v>
      </c>
      <c r="M664" s="4">
        <v>-12.0</v>
      </c>
      <c r="O664" s="4">
        <v>6.569983333333333</v>
      </c>
    </row>
    <row r="665">
      <c r="A665" s="5">
        <v>45535.0</v>
      </c>
      <c r="B665" s="1" t="s">
        <v>116</v>
      </c>
      <c r="C665" s="1" t="s">
        <v>107</v>
      </c>
      <c r="D665" s="4">
        <v>247.0</v>
      </c>
      <c r="E665" s="4">
        <v>62.0</v>
      </c>
      <c r="G665" s="1" t="s">
        <v>111</v>
      </c>
      <c r="H665" s="1" t="s">
        <v>92</v>
      </c>
      <c r="I665" s="1" t="s">
        <v>1694</v>
      </c>
      <c r="J665" s="1" t="s">
        <v>1695</v>
      </c>
      <c r="K665" s="1" t="s">
        <v>1695</v>
      </c>
      <c r="M665" s="4">
        <v>-12.0</v>
      </c>
      <c r="O665" s="4">
        <v>6.148633333333334</v>
      </c>
    </row>
    <row r="666">
      <c r="A666" s="5">
        <v>45535.0</v>
      </c>
      <c r="B666" s="1" t="s">
        <v>116</v>
      </c>
      <c r="C666" s="1" t="s">
        <v>107</v>
      </c>
      <c r="D666" s="4">
        <v>386.0</v>
      </c>
      <c r="E666" s="4">
        <v>97.0</v>
      </c>
      <c r="G666" s="1" t="s">
        <v>111</v>
      </c>
      <c r="H666" s="1" t="s">
        <v>92</v>
      </c>
      <c r="I666" s="1" t="s">
        <v>1696</v>
      </c>
      <c r="J666" s="1" t="s">
        <v>1697</v>
      </c>
      <c r="K666" s="1" t="s">
        <v>1697</v>
      </c>
      <c r="M666" s="4">
        <v>-13.0</v>
      </c>
      <c r="O666" s="4">
        <v>5.9851833333333335</v>
      </c>
    </row>
    <row r="667">
      <c r="A667" s="5">
        <v>45535.0</v>
      </c>
      <c r="B667" s="1" t="s">
        <v>88</v>
      </c>
      <c r="C667" s="1" t="s">
        <v>107</v>
      </c>
      <c r="D667" s="4">
        <v>499.0</v>
      </c>
      <c r="E667" s="4">
        <v>0.0</v>
      </c>
      <c r="F667" s="1" t="s">
        <v>90</v>
      </c>
      <c r="G667" s="1" t="s">
        <v>91</v>
      </c>
      <c r="H667" s="1" t="s">
        <v>92</v>
      </c>
      <c r="I667" s="1" t="s">
        <v>1698</v>
      </c>
      <c r="J667" s="1" t="s">
        <v>1699</v>
      </c>
      <c r="K667" s="1" t="s">
        <v>1699</v>
      </c>
      <c r="M667" s="4">
        <v>-8.0</v>
      </c>
      <c r="O667" s="4">
        <v>6.204283333333334</v>
      </c>
    </row>
    <row r="668">
      <c r="A668" s="5">
        <v>45535.0</v>
      </c>
      <c r="B668" s="1" t="s">
        <v>95</v>
      </c>
      <c r="C668" s="1" t="s">
        <v>107</v>
      </c>
      <c r="D668" s="4">
        <v>264.0</v>
      </c>
      <c r="E668" s="4">
        <v>0.0</v>
      </c>
      <c r="G668" s="1" t="s">
        <v>91</v>
      </c>
      <c r="H668" s="1" t="s">
        <v>96</v>
      </c>
      <c r="I668" s="1" t="s">
        <v>1700</v>
      </c>
      <c r="J668" s="1" t="s">
        <v>1701</v>
      </c>
      <c r="K668" s="1" t="s">
        <v>1701</v>
      </c>
      <c r="M668" s="4">
        <v>-1.0</v>
      </c>
      <c r="O668" s="4">
        <v>5.81575</v>
      </c>
    </row>
    <row r="669">
      <c r="A669" s="5">
        <v>45535.0</v>
      </c>
      <c r="B669" s="1" t="s">
        <v>88</v>
      </c>
      <c r="C669" s="1" t="s">
        <v>107</v>
      </c>
      <c r="D669" s="4">
        <v>563.0</v>
      </c>
      <c r="E669" s="4">
        <v>0.0</v>
      </c>
      <c r="F669" s="1" t="s">
        <v>90</v>
      </c>
      <c r="G669" s="1" t="s">
        <v>91</v>
      </c>
      <c r="H669" s="1" t="s">
        <v>92</v>
      </c>
      <c r="I669" s="1" t="s">
        <v>1702</v>
      </c>
      <c r="J669" s="1" t="s">
        <v>1703</v>
      </c>
      <c r="K669" s="1" t="s">
        <v>1703</v>
      </c>
      <c r="M669" s="4">
        <v>-11.0</v>
      </c>
      <c r="O669" s="4">
        <v>8.120416666666667</v>
      </c>
    </row>
    <row r="670">
      <c r="A670" s="5">
        <v>45535.0</v>
      </c>
      <c r="B670" s="1" t="s">
        <v>116</v>
      </c>
      <c r="C670" s="1" t="s">
        <v>107</v>
      </c>
      <c r="D670" s="4">
        <v>211.0</v>
      </c>
      <c r="E670" s="4">
        <v>48.0</v>
      </c>
      <c r="G670" s="1" t="s">
        <v>111</v>
      </c>
      <c r="H670" s="1" t="s">
        <v>92</v>
      </c>
      <c r="I670" s="1" t="s">
        <v>1704</v>
      </c>
      <c r="J670" s="1" t="s">
        <v>1705</v>
      </c>
      <c r="K670" s="1" t="s">
        <v>1705</v>
      </c>
      <c r="M670" s="4">
        <v>-14.0</v>
      </c>
      <c r="O670" s="4">
        <v>4.764266666666667</v>
      </c>
    </row>
    <row r="671">
      <c r="A671" s="5">
        <v>45535.0</v>
      </c>
      <c r="B671" s="1" t="s">
        <v>103</v>
      </c>
      <c r="C671" s="1" t="s">
        <v>107</v>
      </c>
      <c r="D671" s="4">
        <v>642.0</v>
      </c>
      <c r="E671" s="4">
        <v>0.0</v>
      </c>
      <c r="F671" s="1" t="s">
        <v>1706</v>
      </c>
      <c r="G671" s="1" t="s">
        <v>91</v>
      </c>
      <c r="H671" s="1" t="s">
        <v>92</v>
      </c>
      <c r="I671" s="1" t="s">
        <v>1707</v>
      </c>
      <c r="J671" s="1" t="s">
        <v>1708</v>
      </c>
      <c r="K671" s="1" t="s">
        <v>1708</v>
      </c>
      <c r="M671" s="4">
        <v>-4.0</v>
      </c>
      <c r="O671" s="4">
        <v>15.17545</v>
      </c>
    </row>
    <row r="672">
      <c r="A672" s="5">
        <v>45535.0</v>
      </c>
      <c r="B672" s="1" t="s">
        <v>95</v>
      </c>
      <c r="C672" s="1" t="s">
        <v>107</v>
      </c>
      <c r="D672" s="4">
        <v>681.0</v>
      </c>
      <c r="E672" s="4">
        <v>0.0</v>
      </c>
      <c r="G672" s="1" t="s">
        <v>91</v>
      </c>
      <c r="H672" s="1" t="s">
        <v>92</v>
      </c>
      <c r="I672" s="1" t="s">
        <v>1709</v>
      </c>
      <c r="J672" s="1" t="s">
        <v>1710</v>
      </c>
      <c r="K672" s="1" t="s">
        <v>1710</v>
      </c>
      <c r="M672" s="4">
        <v>2.0</v>
      </c>
      <c r="O672" s="4">
        <v>12.317766666666667</v>
      </c>
    </row>
    <row r="673">
      <c r="A673" s="5">
        <v>45535.0</v>
      </c>
      <c r="B673" s="1" t="s">
        <v>95</v>
      </c>
      <c r="C673" s="1" t="s">
        <v>107</v>
      </c>
      <c r="D673" s="4">
        <v>394.0</v>
      </c>
      <c r="E673" s="4">
        <v>0.0</v>
      </c>
      <c r="G673" s="1" t="s">
        <v>91</v>
      </c>
      <c r="H673" s="1" t="s">
        <v>92</v>
      </c>
      <c r="I673" s="1" t="s">
        <v>1711</v>
      </c>
      <c r="J673" s="1" t="s">
        <v>1712</v>
      </c>
      <c r="K673" s="1" t="s">
        <v>1712</v>
      </c>
      <c r="M673" s="4">
        <v>0.0</v>
      </c>
      <c r="O673" s="4">
        <v>9.208833333333333</v>
      </c>
    </row>
    <row r="674">
      <c r="A674" s="5">
        <v>45535.0</v>
      </c>
      <c r="B674" s="1" t="s">
        <v>116</v>
      </c>
      <c r="C674" s="1" t="s">
        <v>107</v>
      </c>
      <c r="D674" s="4">
        <v>454.0</v>
      </c>
      <c r="E674" s="4">
        <v>109.0</v>
      </c>
      <c r="G674" s="1" t="s">
        <v>111</v>
      </c>
      <c r="H674" s="1" t="s">
        <v>92</v>
      </c>
      <c r="I674" s="1" t="s">
        <v>1713</v>
      </c>
      <c r="J674" s="1" t="s">
        <v>1714</v>
      </c>
      <c r="K674" s="1" t="s">
        <v>1714</v>
      </c>
      <c r="M674" s="4">
        <v>-30.0</v>
      </c>
      <c r="O674" s="4">
        <v>10.6873</v>
      </c>
    </row>
    <row r="675">
      <c r="A675" s="5">
        <v>45535.0</v>
      </c>
      <c r="B675" s="1" t="s">
        <v>88</v>
      </c>
      <c r="C675" s="1" t="s">
        <v>107</v>
      </c>
      <c r="D675" s="4">
        <v>404.0</v>
      </c>
      <c r="E675" s="4">
        <v>0.0</v>
      </c>
      <c r="F675" s="1" t="s">
        <v>90</v>
      </c>
      <c r="G675" s="1" t="s">
        <v>91</v>
      </c>
      <c r="H675" s="1" t="s">
        <v>92</v>
      </c>
      <c r="I675" s="1" t="s">
        <v>1715</v>
      </c>
      <c r="J675" s="1" t="s">
        <v>1716</v>
      </c>
      <c r="K675" s="1" t="s">
        <v>1716</v>
      </c>
      <c r="M675" s="4">
        <v>-5.0</v>
      </c>
      <c r="O675" s="4">
        <v>9.95085</v>
      </c>
    </row>
    <row r="676">
      <c r="A676" s="5">
        <v>45535.0</v>
      </c>
      <c r="B676" s="1" t="s">
        <v>88</v>
      </c>
      <c r="C676" s="1" t="s">
        <v>107</v>
      </c>
      <c r="D676" s="4">
        <v>258.0</v>
      </c>
      <c r="E676" s="4">
        <v>0.0</v>
      </c>
      <c r="F676" s="1" t="s">
        <v>90</v>
      </c>
      <c r="G676" s="1" t="s">
        <v>91</v>
      </c>
      <c r="H676" s="1" t="s">
        <v>92</v>
      </c>
      <c r="I676" s="1" t="s">
        <v>1717</v>
      </c>
      <c r="J676" s="1" t="s">
        <v>1718</v>
      </c>
      <c r="K676" s="1" t="s">
        <v>1718</v>
      </c>
      <c r="M676" s="4">
        <v>-8.0</v>
      </c>
      <c r="O676" s="4">
        <v>6.039166666666667</v>
      </c>
    </row>
    <row r="677">
      <c r="A677" s="5">
        <v>45535.0</v>
      </c>
      <c r="B677" s="1" t="s">
        <v>95</v>
      </c>
      <c r="C677" s="1" t="s">
        <v>89</v>
      </c>
      <c r="D677" s="4">
        <v>394.0</v>
      </c>
      <c r="E677" s="4">
        <v>0.0</v>
      </c>
      <c r="G677" s="1" t="s">
        <v>91</v>
      </c>
      <c r="H677" s="1" t="s">
        <v>92</v>
      </c>
      <c r="I677" s="1" t="s">
        <v>1719</v>
      </c>
      <c r="J677" s="1" t="s">
        <v>1720</v>
      </c>
      <c r="K677" s="1" t="s">
        <v>1720</v>
      </c>
      <c r="M677" s="4">
        <v>-2.0</v>
      </c>
      <c r="O677" s="4">
        <v>5.907266666666667</v>
      </c>
    </row>
    <row r="678">
      <c r="A678" s="5">
        <v>45535.0</v>
      </c>
      <c r="B678" s="1" t="s">
        <v>116</v>
      </c>
      <c r="C678" s="1" t="s">
        <v>107</v>
      </c>
      <c r="D678" s="4">
        <v>338.0</v>
      </c>
      <c r="E678" s="4">
        <v>0.0</v>
      </c>
      <c r="F678" s="1" t="s">
        <v>174</v>
      </c>
      <c r="G678" s="1" t="s">
        <v>175</v>
      </c>
      <c r="H678" s="1" t="s">
        <v>92</v>
      </c>
      <c r="I678" s="1" t="s">
        <v>1721</v>
      </c>
      <c r="J678" s="1" t="s">
        <v>1722</v>
      </c>
      <c r="K678" s="1" t="s">
        <v>1723</v>
      </c>
      <c r="L678" s="1" t="s">
        <v>1724</v>
      </c>
      <c r="M678" s="4">
        <v>-10.0</v>
      </c>
      <c r="N678" s="4">
        <v>0.011983333333333334</v>
      </c>
      <c r="O678" s="4">
        <v>7.790816666666666</v>
      </c>
    </row>
    <row r="679">
      <c r="A679" s="5">
        <v>45535.0</v>
      </c>
      <c r="B679" s="1" t="s">
        <v>116</v>
      </c>
      <c r="C679" s="1" t="s">
        <v>107</v>
      </c>
      <c r="D679" s="4">
        <v>199.0</v>
      </c>
      <c r="E679" s="4">
        <v>50.0</v>
      </c>
      <c r="G679" s="1" t="s">
        <v>111</v>
      </c>
      <c r="H679" s="1" t="s">
        <v>194</v>
      </c>
      <c r="I679" s="1" t="s">
        <v>1725</v>
      </c>
      <c r="J679" s="1" t="s">
        <v>1726</v>
      </c>
      <c r="K679" s="1" t="s">
        <v>1726</v>
      </c>
      <c r="M679" s="4">
        <v>-13.0</v>
      </c>
      <c r="O679" s="4">
        <v>5.66485</v>
      </c>
    </row>
    <row r="680">
      <c r="A680" s="5">
        <v>45535.0</v>
      </c>
      <c r="B680" s="1" t="s">
        <v>88</v>
      </c>
      <c r="C680" s="1" t="s">
        <v>107</v>
      </c>
      <c r="D680" s="4">
        <v>528.0</v>
      </c>
      <c r="E680" s="4">
        <v>0.0</v>
      </c>
      <c r="F680" s="1" t="s">
        <v>90</v>
      </c>
      <c r="G680" s="1" t="s">
        <v>91</v>
      </c>
      <c r="H680" s="1" t="s">
        <v>92</v>
      </c>
      <c r="I680" s="1" t="s">
        <v>1727</v>
      </c>
      <c r="J680" s="1" t="s">
        <v>1728</v>
      </c>
      <c r="K680" s="1" t="s">
        <v>1728</v>
      </c>
      <c r="M680" s="4">
        <v>-10.0</v>
      </c>
      <c r="O680" s="4">
        <v>9.180616666666667</v>
      </c>
    </row>
    <row r="681">
      <c r="A681" s="5">
        <v>45535.0</v>
      </c>
      <c r="B681" s="1" t="s">
        <v>88</v>
      </c>
      <c r="C681" s="1" t="s">
        <v>107</v>
      </c>
      <c r="D681" s="4">
        <v>356.0</v>
      </c>
      <c r="E681" s="4">
        <v>0.0</v>
      </c>
      <c r="F681" s="1" t="s">
        <v>90</v>
      </c>
      <c r="G681" s="1" t="s">
        <v>91</v>
      </c>
      <c r="H681" s="1" t="s">
        <v>92</v>
      </c>
      <c r="I681" s="1" t="s">
        <v>1729</v>
      </c>
      <c r="J681" s="1" t="s">
        <v>1730</v>
      </c>
      <c r="K681" s="1" t="s">
        <v>1730</v>
      </c>
      <c r="M681" s="4">
        <v>-7.0</v>
      </c>
      <c r="O681" s="4">
        <v>7.92045</v>
      </c>
    </row>
    <row r="682">
      <c r="A682" s="5">
        <v>45535.0</v>
      </c>
      <c r="B682" s="1" t="s">
        <v>116</v>
      </c>
      <c r="C682" s="1" t="s">
        <v>107</v>
      </c>
      <c r="D682" s="4">
        <v>358.0</v>
      </c>
      <c r="E682" s="4">
        <v>0.0</v>
      </c>
      <c r="F682" s="1" t="s">
        <v>174</v>
      </c>
      <c r="G682" s="1" t="s">
        <v>175</v>
      </c>
      <c r="H682" s="1" t="s">
        <v>92</v>
      </c>
      <c r="I682" s="1" t="s">
        <v>1731</v>
      </c>
      <c r="J682" s="1" t="s">
        <v>1732</v>
      </c>
      <c r="K682" s="1" t="s">
        <v>1733</v>
      </c>
      <c r="L682" s="1" t="s">
        <v>1734</v>
      </c>
      <c r="M682" s="4">
        <v>-14.0</v>
      </c>
      <c r="N682" s="4">
        <v>0.008183333333333334</v>
      </c>
      <c r="O682" s="4">
        <v>7.558916666666667</v>
      </c>
    </row>
    <row r="683">
      <c r="A683" s="5">
        <v>45535.0</v>
      </c>
      <c r="B683" s="1" t="s">
        <v>116</v>
      </c>
      <c r="C683" s="1" t="s">
        <v>107</v>
      </c>
      <c r="D683" s="4">
        <v>199.0</v>
      </c>
      <c r="E683" s="4">
        <v>50.0</v>
      </c>
      <c r="G683" s="1" t="s">
        <v>111</v>
      </c>
      <c r="H683" s="1" t="s">
        <v>96</v>
      </c>
      <c r="I683" s="1" t="s">
        <v>1735</v>
      </c>
      <c r="J683" s="1" t="s">
        <v>1736</v>
      </c>
      <c r="K683" s="1" t="s">
        <v>1736</v>
      </c>
      <c r="M683" s="4">
        <v>-4.0</v>
      </c>
      <c r="O683" s="4">
        <v>14.09425</v>
      </c>
    </row>
    <row r="684">
      <c r="A684" s="5">
        <v>45535.0</v>
      </c>
      <c r="B684" s="1" t="s">
        <v>95</v>
      </c>
      <c r="C684" s="1" t="s">
        <v>107</v>
      </c>
      <c r="D684" s="4">
        <v>289.0</v>
      </c>
      <c r="E684" s="4">
        <v>0.0</v>
      </c>
      <c r="G684" s="1" t="s">
        <v>91</v>
      </c>
      <c r="H684" s="1" t="s">
        <v>96</v>
      </c>
      <c r="I684" s="1" t="s">
        <v>1737</v>
      </c>
      <c r="J684" s="1" t="s">
        <v>1738</v>
      </c>
      <c r="K684" s="1" t="s">
        <v>1738</v>
      </c>
      <c r="M684" s="4">
        <v>-2.0</v>
      </c>
      <c r="O684" s="4">
        <v>5.797366666666667</v>
      </c>
    </row>
    <row r="685">
      <c r="A685" s="5">
        <v>45535.0</v>
      </c>
      <c r="B685" s="1" t="s">
        <v>116</v>
      </c>
      <c r="C685" s="1" t="s">
        <v>107</v>
      </c>
      <c r="D685" s="4">
        <v>228.0</v>
      </c>
      <c r="E685" s="4">
        <v>81.0</v>
      </c>
      <c r="G685" s="1" t="s">
        <v>111</v>
      </c>
      <c r="H685" s="1" t="s">
        <v>194</v>
      </c>
      <c r="I685" s="1" t="s">
        <v>1739</v>
      </c>
      <c r="J685" s="1" t="s">
        <v>1740</v>
      </c>
      <c r="K685" s="1" t="s">
        <v>1740</v>
      </c>
      <c r="M685" s="4">
        <v>-11.0</v>
      </c>
      <c r="O685" s="4">
        <v>8.152816666666666</v>
      </c>
    </row>
    <row r="686">
      <c r="A686" s="5">
        <v>45535.0</v>
      </c>
      <c r="B686" s="1" t="s">
        <v>95</v>
      </c>
      <c r="C686" s="1" t="s">
        <v>107</v>
      </c>
      <c r="D686" s="4">
        <v>658.0</v>
      </c>
      <c r="E686" s="4">
        <v>0.0</v>
      </c>
      <c r="G686" s="1" t="s">
        <v>91</v>
      </c>
      <c r="H686" s="1" t="s">
        <v>92</v>
      </c>
      <c r="I686" s="1" t="s">
        <v>1741</v>
      </c>
      <c r="J686" s="1" t="s">
        <v>1742</v>
      </c>
      <c r="K686" s="1" t="s">
        <v>1742</v>
      </c>
      <c r="M686" s="4">
        <v>4.0</v>
      </c>
      <c r="O686" s="4">
        <v>14.055133333333334</v>
      </c>
    </row>
    <row r="687">
      <c r="A687" s="5">
        <v>45535.0</v>
      </c>
      <c r="B687" s="1" t="s">
        <v>95</v>
      </c>
      <c r="C687" s="1" t="s">
        <v>89</v>
      </c>
      <c r="D687" s="4">
        <v>657.0</v>
      </c>
      <c r="E687" s="4">
        <v>0.0</v>
      </c>
      <c r="G687" s="1" t="s">
        <v>91</v>
      </c>
      <c r="H687" s="1" t="s">
        <v>96</v>
      </c>
      <c r="I687" s="1" t="s">
        <v>1743</v>
      </c>
      <c r="J687" s="1" t="s">
        <v>1744</v>
      </c>
      <c r="K687" s="1" t="s">
        <v>1744</v>
      </c>
      <c r="M687" s="4">
        <v>1.0</v>
      </c>
      <c r="O687" s="4">
        <v>11.94185</v>
      </c>
    </row>
    <row r="688">
      <c r="A688" s="5">
        <v>45535.0</v>
      </c>
      <c r="B688" s="1" t="s">
        <v>110</v>
      </c>
      <c r="C688" s="1" t="s">
        <v>107</v>
      </c>
      <c r="D688" s="4">
        <v>1120.5</v>
      </c>
      <c r="E688" s="4">
        <v>1120.5</v>
      </c>
      <c r="G688" s="1" t="s">
        <v>111</v>
      </c>
      <c r="H688" s="1" t="s">
        <v>96</v>
      </c>
      <c r="I688" s="1" t="s">
        <v>1745</v>
      </c>
      <c r="J688" s="1" t="s">
        <v>1746</v>
      </c>
      <c r="K688" s="1" t="s">
        <v>1746</v>
      </c>
      <c r="M688" s="4">
        <v>23.0</v>
      </c>
      <c r="O688" s="4">
        <v>33.296366666666664</v>
      </c>
    </row>
    <row r="689">
      <c r="A689" s="5">
        <v>45535.0</v>
      </c>
      <c r="B689" s="1" t="s">
        <v>116</v>
      </c>
      <c r="C689" s="1" t="s">
        <v>107</v>
      </c>
      <c r="D689" s="4">
        <v>199.0</v>
      </c>
      <c r="E689" s="4">
        <v>50.0</v>
      </c>
      <c r="G689" s="1" t="s">
        <v>111</v>
      </c>
      <c r="H689" s="1" t="s">
        <v>194</v>
      </c>
      <c r="I689" s="1" t="s">
        <v>1747</v>
      </c>
      <c r="J689" s="1" t="s">
        <v>1748</v>
      </c>
      <c r="K689" s="1" t="s">
        <v>1748</v>
      </c>
      <c r="M689" s="4">
        <v>0.0</v>
      </c>
      <c r="O689" s="4">
        <v>19.090116666666667</v>
      </c>
    </row>
    <row r="690">
      <c r="A690" s="5">
        <v>45535.0</v>
      </c>
      <c r="B690" s="1" t="s">
        <v>103</v>
      </c>
      <c r="C690" s="1" t="s">
        <v>89</v>
      </c>
      <c r="D690" s="4">
        <v>264.0</v>
      </c>
      <c r="E690" s="4">
        <v>0.0</v>
      </c>
      <c r="F690" s="1" t="s">
        <v>1470</v>
      </c>
      <c r="G690" s="1" t="s">
        <v>91</v>
      </c>
      <c r="H690" s="1" t="s">
        <v>92</v>
      </c>
      <c r="I690" s="1" t="s">
        <v>1749</v>
      </c>
      <c r="J690" s="1" t="s">
        <v>1750</v>
      </c>
      <c r="K690" s="1" t="s">
        <v>1750</v>
      </c>
      <c r="M690" s="4">
        <v>-9.0</v>
      </c>
      <c r="O690" s="4">
        <v>5.414983333333334</v>
      </c>
    </row>
    <row r="691">
      <c r="A691" s="5">
        <v>45535.0</v>
      </c>
      <c r="B691" s="1" t="s">
        <v>103</v>
      </c>
      <c r="C691" s="1" t="s">
        <v>89</v>
      </c>
      <c r="D691" s="4">
        <v>364.0</v>
      </c>
      <c r="E691" s="4">
        <v>0.0</v>
      </c>
      <c r="F691" s="1" t="s">
        <v>1088</v>
      </c>
      <c r="G691" s="1" t="s">
        <v>91</v>
      </c>
      <c r="H691" s="1" t="s">
        <v>92</v>
      </c>
      <c r="I691" s="1" t="s">
        <v>1751</v>
      </c>
      <c r="J691" s="1" t="s">
        <v>1752</v>
      </c>
      <c r="K691" s="1" t="s">
        <v>1752</v>
      </c>
      <c r="M691" s="4">
        <v>-7.0</v>
      </c>
      <c r="O691" s="4">
        <v>7.429483333333334</v>
      </c>
    </row>
    <row r="692">
      <c r="A692" s="5">
        <v>45535.0</v>
      </c>
      <c r="B692" s="1" t="s">
        <v>116</v>
      </c>
      <c r="C692" s="1" t="s">
        <v>107</v>
      </c>
      <c r="D692" s="4">
        <v>507.0</v>
      </c>
      <c r="E692" s="4">
        <v>110.0</v>
      </c>
      <c r="G692" s="1" t="s">
        <v>111</v>
      </c>
      <c r="H692" s="1" t="s">
        <v>92</v>
      </c>
      <c r="I692" s="1" t="s">
        <v>1753</v>
      </c>
      <c r="J692" s="1" t="s">
        <v>1754</v>
      </c>
      <c r="K692" s="1" t="s">
        <v>1754</v>
      </c>
      <c r="M692" s="4">
        <v>-8.0</v>
      </c>
      <c r="O692" s="4">
        <v>14.62775</v>
      </c>
    </row>
    <row r="693">
      <c r="A693" s="5">
        <v>45535.0</v>
      </c>
      <c r="B693" s="1" t="s">
        <v>116</v>
      </c>
      <c r="C693" s="1" t="s">
        <v>107</v>
      </c>
      <c r="D693" s="4">
        <v>638.0</v>
      </c>
      <c r="E693" s="4">
        <v>154.0</v>
      </c>
      <c r="G693" s="1" t="s">
        <v>111</v>
      </c>
      <c r="H693" s="1" t="s">
        <v>96</v>
      </c>
      <c r="I693" s="1" t="s">
        <v>1755</v>
      </c>
      <c r="J693" s="1" t="s">
        <v>1756</v>
      </c>
      <c r="K693" s="1" t="s">
        <v>1756</v>
      </c>
      <c r="M693" s="4">
        <v>-13.0</v>
      </c>
      <c r="O693" s="4">
        <v>10.854116666666666</v>
      </c>
    </row>
    <row r="694">
      <c r="A694" s="5">
        <v>45535.0</v>
      </c>
      <c r="B694" s="1" t="s">
        <v>88</v>
      </c>
      <c r="C694" s="1" t="s">
        <v>107</v>
      </c>
      <c r="D694" s="4">
        <v>429.0</v>
      </c>
      <c r="E694" s="4">
        <v>0.0</v>
      </c>
      <c r="F694" s="1" t="s">
        <v>90</v>
      </c>
      <c r="G694" s="1" t="s">
        <v>91</v>
      </c>
      <c r="H694" s="1" t="s">
        <v>92</v>
      </c>
      <c r="I694" s="1" t="s">
        <v>1757</v>
      </c>
      <c r="J694" s="1" t="s">
        <v>1758</v>
      </c>
      <c r="K694" s="1" t="s">
        <v>1758</v>
      </c>
      <c r="M694" s="4">
        <v>-6.0</v>
      </c>
      <c r="O694" s="4">
        <v>8.9584</v>
      </c>
    </row>
    <row r="695">
      <c r="A695" s="5">
        <v>45535.0</v>
      </c>
      <c r="B695" s="1" t="s">
        <v>88</v>
      </c>
      <c r="C695" s="1" t="s">
        <v>107</v>
      </c>
      <c r="D695" s="4">
        <v>642.0</v>
      </c>
      <c r="E695" s="4">
        <v>0.0</v>
      </c>
      <c r="F695" s="1" t="s">
        <v>90</v>
      </c>
      <c r="G695" s="1" t="s">
        <v>91</v>
      </c>
      <c r="H695" s="1" t="s">
        <v>92</v>
      </c>
      <c r="I695" s="1" t="s">
        <v>1759</v>
      </c>
      <c r="J695" s="1" t="s">
        <v>1760</v>
      </c>
      <c r="K695" s="1" t="s">
        <v>1760</v>
      </c>
      <c r="M695" s="4">
        <v>-6.0</v>
      </c>
      <c r="O695" s="4">
        <v>13.266866666666667</v>
      </c>
    </row>
    <row r="696">
      <c r="A696" s="5">
        <v>45535.0</v>
      </c>
      <c r="B696" s="1" t="s">
        <v>95</v>
      </c>
      <c r="C696" s="1" t="s">
        <v>89</v>
      </c>
      <c r="D696" s="4">
        <v>364.0</v>
      </c>
      <c r="E696" s="4">
        <v>0.0</v>
      </c>
      <c r="G696" s="1" t="s">
        <v>91</v>
      </c>
      <c r="H696" s="1" t="s">
        <v>92</v>
      </c>
      <c r="I696" s="1" t="s">
        <v>1761</v>
      </c>
      <c r="J696" s="1" t="s">
        <v>1762</v>
      </c>
      <c r="K696" s="1" t="s">
        <v>1762</v>
      </c>
      <c r="M696" s="4">
        <v>1.0</v>
      </c>
      <c r="O696" s="4">
        <v>8.081666666666667</v>
      </c>
    </row>
    <row r="697">
      <c r="A697" s="5">
        <v>45535.0</v>
      </c>
      <c r="B697" s="1" t="s">
        <v>116</v>
      </c>
      <c r="C697" s="1" t="s">
        <v>107</v>
      </c>
      <c r="D697" s="4">
        <v>687.0</v>
      </c>
      <c r="E697" s="4">
        <v>0.0</v>
      </c>
      <c r="F697" s="1" t="s">
        <v>174</v>
      </c>
      <c r="G697" s="1" t="s">
        <v>175</v>
      </c>
      <c r="H697" s="1" t="s">
        <v>92</v>
      </c>
      <c r="I697" s="1" t="s">
        <v>1763</v>
      </c>
      <c r="J697" s="1" t="s">
        <v>1764</v>
      </c>
      <c r="K697" s="1" t="s">
        <v>1765</v>
      </c>
      <c r="L697" s="1" t="s">
        <v>1766</v>
      </c>
      <c r="M697" s="4">
        <v>-4.0</v>
      </c>
      <c r="N697" s="4">
        <v>0.018333333333333333</v>
      </c>
      <c r="O697" s="4">
        <v>31.2312</v>
      </c>
    </row>
    <row r="698">
      <c r="A698" s="5">
        <v>45535.0</v>
      </c>
      <c r="B698" s="1" t="s">
        <v>95</v>
      </c>
      <c r="C698" s="1" t="s">
        <v>89</v>
      </c>
      <c r="D698" s="4">
        <v>378.0</v>
      </c>
      <c r="E698" s="4">
        <v>150.0</v>
      </c>
      <c r="G698" s="1" t="s">
        <v>91</v>
      </c>
      <c r="H698" s="1" t="s">
        <v>92</v>
      </c>
      <c r="I698" s="1" t="s">
        <v>1767</v>
      </c>
      <c r="J698" s="1" t="s">
        <v>1768</v>
      </c>
      <c r="K698" s="1" t="s">
        <v>1768</v>
      </c>
      <c r="M698" s="4">
        <v>0.0</v>
      </c>
      <c r="O698" s="4">
        <v>8.729566666666667</v>
      </c>
    </row>
    <row r="699">
      <c r="A699" s="5">
        <v>45535.0</v>
      </c>
      <c r="B699" s="1" t="s">
        <v>110</v>
      </c>
      <c r="C699" s="1" t="s">
        <v>107</v>
      </c>
      <c r="D699" s="4">
        <v>309.0</v>
      </c>
      <c r="E699" s="4">
        <v>0.0</v>
      </c>
      <c r="G699" s="1" t="s">
        <v>111</v>
      </c>
      <c r="H699" s="1" t="s">
        <v>96</v>
      </c>
      <c r="I699" s="1" t="s">
        <v>1769</v>
      </c>
      <c r="J699" s="1" t="s">
        <v>1770</v>
      </c>
      <c r="K699" s="1" t="s">
        <v>1770</v>
      </c>
      <c r="M699" s="4">
        <v>0.0</v>
      </c>
      <c r="O699" s="4">
        <v>4.143366666666667</v>
      </c>
    </row>
    <row r="700">
      <c r="A700" s="5">
        <v>45535.0</v>
      </c>
      <c r="B700" s="1" t="s">
        <v>103</v>
      </c>
      <c r="C700" s="1" t="s">
        <v>107</v>
      </c>
      <c r="D700" s="4">
        <v>264.0</v>
      </c>
      <c r="E700" s="4">
        <v>0.0</v>
      </c>
      <c r="F700" s="1" t="s">
        <v>1088</v>
      </c>
      <c r="G700" s="1" t="s">
        <v>91</v>
      </c>
      <c r="H700" s="1" t="s">
        <v>92</v>
      </c>
      <c r="I700" s="1" t="s">
        <v>1771</v>
      </c>
      <c r="J700" s="1" t="s">
        <v>1772</v>
      </c>
      <c r="K700" s="1" t="s">
        <v>1772</v>
      </c>
      <c r="M700" s="4">
        <v>-8.0</v>
      </c>
      <c r="O700" s="4">
        <v>6.233416666666667</v>
      </c>
    </row>
    <row r="701">
      <c r="A701" s="5">
        <v>45535.0</v>
      </c>
      <c r="B701" s="1" t="s">
        <v>116</v>
      </c>
      <c r="C701" s="1" t="s">
        <v>107</v>
      </c>
      <c r="D701" s="4">
        <v>298.0</v>
      </c>
      <c r="E701" s="4">
        <v>0.0</v>
      </c>
      <c r="F701" s="1" t="s">
        <v>386</v>
      </c>
      <c r="G701" s="1" t="s">
        <v>175</v>
      </c>
      <c r="H701" s="1" t="s">
        <v>92</v>
      </c>
      <c r="I701" s="1" t="s">
        <v>1773</v>
      </c>
      <c r="J701" s="1" t="s">
        <v>1774</v>
      </c>
      <c r="K701" s="1" t="s">
        <v>1775</v>
      </c>
      <c r="L701" s="1" t="s">
        <v>1776</v>
      </c>
      <c r="M701" s="4">
        <v>-11.0</v>
      </c>
      <c r="N701" s="4">
        <v>0.0083</v>
      </c>
      <c r="O701" s="4">
        <v>6.9416</v>
      </c>
    </row>
    <row r="702">
      <c r="A702" s="5">
        <v>45535.0</v>
      </c>
      <c r="B702" s="1" t="s">
        <v>116</v>
      </c>
      <c r="C702" s="1" t="s">
        <v>107</v>
      </c>
      <c r="D702" s="4">
        <v>428.0</v>
      </c>
      <c r="E702" s="4">
        <v>75.0</v>
      </c>
      <c r="G702" s="1" t="s">
        <v>111</v>
      </c>
      <c r="H702" s="1" t="s">
        <v>96</v>
      </c>
      <c r="I702" s="1" t="s">
        <v>1777</v>
      </c>
      <c r="J702" s="1" t="s">
        <v>1778</v>
      </c>
      <c r="K702" s="1" t="s">
        <v>1778</v>
      </c>
      <c r="M702" s="4">
        <v>-11.0</v>
      </c>
      <c r="O702" s="4">
        <v>7.585766666666666</v>
      </c>
    </row>
    <row r="703">
      <c r="A703" s="5">
        <v>45535.0</v>
      </c>
      <c r="B703" s="1" t="s">
        <v>116</v>
      </c>
      <c r="C703" s="1" t="s">
        <v>107</v>
      </c>
      <c r="D703" s="4">
        <v>267.0</v>
      </c>
      <c r="E703" s="4">
        <v>62.0</v>
      </c>
      <c r="G703" s="1" t="s">
        <v>111</v>
      </c>
      <c r="H703" s="1" t="s">
        <v>92</v>
      </c>
      <c r="I703" s="1" t="s">
        <v>1779</v>
      </c>
      <c r="J703" s="1" t="s">
        <v>1780</v>
      </c>
      <c r="K703" s="1" t="s">
        <v>1780</v>
      </c>
      <c r="M703" s="4">
        <v>-12.0</v>
      </c>
      <c r="O703" s="4">
        <v>6.6064</v>
      </c>
    </row>
    <row r="704">
      <c r="A704" s="5">
        <v>45535.0</v>
      </c>
      <c r="B704" s="1" t="s">
        <v>116</v>
      </c>
      <c r="C704" s="1" t="s">
        <v>107</v>
      </c>
      <c r="D704" s="4">
        <v>479.0</v>
      </c>
      <c r="E704" s="4">
        <v>0.0</v>
      </c>
      <c r="F704" s="1" t="s">
        <v>90</v>
      </c>
      <c r="G704" s="1" t="s">
        <v>175</v>
      </c>
      <c r="H704" s="1" t="s">
        <v>96</v>
      </c>
      <c r="I704" s="1" t="s">
        <v>1781</v>
      </c>
      <c r="J704" s="1" t="s">
        <v>1782</v>
      </c>
      <c r="K704" s="1" t="s">
        <v>1783</v>
      </c>
      <c r="L704" s="1" t="s">
        <v>1784</v>
      </c>
      <c r="M704" s="4">
        <v>-19.0</v>
      </c>
      <c r="N704" s="4">
        <v>2.3726333333333334</v>
      </c>
      <c r="O704" s="4">
        <v>6.190383333333333</v>
      </c>
    </row>
    <row r="705">
      <c r="A705" s="5">
        <v>45535.0</v>
      </c>
      <c r="B705" s="1" t="s">
        <v>88</v>
      </c>
      <c r="C705" s="1" t="s">
        <v>107</v>
      </c>
      <c r="D705" s="4">
        <v>364.0</v>
      </c>
      <c r="E705" s="4">
        <v>0.0</v>
      </c>
      <c r="F705" s="1" t="s">
        <v>90</v>
      </c>
      <c r="G705" s="1" t="s">
        <v>91</v>
      </c>
      <c r="H705" s="1" t="s">
        <v>92</v>
      </c>
      <c r="I705" s="1" t="s">
        <v>1785</v>
      </c>
      <c r="J705" s="1" t="s">
        <v>1786</v>
      </c>
      <c r="K705" s="1" t="s">
        <v>1786</v>
      </c>
      <c r="M705" s="4">
        <v>-13.0</v>
      </c>
      <c r="O705" s="4">
        <v>6.741766666666667</v>
      </c>
    </row>
    <row r="706">
      <c r="A706" s="5">
        <v>45535.0</v>
      </c>
      <c r="B706" s="1" t="s">
        <v>110</v>
      </c>
      <c r="C706" s="1" t="s">
        <v>107</v>
      </c>
      <c r="D706" s="4">
        <v>209.0</v>
      </c>
      <c r="E706" s="4">
        <v>0.0</v>
      </c>
      <c r="G706" s="1" t="s">
        <v>111</v>
      </c>
      <c r="H706" s="1" t="s">
        <v>96</v>
      </c>
      <c r="I706" s="1" t="s">
        <v>1787</v>
      </c>
      <c r="J706" s="1" t="s">
        <v>1788</v>
      </c>
      <c r="K706" s="1" t="s">
        <v>1788</v>
      </c>
      <c r="M706" s="4">
        <v>-4.0</v>
      </c>
      <c r="O706" s="4">
        <v>0.88255</v>
      </c>
    </row>
    <row r="707">
      <c r="A707" s="5">
        <v>45535.0</v>
      </c>
      <c r="B707" s="1" t="s">
        <v>116</v>
      </c>
      <c r="C707" s="1" t="s">
        <v>107</v>
      </c>
      <c r="D707" s="4">
        <v>250.0</v>
      </c>
      <c r="E707" s="4">
        <v>0.0</v>
      </c>
      <c r="F707" s="1" t="s">
        <v>386</v>
      </c>
      <c r="G707" s="1" t="s">
        <v>175</v>
      </c>
      <c r="H707" s="1" t="s">
        <v>92</v>
      </c>
      <c r="I707" s="1" t="s">
        <v>1789</v>
      </c>
      <c r="J707" s="1" t="s">
        <v>1790</v>
      </c>
      <c r="K707" s="1" t="s">
        <v>1791</v>
      </c>
      <c r="L707" s="1" t="s">
        <v>1792</v>
      </c>
      <c r="M707" s="4">
        <v>10.0</v>
      </c>
      <c r="N707" s="4">
        <v>0.007683333333333334</v>
      </c>
      <c r="O707" s="4">
        <v>15.296583333333333</v>
      </c>
    </row>
    <row r="708">
      <c r="A708" s="5">
        <v>45535.0</v>
      </c>
      <c r="B708" s="1" t="s">
        <v>110</v>
      </c>
      <c r="C708" s="1" t="s">
        <v>107</v>
      </c>
      <c r="D708" s="4">
        <v>249.0</v>
      </c>
      <c r="E708" s="4">
        <v>0.0</v>
      </c>
      <c r="G708" s="1" t="s">
        <v>111</v>
      </c>
      <c r="H708" s="1" t="s">
        <v>96</v>
      </c>
      <c r="I708" s="1" t="s">
        <v>1793</v>
      </c>
      <c r="J708" s="1" t="s">
        <v>1794</v>
      </c>
      <c r="K708" s="1" t="s">
        <v>1794</v>
      </c>
      <c r="M708" s="4">
        <v>-3.0</v>
      </c>
      <c r="O708" s="4">
        <v>1.8963833333333333</v>
      </c>
    </row>
    <row r="709">
      <c r="A709" s="5">
        <v>45535.0</v>
      </c>
      <c r="B709" s="1" t="s">
        <v>116</v>
      </c>
      <c r="C709" s="1" t="s">
        <v>107</v>
      </c>
      <c r="D709" s="4">
        <v>338.0</v>
      </c>
      <c r="E709" s="4">
        <v>50.0</v>
      </c>
      <c r="G709" s="1" t="s">
        <v>111</v>
      </c>
      <c r="H709" s="1" t="s">
        <v>92</v>
      </c>
      <c r="I709" s="1" t="s">
        <v>1795</v>
      </c>
      <c r="J709" s="1" t="s">
        <v>1796</v>
      </c>
      <c r="K709" s="1" t="s">
        <v>1796</v>
      </c>
      <c r="M709" s="4">
        <v>-12.0</v>
      </c>
      <c r="O709" s="4">
        <v>6.538366666666667</v>
      </c>
    </row>
    <row r="710">
      <c r="A710" s="5">
        <v>45535.0</v>
      </c>
      <c r="B710" s="1" t="s">
        <v>116</v>
      </c>
      <c r="C710" s="1" t="s">
        <v>107</v>
      </c>
      <c r="D710" s="4">
        <v>528.0</v>
      </c>
      <c r="E710" s="4">
        <v>0.0</v>
      </c>
      <c r="F710" s="1" t="s">
        <v>386</v>
      </c>
      <c r="G710" s="1" t="s">
        <v>175</v>
      </c>
      <c r="H710" s="1" t="s">
        <v>92</v>
      </c>
      <c r="I710" s="1" t="s">
        <v>1797</v>
      </c>
      <c r="J710" s="1" t="s">
        <v>1798</v>
      </c>
      <c r="K710" s="1" t="s">
        <v>1799</v>
      </c>
      <c r="L710" s="1" t="s">
        <v>1800</v>
      </c>
      <c r="M710" s="4">
        <v>-24.0</v>
      </c>
      <c r="N710" s="4">
        <v>0.01375</v>
      </c>
      <c r="O710" s="4">
        <v>13.24565</v>
      </c>
    </row>
    <row r="711">
      <c r="A711" s="5">
        <v>45535.0</v>
      </c>
      <c r="B711" s="1" t="s">
        <v>95</v>
      </c>
      <c r="C711" s="1" t="s">
        <v>107</v>
      </c>
      <c r="D711" s="4">
        <v>329.0</v>
      </c>
      <c r="E711" s="4">
        <v>0.0</v>
      </c>
      <c r="G711" s="1" t="s">
        <v>91</v>
      </c>
      <c r="H711" s="1" t="s">
        <v>92</v>
      </c>
      <c r="I711" s="1" t="s">
        <v>1801</v>
      </c>
      <c r="J711" s="1" t="s">
        <v>1802</v>
      </c>
      <c r="K711" s="1" t="s">
        <v>1802</v>
      </c>
      <c r="M711" s="4">
        <v>4.0</v>
      </c>
      <c r="O711" s="4">
        <v>11.945483333333334</v>
      </c>
    </row>
    <row r="712">
      <c r="A712" s="5">
        <v>45535.0</v>
      </c>
      <c r="B712" s="1" t="s">
        <v>116</v>
      </c>
      <c r="C712" s="1" t="s">
        <v>107</v>
      </c>
      <c r="D712" s="4">
        <v>298.0</v>
      </c>
      <c r="E712" s="4">
        <v>0.0</v>
      </c>
      <c r="F712" s="1" t="s">
        <v>386</v>
      </c>
      <c r="G712" s="1" t="s">
        <v>175</v>
      </c>
      <c r="H712" s="1" t="s">
        <v>96</v>
      </c>
      <c r="I712" s="1" t="s">
        <v>1803</v>
      </c>
      <c r="J712" s="1" t="s">
        <v>1804</v>
      </c>
      <c r="K712" s="1" t="s">
        <v>1805</v>
      </c>
      <c r="L712" s="1" t="s">
        <v>1806</v>
      </c>
      <c r="M712" s="4">
        <v>-13.0</v>
      </c>
      <c r="N712" s="4">
        <v>0.008833333333333334</v>
      </c>
      <c r="O712" s="4">
        <v>8.60115</v>
      </c>
    </row>
    <row r="713">
      <c r="A713" s="5">
        <v>45535.0</v>
      </c>
      <c r="B713" s="1" t="s">
        <v>88</v>
      </c>
      <c r="C713" s="1" t="s">
        <v>107</v>
      </c>
      <c r="D713" s="4">
        <v>926.0</v>
      </c>
      <c r="E713" s="4">
        <v>0.0</v>
      </c>
      <c r="F713" s="1" t="s">
        <v>90</v>
      </c>
      <c r="G713" s="1" t="s">
        <v>91</v>
      </c>
      <c r="H713" s="1" t="s">
        <v>92</v>
      </c>
      <c r="I713" s="1" t="s">
        <v>1807</v>
      </c>
      <c r="J713" s="1" t="s">
        <v>1808</v>
      </c>
      <c r="K713" s="1" t="s">
        <v>1808</v>
      </c>
      <c r="M713" s="4">
        <v>-11.0</v>
      </c>
      <c r="O713" s="4">
        <v>8.65445</v>
      </c>
    </row>
    <row r="714">
      <c r="A714" s="5">
        <v>45535.0</v>
      </c>
      <c r="B714" s="1" t="s">
        <v>95</v>
      </c>
      <c r="C714" s="1" t="s">
        <v>89</v>
      </c>
      <c r="D714" s="4">
        <v>403.0</v>
      </c>
      <c r="E714" s="4">
        <v>0.0</v>
      </c>
      <c r="G714" s="1" t="s">
        <v>91</v>
      </c>
      <c r="H714" s="1" t="s">
        <v>92</v>
      </c>
      <c r="I714" s="1" t="s">
        <v>1809</v>
      </c>
      <c r="J714" s="1" t="s">
        <v>1810</v>
      </c>
      <c r="K714" s="1" t="s">
        <v>1810</v>
      </c>
      <c r="M714" s="4">
        <v>0.0</v>
      </c>
      <c r="O714" s="4">
        <v>8.530333333333333</v>
      </c>
    </row>
    <row r="715">
      <c r="A715" s="5">
        <v>45535.0</v>
      </c>
      <c r="B715" s="1" t="s">
        <v>95</v>
      </c>
      <c r="C715" s="1" t="s">
        <v>89</v>
      </c>
      <c r="D715" s="4">
        <v>329.0</v>
      </c>
      <c r="E715" s="4">
        <v>0.0</v>
      </c>
      <c r="G715" s="1" t="s">
        <v>91</v>
      </c>
      <c r="H715" s="1" t="s">
        <v>92</v>
      </c>
      <c r="I715" s="1" t="s">
        <v>1811</v>
      </c>
      <c r="J715" s="1" t="s">
        <v>1812</v>
      </c>
      <c r="K715" s="1" t="s">
        <v>1812</v>
      </c>
      <c r="M715" s="4">
        <v>2.0</v>
      </c>
      <c r="O715" s="4">
        <v>9.705033333333333</v>
      </c>
    </row>
    <row r="716">
      <c r="A716" s="5">
        <v>45535.0</v>
      </c>
      <c r="B716" s="1" t="s">
        <v>95</v>
      </c>
      <c r="C716" s="1" t="s">
        <v>89</v>
      </c>
      <c r="D716" s="4">
        <v>364.0</v>
      </c>
      <c r="E716" s="4">
        <v>0.0</v>
      </c>
      <c r="G716" s="1" t="s">
        <v>91</v>
      </c>
      <c r="H716" s="1" t="s">
        <v>92</v>
      </c>
      <c r="I716" s="1" t="s">
        <v>1813</v>
      </c>
      <c r="J716" s="1" t="s">
        <v>1814</v>
      </c>
      <c r="K716" s="1" t="s">
        <v>1814</v>
      </c>
      <c r="M716" s="4">
        <v>1.0</v>
      </c>
      <c r="O716" s="4">
        <v>8.17835</v>
      </c>
    </row>
    <row r="717">
      <c r="A717" s="5">
        <v>45535.0</v>
      </c>
      <c r="B717" s="1" t="s">
        <v>110</v>
      </c>
      <c r="C717" s="1" t="s">
        <v>107</v>
      </c>
      <c r="D717" s="4">
        <v>249.0</v>
      </c>
      <c r="E717" s="4">
        <v>0.0</v>
      </c>
      <c r="G717" s="1" t="s">
        <v>111</v>
      </c>
      <c r="H717" s="1" t="s">
        <v>96</v>
      </c>
      <c r="I717" s="1" t="s">
        <v>1815</v>
      </c>
      <c r="J717" s="1" t="s">
        <v>1816</v>
      </c>
      <c r="K717" s="1" t="s">
        <v>1816</v>
      </c>
      <c r="M717" s="4">
        <v>0.0</v>
      </c>
      <c r="O717" s="4">
        <v>4.864483333333333</v>
      </c>
    </row>
    <row r="718">
      <c r="A718" s="5">
        <v>45535.0</v>
      </c>
      <c r="B718" s="1" t="s">
        <v>88</v>
      </c>
      <c r="C718" s="1" t="s">
        <v>107</v>
      </c>
      <c r="D718" s="4">
        <v>329.0</v>
      </c>
      <c r="E718" s="4">
        <v>0.0</v>
      </c>
      <c r="F718" s="1" t="s">
        <v>90</v>
      </c>
      <c r="G718" s="1" t="s">
        <v>91</v>
      </c>
      <c r="H718" s="1" t="s">
        <v>92</v>
      </c>
      <c r="I718" s="1" t="s">
        <v>1817</v>
      </c>
      <c r="J718" s="1" t="s">
        <v>1818</v>
      </c>
      <c r="K718" s="1" t="s">
        <v>1818</v>
      </c>
      <c r="M718" s="4">
        <v>-4.0</v>
      </c>
      <c r="O718" s="4">
        <v>10.592483333333334</v>
      </c>
    </row>
    <row r="719">
      <c r="A719" s="5">
        <v>45535.0</v>
      </c>
      <c r="B719" s="1" t="s">
        <v>116</v>
      </c>
      <c r="C719" s="1" t="s">
        <v>107</v>
      </c>
      <c r="D719" s="4">
        <v>289.0</v>
      </c>
      <c r="E719" s="4">
        <v>0.0</v>
      </c>
      <c r="F719" s="1" t="s">
        <v>386</v>
      </c>
      <c r="G719" s="1" t="s">
        <v>175</v>
      </c>
      <c r="H719" s="1" t="s">
        <v>92</v>
      </c>
      <c r="I719" s="1" t="s">
        <v>1819</v>
      </c>
      <c r="J719" s="1" t="s">
        <v>1820</v>
      </c>
      <c r="K719" s="1" t="s">
        <v>1821</v>
      </c>
      <c r="L719" s="1" t="s">
        <v>1822</v>
      </c>
      <c r="M719" s="4">
        <v>-9.0</v>
      </c>
      <c r="N719" s="4">
        <v>0.007533333333333334</v>
      </c>
      <c r="O719" s="4">
        <v>6.2622333333333335</v>
      </c>
    </row>
    <row r="720">
      <c r="A720" s="5">
        <v>45535.0</v>
      </c>
      <c r="B720" s="1" t="s">
        <v>116</v>
      </c>
      <c r="C720" s="1" t="s">
        <v>107</v>
      </c>
      <c r="D720" s="4">
        <v>299.0</v>
      </c>
      <c r="E720" s="4">
        <v>12.0</v>
      </c>
      <c r="F720" s="1" t="s">
        <v>386</v>
      </c>
      <c r="G720" s="1" t="s">
        <v>175</v>
      </c>
      <c r="H720" s="1" t="s">
        <v>92</v>
      </c>
      <c r="I720" s="1" t="s">
        <v>1823</v>
      </c>
      <c r="J720" s="1" t="s">
        <v>1824</v>
      </c>
      <c r="K720" s="1" t="s">
        <v>1825</v>
      </c>
      <c r="L720" s="1" t="s">
        <v>1826</v>
      </c>
      <c r="M720" s="4">
        <v>-9.0</v>
      </c>
      <c r="N720" s="4">
        <v>0.015683333333333334</v>
      </c>
      <c r="O720" s="4">
        <v>4.991416666666667</v>
      </c>
    </row>
    <row r="721">
      <c r="A721" s="5">
        <v>45535.0</v>
      </c>
      <c r="B721" s="1" t="s">
        <v>95</v>
      </c>
      <c r="C721" s="1" t="s">
        <v>89</v>
      </c>
      <c r="D721" s="4">
        <v>408.0</v>
      </c>
      <c r="E721" s="4">
        <v>150.0</v>
      </c>
      <c r="G721" s="1" t="s">
        <v>91</v>
      </c>
      <c r="H721" s="1" t="s">
        <v>92</v>
      </c>
      <c r="I721" s="1" t="s">
        <v>1827</v>
      </c>
      <c r="J721" s="1" t="s">
        <v>1828</v>
      </c>
      <c r="K721" s="1" t="s">
        <v>1828</v>
      </c>
      <c r="M721" s="4">
        <v>0.0</v>
      </c>
      <c r="O721" s="4">
        <v>8.8692</v>
      </c>
    </row>
    <row r="722">
      <c r="A722" s="5">
        <v>45535.0</v>
      </c>
      <c r="B722" s="1" t="s">
        <v>95</v>
      </c>
      <c r="C722" s="1" t="s">
        <v>89</v>
      </c>
      <c r="D722" s="4">
        <v>752.0</v>
      </c>
      <c r="E722" s="4">
        <v>0.0</v>
      </c>
      <c r="G722" s="1" t="s">
        <v>91</v>
      </c>
      <c r="H722" s="1" t="s">
        <v>96</v>
      </c>
      <c r="I722" s="1" t="s">
        <v>1829</v>
      </c>
      <c r="J722" s="1" t="s">
        <v>1830</v>
      </c>
      <c r="K722" s="1" t="s">
        <v>1830</v>
      </c>
      <c r="M722" s="4">
        <v>0.0</v>
      </c>
      <c r="O722" s="4">
        <v>10.5245</v>
      </c>
    </row>
    <row r="723">
      <c r="A723" s="5">
        <v>45535.0</v>
      </c>
      <c r="B723" s="1" t="s">
        <v>88</v>
      </c>
      <c r="C723" s="1" t="s">
        <v>107</v>
      </c>
      <c r="D723" s="4">
        <v>329.0</v>
      </c>
      <c r="E723" s="4">
        <v>0.0</v>
      </c>
      <c r="F723" s="1" t="s">
        <v>90</v>
      </c>
      <c r="G723" s="1" t="s">
        <v>91</v>
      </c>
      <c r="H723" s="1" t="s">
        <v>92</v>
      </c>
      <c r="I723" s="1" t="s">
        <v>1831</v>
      </c>
      <c r="J723" s="1" t="s">
        <v>1832</v>
      </c>
      <c r="K723" s="1" t="s">
        <v>1832</v>
      </c>
      <c r="M723" s="4">
        <v>-8.0</v>
      </c>
      <c r="O723" s="4">
        <v>6.68825</v>
      </c>
    </row>
    <row r="724">
      <c r="A724" s="5">
        <v>45535.0</v>
      </c>
      <c r="B724" s="1" t="s">
        <v>116</v>
      </c>
      <c r="C724" s="1" t="s">
        <v>107</v>
      </c>
      <c r="D724" s="4">
        <v>329.0</v>
      </c>
      <c r="E724" s="4">
        <v>0.0</v>
      </c>
      <c r="F724" s="1" t="s">
        <v>386</v>
      </c>
      <c r="G724" s="1" t="s">
        <v>175</v>
      </c>
      <c r="H724" s="1" t="s">
        <v>92</v>
      </c>
      <c r="I724" s="1" t="s">
        <v>1833</v>
      </c>
      <c r="J724" s="1" t="s">
        <v>1834</v>
      </c>
      <c r="K724" s="1" t="s">
        <v>1835</v>
      </c>
      <c r="L724" s="1" t="s">
        <v>1836</v>
      </c>
      <c r="M724" s="4">
        <v>-10.0</v>
      </c>
      <c r="N724" s="4">
        <v>0.008583333333333333</v>
      </c>
      <c r="O724" s="4">
        <v>8.003716666666667</v>
      </c>
    </row>
    <row r="725">
      <c r="A725" s="5">
        <v>45535.0</v>
      </c>
      <c r="B725" s="1" t="s">
        <v>88</v>
      </c>
      <c r="C725" s="1" t="s">
        <v>107</v>
      </c>
      <c r="D725" s="4">
        <v>264.0</v>
      </c>
      <c r="E725" s="4">
        <v>0.0</v>
      </c>
      <c r="F725" s="1" t="s">
        <v>90</v>
      </c>
      <c r="G725" s="1" t="s">
        <v>91</v>
      </c>
      <c r="H725" s="1" t="s">
        <v>92</v>
      </c>
      <c r="I725" s="1" t="s">
        <v>1837</v>
      </c>
      <c r="J725" s="1" t="s">
        <v>1838</v>
      </c>
      <c r="K725" s="1" t="s">
        <v>1838</v>
      </c>
      <c r="M725" s="4">
        <v>-5.0</v>
      </c>
      <c r="O725" s="4">
        <v>9.447733333333334</v>
      </c>
    </row>
    <row r="726">
      <c r="A726" s="5">
        <v>45535.0</v>
      </c>
      <c r="B726" s="1" t="s">
        <v>88</v>
      </c>
      <c r="C726" s="1" t="s">
        <v>107</v>
      </c>
      <c r="D726" s="4">
        <v>299.0</v>
      </c>
      <c r="E726" s="4">
        <v>0.0</v>
      </c>
      <c r="F726" s="1" t="s">
        <v>90</v>
      </c>
      <c r="G726" s="1" t="s">
        <v>91</v>
      </c>
      <c r="H726" s="1" t="s">
        <v>92</v>
      </c>
      <c r="I726" s="1" t="s">
        <v>1839</v>
      </c>
      <c r="J726" s="1" t="s">
        <v>1840</v>
      </c>
      <c r="K726" s="1" t="s">
        <v>1840</v>
      </c>
      <c r="M726" s="4">
        <v>-9.0</v>
      </c>
      <c r="O726" s="4">
        <v>5.5194833333333335</v>
      </c>
    </row>
    <row r="727">
      <c r="A727" s="5">
        <v>45535.0</v>
      </c>
      <c r="B727" s="1" t="s">
        <v>116</v>
      </c>
      <c r="C727" s="1" t="s">
        <v>107</v>
      </c>
      <c r="D727" s="4">
        <v>309.0</v>
      </c>
      <c r="E727" s="4">
        <v>0.0</v>
      </c>
      <c r="F727" s="1" t="s">
        <v>386</v>
      </c>
      <c r="G727" s="1" t="s">
        <v>175</v>
      </c>
      <c r="H727" s="1" t="s">
        <v>92</v>
      </c>
      <c r="I727" s="1" t="s">
        <v>1841</v>
      </c>
      <c r="J727" s="1" t="s">
        <v>1842</v>
      </c>
      <c r="K727" s="1" t="s">
        <v>1843</v>
      </c>
      <c r="L727" s="1" t="s">
        <v>1844</v>
      </c>
      <c r="M727" s="4">
        <v>-5.0</v>
      </c>
      <c r="N727" s="4">
        <v>0.008983333333333333</v>
      </c>
      <c r="O727" s="4">
        <v>8.453516666666667</v>
      </c>
    </row>
    <row r="728">
      <c r="A728" s="5">
        <v>45535.0</v>
      </c>
      <c r="B728" s="1" t="s">
        <v>116</v>
      </c>
      <c r="C728" s="1" t="s">
        <v>107</v>
      </c>
      <c r="D728" s="4">
        <v>352.0</v>
      </c>
      <c r="E728" s="4">
        <v>61.0</v>
      </c>
      <c r="G728" s="1" t="s">
        <v>111</v>
      </c>
      <c r="H728" s="1" t="s">
        <v>92</v>
      </c>
      <c r="I728" s="1" t="s">
        <v>1845</v>
      </c>
      <c r="J728" s="1" t="s">
        <v>1846</v>
      </c>
      <c r="K728" s="1" t="s">
        <v>1846</v>
      </c>
      <c r="M728" s="4">
        <v>-11.0</v>
      </c>
      <c r="O728" s="4">
        <v>8.1163</v>
      </c>
    </row>
    <row r="729">
      <c r="A729" s="5">
        <v>45535.0</v>
      </c>
      <c r="B729" s="1" t="s">
        <v>95</v>
      </c>
      <c r="C729" s="1" t="s">
        <v>89</v>
      </c>
      <c r="D729" s="4">
        <v>528.0</v>
      </c>
      <c r="E729" s="4">
        <v>0.0</v>
      </c>
      <c r="G729" s="1" t="s">
        <v>91</v>
      </c>
      <c r="H729" s="1" t="s">
        <v>92</v>
      </c>
      <c r="I729" s="1" t="s">
        <v>1847</v>
      </c>
      <c r="J729" s="1" t="s">
        <v>1848</v>
      </c>
      <c r="K729" s="1" t="s">
        <v>1848</v>
      </c>
      <c r="M729" s="4">
        <v>0.0</v>
      </c>
      <c r="O729" s="4">
        <v>8.1233</v>
      </c>
    </row>
    <row r="730">
      <c r="A730" s="5">
        <v>45535.0</v>
      </c>
      <c r="B730" s="1" t="s">
        <v>88</v>
      </c>
      <c r="C730" s="1" t="s">
        <v>107</v>
      </c>
      <c r="D730" s="4">
        <v>658.0</v>
      </c>
      <c r="E730" s="4">
        <v>0.0</v>
      </c>
      <c r="F730" s="1" t="s">
        <v>90</v>
      </c>
      <c r="G730" s="1" t="s">
        <v>91</v>
      </c>
      <c r="H730" s="1" t="s">
        <v>92</v>
      </c>
      <c r="I730" s="1" t="s">
        <v>1849</v>
      </c>
      <c r="J730" s="1" t="s">
        <v>1850</v>
      </c>
      <c r="K730" s="1" t="s">
        <v>1850</v>
      </c>
      <c r="M730" s="4">
        <v>-11.0</v>
      </c>
      <c r="O730" s="4">
        <v>8.542183333333334</v>
      </c>
    </row>
    <row r="731">
      <c r="A731" s="5">
        <v>45535.0</v>
      </c>
      <c r="B731" s="1" t="s">
        <v>95</v>
      </c>
      <c r="C731" s="1" t="s">
        <v>89</v>
      </c>
      <c r="D731" s="4">
        <v>321.0</v>
      </c>
      <c r="E731" s="4">
        <v>0.0</v>
      </c>
      <c r="G731" s="1" t="s">
        <v>91</v>
      </c>
      <c r="H731" s="1" t="s">
        <v>92</v>
      </c>
      <c r="I731" s="1" t="s">
        <v>1851</v>
      </c>
      <c r="J731" s="1" t="s">
        <v>1852</v>
      </c>
      <c r="K731" s="1" t="s">
        <v>1852</v>
      </c>
      <c r="M731" s="4">
        <v>0.0</v>
      </c>
      <c r="O731" s="4">
        <v>7.293433333333334</v>
      </c>
    </row>
    <row r="732">
      <c r="A732" s="5">
        <v>45535.0</v>
      </c>
      <c r="B732" s="1" t="s">
        <v>110</v>
      </c>
      <c r="C732" s="1" t="s">
        <v>107</v>
      </c>
      <c r="D732" s="4">
        <v>966.0</v>
      </c>
      <c r="E732" s="4">
        <v>0.0</v>
      </c>
      <c r="G732" s="1" t="s">
        <v>111</v>
      </c>
      <c r="H732" s="1" t="s">
        <v>96</v>
      </c>
      <c r="I732" s="1" t="s">
        <v>1853</v>
      </c>
      <c r="J732" s="1" t="s">
        <v>1854</v>
      </c>
      <c r="K732" s="1" t="s">
        <v>1854</v>
      </c>
      <c r="M732" s="4">
        <v>-1.0</v>
      </c>
      <c r="O732" s="4">
        <v>8.231916666666667</v>
      </c>
    </row>
    <row r="733">
      <c r="A733" s="5">
        <v>45535.0</v>
      </c>
      <c r="B733" s="1" t="s">
        <v>103</v>
      </c>
      <c r="C733" s="1" t="s">
        <v>89</v>
      </c>
      <c r="D733" s="4">
        <v>264.0</v>
      </c>
      <c r="E733" s="4">
        <v>0.0</v>
      </c>
      <c r="F733" s="1" t="s">
        <v>506</v>
      </c>
      <c r="G733" s="1" t="s">
        <v>91</v>
      </c>
      <c r="H733" s="1" t="s">
        <v>92</v>
      </c>
      <c r="I733" s="1" t="s">
        <v>1855</v>
      </c>
      <c r="J733" s="1" t="s">
        <v>1856</v>
      </c>
      <c r="K733" s="1" t="s">
        <v>1856</v>
      </c>
      <c r="M733" s="4">
        <v>1.0</v>
      </c>
      <c r="O733" s="4">
        <v>16.456466666666667</v>
      </c>
    </row>
    <row r="734">
      <c r="A734" s="5">
        <v>45535.0</v>
      </c>
      <c r="B734" s="1" t="s">
        <v>116</v>
      </c>
      <c r="C734" s="1" t="s">
        <v>107</v>
      </c>
      <c r="D734" s="4">
        <v>363.0</v>
      </c>
      <c r="E734" s="4">
        <v>91.0</v>
      </c>
      <c r="G734" s="1" t="s">
        <v>111</v>
      </c>
      <c r="H734" s="1" t="s">
        <v>194</v>
      </c>
      <c r="I734" s="1" t="s">
        <v>1857</v>
      </c>
      <c r="J734" s="1" t="s">
        <v>1858</v>
      </c>
      <c r="K734" s="1" t="s">
        <v>1858</v>
      </c>
      <c r="M734" s="4">
        <v>-11.0</v>
      </c>
      <c r="O734" s="4">
        <v>7.804</v>
      </c>
    </row>
    <row r="735">
      <c r="A735" s="5">
        <v>45535.0</v>
      </c>
      <c r="B735" s="1" t="s">
        <v>110</v>
      </c>
      <c r="C735" s="1" t="s">
        <v>107</v>
      </c>
      <c r="D735" s="4">
        <v>374.0</v>
      </c>
      <c r="E735" s="4">
        <v>0.0</v>
      </c>
      <c r="G735" s="1" t="s">
        <v>111</v>
      </c>
      <c r="H735" s="1" t="s">
        <v>96</v>
      </c>
      <c r="I735" s="1" t="s">
        <v>1859</v>
      </c>
      <c r="J735" s="1" t="s">
        <v>1860</v>
      </c>
      <c r="K735" s="1" t="s">
        <v>1860</v>
      </c>
      <c r="M735" s="4">
        <v>5.0</v>
      </c>
      <c r="O735" s="4">
        <v>10.37845</v>
      </c>
    </row>
    <row r="736">
      <c r="A736" s="5">
        <v>45535.0</v>
      </c>
      <c r="B736" s="1" t="s">
        <v>103</v>
      </c>
      <c r="C736" s="1" t="s">
        <v>89</v>
      </c>
      <c r="D736" s="4">
        <v>585.0</v>
      </c>
      <c r="E736" s="4">
        <v>0.0</v>
      </c>
      <c r="F736" s="1" t="s">
        <v>1224</v>
      </c>
      <c r="G736" s="1" t="s">
        <v>91</v>
      </c>
      <c r="H736" s="1" t="s">
        <v>92</v>
      </c>
      <c r="I736" s="1" t="s">
        <v>1861</v>
      </c>
      <c r="J736" s="1" t="s">
        <v>1862</v>
      </c>
      <c r="K736" s="1" t="s">
        <v>1862</v>
      </c>
      <c r="M736" s="4">
        <v>-1.0</v>
      </c>
      <c r="O736" s="4">
        <v>18.1856</v>
      </c>
    </row>
    <row r="737">
      <c r="A737" s="5">
        <v>45535.0</v>
      </c>
      <c r="B737" s="1" t="s">
        <v>95</v>
      </c>
      <c r="C737" s="1" t="s">
        <v>89</v>
      </c>
      <c r="D737" s="4">
        <v>379.0</v>
      </c>
      <c r="E737" s="4">
        <v>150.0</v>
      </c>
      <c r="G737" s="1" t="s">
        <v>91</v>
      </c>
      <c r="H737" s="1" t="s">
        <v>92</v>
      </c>
      <c r="I737" s="1" t="s">
        <v>1863</v>
      </c>
      <c r="J737" s="1" t="s">
        <v>1864</v>
      </c>
      <c r="K737" s="1" t="s">
        <v>1864</v>
      </c>
      <c r="M737" s="4">
        <v>1.0</v>
      </c>
      <c r="O737" s="4">
        <v>10.013433333333333</v>
      </c>
    </row>
    <row r="738">
      <c r="A738" s="5">
        <v>45535.0</v>
      </c>
      <c r="B738" s="1" t="s">
        <v>116</v>
      </c>
      <c r="C738" s="1" t="s">
        <v>107</v>
      </c>
      <c r="D738" s="4">
        <v>368.0</v>
      </c>
      <c r="E738" s="4">
        <v>0.0</v>
      </c>
      <c r="F738" s="1" t="s">
        <v>386</v>
      </c>
      <c r="G738" s="1" t="s">
        <v>175</v>
      </c>
      <c r="H738" s="1" t="s">
        <v>96</v>
      </c>
      <c r="I738" s="1" t="s">
        <v>1865</v>
      </c>
      <c r="J738" s="1" t="s">
        <v>1866</v>
      </c>
      <c r="K738" s="1" t="s">
        <v>1867</v>
      </c>
      <c r="L738" s="1" t="s">
        <v>1868</v>
      </c>
      <c r="M738" s="4">
        <v>-6.0</v>
      </c>
      <c r="N738" s="4">
        <v>0.009883333333333333</v>
      </c>
      <c r="O738" s="4">
        <v>13.740233333333334</v>
      </c>
    </row>
    <row r="739">
      <c r="A739" s="5">
        <v>45535.0</v>
      </c>
      <c r="B739" s="1" t="s">
        <v>116</v>
      </c>
      <c r="C739" s="1" t="s">
        <v>107</v>
      </c>
      <c r="D739" s="4">
        <v>355.0</v>
      </c>
      <c r="E739" s="4">
        <v>0.0</v>
      </c>
      <c r="F739" s="1" t="s">
        <v>386</v>
      </c>
      <c r="G739" s="1" t="s">
        <v>175</v>
      </c>
      <c r="H739" s="1" t="s">
        <v>92</v>
      </c>
      <c r="I739" s="1" t="s">
        <v>1869</v>
      </c>
      <c r="J739" s="1" t="s">
        <v>1870</v>
      </c>
      <c r="K739" s="1" t="s">
        <v>1871</v>
      </c>
      <c r="L739" s="1" t="s">
        <v>1872</v>
      </c>
      <c r="M739" s="4">
        <v>-13.0</v>
      </c>
      <c r="N739" s="4">
        <v>0.00915</v>
      </c>
      <c r="O739" s="4">
        <v>11.834866666666667</v>
      </c>
    </row>
    <row r="740">
      <c r="A740" s="5">
        <v>45535.0</v>
      </c>
      <c r="B740" s="1" t="s">
        <v>95</v>
      </c>
      <c r="C740" s="1" t="s">
        <v>89</v>
      </c>
      <c r="D740" s="4">
        <v>666.0</v>
      </c>
      <c r="E740" s="4">
        <v>0.0</v>
      </c>
      <c r="G740" s="1" t="s">
        <v>91</v>
      </c>
      <c r="H740" s="1" t="s">
        <v>92</v>
      </c>
      <c r="I740" s="1" t="s">
        <v>1873</v>
      </c>
      <c r="J740" s="1" t="s">
        <v>1874</v>
      </c>
      <c r="K740" s="1" t="s">
        <v>1874</v>
      </c>
      <c r="M740" s="4">
        <v>4.0</v>
      </c>
      <c r="O740" s="4">
        <v>13.423133333333332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0" max="40" width="20.25"/>
    <col customWidth="1" min="47" max="47" width="20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1875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6" t="s">
        <v>31</v>
      </c>
      <c r="AH1" s="6" t="s">
        <v>32</v>
      </c>
      <c r="AI1" s="6" t="s">
        <v>33</v>
      </c>
      <c r="AJ1" s="6" t="s">
        <v>34</v>
      </c>
      <c r="AK1" s="6" t="s">
        <v>35</v>
      </c>
      <c r="AL1" s="6" t="s">
        <v>36</v>
      </c>
      <c r="AM1" s="6" t="s">
        <v>37</v>
      </c>
      <c r="AN1" s="6" t="s">
        <v>38</v>
      </c>
      <c r="AO1" s="6" t="s">
        <v>1876</v>
      </c>
      <c r="AP1" s="6" t="s">
        <v>1877</v>
      </c>
      <c r="AQ1" s="6" t="s">
        <v>1878</v>
      </c>
      <c r="AR1" s="6" t="s">
        <v>1879</v>
      </c>
      <c r="AS1" s="6" t="s">
        <v>1880</v>
      </c>
      <c r="AT1" s="6" t="s">
        <v>1881</v>
      </c>
      <c r="AU1" s="6" t="s">
        <v>1882</v>
      </c>
      <c r="AV1" s="6" t="s">
        <v>1883</v>
      </c>
    </row>
    <row r="2">
      <c r="A2" s="2">
        <v>45505.0</v>
      </c>
      <c r="B2" s="1" t="s">
        <v>1884</v>
      </c>
      <c r="C2" s="1" t="s">
        <v>1885</v>
      </c>
      <c r="D2" s="3" t="s">
        <v>41</v>
      </c>
      <c r="E2" s="3" t="s">
        <v>45</v>
      </c>
      <c r="G2" s="3" t="s">
        <v>53</v>
      </c>
    </row>
    <row r="3">
      <c r="A3" s="2">
        <v>45505.0</v>
      </c>
      <c r="B3" s="1" t="s">
        <v>1884</v>
      </c>
      <c r="C3" s="1" t="s">
        <v>1886</v>
      </c>
      <c r="D3" s="3" t="s">
        <v>45</v>
      </c>
      <c r="E3" s="3" t="s">
        <v>1887</v>
      </c>
      <c r="G3" s="3" t="s">
        <v>47</v>
      </c>
    </row>
    <row r="4">
      <c r="A4" s="2">
        <v>45505.0</v>
      </c>
      <c r="B4" s="1" t="s">
        <v>1884</v>
      </c>
      <c r="C4" s="1" t="s">
        <v>1888</v>
      </c>
      <c r="D4" s="3" t="s">
        <v>45</v>
      </c>
      <c r="E4" s="3" t="s">
        <v>1889</v>
      </c>
      <c r="G4" s="3" t="s">
        <v>1890</v>
      </c>
    </row>
    <row r="5">
      <c r="A5" s="2">
        <v>45505.0</v>
      </c>
      <c r="B5" s="1" t="s">
        <v>1884</v>
      </c>
      <c r="C5" s="1"/>
      <c r="D5" s="1"/>
      <c r="E5" s="1"/>
      <c r="G5" s="1"/>
      <c r="H5" s="1" t="s">
        <v>386</v>
      </c>
      <c r="I5" s="3" t="s">
        <v>63</v>
      </c>
      <c r="J5" s="3" t="s">
        <v>1891</v>
      </c>
      <c r="L5" s="3" t="s">
        <v>1892</v>
      </c>
      <c r="M5" s="4">
        <v>2.0</v>
      </c>
    </row>
    <row r="6">
      <c r="A6" s="2">
        <v>45505.0</v>
      </c>
      <c r="B6" s="1" t="s">
        <v>1884</v>
      </c>
      <c r="C6" s="1"/>
      <c r="D6" s="1"/>
      <c r="E6" s="1"/>
      <c r="G6" s="1"/>
      <c r="H6" s="1" t="s">
        <v>174</v>
      </c>
      <c r="I6" s="3" t="s">
        <v>1891</v>
      </c>
      <c r="J6" s="3" t="s">
        <v>56</v>
      </c>
      <c r="L6" s="3" t="s">
        <v>1890</v>
      </c>
      <c r="M6" s="4">
        <v>9.0</v>
      </c>
      <c r="N6" s="1" t="b">
        <v>1</v>
      </c>
      <c r="O6" s="4">
        <v>360.0</v>
      </c>
    </row>
    <row r="7">
      <c r="A7" s="2">
        <v>45505.0</v>
      </c>
      <c r="B7" s="1" t="s">
        <v>1884</v>
      </c>
      <c r="C7" s="1"/>
      <c r="D7" s="1"/>
      <c r="E7" s="1"/>
      <c r="G7" s="1"/>
      <c r="P7" s="4">
        <v>0.0</v>
      </c>
      <c r="Q7" s="1" t="s">
        <v>1885</v>
      </c>
      <c r="R7" s="1" t="s">
        <v>1886</v>
      </c>
      <c r="S7" s="4">
        <v>10710.0</v>
      </c>
      <c r="T7" s="4">
        <v>6368.0</v>
      </c>
      <c r="U7" s="4">
        <v>10463.0</v>
      </c>
      <c r="V7" s="4">
        <v>4405.0</v>
      </c>
      <c r="W7" s="4">
        <v>0.0</v>
      </c>
      <c r="X7" s="4">
        <v>1370.0</v>
      </c>
      <c r="Y7" s="4">
        <v>2882.0</v>
      </c>
      <c r="AA7" s="4">
        <v>4173.0</v>
      </c>
      <c r="AB7" s="4">
        <v>39361.0</v>
      </c>
      <c r="AC7" s="4">
        <v>0.0</v>
      </c>
      <c r="AD7" s="4">
        <v>0.33311029883026516</v>
      </c>
      <c r="AI7" s="4">
        <v>360.0</v>
      </c>
      <c r="AJ7" s="4">
        <v>3.0</v>
      </c>
      <c r="AK7" s="4">
        <v>713.0</v>
      </c>
      <c r="AL7" s="4">
        <v>1.0</v>
      </c>
      <c r="AM7" s="1" t="s">
        <v>1893</v>
      </c>
      <c r="AN7" s="4">
        <v>1.0</v>
      </c>
      <c r="AO7" s="4">
        <v>113.0</v>
      </c>
      <c r="AP7" s="4">
        <v>11.0</v>
      </c>
      <c r="AQ7" s="4">
        <v>0.0</v>
      </c>
      <c r="AR7" s="4">
        <v>0.0</v>
      </c>
      <c r="AS7" s="4">
        <v>0.09090909090909091</v>
      </c>
      <c r="AT7" s="4">
        <v>0.0</v>
      </c>
      <c r="AU7" s="4">
        <v>0.9090909090909091</v>
      </c>
      <c r="AV7" s="4">
        <v>0.0</v>
      </c>
    </row>
    <row r="8">
      <c r="A8" s="2">
        <v>45506.0</v>
      </c>
      <c r="B8" s="1" t="s">
        <v>39</v>
      </c>
      <c r="C8" s="1" t="s">
        <v>1885</v>
      </c>
      <c r="D8" s="3" t="s">
        <v>45</v>
      </c>
      <c r="E8" s="3" t="s">
        <v>1894</v>
      </c>
      <c r="G8" s="3" t="s">
        <v>41</v>
      </c>
    </row>
    <row r="9">
      <c r="A9" s="2">
        <v>45506.0</v>
      </c>
      <c r="B9" s="1" t="s">
        <v>39</v>
      </c>
      <c r="C9" s="1" t="s">
        <v>1886</v>
      </c>
      <c r="D9" s="3" t="s">
        <v>41</v>
      </c>
      <c r="E9" s="3" t="s">
        <v>1895</v>
      </c>
      <c r="G9" s="3" t="s">
        <v>1890</v>
      </c>
    </row>
    <row r="10">
      <c r="A10" s="2">
        <v>45506.0</v>
      </c>
      <c r="B10" s="1" t="s">
        <v>39</v>
      </c>
      <c r="C10" s="1" t="s">
        <v>1896</v>
      </c>
      <c r="D10" s="3" t="s">
        <v>63</v>
      </c>
      <c r="E10" s="3" t="s">
        <v>45</v>
      </c>
      <c r="G10" s="3" t="s">
        <v>64</v>
      </c>
    </row>
    <row r="11">
      <c r="A11" s="2">
        <v>45506.0</v>
      </c>
      <c r="B11" s="1" t="s">
        <v>39</v>
      </c>
      <c r="C11" s="1" t="s">
        <v>51</v>
      </c>
      <c r="D11" s="3" t="s">
        <v>45</v>
      </c>
      <c r="E11" s="3" t="s">
        <v>1894</v>
      </c>
      <c r="G11" s="3" t="s">
        <v>41</v>
      </c>
    </row>
    <row r="12">
      <c r="A12" s="2">
        <v>45506.0</v>
      </c>
      <c r="B12" s="1" t="s">
        <v>39</v>
      </c>
      <c r="H12" s="1" t="s">
        <v>386</v>
      </c>
      <c r="I12" s="3" t="s">
        <v>63</v>
      </c>
      <c r="J12" s="3" t="s">
        <v>1897</v>
      </c>
      <c r="L12" s="3" t="s">
        <v>1898</v>
      </c>
      <c r="M12" s="4">
        <v>3.0</v>
      </c>
    </row>
    <row r="13">
      <c r="A13" s="2">
        <v>45506.0</v>
      </c>
      <c r="B13" s="1" t="s">
        <v>39</v>
      </c>
      <c r="H13" s="1" t="s">
        <v>774</v>
      </c>
      <c r="I13" s="3" t="s">
        <v>1897</v>
      </c>
      <c r="J13" s="3" t="s">
        <v>1894</v>
      </c>
      <c r="L13" s="3" t="s">
        <v>1899</v>
      </c>
      <c r="M13" s="4">
        <v>10.0</v>
      </c>
      <c r="N13" s="1" t="b">
        <v>1</v>
      </c>
      <c r="O13" s="4">
        <v>400.0</v>
      </c>
    </row>
    <row r="14">
      <c r="A14" s="2">
        <v>45506.0</v>
      </c>
      <c r="B14" s="1" t="s">
        <v>39</v>
      </c>
      <c r="P14" s="4">
        <v>7.0</v>
      </c>
      <c r="Q14" s="1" t="s">
        <v>1885</v>
      </c>
      <c r="R14" s="1" t="s">
        <v>1886</v>
      </c>
      <c r="S14" s="4">
        <v>16387.0</v>
      </c>
      <c r="T14" s="4">
        <v>8075.0</v>
      </c>
      <c r="U14" s="4">
        <v>15686.0</v>
      </c>
      <c r="V14" s="4">
        <v>6826.0</v>
      </c>
      <c r="W14" s="4">
        <v>707.0</v>
      </c>
      <c r="X14" s="4">
        <v>4103.0</v>
      </c>
      <c r="Y14" s="4">
        <v>5275.0</v>
      </c>
      <c r="AA14" s="4">
        <v>8394.0</v>
      </c>
      <c r="AB14" s="4">
        <v>61750.0</v>
      </c>
      <c r="AC14" s="4">
        <v>0.0</v>
      </c>
      <c r="AD14" s="4">
        <v>0.29030215112968527</v>
      </c>
      <c r="AI14" s="4">
        <v>400.0</v>
      </c>
      <c r="AJ14" s="4">
        <v>2.0</v>
      </c>
      <c r="AK14" s="4">
        <v>663.0</v>
      </c>
      <c r="AL14" s="4">
        <v>12.0</v>
      </c>
      <c r="AM14" s="1" t="s">
        <v>1900</v>
      </c>
      <c r="AN14" s="4">
        <v>1.0</v>
      </c>
      <c r="AO14" s="4">
        <v>2.0</v>
      </c>
      <c r="AP14" s="4"/>
      <c r="AQ14" s="4"/>
      <c r="AR14" s="4"/>
      <c r="AS14" s="4"/>
      <c r="AT14" s="4"/>
      <c r="AU14" s="4"/>
      <c r="AV14" s="4"/>
    </row>
    <row r="15">
      <c r="A15" s="2">
        <v>45507.0</v>
      </c>
      <c r="B15" s="1" t="s">
        <v>1901</v>
      </c>
      <c r="C15" s="1" t="s">
        <v>1885</v>
      </c>
      <c r="D15" s="3" t="s">
        <v>45</v>
      </c>
      <c r="E15" s="3" t="s">
        <v>1902</v>
      </c>
      <c r="G15" s="3" t="s">
        <v>1899</v>
      </c>
    </row>
    <row r="16">
      <c r="A16" s="2">
        <v>45507.0</v>
      </c>
      <c r="B16" s="1" t="s">
        <v>1901</v>
      </c>
      <c r="C16" s="1" t="s">
        <v>1888</v>
      </c>
      <c r="D16" s="3" t="s">
        <v>45</v>
      </c>
      <c r="E16" s="3" t="s">
        <v>1902</v>
      </c>
      <c r="G16" s="3" t="s">
        <v>1899</v>
      </c>
    </row>
    <row r="17">
      <c r="A17" s="2">
        <v>45507.0</v>
      </c>
      <c r="B17" s="1" t="s">
        <v>1901</v>
      </c>
      <c r="C17" s="1" t="s">
        <v>1903</v>
      </c>
      <c r="D17" s="3" t="s">
        <v>41</v>
      </c>
      <c r="E17" s="3" t="s">
        <v>45</v>
      </c>
      <c r="G17" s="3" t="s">
        <v>53</v>
      </c>
    </row>
    <row r="18">
      <c r="A18" s="2">
        <v>45507.0</v>
      </c>
      <c r="B18" s="1" t="s">
        <v>1901</v>
      </c>
      <c r="H18" s="1" t="s">
        <v>386</v>
      </c>
      <c r="I18" s="3" t="s">
        <v>63</v>
      </c>
      <c r="J18" s="3" t="s">
        <v>1904</v>
      </c>
      <c r="L18" s="3" t="s">
        <v>41</v>
      </c>
      <c r="M18" s="4">
        <v>5.0</v>
      </c>
    </row>
    <row r="19">
      <c r="A19" s="2">
        <v>45507.0</v>
      </c>
      <c r="B19" s="1" t="s">
        <v>1901</v>
      </c>
      <c r="H19" s="1" t="s">
        <v>174</v>
      </c>
      <c r="I19" s="3" t="s">
        <v>1904</v>
      </c>
      <c r="J19" s="3" t="s">
        <v>1894</v>
      </c>
      <c r="L19" s="3" t="s">
        <v>64</v>
      </c>
      <c r="M19" s="4">
        <v>4.0</v>
      </c>
      <c r="N19" s="1" t="b">
        <v>1</v>
      </c>
      <c r="O19" s="4">
        <v>160.0</v>
      </c>
    </row>
    <row r="20">
      <c r="A20" s="2">
        <v>45507.0</v>
      </c>
      <c r="B20" s="1" t="s">
        <v>1901</v>
      </c>
      <c r="P20" s="4">
        <v>0.0</v>
      </c>
      <c r="Q20" s="1" t="s">
        <v>1885</v>
      </c>
      <c r="R20" s="1" t="s">
        <v>1886</v>
      </c>
      <c r="S20" s="4">
        <v>15187.0</v>
      </c>
      <c r="T20" s="4">
        <v>9627.0</v>
      </c>
      <c r="U20" s="4">
        <v>12533.0</v>
      </c>
      <c r="V20" s="4">
        <v>4116.0</v>
      </c>
      <c r="W20" s="4">
        <v>0.0</v>
      </c>
      <c r="X20" s="4">
        <v>4197.0</v>
      </c>
      <c r="Y20" s="4">
        <v>4562.0</v>
      </c>
      <c r="AA20" s="4">
        <v>8437.0</v>
      </c>
      <c r="AB20" s="4">
        <v>55162.0</v>
      </c>
      <c r="AC20" s="4">
        <v>0.0</v>
      </c>
      <c r="AD20" s="4">
        <v>0.20956147913886486</v>
      </c>
      <c r="AE20" s="4">
        <v>500.0</v>
      </c>
      <c r="AH20" s="4">
        <v>40.0</v>
      </c>
      <c r="AI20" s="4">
        <v>160.0</v>
      </c>
      <c r="AJ20" s="4">
        <v>1.0</v>
      </c>
      <c r="AK20" s="4">
        <v>264.0</v>
      </c>
      <c r="AL20" s="4">
        <v>14.0</v>
      </c>
      <c r="AM20" s="1" t="s">
        <v>1905</v>
      </c>
      <c r="AN20" s="4">
        <v>1.0</v>
      </c>
      <c r="AO20" s="4">
        <v>0.0</v>
      </c>
      <c r="AP20" s="4"/>
      <c r="AQ20" s="4"/>
      <c r="AR20" s="4"/>
      <c r="AS20" s="4"/>
      <c r="AT20" s="4"/>
      <c r="AU20" s="4"/>
      <c r="AV20" s="4"/>
    </row>
    <row r="21">
      <c r="A21" s="2">
        <v>45508.0</v>
      </c>
      <c r="B21" s="1" t="s">
        <v>67</v>
      </c>
      <c r="C21" s="1" t="s">
        <v>1903</v>
      </c>
      <c r="D21" s="3" t="s">
        <v>41</v>
      </c>
      <c r="E21" s="3" t="s">
        <v>45</v>
      </c>
      <c r="G21" s="3" t="s">
        <v>53</v>
      </c>
    </row>
    <row r="22">
      <c r="A22" s="2">
        <v>45508.0</v>
      </c>
      <c r="B22" s="1" t="s">
        <v>67</v>
      </c>
      <c r="C22" s="1" t="s">
        <v>1888</v>
      </c>
      <c r="D22" s="3" t="s">
        <v>45</v>
      </c>
      <c r="E22" s="3" t="s">
        <v>57</v>
      </c>
      <c r="G22" s="3" t="s">
        <v>53</v>
      </c>
    </row>
    <row r="23">
      <c r="A23" s="2">
        <v>45508.0</v>
      </c>
      <c r="B23" s="1" t="s">
        <v>67</v>
      </c>
      <c r="C23" s="1" t="s">
        <v>1886</v>
      </c>
      <c r="D23" s="3" t="s">
        <v>45</v>
      </c>
      <c r="E23" s="3" t="s">
        <v>57</v>
      </c>
      <c r="G23" s="3" t="s">
        <v>53</v>
      </c>
    </row>
    <row r="24">
      <c r="A24" s="2">
        <v>45508.0</v>
      </c>
      <c r="B24" s="1" t="s">
        <v>67</v>
      </c>
      <c r="H24" s="1" t="s">
        <v>774</v>
      </c>
      <c r="I24" s="3" t="s">
        <v>41</v>
      </c>
      <c r="J24" s="3" t="s">
        <v>45</v>
      </c>
      <c r="L24" s="3" t="s">
        <v>53</v>
      </c>
      <c r="M24" s="4">
        <v>10.0</v>
      </c>
      <c r="N24" s="1" t="b">
        <v>1</v>
      </c>
      <c r="O24" s="4">
        <v>400.0</v>
      </c>
    </row>
    <row r="25">
      <c r="A25" s="2">
        <v>45508.0</v>
      </c>
      <c r="B25" s="1" t="s">
        <v>67</v>
      </c>
      <c r="H25" s="1" t="s">
        <v>174</v>
      </c>
      <c r="I25" s="3" t="s">
        <v>45</v>
      </c>
      <c r="J25" s="3" t="s">
        <v>49</v>
      </c>
      <c r="L25" s="3" t="s">
        <v>64</v>
      </c>
      <c r="M25" s="4">
        <v>5.0</v>
      </c>
      <c r="N25" s="1" t="b">
        <v>1</v>
      </c>
      <c r="O25" s="4">
        <v>200.0</v>
      </c>
    </row>
    <row r="26">
      <c r="A26" s="2">
        <v>45508.0</v>
      </c>
      <c r="B26" s="1" t="s">
        <v>67</v>
      </c>
      <c r="P26" s="4">
        <v>16.0</v>
      </c>
      <c r="Q26" s="1" t="s">
        <v>1885</v>
      </c>
      <c r="R26" s="1" t="s">
        <v>1886</v>
      </c>
      <c r="S26" s="4">
        <v>10961.0</v>
      </c>
      <c r="T26" s="4">
        <v>7550.0</v>
      </c>
      <c r="U26" s="4">
        <v>14196.0</v>
      </c>
      <c r="V26" s="4">
        <v>7557.0</v>
      </c>
      <c r="W26" s="4">
        <v>3607.0</v>
      </c>
      <c r="X26" s="4">
        <v>2303.0</v>
      </c>
      <c r="Y26" s="4">
        <v>2561.0</v>
      </c>
      <c r="Z26" s="4">
        <v>240.0</v>
      </c>
      <c r="AA26" s="4">
        <v>5774.0</v>
      </c>
      <c r="AB26" s="4">
        <v>53246.0</v>
      </c>
      <c r="AC26" s="4">
        <v>1.0</v>
      </c>
      <c r="AD26" s="4">
        <v>0.25599839672948327</v>
      </c>
      <c r="AG26" s="4">
        <v>81.0</v>
      </c>
      <c r="AH26" s="4">
        <v>120.0</v>
      </c>
      <c r="AI26" s="4">
        <v>600.0</v>
      </c>
      <c r="AJ26" s="4">
        <v>0.0</v>
      </c>
      <c r="AK26" s="4">
        <v>0.0</v>
      </c>
      <c r="AL26" s="4">
        <v>15.0</v>
      </c>
      <c r="AM26" s="1" t="s">
        <v>1906</v>
      </c>
      <c r="AN26" s="4">
        <v>2.0</v>
      </c>
      <c r="AO26" s="4">
        <v>8.0</v>
      </c>
      <c r="AP26" s="4"/>
      <c r="AQ26" s="4"/>
      <c r="AR26" s="4"/>
      <c r="AS26" s="4"/>
      <c r="AT26" s="4"/>
      <c r="AU26" s="4"/>
      <c r="AV26" s="4"/>
    </row>
    <row r="27">
      <c r="A27" s="2">
        <v>45509.0</v>
      </c>
      <c r="B27" s="1" t="s">
        <v>69</v>
      </c>
      <c r="C27" s="1" t="s">
        <v>1885</v>
      </c>
      <c r="D27" s="3" t="s">
        <v>41</v>
      </c>
      <c r="E27" s="3" t="s">
        <v>1889</v>
      </c>
      <c r="G27" s="3" t="s">
        <v>1907</v>
      </c>
    </row>
    <row r="28">
      <c r="A28" s="2">
        <v>45509.0</v>
      </c>
      <c r="B28" s="1" t="s">
        <v>69</v>
      </c>
      <c r="C28" s="1" t="s">
        <v>1888</v>
      </c>
      <c r="D28" s="3" t="s">
        <v>70</v>
      </c>
      <c r="E28" s="3" t="s">
        <v>1889</v>
      </c>
      <c r="G28" s="3" t="s">
        <v>1908</v>
      </c>
    </row>
    <row r="29">
      <c r="A29" s="2">
        <v>45509.0</v>
      </c>
      <c r="B29" s="1" t="s">
        <v>69</v>
      </c>
      <c r="H29" s="1" t="s">
        <v>386</v>
      </c>
      <c r="I29" s="3" t="s">
        <v>41</v>
      </c>
      <c r="J29" s="3" t="s">
        <v>70</v>
      </c>
      <c r="L29" s="3" t="s">
        <v>47</v>
      </c>
      <c r="M29" s="4">
        <v>8.0</v>
      </c>
    </row>
    <row r="30">
      <c r="A30" s="2">
        <v>45509.0</v>
      </c>
      <c r="B30" s="1" t="s">
        <v>69</v>
      </c>
      <c r="H30" s="1" t="s">
        <v>174</v>
      </c>
      <c r="I30" s="3" t="s">
        <v>70</v>
      </c>
      <c r="J30" s="3" t="s">
        <v>57</v>
      </c>
      <c r="L30" s="3" t="s">
        <v>64</v>
      </c>
      <c r="M30" s="4">
        <v>3.0</v>
      </c>
      <c r="N30" s="1" t="b">
        <v>1</v>
      </c>
      <c r="O30" s="4">
        <v>120.0</v>
      </c>
    </row>
    <row r="31">
      <c r="A31" s="2">
        <v>45509.0</v>
      </c>
      <c r="B31" s="1" t="s">
        <v>69</v>
      </c>
      <c r="P31" s="4">
        <v>3.0</v>
      </c>
      <c r="Q31" s="1" t="s">
        <v>1885</v>
      </c>
      <c r="R31" s="1" t="s">
        <v>1886</v>
      </c>
      <c r="S31" s="4">
        <v>9277.0</v>
      </c>
      <c r="T31" s="4">
        <v>5550.0</v>
      </c>
      <c r="U31" s="4">
        <v>5997.0</v>
      </c>
      <c r="V31" s="4">
        <v>3848.0</v>
      </c>
      <c r="W31" s="4">
        <v>0.0</v>
      </c>
      <c r="X31" s="4">
        <v>2114.0</v>
      </c>
      <c r="Y31" s="4">
        <v>3868.0</v>
      </c>
      <c r="AA31" s="4">
        <v>6651.0</v>
      </c>
      <c r="AB31" s="4">
        <v>35425.0</v>
      </c>
      <c r="AC31" s="4">
        <v>0.0</v>
      </c>
      <c r="AD31" s="4">
        <v>0.3529628881371366</v>
      </c>
      <c r="AG31" s="4">
        <v>74.0</v>
      </c>
      <c r="AH31" s="4">
        <v>40.0</v>
      </c>
      <c r="AI31" s="4">
        <v>120.0</v>
      </c>
      <c r="AJ31" s="4">
        <v>2.0</v>
      </c>
      <c r="AK31" s="4">
        <v>590.0</v>
      </c>
      <c r="AL31" s="4">
        <v>8.0</v>
      </c>
      <c r="AM31" s="1" t="s">
        <v>1909</v>
      </c>
      <c r="AN31" s="4">
        <v>1.0</v>
      </c>
      <c r="AO31" s="4">
        <v>3.0</v>
      </c>
      <c r="AP31" s="4"/>
      <c r="AQ31" s="4"/>
      <c r="AR31" s="4"/>
      <c r="AS31" s="4"/>
      <c r="AT31" s="4"/>
      <c r="AU31" s="4"/>
      <c r="AV31" s="4"/>
    </row>
    <row r="32">
      <c r="A32" s="2">
        <v>45510.0</v>
      </c>
      <c r="B32" s="1" t="s">
        <v>61</v>
      </c>
      <c r="C32" s="1" t="s">
        <v>1886</v>
      </c>
      <c r="D32" s="3" t="s">
        <v>41</v>
      </c>
      <c r="E32" s="3" t="s">
        <v>1889</v>
      </c>
      <c r="G32" s="3" t="s">
        <v>1907</v>
      </c>
    </row>
    <row r="33">
      <c r="A33" s="2">
        <v>45510.0</v>
      </c>
      <c r="B33" s="1" t="s">
        <v>61</v>
      </c>
      <c r="C33" s="1" t="s">
        <v>1888</v>
      </c>
      <c r="D33" s="3" t="s">
        <v>45</v>
      </c>
      <c r="E33" s="3" t="s">
        <v>57</v>
      </c>
      <c r="G33" s="3" t="s">
        <v>53</v>
      </c>
    </row>
    <row r="34">
      <c r="A34" s="2">
        <v>45510.0</v>
      </c>
      <c r="B34" s="1" t="s">
        <v>61</v>
      </c>
      <c r="H34" s="1" t="s">
        <v>386</v>
      </c>
      <c r="I34" s="3" t="s">
        <v>63</v>
      </c>
      <c r="J34" s="3" t="s">
        <v>1910</v>
      </c>
      <c r="L34" s="3" t="s">
        <v>47</v>
      </c>
      <c r="M34" s="4">
        <v>9.0</v>
      </c>
    </row>
    <row r="35">
      <c r="A35" s="2">
        <v>45510.0</v>
      </c>
      <c r="B35" s="1" t="s">
        <v>61</v>
      </c>
      <c r="H35" s="1" t="s">
        <v>774</v>
      </c>
      <c r="I35" s="3" t="s">
        <v>1910</v>
      </c>
      <c r="J35" s="3" t="s">
        <v>1889</v>
      </c>
      <c r="L35" s="3" t="s">
        <v>1911</v>
      </c>
      <c r="M35" s="4">
        <v>4.0</v>
      </c>
      <c r="N35" s="1" t="b">
        <v>1</v>
      </c>
      <c r="O35" s="4">
        <v>160.0</v>
      </c>
    </row>
    <row r="36">
      <c r="A36" s="2">
        <v>45510.0</v>
      </c>
      <c r="B36" s="1" t="s">
        <v>61</v>
      </c>
      <c r="P36" s="4">
        <v>0.0</v>
      </c>
      <c r="S36" s="4">
        <v>5221.0</v>
      </c>
      <c r="T36" s="4">
        <v>2789.0</v>
      </c>
      <c r="U36" s="4">
        <v>8431.0</v>
      </c>
      <c r="V36" s="4">
        <v>4625.0</v>
      </c>
      <c r="W36" s="4">
        <v>0.0</v>
      </c>
      <c r="X36" s="4">
        <v>3139.0</v>
      </c>
      <c r="Y36" s="4">
        <v>3812.0</v>
      </c>
      <c r="AA36" s="4">
        <v>5201.0</v>
      </c>
      <c r="AB36" s="4">
        <v>30739.0</v>
      </c>
      <c r="AC36" s="4">
        <v>0.0</v>
      </c>
      <c r="AD36" s="4">
        <v>0.41711239247399273</v>
      </c>
      <c r="AE36" s="4">
        <v>500.0</v>
      </c>
      <c r="AI36" s="4">
        <v>160.0</v>
      </c>
      <c r="AJ36" s="4">
        <v>1.0</v>
      </c>
      <c r="AK36" s="4">
        <v>249.0</v>
      </c>
      <c r="AL36" s="4">
        <v>2.0</v>
      </c>
      <c r="AM36" s="1" t="s">
        <v>1912</v>
      </c>
      <c r="AN36" s="4">
        <v>1.0</v>
      </c>
      <c r="AO36" s="4">
        <v>0.0</v>
      </c>
      <c r="AP36" s="4"/>
      <c r="AQ36" s="4"/>
      <c r="AR36" s="4"/>
      <c r="AS36" s="4"/>
      <c r="AT36" s="4"/>
      <c r="AU36" s="4"/>
      <c r="AV36" s="4"/>
    </row>
    <row r="37">
      <c r="A37" s="2">
        <v>45511.0</v>
      </c>
      <c r="B37" s="1" t="s">
        <v>73</v>
      </c>
      <c r="C37" s="1" t="s">
        <v>1886</v>
      </c>
      <c r="D37" s="3" t="s">
        <v>41</v>
      </c>
      <c r="E37" s="3" t="s">
        <v>1889</v>
      </c>
      <c r="G37" s="3" t="s">
        <v>1907</v>
      </c>
    </row>
    <row r="38">
      <c r="A38" s="2">
        <v>45511.0</v>
      </c>
      <c r="B38" s="1" t="s">
        <v>73</v>
      </c>
      <c r="C38" s="1" t="s">
        <v>1888</v>
      </c>
      <c r="D38" s="3" t="s">
        <v>45</v>
      </c>
      <c r="E38" s="3" t="s">
        <v>57</v>
      </c>
      <c r="G38" s="3" t="s">
        <v>53</v>
      </c>
    </row>
    <row r="39">
      <c r="A39" s="2">
        <v>45511.0</v>
      </c>
      <c r="B39" s="1" t="s">
        <v>73</v>
      </c>
      <c r="H39" s="1" t="s">
        <v>174</v>
      </c>
      <c r="I39" s="3" t="s">
        <v>45</v>
      </c>
      <c r="J39" s="3" t="s">
        <v>1887</v>
      </c>
      <c r="L39" s="3" t="s">
        <v>47</v>
      </c>
      <c r="M39" s="4">
        <v>12.0</v>
      </c>
      <c r="N39" s="1" t="b">
        <v>1</v>
      </c>
      <c r="O39" s="4">
        <v>480.0</v>
      </c>
    </row>
    <row r="40">
      <c r="A40" s="2">
        <v>45511.0</v>
      </c>
      <c r="B40" s="1" t="s">
        <v>73</v>
      </c>
      <c r="H40" s="1" t="s">
        <v>774</v>
      </c>
      <c r="I40" s="3" t="s">
        <v>63</v>
      </c>
      <c r="J40" s="3" t="s">
        <v>45</v>
      </c>
      <c r="L40" s="3" t="s">
        <v>64</v>
      </c>
      <c r="M40" s="4">
        <v>2.0</v>
      </c>
      <c r="N40" s="1" t="b">
        <v>1</v>
      </c>
      <c r="O40" s="4">
        <v>80.0</v>
      </c>
    </row>
    <row r="41">
      <c r="A41" s="2">
        <v>45511.0</v>
      </c>
      <c r="B41" s="1" t="s">
        <v>73</v>
      </c>
      <c r="P41" s="4">
        <v>2.0</v>
      </c>
      <c r="S41" s="4">
        <v>12386.0</v>
      </c>
      <c r="T41" s="4">
        <v>5035.0</v>
      </c>
      <c r="U41" s="4">
        <v>7402.0</v>
      </c>
      <c r="V41" s="4">
        <v>5749.0</v>
      </c>
      <c r="W41" s="4">
        <v>279.0</v>
      </c>
      <c r="X41" s="4">
        <v>1207.0</v>
      </c>
      <c r="Y41" s="4">
        <v>4374.0</v>
      </c>
      <c r="AA41" s="4">
        <v>5546.0</v>
      </c>
      <c r="AB41" s="4">
        <v>41370.5</v>
      </c>
      <c r="AC41" s="4">
        <v>0.5</v>
      </c>
      <c r="AD41" s="4">
        <v>0.32072665673023204</v>
      </c>
      <c r="AH41" s="4">
        <v>40.0</v>
      </c>
      <c r="AI41" s="4">
        <v>560.0</v>
      </c>
      <c r="AJ41" s="4">
        <v>2.0</v>
      </c>
      <c r="AK41" s="4">
        <v>617.0</v>
      </c>
      <c r="AL41" s="4">
        <v>2.0</v>
      </c>
      <c r="AM41" s="1" t="s">
        <v>1913</v>
      </c>
      <c r="AN41" s="4">
        <v>2.0</v>
      </c>
      <c r="AO41" s="4">
        <v>2.0</v>
      </c>
      <c r="AP41" s="4"/>
      <c r="AQ41" s="4"/>
      <c r="AR41" s="4"/>
      <c r="AS41" s="4"/>
      <c r="AT41" s="4"/>
      <c r="AU41" s="4"/>
      <c r="AV41" s="4"/>
    </row>
    <row r="42">
      <c r="A42" s="2">
        <v>45512.0</v>
      </c>
      <c r="B42" s="1" t="s">
        <v>1884</v>
      </c>
      <c r="C42" s="1" t="s">
        <v>1885</v>
      </c>
      <c r="D42" s="3" t="s">
        <v>41</v>
      </c>
      <c r="E42" s="3" t="s">
        <v>45</v>
      </c>
      <c r="G42" s="3" t="s">
        <v>53</v>
      </c>
    </row>
    <row r="43">
      <c r="A43" s="2">
        <v>45512.0</v>
      </c>
      <c r="B43" s="1" t="s">
        <v>1884</v>
      </c>
      <c r="C43" s="1" t="s">
        <v>1888</v>
      </c>
      <c r="D43" s="3" t="s">
        <v>45</v>
      </c>
      <c r="E43" s="3" t="s">
        <v>57</v>
      </c>
      <c r="G43" s="3" t="s">
        <v>53</v>
      </c>
    </row>
    <row r="44">
      <c r="A44" s="2">
        <v>45512.0</v>
      </c>
      <c r="B44" s="1" t="s">
        <v>1884</v>
      </c>
      <c r="C44" s="1" t="s">
        <v>1886</v>
      </c>
      <c r="D44" s="3" t="s">
        <v>45</v>
      </c>
      <c r="E44" s="3" t="s">
        <v>1887</v>
      </c>
      <c r="G44" s="3" t="s">
        <v>47</v>
      </c>
    </row>
    <row r="45">
      <c r="A45" s="2">
        <v>45512.0</v>
      </c>
      <c r="B45" s="1" t="s">
        <v>1884</v>
      </c>
      <c r="H45" s="1" t="s">
        <v>774</v>
      </c>
      <c r="I45" s="3" t="s">
        <v>63</v>
      </c>
      <c r="J45" s="3" t="s">
        <v>45</v>
      </c>
      <c r="L45" s="3" t="s">
        <v>64</v>
      </c>
      <c r="M45" s="4">
        <v>4.0</v>
      </c>
      <c r="N45" s="1" t="b">
        <v>1</v>
      </c>
      <c r="O45" s="4">
        <v>160.0</v>
      </c>
    </row>
    <row r="46">
      <c r="A46" s="2">
        <v>45512.0</v>
      </c>
      <c r="B46" s="1" t="s">
        <v>1884</v>
      </c>
      <c r="P46" s="4">
        <v>21.0</v>
      </c>
      <c r="S46" s="4">
        <v>10160.0</v>
      </c>
      <c r="T46" s="4">
        <v>5128.0</v>
      </c>
      <c r="U46" s="4">
        <v>14822.0</v>
      </c>
      <c r="V46" s="4">
        <v>12129.0</v>
      </c>
      <c r="W46" s="4">
        <v>789.0</v>
      </c>
      <c r="X46" s="4">
        <v>1841.0</v>
      </c>
      <c r="Y46" s="4">
        <v>4283.0</v>
      </c>
      <c r="AA46" s="4">
        <v>4143.0</v>
      </c>
      <c r="AB46" s="4">
        <v>51612.5</v>
      </c>
      <c r="AC46" s="4">
        <v>1.5</v>
      </c>
      <c r="AD46" s="4">
        <v>0.2649640624317378</v>
      </c>
      <c r="AI46" s="4">
        <v>160.0</v>
      </c>
      <c r="AJ46" s="4">
        <v>0.0</v>
      </c>
      <c r="AK46" s="4">
        <v>0.0</v>
      </c>
      <c r="AL46" s="4">
        <v>7.0</v>
      </c>
      <c r="AM46" s="1" t="s">
        <v>1914</v>
      </c>
      <c r="AN46" s="4">
        <v>1.0</v>
      </c>
      <c r="AO46" s="4">
        <v>13.0</v>
      </c>
      <c r="AP46" s="4"/>
      <c r="AQ46" s="4"/>
      <c r="AR46" s="4"/>
      <c r="AS46" s="4"/>
      <c r="AT46" s="4"/>
      <c r="AU46" s="4"/>
      <c r="AV46" s="4"/>
    </row>
    <row r="47">
      <c r="A47" s="2">
        <v>45513.0</v>
      </c>
      <c r="B47" s="1" t="s">
        <v>39</v>
      </c>
      <c r="C47" s="1" t="s">
        <v>48</v>
      </c>
      <c r="D47" s="3" t="s">
        <v>70</v>
      </c>
      <c r="E47" s="3" t="s">
        <v>42</v>
      </c>
      <c r="G47" s="3" t="s">
        <v>1915</v>
      </c>
    </row>
    <row r="48">
      <c r="A48" s="2">
        <v>45513.0</v>
      </c>
      <c r="B48" s="1" t="s">
        <v>39</v>
      </c>
      <c r="C48" s="1" t="s">
        <v>1888</v>
      </c>
      <c r="D48" s="3" t="s">
        <v>70</v>
      </c>
      <c r="E48" s="3" t="s">
        <v>1894</v>
      </c>
      <c r="G48" s="3" t="s">
        <v>1916</v>
      </c>
    </row>
    <row r="49">
      <c r="A49" s="2">
        <v>45513.0</v>
      </c>
      <c r="B49" s="1" t="s">
        <v>39</v>
      </c>
      <c r="C49" s="1" t="s">
        <v>1886</v>
      </c>
      <c r="D49" s="3" t="s">
        <v>45</v>
      </c>
      <c r="E49" s="3" t="s">
        <v>1887</v>
      </c>
      <c r="G49" s="3" t="s">
        <v>47</v>
      </c>
    </row>
    <row r="50">
      <c r="A50" s="2">
        <v>45513.0</v>
      </c>
      <c r="B50" s="1" t="s">
        <v>39</v>
      </c>
      <c r="C50" s="1" t="s">
        <v>1896</v>
      </c>
      <c r="D50" s="3" t="s">
        <v>63</v>
      </c>
      <c r="E50" s="3" t="s">
        <v>45</v>
      </c>
      <c r="G50" s="3" t="s">
        <v>64</v>
      </c>
    </row>
    <row r="51">
      <c r="A51" s="2">
        <v>45513.0</v>
      </c>
      <c r="B51" s="1" t="s">
        <v>39</v>
      </c>
      <c r="H51" s="1" t="s">
        <v>174</v>
      </c>
      <c r="I51" s="3" t="s">
        <v>70</v>
      </c>
      <c r="J51" s="3" t="s">
        <v>1894</v>
      </c>
      <c r="L51" s="3" t="s">
        <v>1916</v>
      </c>
      <c r="M51" s="4">
        <v>9.0</v>
      </c>
      <c r="N51" s="1" t="b">
        <v>1</v>
      </c>
      <c r="O51" s="4">
        <v>360.0</v>
      </c>
    </row>
    <row r="52">
      <c r="A52" s="2">
        <v>45513.0</v>
      </c>
      <c r="B52" s="1" t="s">
        <v>39</v>
      </c>
      <c r="H52" s="1" t="s">
        <v>774</v>
      </c>
      <c r="I52" s="3" t="s">
        <v>63</v>
      </c>
      <c r="J52" s="3" t="s">
        <v>1917</v>
      </c>
      <c r="L52" s="3" t="s">
        <v>1911</v>
      </c>
      <c r="M52" s="4">
        <v>6.0</v>
      </c>
      <c r="N52" s="1" t="b">
        <v>1</v>
      </c>
      <c r="O52" s="4">
        <v>240.0</v>
      </c>
    </row>
    <row r="53">
      <c r="A53" s="2">
        <v>45513.0</v>
      </c>
      <c r="B53" s="1" t="s">
        <v>39</v>
      </c>
      <c r="P53" s="4">
        <v>3.0</v>
      </c>
      <c r="S53" s="4">
        <v>16935.0</v>
      </c>
      <c r="T53" s="4">
        <v>7346.0</v>
      </c>
      <c r="U53" s="4">
        <v>19283.0</v>
      </c>
      <c r="V53" s="4">
        <v>6060.0</v>
      </c>
      <c r="W53" s="4">
        <v>853.0</v>
      </c>
      <c r="X53" s="4">
        <v>6144.0</v>
      </c>
      <c r="Y53" s="4">
        <v>8348.0</v>
      </c>
      <c r="AA53" s="4">
        <v>6801.0</v>
      </c>
      <c r="AB53" s="4">
        <v>66345.5</v>
      </c>
      <c r="AC53" s="4">
        <v>-119.5</v>
      </c>
      <c r="AD53" s="4">
        <v>0.20463024971185786</v>
      </c>
      <c r="AI53" s="4">
        <v>600.0</v>
      </c>
      <c r="AJ53" s="4">
        <v>2.0</v>
      </c>
      <c r="AK53" s="4">
        <v>1211.0</v>
      </c>
      <c r="AL53" s="4">
        <v>14.0</v>
      </c>
      <c r="AM53" s="1" t="s">
        <v>1918</v>
      </c>
      <c r="AN53" s="4">
        <v>2.0</v>
      </c>
      <c r="AO53" s="4">
        <v>1.0</v>
      </c>
      <c r="AP53" s="4"/>
      <c r="AQ53" s="4"/>
      <c r="AR53" s="4"/>
      <c r="AS53" s="4"/>
      <c r="AT53" s="4"/>
      <c r="AU53" s="4"/>
      <c r="AV53" s="4"/>
    </row>
    <row r="54">
      <c r="A54" s="2">
        <v>45514.0</v>
      </c>
      <c r="B54" s="1" t="s">
        <v>1901</v>
      </c>
      <c r="C54" s="1" t="s">
        <v>1885</v>
      </c>
      <c r="D54" s="3" t="s">
        <v>41</v>
      </c>
      <c r="E54" s="3" t="s">
        <v>62</v>
      </c>
      <c r="G54" s="3" t="s">
        <v>41</v>
      </c>
    </row>
    <row r="55">
      <c r="A55" s="2">
        <v>45514.0</v>
      </c>
      <c r="B55" s="1" t="s">
        <v>1901</v>
      </c>
      <c r="C55" s="1" t="s">
        <v>1888</v>
      </c>
      <c r="D55" s="3" t="s">
        <v>41</v>
      </c>
      <c r="E55" s="3" t="s">
        <v>62</v>
      </c>
      <c r="G55" s="3" t="s">
        <v>41</v>
      </c>
    </row>
    <row r="56">
      <c r="A56" s="2">
        <v>45514.0</v>
      </c>
      <c r="B56" s="1" t="s">
        <v>1901</v>
      </c>
      <c r="C56" s="1" t="s">
        <v>1886</v>
      </c>
      <c r="D56" s="3" t="s">
        <v>45</v>
      </c>
      <c r="E56" s="3" t="s">
        <v>1887</v>
      </c>
      <c r="G56" s="3" t="s">
        <v>47</v>
      </c>
    </row>
    <row r="57">
      <c r="A57" s="2">
        <v>45514.0</v>
      </c>
      <c r="B57" s="1" t="s">
        <v>1901</v>
      </c>
      <c r="C57" s="1" t="s">
        <v>1896</v>
      </c>
      <c r="D57" s="3" t="s">
        <v>63</v>
      </c>
      <c r="E57" s="3" t="s">
        <v>45</v>
      </c>
      <c r="G57" s="3" t="s">
        <v>64</v>
      </c>
    </row>
    <row r="58">
      <c r="A58" s="2">
        <v>45514.0</v>
      </c>
      <c r="B58" s="1" t="s">
        <v>1901</v>
      </c>
      <c r="C58" s="1" t="s">
        <v>1903</v>
      </c>
      <c r="D58" s="3" t="s">
        <v>41</v>
      </c>
      <c r="E58" s="3" t="s">
        <v>45</v>
      </c>
      <c r="G58" s="3" t="s">
        <v>53</v>
      </c>
    </row>
    <row r="59">
      <c r="A59" s="2">
        <v>45514.0</v>
      </c>
      <c r="B59" s="1" t="s">
        <v>1901</v>
      </c>
      <c r="H59" s="1" t="s">
        <v>774</v>
      </c>
      <c r="I59" s="3" t="s">
        <v>1891</v>
      </c>
      <c r="J59" s="3" t="s">
        <v>1894</v>
      </c>
      <c r="L59" s="3" t="s">
        <v>63</v>
      </c>
      <c r="M59" s="4">
        <v>8.0</v>
      </c>
      <c r="N59" s="1" t="b">
        <v>1</v>
      </c>
      <c r="O59" s="4">
        <v>320.0</v>
      </c>
    </row>
    <row r="60">
      <c r="A60" s="2">
        <v>45514.0</v>
      </c>
      <c r="B60" s="1" t="s">
        <v>1901</v>
      </c>
      <c r="H60" s="1" t="s">
        <v>386</v>
      </c>
      <c r="I60" s="3" t="s">
        <v>63</v>
      </c>
      <c r="J60" s="3" t="s">
        <v>1891</v>
      </c>
      <c r="L60" s="3" t="s">
        <v>1892</v>
      </c>
      <c r="M60" s="4">
        <v>7.0</v>
      </c>
    </row>
    <row r="61">
      <c r="A61" s="2">
        <v>45514.0</v>
      </c>
      <c r="B61" s="1" t="s">
        <v>1901</v>
      </c>
      <c r="P61" s="4">
        <v>4.0</v>
      </c>
      <c r="S61" s="4">
        <v>17859.0</v>
      </c>
      <c r="T61" s="4">
        <v>3394.0</v>
      </c>
      <c r="U61" s="4">
        <v>18623.0</v>
      </c>
      <c r="V61" s="4">
        <v>8403.0</v>
      </c>
      <c r="W61" s="4">
        <v>0.0</v>
      </c>
      <c r="X61" s="4">
        <v>3318.0</v>
      </c>
      <c r="Y61" s="4">
        <v>4589.0</v>
      </c>
      <c r="Z61" s="4">
        <v>280.0</v>
      </c>
      <c r="AA61" s="4">
        <v>7778.0</v>
      </c>
      <c r="AB61" s="4">
        <v>61246.0</v>
      </c>
      <c r="AC61" s="4">
        <v>0.0</v>
      </c>
      <c r="AD61" s="4">
        <v>0.3167541637373554</v>
      </c>
      <c r="AI61" s="4">
        <v>320.0</v>
      </c>
      <c r="AJ61" s="4">
        <v>1.0</v>
      </c>
      <c r="AK61" s="4">
        <v>309.0</v>
      </c>
      <c r="AL61" s="4">
        <v>7.0</v>
      </c>
      <c r="AM61" s="1" t="s">
        <v>1919</v>
      </c>
      <c r="AN61" s="4">
        <v>1.0</v>
      </c>
      <c r="AO61" s="4">
        <v>2.0</v>
      </c>
      <c r="AP61" s="4"/>
      <c r="AQ61" s="4"/>
      <c r="AR61" s="4"/>
      <c r="AS61" s="4"/>
      <c r="AT61" s="4"/>
      <c r="AU61" s="4"/>
      <c r="AV61" s="4"/>
    </row>
    <row r="62">
      <c r="A62" s="2">
        <v>45515.0</v>
      </c>
      <c r="B62" s="1" t="s">
        <v>67</v>
      </c>
      <c r="C62" s="1" t="s">
        <v>1885</v>
      </c>
      <c r="D62" s="3" t="s">
        <v>41</v>
      </c>
      <c r="E62" s="3" t="s">
        <v>45</v>
      </c>
      <c r="G62" s="3" t="s">
        <v>53</v>
      </c>
    </row>
    <row r="63">
      <c r="A63" s="2">
        <v>45515.0</v>
      </c>
      <c r="B63" s="1" t="s">
        <v>67</v>
      </c>
      <c r="C63" s="1" t="s">
        <v>1888</v>
      </c>
      <c r="D63" s="3" t="s">
        <v>41</v>
      </c>
      <c r="E63" s="3" t="s">
        <v>1891</v>
      </c>
      <c r="G63" s="3" t="s">
        <v>64</v>
      </c>
    </row>
    <row r="64">
      <c r="A64" s="2">
        <v>45515.0</v>
      </c>
      <c r="B64" s="1" t="s">
        <v>67</v>
      </c>
      <c r="C64" s="1" t="s">
        <v>1896</v>
      </c>
      <c r="D64" s="3" t="s">
        <v>45</v>
      </c>
      <c r="E64" s="3" t="s">
        <v>49</v>
      </c>
      <c r="G64" s="3" t="s">
        <v>64</v>
      </c>
    </row>
    <row r="65">
      <c r="A65" s="2">
        <v>45515.0</v>
      </c>
      <c r="B65" s="1" t="s">
        <v>67</v>
      </c>
      <c r="C65" s="1" t="s">
        <v>1903</v>
      </c>
      <c r="D65" s="3" t="s">
        <v>41</v>
      </c>
      <c r="E65" s="3" t="s">
        <v>45</v>
      </c>
      <c r="G65" s="3" t="s">
        <v>53</v>
      </c>
    </row>
    <row r="66">
      <c r="A66" s="2">
        <v>45515.0</v>
      </c>
      <c r="B66" s="1" t="s">
        <v>67</v>
      </c>
      <c r="H66" s="1" t="s">
        <v>774</v>
      </c>
      <c r="I66" s="3" t="s">
        <v>63</v>
      </c>
      <c r="J66" s="3" t="s">
        <v>70</v>
      </c>
      <c r="L66" s="3" t="s">
        <v>53</v>
      </c>
      <c r="M66" s="4">
        <v>8.0</v>
      </c>
      <c r="N66" s="1" t="b">
        <v>1</v>
      </c>
      <c r="O66" s="4">
        <v>320.0</v>
      </c>
    </row>
    <row r="67">
      <c r="A67" s="2">
        <v>45515.0</v>
      </c>
      <c r="B67" s="1" t="s">
        <v>67</v>
      </c>
      <c r="H67" s="1" t="s">
        <v>174</v>
      </c>
      <c r="I67" s="3" t="s">
        <v>70</v>
      </c>
      <c r="J67" s="3" t="s">
        <v>58</v>
      </c>
      <c r="L67" s="3" t="s">
        <v>1898</v>
      </c>
      <c r="M67" s="4">
        <v>2.0</v>
      </c>
      <c r="N67" s="1" t="b">
        <v>1</v>
      </c>
      <c r="O67" s="4">
        <v>80.0</v>
      </c>
    </row>
    <row r="68">
      <c r="A68" s="2">
        <v>45515.0</v>
      </c>
      <c r="B68" s="1" t="s">
        <v>67</v>
      </c>
      <c r="P68" s="4">
        <v>9.0</v>
      </c>
      <c r="S68" s="4">
        <v>17293.0</v>
      </c>
      <c r="T68" s="4">
        <v>3759.0</v>
      </c>
      <c r="U68" s="4">
        <v>13259.0</v>
      </c>
      <c r="V68" s="4">
        <v>8512.5</v>
      </c>
      <c r="W68" s="4">
        <v>1189.0</v>
      </c>
      <c r="X68" s="4">
        <v>3416.0</v>
      </c>
      <c r="Y68" s="4">
        <v>4606.0</v>
      </c>
      <c r="AA68" s="4">
        <v>5644.0</v>
      </c>
      <c r="AB68" s="4">
        <v>54563.5</v>
      </c>
      <c r="AC68" s="4">
        <v>99.0</v>
      </c>
      <c r="AD68" s="4">
        <v>0.26893502492065324</v>
      </c>
      <c r="AI68" s="4">
        <v>400.0</v>
      </c>
      <c r="AJ68" s="4">
        <v>3.0</v>
      </c>
      <c r="AK68" s="4">
        <v>1041.0</v>
      </c>
      <c r="AL68" s="4">
        <v>9.0</v>
      </c>
      <c r="AM68" s="1" t="s">
        <v>1920</v>
      </c>
      <c r="AN68" s="4">
        <v>2.0</v>
      </c>
      <c r="AO68" s="4">
        <v>6.0</v>
      </c>
      <c r="AP68" s="4"/>
      <c r="AQ68" s="4"/>
      <c r="AR68" s="4"/>
      <c r="AS68" s="4"/>
      <c r="AT68" s="4"/>
      <c r="AU68" s="4"/>
      <c r="AV68" s="4"/>
    </row>
    <row r="69">
      <c r="A69" s="2">
        <v>45516.0</v>
      </c>
      <c r="B69" s="1" t="s">
        <v>69</v>
      </c>
      <c r="C69" s="1" t="s">
        <v>48</v>
      </c>
      <c r="D69" s="3" t="s">
        <v>41</v>
      </c>
      <c r="E69" s="3" t="s">
        <v>1887</v>
      </c>
      <c r="G69" s="3" t="s">
        <v>1921</v>
      </c>
    </row>
    <row r="70">
      <c r="A70" s="2">
        <v>45516.0</v>
      </c>
      <c r="B70" s="1" t="s">
        <v>69</v>
      </c>
      <c r="C70" s="1" t="s">
        <v>1922</v>
      </c>
      <c r="D70" s="3" t="s">
        <v>45</v>
      </c>
      <c r="E70" s="3" t="s">
        <v>49</v>
      </c>
      <c r="G70" s="3" t="s">
        <v>64</v>
      </c>
    </row>
    <row r="71">
      <c r="A71" s="2">
        <v>45516.0</v>
      </c>
      <c r="B71" s="1" t="s">
        <v>69</v>
      </c>
      <c r="H71" s="1" t="s">
        <v>774</v>
      </c>
      <c r="I71" s="3" t="s">
        <v>63</v>
      </c>
      <c r="J71" s="3" t="s">
        <v>1910</v>
      </c>
      <c r="L71" s="3" t="s">
        <v>47</v>
      </c>
      <c r="M71" s="4">
        <v>10.0</v>
      </c>
      <c r="N71" s="1" t="b">
        <v>1</v>
      </c>
      <c r="O71" s="4">
        <v>400.0</v>
      </c>
    </row>
    <row r="72">
      <c r="A72" s="2">
        <v>45516.0</v>
      </c>
      <c r="B72" s="1" t="s">
        <v>69</v>
      </c>
      <c r="H72" s="1" t="s">
        <v>386</v>
      </c>
      <c r="I72" s="3" t="s">
        <v>41</v>
      </c>
      <c r="J72" s="3" t="s">
        <v>1897</v>
      </c>
      <c r="L72" s="3" t="s">
        <v>1911</v>
      </c>
      <c r="M72" s="4">
        <v>2.0</v>
      </c>
    </row>
    <row r="73">
      <c r="A73" s="2">
        <v>45516.0</v>
      </c>
      <c r="B73" s="1" t="s">
        <v>69</v>
      </c>
      <c r="P73" s="4">
        <v>4.0</v>
      </c>
      <c r="S73" s="4">
        <v>8235.0</v>
      </c>
      <c r="T73" s="4">
        <v>3693.0</v>
      </c>
      <c r="U73" s="4">
        <v>14658.0</v>
      </c>
      <c r="V73" s="4">
        <v>5426.0</v>
      </c>
      <c r="W73" s="4">
        <v>927.0</v>
      </c>
      <c r="X73" s="4">
        <v>626.0</v>
      </c>
      <c r="Y73" s="4">
        <v>2376.0</v>
      </c>
      <c r="AA73" s="4">
        <v>3041.0</v>
      </c>
      <c r="AB73" s="4">
        <v>38756.0</v>
      </c>
      <c r="AC73" s="4">
        <v>0.0</v>
      </c>
      <c r="AD73" s="4">
        <v>0.2332365918117985</v>
      </c>
      <c r="AI73" s="4">
        <v>400.0</v>
      </c>
      <c r="AJ73" s="4">
        <v>1.0</v>
      </c>
      <c r="AK73" s="4">
        <v>792.0</v>
      </c>
      <c r="AL73" s="4">
        <v>1.0</v>
      </c>
      <c r="AM73" s="1" t="s">
        <v>1913</v>
      </c>
      <c r="AN73" s="4">
        <v>1.0</v>
      </c>
      <c r="AO73" s="4">
        <v>2.0</v>
      </c>
      <c r="AP73" s="4"/>
      <c r="AQ73" s="4"/>
      <c r="AR73" s="4"/>
      <c r="AS73" s="4"/>
      <c r="AT73" s="4"/>
      <c r="AU73" s="4"/>
      <c r="AV73" s="4"/>
    </row>
    <row r="74">
      <c r="A74" s="2">
        <v>45517.0</v>
      </c>
      <c r="B74" s="1" t="s">
        <v>61</v>
      </c>
      <c r="C74" s="1" t="s">
        <v>48</v>
      </c>
      <c r="D74" s="3" t="s">
        <v>41</v>
      </c>
      <c r="E74" s="3" t="s">
        <v>1887</v>
      </c>
      <c r="G74" s="3" t="s">
        <v>1921</v>
      </c>
    </row>
    <row r="75">
      <c r="A75" s="2">
        <v>45517.0</v>
      </c>
      <c r="B75" s="1" t="s">
        <v>61</v>
      </c>
      <c r="H75" s="1" t="s">
        <v>774</v>
      </c>
      <c r="I75" s="3" t="s">
        <v>63</v>
      </c>
      <c r="J75" s="3" t="s">
        <v>1910</v>
      </c>
      <c r="L75" s="3" t="s">
        <v>47</v>
      </c>
      <c r="M75" s="4">
        <v>12.0</v>
      </c>
      <c r="N75" s="1" t="b">
        <v>1</v>
      </c>
      <c r="O75" s="4">
        <v>480.0</v>
      </c>
    </row>
    <row r="76">
      <c r="A76" s="2">
        <v>45517.0</v>
      </c>
      <c r="B76" s="1" t="s">
        <v>61</v>
      </c>
      <c r="H76" s="1" t="s">
        <v>1923</v>
      </c>
      <c r="I76" s="3" t="s">
        <v>70</v>
      </c>
      <c r="J76" s="3" t="s">
        <v>1887</v>
      </c>
      <c r="L76" s="3" t="s">
        <v>53</v>
      </c>
    </row>
    <row r="77">
      <c r="A77" s="2">
        <v>45517.0</v>
      </c>
      <c r="B77" s="1" t="s">
        <v>61</v>
      </c>
      <c r="H77" s="1" t="s">
        <v>386</v>
      </c>
      <c r="I77" s="3" t="s">
        <v>41</v>
      </c>
      <c r="J77" s="3" t="s">
        <v>1897</v>
      </c>
      <c r="L77" s="3" t="s">
        <v>1911</v>
      </c>
      <c r="M77" s="4">
        <v>6.0</v>
      </c>
    </row>
    <row r="78">
      <c r="A78" s="2">
        <v>45517.0</v>
      </c>
      <c r="B78" s="1" t="s">
        <v>61</v>
      </c>
      <c r="P78" s="4">
        <v>3.0</v>
      </c>
      <c r="S78" s="4">
        <v>10654.0</v>
      </c>
      <c r="T78" s="4">
        <v>6023.0</v>
      </c>
      <c r="U78" s="4">
        <v>9265.0</v>
      </c>
      <c r="V78" s="4">
        <v>7197.0</v>
      </c>
      <c r="W78" s="4">
        <v>0.0</v>
      </c>
      <c r="X78" s="4">
        <v>3902.0</v>
      </c>
      <c r="Y78" s="4">
        <v>2009.0</v>
      </c>
      <c r="Z78" s="4">
        <v>400.0</v>
      </c>
      <c r="AA78" s="4">
        <v>6541.0</v>
      </c>
      <c r="AB78" s="4">
        <v>42569.0</v>
      </c>
      <c r="AC78" s="4">
        <v>0.0</v>
      </c>
      <c r="AD78" s="4">
        <v>0.20040675402894276</v>
      </c>
      <c r="AI78" s="4">
        <v>480.0</v>
      </c>
      <c r="AJ78" s="4">
        <v>0.0</v>
      </c>
      <c r="AK78" s="4">
        <v>0.0</v>
      </c>
      <c r="AL78" s="4">
        <v>4.0</v>
      </c>
      <c r="AM78" s="1" t="s">
        <v>1905</v>
      </c>
      <c r="AN78" s="4">
        <v>1.0</v>
      </c>
      <c r="AO78" s="4">
        <v>2.0</v>
      </c>
      <c r="AP78" s="4"/>
      <c r="AQ78" s="4"/>
      <c r="AR78" s="4"/>
      <c r="AS78" s="4"/>
      <c r="AT78" s="4"/>
      <c r="AU78" s="4"/>
      <c r="AV78" s="4"/>
    </row>
    <row r="79">
      <c r="A79" s="2">
        <v>45518.0</v>
      </c>
      <c r="B79" s="1" t="s">
        <v>73</v>
      </c>
      <c r="C79" s="1" t="s">
        <v>48</v>
      </c>
      <c r="D79" s="3" t="s">
        <v>41</v>
      </c>
      <c r="E79" s="3" t="s">
        <v>45</v>
      </c>
      <c r="G79" s="3" t="s">
        <v>53</v>
      </c>
    </row>
    <row r="80">
      <c r="A80" s="2">
        <v>45518.0</v>
      </c>
      <c r="B80" s="1" t="s">
        <v>73</v>
      </c>
      <c r="C80" s="1" t="s">
        <v>1924</v>
      </c>
      <c r="D80" s="3" t="s">
        <v>70</v>
      </c>
      <c r="E80" s="3" t="s">
        <v>1887</v>
      </c>
      <c r="G80" s="3" t="s">
        <v>53</v>
      </c>
    </row>
    <row r="81">
      <c r="A81" s="2">
        <v>45518.0</v>
      </c>
      <c r="B81" s="1" t="s">
        <v>73</v>
      </c>
      <c r="C81" s="1" t="s">
        <v>1888</v>
      </c>
      <c r="D81" s="3" t="s">
        <v>45</v>
      </c>
      <c r="E81" s="3" t="s">
        <v>56</v>
      </c>
      <c r="G81" s="3" t="s">
        <v>1908</v>
      </c>
    </row>
    <row r="82">
      <c r="A82" s="2">
        <v>45518.0</v>
      </c>
      <c r="B82" s="1" t="s">
        <v>73</v>
      </c>
      <c r="H82" s="1" t="s">
        <v>774</v>
      </c>
      <c r="I82" s="3" t="s">
        <v>63</v>
      </c>
      <c r="J82" s="3" t="s">
        <v>1925</v>
      </c>
      <c r="L82" s="3" t="s">
        <v>1890</v>
      </c>
      <c r="M82" s="4">
        <v>4.0</v>
      </c>
      <c r="N82" s="1" t="b">
        <v>1</v>
      </c>
      <c r="O82" s="4">
        <v>160.0</v>
      </c>
    </row>
    <row r="83">
      <c r="A83" s="2">
        <v>45518.0</v>
      </c>
      <c r="B83" s="1" t="s">
        <v>73</v>
      </c>
      <c r="H83" s="1" t="s">
        <v>174</v>
      </c>
      <c r="I83" s="3" t="s">
        <v>1895</v>
      </c>
      <c r="J83" s="3" t="s">
        <v>1894</v>
      </c>
      <c r="L83" s="3" t="s">
        <v>1890</v>
      </c>
      <c r="M83" s="4">
        <v>17.0</v>
      </c>
      <c r="N83" s="1" t="b">
        <v>1</v>
      </c>
      <c r="O83" s="4">
        <v>680.0</v>
      </c>
    </row>
    <row r="84">
      <c r="A84" s="2">
        <v>45518.0</v>
      </c>
      <c r="B84" s="1" t="s">
        <v>73</v>
      </c>
      <c r="P84" s="4">
        <v>0.0</v>
      </c>
      <c r="S84" s="4">
        <v>10966.0</v>
      </c>
      <c r="T84" s="4">
        <v>6445.0</v>
      </c>
      <c r="U84" s="4">
        <v>12753.0</v>
      </c>
      <c r="V84" s="4">
        <v>6883.5</v>
      </c>
      <c r="W84" s="4">
        <v>0.0</v>
      </c>
      <c r="X84" s="4">
        <v>1605.0</v>
      </c>
      <c r="Y84" s="4">
        <v>4260.0</v>
      </c>
      <c r="AA84" s="4">
        <v>2388.0</v>
      </c>
      <c r="AB84" s="4">
        <v>44535.5</v>
      </c>
      <c r="AC84" s="4">
        <v>0.0</v>
      </c>
      <c r="AD84" s="4">
        <v>0.2747305657791664</v>
      </c>
      <c r="AI84" s="4">
        <v>840.0</v>
      </c>
      <c r="AJ84" s="4">
        <v>1.0</v>
      </c>
      <c r="AK84" s="4">
        <v>309.0</v>
      </c>
      <c r="AL84" s="4">
        <v>7.0</v>
      </c>
      <c r="AM84" s="1" t="s">
        <v>1909</v>
      </c>
      <c r="AN84" s="4">
        <v>2.0</v>
      </c>
      <c r="AO84" s="4">
        <v>0.0</v>
      </c>
      <c r="AP84" s="4"/>
      <c r="AQ84" s="4"/>
      <c r="AR84" s="4"/>
      <c r="AS84" s="4"/>
      <c r="AT84" s="4"/>
      <c r="AU84" s="4"/>
      <c r="AV84" s="4"/>
    </row>
    <row r="85">
      <c r="A85" s="2">
        <v>45519.0</v>
      </c>
      <c r="B85" s="1" t="s">
        <v>1884</v>
      </c>
      <c r="C85" s="1" t="s">
        <v>48</v>
      </c>
      <c r="D85" s="3" t="s">
        <v>45</v>
      </c>
      <c r="E85" s="3" t="s">
        <v>1887</v>
      </c>
      <c r="G85" s="3" t="s">
        <v>47</v>
      </c>
    </row>
    <row r="86">
      <c r="A86" s="2">
        <v>45519.0</v>
      </c>
      <c r="B86" s="1" t="s">
        <v>1884</v>
      </c>
      <c r="C86" s="1" t="s">
        <v>1885</v>
      </c>
      <c r="D86" s="3" t="s">
        <v>41</v>
      </c>
      <c r="E86" s="3" t="s">
        <v>45</v>
      </c>
      <c r="G86" s="3" t="s">
        <v>53</v>
      </c>
    </row>
    <row r="87">
      <c r="A87" s="2">
        <v>45519.0</v>
      </c>
      <c r="B87" s="1" t="s">
        <v>1884</v>
      </c>
      <c r="C87" s="1" t="s">
        <v>1922</v>
      </c>
      <c r="D87" s="3" t="s">
        <v>70</v>
      </c>
      <c r="E87" s="3" t="s">
        <v>56</v>
      </c>
      <c r="G87" s="3" t="s">
        <v>1911</v>
      </c>
    </row>
    <row r="88">
      <c r="A88" s="2">
        <v>45519.0</v>
      </c>
      <c r="B88" s="1" t="s">
        <v>1884</v>
      </c>
      <c r="H88" s="1" t="s">
        <v>386</v>
      </c>
      <c r="I88" s="3" t="s">
        <v>1899</v>
      </c>
      <c r="J88" s="3" t="s">
        <v>45</v>
      </c>
      <c r="L88" s="3" t="s">
        <v>1911</v>
      </c>
      <c r="M88" s="4">
        <v>5.0</v>
      </c>
    </row>
    <row r="89">
      <c r="A89" s="2">
        <v>45519.0</v>
      </c>
      <c r="B89" s="1" t="s">
        <v>1884</v>
      </c>
      <c r="H89" s="1" t="s">
        <v>174</v>
      </c>
      <c r="I89" s="3" t="s">
        <v>45</v>
      </c>
      <c r="J89" s="3" t="s">
        <v>1887</v>
      </c>
      <c r="L89" s="3" t="s">
        <v>47</v>
      </c>
      <c r="M89" s="4">
        <v>15.0</v>
      </c>
      <c r="N89" s="1" t="b">
        <v>1</v>
      </c>
      <c r="O89" s="4">
        <v>600.0</v>
      </c>
    </row>
    <row r="90">
      <c r="A90" s="2">
        <v>45519.0</v>
      </c>
      <c r="B90" s="1" t="s">
        <v>1884</v>
      </c>
      <c r="P90" s="4">
        <v>4.0</v>
      </c>
      <c r="S90" s="4">
        <v>10457.0</v>
      </c>
      <c r="T90" s="4">
        <v>4299.0</v>
      </c>
      <c r="U90" s="4">
        <v>12406.0</v>
      </c>
      <c r="V90" s="4">
        <v>8640.5</v>
      </c>
      <c r="W90" s="4">
        <v>294.0</v>
      </c>
      <c r="X90" s="4">
        <v>3311.0</v>
      </c>
      <c r="Y90" s="4">
        <v>3857.0</v>
      </c>
      <c r="Z90" s="4">
        <v>145.0</v>
      </c>
      <c r="AA90" s="4">
        <v>5512.0</v>
      </c>
      <c r="AB90" s="4">
        <v>46710.5</v>
      </c>
      <c r="AC90" s="4">
        <v>0.0</v>
      </c>
      <c r="AD90" s="4">
        <v>0.2481525633906309</v>
      </c>
      <c r="AE90" s="4">
        <v>500.0</v>
      </c>
      <c r="AI90" s="4">
        <v>600.0</v>
      </c>
      <c r="AJ90" s="4">
        <v>0.0</v>
      </c>
      <c r="AK90" s="4">
        <v>0.0</v>
      </c>
      <c r="AL90" s="4">
        <v>10.0</v>
      </c>
      <c r="AM90" s="1" t="s">
        <v>1926</v>
      </c>
      <c r="AN90" s="4">
        <v>1.0</v>
      </c>
      <c r="AO90" s="4">
        <v>4.0</v>
      </c>
      <c r="AP90" s="4"/>
      <c r="AQ90" s="4"/>
      <c r="AR90" s="4"/>
      <c r="AS90" s="4"/>
      <c r="AT90" s="4"/>
      <c r="AU90" s="4"/>
      <c r="AV90" s="4"/>
    </row>
    <row r="91">
      <c r="A91" s="2">
        <v>45520.0</v>
      </c>
      <c r="B91" s="1" t="s">
        <v>39</v>
      </c>
      <c r="C91" s="1" t="s">
        <v>48</v>
      </c>
      <c r="D91" s="3" t="s">
        <v>45</v>
      </c>
      <c r="E91" s="3" t="s">
        <v>1887</v>
      </c>
      <c r="G91" s="3" t="s">
        <v>47</v>
      </c>
    </row>
    <row r="92">
      <c r="A92" s="2">
        <v>45520.0</v>
      </c>
      <c r="B92" s="1" t="s">
        <v>39</v>
      </c>
      <c r="C92" s="1" t="s">
        <v>1885</v>
      </c>
      <c r="D92" s="3" t="s">
        <v>41</v>
      </c>
      <c r="E92" s="3" t="s">
        <v>45</v>
      </c>
      <c r="G92" s="3" t="s">
        <v>53</v>
      </c>
    </row>
    <row r="93">
      <c r="A93" s="2">
        <v>45520.0</v>
      </c>
      <c r="B93" s="1" t="s">
        <v>39</v>
      </c>
      <c r="C93" s="1" t="s">
        <v>1922</v>
      </c>
      <c r="D93" s="3" t="s">
        <v>70</v>
      </c>
      <c r="E93" s="3" t="s">
        <v>56</v>
      </c>
      <c r="G93" s="3" t="s">
        <v>1911</v>
      </c>
    </row>
    <row r="94">
      <c r="A94" s="2">
        <v>45520.0</v>
      </c>
      <c r="B94" s="1" t="s">
        <v>39</v>
      </c>
      <c r="H94" s="1" t="s">
        <v>386</v>
      </c>
      <c r="I94" s="3" t="s">
        <v>1899</v>
      </c>
      <c r="J94" s="3" t="s">
        <v>45</v>
      </c>
      <c r="L94" s="3" t="s">
        <v>1911</v>
      </c>
      <c r="M94" s="4">
        <v>8.0</v>
      </c>
    </row>
    <row r="95">
      <c r="A95" s="2">
        <v>45520.0</v>
      </c>
      <c r="B95" s="1" t="s">
        <v>39</v>
      </c>
      <c r="H95" s="1" t="s">
        <v>174</v>
      </c>
      <c r="I95" s="3" t="s">
        <v>45</v>
      </c>
      <c r="J95" s="3" t="s">
        <v>1887</v>
      </c>
      <c r="L95" s="3" t="s">
        <v>47</v>
      </c>
      <c r="N95" s="1" t="b">
        <v>1</v>
      </c>
    </row>
    <row r="96">
      <c r="A96" s="2">
        <v>45520.0</v>
      </c>
      <c r="B96" s="1" t="s">
        <v>39</v>
      </c>
      <c r="P96" s="4">
        <v>1.0</v>
      </c>
      <c r="S96" s="4">
        <v>3239.0</v>
      </c>
      <c r="T96" s="4">
        <v>1670.0</v>
      </c>
      <c r="U96" s="4">
        <v>4658.0</v>
      </c>
      <c r="V96" s="4">
        <v>4236.0</v>
      </c>
      <c r="W96" s="4">
        <v>0.0</v>
      </c>
      <c r="X96" s="4">
        <v>0.0</v>
      </c>
      <c r="AB96" s="4">
        <v>15821.0</v>
      </c>
      <c r="AC96" s="4">
        <v>-2018.0</v>
      </c>
      <c r="AD96" s="4">
        <v>0.6632077815724711</v>
      </c>
      <c r="AI96" s="4">
        <v>0.0</v>
      </c>
      <c r="AJ96" s="4">
        <v>1.0</v>
      </c>
      <c r="AK96" s="4">
        <v>249.0</v>
      </c>
      <c r="AL96" s="4">
        <v>0.0</v>
      </c>
      <c r="AM96" s="1" t="s">
        <v>1927</v>
      </c>
      <c r="AN96" s="4">
        <v>0.0</v>
      </c>
      <c r="AO96" s="4">
        <v>0.0</v>
      </c>
      <c r="AP96" s="4"/>
      <c r="AQ96" s="4"/>
      <c r="AR96" s="4"/>
      <c r="AS96" s="4"/>
      <c r="AT96" s="4"/>
      <c r="AU96" s="4"/>
      <c r="AV96" s="4"/>
    </row>
    <row r="97">
      <c r="A97" s="2">
        <v>45521.0</v>
      </c>
      <c r="B97" s="1" t="s">
        <v>1901</v>
      </c>
      <c r="C97" s="1" t="s">
        <v>1903</v>
      </c>
      <c r="D97" s="3" t="s">
        <v>41</v>
      </c>
      <c r="E97" s="3" t="s">
        <v>45</v>
      </c>
      <c r="G97" s="3" t="s">
        <v>53</v>
      </c>
    </row>
    <row r="98">
      <c r="A98" s="2">
        <v>45521.0</v>
      </c>
      <c r="B98" s="1" t="s">
        <v>1901</v>
      </c>
      <c r="C98" s="1" t="s">
        <v>1885</v>
      </c>
      <c r="D98" s="3" t="s">
        <v>45</v>
      </c>
      <c r="E98" s="3" t="s">
        <v>1894</v>
      </c>
      <c r="G98" s="3" t="s">
        <v>41</v>
      </c>
    </row>
    <row r="99">
      <c r="A99" s="2">
        <v>45521.0</v>
      </c>
      <c r="B99" s="1" t="s">
        <v>1901</v>
      </c>
      <c r="C99" s="1" t="s">
        <v>1888</v>
      </c>
      <c r="D99" s="3" t="s">
        <v>45</v>
      </c>
      <c r="E99" s="3" t="s">
        <v>1894</v>
      </c>
      <c r="G99" s="3" t="s">
        <v>41</v>
      </c>
    </row>
    <row r="100">
      <c r="A100" s="2">
        <v>45521.0</v>
      </c>
      <c r="B100" s="1" t="s">
        <v>1901</v>
      </c>
      <c r="H100" s="1" t="s">
        <v>386</v>
      </c>
      <c r="I100" s="3" t="s">
        <v>1899</v>
      </c>
      <c r="J100" s="3" t="s">
        <v>42</v>
      </c>
      <c r="L100" s="3" t="s">
        <v>1928</v>
      </c>
      <c r="M100" s="4">
        <v>12.0</v>
      </c>
    </row>
    <row r="101">
      <c r="A101" s="2">
        <v>45521.0</v>
      </c>
      <c r="B101" s="1" t="s">
        <v>1901</v>
      </c>
      <c r="P101" s="4">
        <v>8.0</v>
      </c>
      <c r="S101" s="4">
        <v>15110.0</v>
      </c>
      <c r="T101" s="4">
        <v>3877.0</v>
      </c>
      <c r="U101" s="4">
        <v>16058.0</v>
      </c>
      <c r="V101" s="4">
        <v>9383.0</v>
      </c>
      <c r="W101" s="4">
        <v>1627.0</v>
      </c>
      <c r="X101" s="4">
        <v>1341.0</v>
      </c>
      <c r="Y101" s="1">
        <v>3564.0</v>
      </c>
      <c r="AA101" s="4">
        <v>3496.0</v>
      </c>
      <c r="AB101" s="4">
        <v>53615.0</v>
      </c>
      <c r="AC101" s="4">
        <v>0.0</v>
      </c>
      <c r="AD101" s="4">
        <v>0.27245254037597805</v>
      </c>
      <c r="AE101" s="4">
        <v>500.0</v>
      </c>
      <c r="AI101" s="4">
        <v>0.0</v>
      </c>
      <c r="AJ101" s="4">
        <v>0.0</v>
      </c>
      <c r="AK101" s="4">
        <v>0.0</v>
      </c>
      <c r="AL101" s="4">
        <v>7.0</v>
      </c>
      <c r="AM101" s="1" t="s">
        <v>1929</v>
      </c>
      <c r="AN101" s="4">
        <v>0.0</v>
      </c>
      <c r="AO101" s="4">
        <v>4.0</v>
      </c>
      <c r="AP101" s="4"/>
      <c r="AQ101" s="4"/>
      <c r="AR101" s="4"/>
      <c r="AS101" s="4"/>
      <c r="AT101" s="4"/>
      <c r="AU101" s="4"/>
      <c r="AV101" s="4"/>
    </row>
    <row r="102">
      <c r="A102" s="2">
        <v>45522.0</v>
      </c>
      <c r="B102" s="1" t="s">
        <v>67</v>
      </c>
      <c r="C102" s="1" t="s">
        <v>1903</v>
      </c>
      <c r="D102" s="3" t="s">
        <v>41</v>
      </c>
      <c r="E102" s="3" t="s">
        <v>45</v>
      </c>
      <c r="G102" s="3" t="s">
        <v>53</v>
      </c>
    </row>
    <row r="103">
      <c r="A103" s="2">
        <v>45522.0</v>
      </c>
      <c r="B103" s="1" t="s">
        <v>67</v>
      </c>
      <c r="C103" s="1" t="s">
        <v>1885</v>
      </c>
      <c r="D103" s="3" t="s">
        <v>45</v>
      </c>
      <c r="E103" s="3" t="s">
        <v>57</v>
      </c>
      <c r="G103" s="3" t="s">
        <v>53</v>
      </c>
    </row>
    <row r="104">
      <c r="A104" s="2">
        <v>45522.0</v>
      </c>
      <c r="B104" s="1" t="s">
        <v>67</v>
      </c>
      <c r="C104" s="1" t="s">
        <v>1888</v>
      </c>
      <c r="D104" s="3" t="s">
        <v>45</v>
      </c>
      <c r="E104" s="3" t="s">
        <v>57</v>
      </c>
      <c r="G104" s="3" t="s">
        <v>53</v>
      </c>
    </row>
    <row r="105">
      <c r="A105" s="2">
        <v>45522.0</v>
      </c>
      <c r="B105" s="1" t="s">
        <v>67</v>
      </c>
      <c r="C105" s="1" t="s">
        <v>1896</v>
      </c>
      <c r="D105" s="3" t="s">
        <v>63</v>
      </c>
      <c r="E105" s="3" t="s">
        <v>45</v>
      </c>
      <c r="G105" s="3" t="s">
        <v>64</v>
      </c>
    </row>
    <row r="106">
      <c r="A106" s="2">
        <v>45522.0</v>
      </c>
      <c r="B106" s="1" t="s">
        <v>67</v>
      </c>
      <c r="H106" s="1" t="s">
        <v>774</v>
      </c>
      <c r="I106" s="3" t="s">
        <v>63</v>
      </c>
      <c r="J106" s="3" t="s">
        <v>45</v>
      </c>
      <c r="L106" s="3" t="s">
        <v>64</v>
      </c>
      <c r="M106" s="4">
        <v>8.0</v>
      </c>
      <c r="N106" s="1" t="b">
        <v>1</v>
      </c>
      <c r="O106" s="4">
        <v>320.0</v>
      </c>
    </row>
    <row r="107">
      <c r="A107" s="2">
        <v>45522.0</v>
      </c>
      <c r="B107" s="1" t="s">
        <v>67</v>
      </c>
      <c r="H107" s="1" t="s">
        <v>174</v>
      </c>
      <c r="I107" s="3" t="s">
        <v>45</v>
      </c>
      <c r="J107" s="3" t="s">
        <v>57</v>
      </c>
      <c r="L107" s="3" t="s">
        <v>53</v>
      </c>
      <c r="M107" s="4">
        <v>16.0</v>
      </c>
      <c r="N107" s="1" t="b">
        <v>1</v>
      </c>
      <c r="O107" s="4">
        <v>640.0</v>
      </c>
    </row>
    <row r="108">
      <c r="A108" s="2">
        <v>45522.0</v>
      </c>
      <c r="B108" s="1" t="s">
        <v>67</v>
      </c>
      <c r="P108" s="4">
        <v>12.0</v>
      </c>
      <c r="S108" s="4">
        <v>9648.0</v>
      </c>
      <c r="T108" s="4">
        <v>3698.0</v>
      </c>
      <c r="U108" s="4">
        <v>11901.0</v>
      </c>
      <c r="V108" s="4">
        <v>12865.5</v>
      </c>
      <c r="W108" s="4">
        <v>1595.0</v>
      </c>
      <c r="X108" s="4">
        <v>1276.0</v>
      </c>
      <c r="Y108" s="4">
        <v>3741.0</v>
      </c>
      <c r="AA108" s="4">
        <v>4973.0</v>
      </c>
      <c r="AB108" s="4">
        <v>49381.5</v>
      </c>
      <c r="AC108" s="4">
        <v>0.0</v>
      </c>
      <c r="AD108" s="4">
        <v>0.32620698991035235</v>
      </c>
      <c r="AI108" s="4">
        <v>960.0</v>
      </c>
      <c r="AJ108" s="4">
        <v>0.0</v>
      </c>
      <c r="AK108" s="4">
        <v>0.0</v>
      </c>
      <c r="AL108" s="4">
        <v>8.0</v>
      </c>
      <c r="AM108" s="1" t="s">
        <v>1930</v>
      </c>
      <c r="AN108" s="4">
        <v>2.0</v>
      </c>
      <c r="AO108" s="4">
        <v>5.0</v>
      </c>
      <c r="AP108" s="4"/>
      <c r="AQ108" s="4"/>
      <c r="AR108" s="4"/>
      <c r="AS108" s="4"/>
      <c r="AT108" s="4"/>
      <c r="AU108" s="4"/>
      <c r="AV108" s="4"/>
    </row>
    <row r="109">
      <c r="A109" s="2">
        <v>45523.0</v>
      </c>
      <c r="B109" s="1" t="s">
        <v>69</v>
      </c>
      <c r="C109" s="1" t="s">
        <v>1886</v>
      </c>
      <c r="D109" s="3" t="s">
        <v>41</v>
      </c>
      <c r="E109" s="3" t="s">
        <v>45</v>
      </c>
      <c r="G109" s="3" t="s">
        <v>53</v>
      </c>
    </row>
    <row r="110">
      <c r="A110" s="2">
        <v>45523.0</v>
      </c>
      <c r="B110" s="1" t="s">
        <v>69</v>
      </c>
      <c r="C110" s="1" t="s">
        <v>48</v>
      </c>
      <c r="D110" s="3" t="s">
        <v>45</v>
      </c>
      <c r="E110" s="3" t="s">
        <v>46</v>
      </c>
      <c r="G110" s="3" t="s">
        <v>47</v>
      </c>
    </row>
    <row r="111">
      <c r="A111" s="2">
        <v>45523.0</v>
      </c>
      <c r="B111" s="1" t="s">
        <v>69</v>
      </c>
      <c r="C111" s="1" t="s">
        <v>1922</v>
      </c>
      <c r="D111" s="3" t="s">
        <v>45</v>
      </c>
      <c r="E111" s="3" t="s">
        <v>46</v>
      </c>
      <c r="G111" s="3" t="s">
        <v>47</v>
      </c>
    </row>
    <row r="112">
      <c r="A112" s="2">
        <v>45523.0</v>
      </c>
      <c r="B112" s="1" t="s">
        <v>69</v>
      </c>
      <c r="H112" s="1" t="s">
        <v>386</v>
      </c>
      <c r="I112" s="3" t="s">
        <v>63</v>
      </c>
      <c r="J112" s="3" t="s">
        <v>45</v>
      </c>
      <c r="L112" s="3" t="s">
        <v>64</v>
      </c>
      <c r="N112" s="1" t="b">
        <v>1</v>
      </c>
    </row>
    <row r="113">
      <c r="A113" s="2">
        <v>45523.0</v>
      </c>
      <c r="B113" s="1" t="s">
        <v>69</v>
      </c>
      <c r="H113" s="1" t="s">
        <v>774</v>
      </c>
      <c r="I113" s="3" t="s">
        <v>45</v>
      </c>
      <c r="J113" s="3" t="s">
        <v>46</v>
      </c>
      <c r="L113" s="3" t="s">
        <v>47</v>
      </c>
      <c r="N113" s="1" t="b">
        <v>1</v>
      </c>
    </row>
    <row r="114">
      <c r="A114" s="2">
        <v>45523.0</v>
      </c>
      <c r="B114" s="1" t="s">
        <v>69</v>
      </c>
      <c r="P114" s="4">
        <v>0.0</v>
      </c>
      <c r="S114" s="4">
        <v>0.0</v>
      </c>
      <c r="T114" s="4">
        <v>0.0</v>
      </c>
      <c r="U114" s="4">
        <v>0.0</v>
      </c>
      <c r="V114" s="4">
        <v>0.0</v>
      </c>
      <c r="W114" s="4">
        <v>0.0</v>
      </c>
      <c r="X114" s="4">
        <v>0.0</v>
      </c>
      <c r="AB114" s="4">
        <v>0.0</v>
      </c>
      <c r="AC114" s="4">
        <v>0.0</v>
      </c>
      <c r="AD114" s="1" t="s">
        <v>60</v>
      </c>
      <c r="AI114" s="4">
        <v>0.0</v>
      </c>
      <c r="AJ114" s="4">
        <v>0.0</v>
      </c>
      <c r="AK114" s="4">
        <v>0.0</v>
      </c>
      <c r="AL114" s="4">
        <v>0.0</v>
      </c>
      <c r="AM114" s="1" t="e">
        <v>#DIV/0!</v>
      </c>
      <c r="AN114" s="4">
        <v>0.0</v>
      </c>
      <c r="AO114" s="4">
        <v>0.0</v>
      </c>
      <c r="AP114" s="4"/>
      <c r="AQ114" s="4"/>
      <c r="AR114" s="4"/>
      <c r="AS114" s="4"/>
      <c r="AT114" s="4"/>
      <c r="AU114" s="4"/>
      <c r="AV114" s="4"/>
    </row>
    <row r="115">
      <c r="A115" s="2">
        <v>45524.0</v>
      </c>
      <c r="B115" s="1" t="s">
        <v>61</v>
      </c>
      <c r="C115" s="1" t="s">
        <v>1886</v>
      </c>
      <c r="D115" s="3" t="s">
        <v>41</v>
      </c>
      <c r="E115" s="3" t="s">
        <v>46</v>
      </c>
      <c r="G115" s="3" t="s">
        <v>1921</v>
      </c>
    </row>
    <row r="116">
      <c r="A116" s="2">
        <v>45524.0</v>
      </c>
      <c r="B116" s="1" t="s">
        <v>61</v>
      </c>
      <c r="C116" s="1" t="s">
        <v>1922</v>
      </c>
      <c r="D116" s="3" t="s">
        <v>45</v>
      </c>
      <c r="E116" s="3" t="s">
        <v>57</v>
      </c>
      <c r="G116" s="3" t="s">
        <v>53</v>
      </c>
    </row>
    <row r="117">
      <c r="A117" s="2">
        <v>45524.0</v>
      </c>
      <c r="B117" s="1" t="s">
        <v>61</v>
      </c>
      <c r="H117" s="1" t="s">
        <v>774</v>
      </c>
      <c r="I117" s="3" t="s">
        <v>45</v>
      </c>
      <c r="J117" s="3" t="s">
        <v>1887</v>
      </c>
      <c r="L117" s="3" t="s">
        <v>47</v>
      </c>
      <c r="M117" s="4">
        <v>6.0</v>
      </c>
      <c r="N117" s="1" t="b">
        <v>1</v>
      </c>
      <c r="O117" s="4">
        <v>240.0</v>
      </c>
    </row>
    <row r="118">
      <c r="A118" s="2">
        <v>45524.0</v>
      </c>
      <c r="B118" s="1" t="s">
        <v>61</v>
      </c>
      <c r="H118" s="1" t="s">
        <v>174</v>
      </c>
      <c r="I118" s="3" t="s">
        <v>63</v>
      </c>
      <c r="J118" s="3" t="s">
        <v>45</v>
      </c>
      <c r="L118" s="3" t="s">
        <v>64</v>
      </c>
      <c r="M118" s="4">
        <v>4.0</v>
      </c>
      <c r="N118" s="1" t="b">
        <v>1</v>
      </c>
      <c r="O118" s="4">
        <v>160.0</v>
      </c>
    </row>
    <row r="119">
      <c r="A119" s="2">
        <v>45524.0</v>
      </c>
      <c r="B119" s="1" t="s">
        <v>61</v>
      </c>
      <c r="P119" s="4">
        <v>5.0</v>
      </c>
      <c r="Q119" s="1" t="s">
        <v>1885</v>
      </c>
      <c r="R119" s="1" t="s">
        <v>1886</v>
      </c>
      <c r="S119" s="4">
        <v>12548.0</v>
      </c>
      <c r="T119" s="4">
        <v>3216.0</v>
      </c>
      <c r="U119" s="4">
        <v>9303.0</v>
      </c>
      <c r="V119" s="4">
        <v>5277.0</v>
      </c>
      <c r="W119" s="4">
        <v>309.0</v>
      </c>
      <c r="X119" s="4">
        <v>3431.0</v>
      </c>
      <c r="Y119" s="4">
        <v>3774.0</v>
      </c>
      <c r="AA119" s="4">
        <v>6300.0</v>
      </c>
      <c r="AB119" s="4">
        <v>41122.0</v>
      </c>
      <c r="AC119" s="4">
        <v>5.0</v>
      </c>
      <c r="AD119" s="4">
        <v>0.33466042488833386</v>
      </c>
      <c r="AI119" s="4">
        <v>400.0</v>
      </c>
      <c r="AJ119" s="4">
        <v>0.0</v>
      </c>
      <c r="AK119" s="4">
        <v>0.0</v>
      </c>
      <c r="AL119" s="4">
        <v>3.0</v>
      </c>
      <c r="AM119" s="1" t="s">
        <v>1931</v>
      </c>
      <c r="AN119" s="4">
        <v>2.0</v>
      </c>
      <c r="AO119" s="4">
        <v>3.0</v>
      </c>
      <c r="AP119" s="4"/>
      <c r="AQ119" s="4"/>
      <c r="AR119" s="4"/>
      <c r="AS119" s="4"/>
      <c r="AT119" s="4"/>
      <c r="AU119" s="4"/>
      <c r="AV119" s="4"/>
    </row>
    <row r="120">
      <c r="A120" s="2">
        <v>45525.0</v>
      </c>
      <c r="B120" s="1" t="s">
        <v>73</v>
      </c>
      <c r="C120" s="1" t="s">
        <v>1885</v>
      </c>
      <c r="D120" s="3" t="s">
        <v>41</v>
      </c>
      <c r="E120" s="3" t="s">
        <v>45</v>
      </c>
      <c r="G120" s="3" t="s">
        <v>53</v>
      </c>
    </row>
    <row r="121">
      <c r="A121" s="2">
        <v>45525.0</v>
      </c>
      <c r="B121" s="1" t="s">
        <v>73</v>
      </c>
      <c r="C121" s="1" t="s">
        <v>1922</v>
      </c>
      <c r="D121" s="3" t="s">
        <v>45</v>
      </c>
      <c r="E121" s="3" t="s">
        <v>68</v>
      </c>
      <c r="G121" s="3" t="s">
        <v>53</v>
      </c>
    </row>
    <row r="122">
      <c r="A122" s="2">
        <v>45525.0</v>
      </c>
      <c r="B122" s="1" t="s">
        <v>73</v>
      </c>
      <c r="C122" s="1" t="s">
        <v>1886</v>
      </c>
      <c r="D122" s="3" t="s">
        <v>45</v>
      </c>
      <c r="E122" s="3" t="s">
        <v>46</v>
      </c>
      <c r="G122" s="3" t="s">
        <v>47</v>
      </c>
    </row>
    <row r="123">
      <c r="A123" s="2">
        <v>45525.0</v>
      </c>
      <c r="B123" s="1" t="s">
        <v>73</v>
      </c>
      <c r="H123" s="1" t="s">
        <v>386</v>
      </c>
      <c r="I123" s="3" t="s">
        <v>63</v>
      </c>
      <c r="J123" s="3" t="s">
        <v>1910</v>
      </c>
      <c r="L123" s="3" t="s">
        <v>47</v>
      </c>
      <c r="M123" s="4">
        <v>3.0</v>
      </c>
    </row>
    <row r="124">
      <c r="A124" s="2">
        <v>45525.0</v>
      </c>
      <c r="B124" s="1" t="s">
        <v>73</v>
      </c>
      <c r="H124" s="1" t="s">
        <v>174</v>
      </c>
      <c r="I124" s="3" t="s">
        <v>70</v>
      </c>
      <c r="J124" s="3" t="s">
        <v>46</v>
      </c>
      <c r="L124" s="3" t="s">
        <v>53</v>
      </c>
      <c r="M124" s="4">
        <v>13.0</v>
      </c>
      <c r="N124" s="1" t="b">
        <v>1</v>
      </c>
      <c r="O124" s="4">
        <v>520.0</v>
      </c>
    </row>
    <row r="125">
      <c r="A125" s="2">
        <v>45525.0</v>
      </c>
      <c r="B125" s="1" t="s">
        <v>73</v>
      </c>
      <c r="P125" s="4">
        <v>4.0</v>
      </c>
      <c r="Q125" s="1" t="s">
        <v>1885</v>
      </c>
      <c r="R125" s="1" t="s">
        <v>1886</v>
      </c>
      <c r="S125" s="4">
        <v>11847.0</v>
      </c>
      <c r="T125" s="4">
        <v>1385.0</v>
      </c>
      <c r="U125" s="4">
        <v>11294.0</v>
      </c>
      <c r="V125" s="4">
        <v>8727.0</v>
      </c>
      <c r="W125" s="4">
        <v>2799.0</v>
      </c>
      <c r="X125" s="4">
        <v>1080.0</v>
      </c>
      <c r="Y125" s="4">
        <v>548.0</v>
      </c>
      <c r="AA125" s="4">
        <v>3600.0</v>
      </c>
      <c r="AB125" s="4">
        <v>40680.0</v>
      </c>
      <c r="AC125" s="4">
        <v>40.0</v>
      </c>
      <c r="AD125" s="4">
        <v>0.34941307552256795</v>
      </c>
      <c r="AI125" s="4">
        <v>520.0</v>
      </c>
      <c r="AJ125" s="4">
        <v>0.0</v>
      </c>
      <c r="AK125" s="4">
        <v>0.0</v>
      </c>
      <c r="AL125" s="4">
        <v>5.0</v>
      </c>
      <c r="AM125" s="1" t="s">
        <v>1932</v>
      </c>
      <c r="AN125" s="4">
        <v>1.0</v>
      </c>
      <c r="AO125" s="4">
        <v>3.0</v>
      </c>
      <c r="AP125" s="4"/>
      <c r="AQ125" s="4"/>
      <c r="AR125" s="4"/>
      <c r="AS125" s="4"/>
      <c r="AT125" s="4"/>
      <c r="AU125" s="4"/>
      <c r="AV125" s="4"/>
    </row>
    <row r="126">
      <c r="A126" s="2">
        <v>45526.0</v>
      </c>
      <c r="B126" s="1" t="s">
        <v>1884</v>
      </c>
      <c r="C126" s="1" t="s">
        <v>1885</v>
      </c>
      <c r="D126" s="3" t="s">
        <v>45</v>
      </c>
      <c r="E126" s="3" t="s">
        <v>1889</v>
      </c>
      <c r="G126" s="3" t="s">
        <v>1890</v>
      </c>
    </row>
    <row r="127">
      <c r="A127" s="2">
        <v>45526.0</v>
      </c>
      <c r="B127" s="1" t="s">
        <v>1884</v>
      </c>
      <c r="C127" s="1" t="s">
        <v>1888</v>
      </c>
      <c r="D127" s="3" t="s">
        <v>45</v>
      </c>
      <c r="E127" s="3" t="s">
        <v>49</v>
      </c>
      <c r="G127" s="3" t="s">
        <v>64</v>
      </c>
    </row>
    <row r="128">
      <c r="A128" s="2">
        <v>45526.0</v>
      </c>
      <c r="B128" s="1" t="s">
        <v>1884</v>
      </c>
      <c r="C128" s="1" t="s">
        <v>48</v>
      </c>
      <c r="D128" s="3" t="s">
        <v>41</v>
      </c>
      <c r="E128" s="3" t="s">
        <v>45</v>
      </c>
      <c r="G128" s="3" t="s">
        <v>53</v>
      </c>
    </row>
    <row r="129">
      <c r="A129" s="2">
        <v>45526.0</v>
      </c>
      <c r="B129" s="1" t="s">
        <v>1884</v>
      </c>
      <c r="H129" s="1" t="s">
        <v>386</v>
      </c>
      <c r="I129" s="3" t="s">
        <v>63</v>
      </c>
      <c r="J129" s="3" t="s">
        <v>70</v>
      </c>
      <c r="L129" s="3" t="s">
        <v>53</v>
      </c>
      <c r="M129" s="4">
        <v>5.0</v>
      </c>
    </row>
    <row r="130">
      <c r="A130" s="2">
        <v>45526.0</v>
      </c>
      <c r="B130" s="1" t="s">
        <v>1884</v>
      </c>
      <c r="H130" s="1" t="s">
        <v>174</v>
      </c>
      <c r="I130" s="3" t="s">
        <v>70</v>
      </c>
      <c r="J130" s="3" t="s">
        <v>46</v>
      </c>
      <c r="L130" s="3" t="s">
        <v>53</v>
      </c>
      <c r="M130" s="4">
        <v>8.0</v>
      </c>
      <c r="N130" s="1" t="b">
        <v>1</v>
      </c>
      <c r="O130" s="4">
        <v>320.0</v>
      </c>
    </row>
    <row r="131">
      <c r="A131" s="2">
        <v>45526.0</v>
      </c>
      <c r="B131" s="1" t="s">
        <v>1884</v>
      </c>
      <c r="P131" s="4">
        <v>4.0</v>
      </c>
      <c r="Q131" s="1" t="s">
        <v>48</v>
      </c>
      <c r="R131" s="1" t="s">
        <v>1885</v>
      </c>
      <c r="S131" s="4">
        <v>8813.0</v>
      </c>
      <c r="T131" s="4">
        <v>4395.0</v>
      </c>
      <c r="U131" s="4">
        <v>8774.0</v>
      </c>
      <c r="V131" s="4">
        <v>5917.0</v>
      </c>
      <c r="W131" s="4">
        <v>1064.0</v>
      </c>
      <c r="X131" s="4">
        <v>2223.0</v>
      </c>
      <c r="Y131" s="4">
        <v>1459.0</v>
      </c>
      <c r="AA131" s="1">
        <v>6345.0</v>
      </c>
      <c r="AB131" s="4">
        <v>37078.0</v>
      </c>
      <c r="AC131" s="1">
        <v>0.0</v>
      </c>
      <c r="AD131" s="4">
        <v>0.30187878721231093</v>
      </c>
      <c r="AI131" s="4">
        <v>320.0</v>
      </c>
      <c r="AJ131" s="4">
        <v>0.0</v>
      </c>
      <c r="AK131" s="4">
        <v>0.0</v>
      </c>
      <c r="AL131" s="4">
        <v>3.0</v>
      </c>
      <c r="AM131" s="1" t="s">
        <v>1933</v>
      </c>
      <c r="AN131" s="4">
        <v>1.0</v>
      </c>
      <c r="AO131" s="4">
        <v>3.0</v>
      </c>
      <c r="AP131" s="4"/>
      <c r="AQ131" s="4"/>
      <c r="AR131" s="4"/>
      <c r="AS131" s="4"/>
      <c r="AT131" s="4"/>
      <c r="AU131" s="4"/>
      <c r="AV131" s="4"/>
    </row>
    <row r="132">
      <c r="A132" s="2">
        <v>45527.0</v>
      </c>
      <c r="B132" s="1" t="s">
        <v>39</v>
      </c>
      <c r="C132" s="1" t="s">
        <v>1886</v>
      </c>
      <c r="D132" s="3" t="s">
        <v>45</v>
      </c>
      <c r="E132" s="3" t="s">
        <v>49</v>
      </c>
      <c r="G132" s="3" t="s">
        <v>64</v>
      </c>
    </row>
    <row r="133">
      <c r="A133" s="2">
        <v>45527.0</v>
      </c>
      <c r="B133" s="1" t="s">
        <v>39</v>
      </c>
      <c r="C133" s="1" t="s">
        <v>48</v>
      </c>
      <c r="D133" s="3" t="s">
        <v>41</v>
      </c>
      <c r="E133" s="3" t="s">
        <v>45</v>
      </c>
      <c r="G133" s="3" t="s">
        <v>53</v>
      </c>
    </row>
    <row r="134">
      <c r="A134" s="2">
        <v>45527.0</v>
      </c>
      <c r="B134" s="1" t="s">
        <v>39</v>
      </c>
      <c r="C134" s="1" t="s">
        <v>1885</v>
      </c>
      <c r="D134" s="3" t="s">
        <v>45</v>
      </c>
      <c r="E134" s="3" t="s">
        <v>1934</v>
      </c>
      <c r="G134" s="3" t="s">
        <v>41</v>
      </c>
    </row>
    <row r="135">
      <c r="A135" s="2">
        <v>45527.0</v>
      </c>
      <c r="B135" s="1" t="s">
        <v>39</v>
      </c>
      <c r="C135" s="1" t="s">
        <v>1896</v>
      </c>
      <c r="D135" s="3" t="s">
        <v>63</v>
      </c>
      <c r="E135" s="3" t="s">
        <v>1891</v>
      </c>
      <c r="G135" s="3" t="s">
        <v>1892</v>
      </c>
    </row>
    <row r="136">
      <c r="A136" s="2">
        <v>45527.0</v>
      </c>
      <c r="B136" s="1" t="s">
        <v>39</v>
      </c>
      <c r="H136" s="1" t="s">
        <v>386</v>
      </c>
      <c r="I136" s="3" t="s">
        <v>63</v>
      </c>
      <c r="J136" s="3" t="s">
        <v>70</v>
      </c>
      <c r="L136" s="3" t="s">
        <v>53</v>
      </c>
      <c r="M136" s="4">
        <v>4.0</v>
      </c>
    </row>
    <row r="137">
      <c r="A137" s="2">
        <v>45527.0</v>
      </c>
      <c r="B137" s="1" t="s">
        <v>39</v>
      </c>
      <c r="H137" s="1" t="s">
        <v>174</v>
      </c>
      <c r="I137" s="3" t="s">
        <v>70</v>
      </c>
      <c r="J137" s="3" t="s">
        <v>1934</v>
      </c>
      <c r="L137" s="3" t="s">
        <v>1916</v>
      </c>
      <c r="M137" s="4">
        <v>11.0</v>
      </c>
      <c r="N137" s="1" t="b">
        <v>1</v>
      </c>
      <c r="O137" s="4">
        <v>440.0</v>
      </c>
    </row>
    <row r="138">
      <c r="A138" s="2">
        <v>45527.0</v>
      </c>
      <c r="B138" s="1" t="s">
        <v>39</v>
      </c>
      <c r="H138" s="1" t="s">
        <v>774</v>
      </c>
      <c r="I138" s="3" t="s">
        <v>49</v>
      </c>
      <c r="J138" s="3" t="s">
        <v>1894</v>
      </c>
      <c r="L138" s="3" t="s">
        <v>1915</v>
      </c>
    </row>
    <row r="139">
      <c r="A139" s="2">
        <v>45527.0</v>
      </c>
      <c r="B139" s="1" t="s">
        <v>39</v>
      </c>
      <c r="P139" s="4">
        <v>4.0</v>
      </c>
      <c r="S139" s="4">
        <v>16505.0</v>
      </c>
      <c r="T139" s="4">
        <v>6594.0</v>
      </c>
      <c r="U139" s="4">
        <v>15800.0</v>
      </c>
      <c r="V139" s="4">
        <v>6854.0</v>
      </c>
      <c r="W139" s="4">
        <v>0.0</v>
      </c>
      <c r="X139" s="4">
        <v>3304.0</v>
      </c>
      <c r="Y139" s="4">
        <v>3779.0</v>
      </c>
      <c r="Z139" s="4">
        <v>110.0</v>
      </c>
      <c r="AB139" s="4">
        <v>61077.0</v>
      </c>
      <c r="AC139" s="4">
        <v>-10045.0</v>
      </c>
      <c r="AD139" s="4">
        <v>0.23996779003975416</v>
      </c>
      <c r="AE139" s="4">
        <v>500.0</v>
      </c>
      <c r="AH139" s="4">
        <v>450.0</v>
      </c>
      <c r="AI139" s="4">
        <v>440.0</v>
      </c>
      <c r="AJ139" s="4">
        <v>2.0</v>
      </c>
      <c r="AK139" s="4">
        <v>643.0</v>
      </c>
      <c r="AL139" s="4">
        <v>17.0</v>
      </c>
      <c r="AM139" s="1" t="s">
        <v>1935</v>
      </c>
      <c r="AN139" s="4">
        <v>1.0</v>
      </c>
      <c r="AO139" s="4">
        <v>4.0</v>
      </c>
      <c r="AP139" s="4"/>
      <c r="AQ139" s="4"/>
      <c r="AR139" s="4"/>
      <c r="AS139" s="4"/>
      <c r="AT139" s="4"/>
      <c r="AU139" s="4"/>
      <c r="AV139" s="4"/>
    </row>
    <row r="140">
      <c r="A140" s="2">
        <v>45528.0</v>
      </c>
      <c r="B140" s="1" t="s">
        <v>1901</v>
      </c>
      <c r="C140" s="1" t="s">
        <v>1886</v>
      </c>
      <c r="D140" s="3" t="s">
        <v>45</v>
      </c>
      <c r="E140" s="3" t="s">
        <v>1934</v>
      </c>
      <c r="G140" s="3" t="s">
        <v>41</v>
      </c>
    </row>
    <row r="141">
      <c r="A141" s="2">
        <v>45528.0</v>
      </c>
      <c r="B141" s="1" t="s">
        <v>1901</v>
      </c>
      <c r="C141" s="1" t="s">
        <v>1885</v>
      </c>
      <c r="D141" s="3" t="s">
        <v>45</v>
      </c>
      <c r="E141" s="3" t="s">
        <v>1934</v>
      </c>
      <c r="G141" s="3" t="s">
        <v>41</v>
      </c>
    </row>
    <row r="142">
      <c r="A142" s="2">
        <v>45528.0</v>
      </c>
      <c r="B142" s="1" t="s">
        <v>1901</v>
      </c>
      <c r="C142" s="1" t="s">
        <v>1896</v>
      </c>
      <c r="D142" s="3" t="s">
        <v>63</v>
      </c>
      <c r="E142" s="3" t="s">
        <v>45</v>
      </c>
      <c r="G142" s="3" t="s">
        <v>64</v>
      </c>
    </row>
    <row r="143">
      <c r="A143" s="2">
        <v>45528.0</v>
      </c>
      <c r="B143" s="1" t="s">
        <v>1901</v>
      </c>
      <c r="C143" s="1" t="s">
        <v>1903</v>
      </c>
      <c r="D143" s="3" t="s">
        <v>41</v>
      </c>
      <c r="E143" s="3" t="s">
        <v>45</v>
      </c>
      <c r="G143" s="3" t="s">
        <v>53</v>
      </c>
    </row>
    <row r="144">
      <c r="A144" s="2">
        <v>45528.0</v>
      </c>
      <c r="B144" s="1" t="s">
        <v>1901</v>
      </c>
      <c r="H144" s="1" t="s">
        <v>774</v>
      </c>
      <c r="I144" s="3" t="s">
        <v>63</v>
      </c>
      <c r="J144" s="3" t="s">
        <v>1934</v>
      </c>
      <c r="L144" s="3" t="s">
        <v>1891</v>
      </c>
    </row>
    <row r="145">
      <c r="A145" s="2">
        <v>45528.0</v>
      </c>
      <c r="B145" s="1" t="s">
        <v>1901</v>
      </c>
      <c r="P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AB145" s="4">
        <v>0.0</v>
      </c>
      <c r="AC145" s="4">
        <v>0.0</v>
      </c>
      <c r="AD145" s="1" t="s">
        <v>60</v>
      </c>
      <c r="AI145" s="4">
        <v>0.0</v>
      </c>
      <c r="AJ145" s="4">
        <v>0.0</v>
      </c>
      <c r="AK145" s="4">
        <v>0.0</v>
      </c>
      <c r="AL145" s="4">
        <v>0.0</v>
      </c>
      <c r="AM145" s="1" t="e">
        <v>#DIV/0!</v>
      </c>
      <c r="AN145" s="4">
        <v>0.0</v>
      </c>
      <c r="AO145" s="4">
        <v>0.0</v>
      </c>
      <c r="AP145" s="4"/>
      <c r="AQ145" s="4"/>
      <c r="AR145" s="4"/>
      <c r="AS145" s="4"/>
      <c r="AT145" s="4"/>
      <c r="AU145" s="4"/>
      <c r="AV145" s="4"/>
    </row>
    <row r="146">
      <c r="A146" s="2">
        <v>45529.0</v>
      </c>
      <c r="B146" s="1" t="s">
        <v>67</v>
      </c>
      <c r="C146" s="1" t="s">
        <v>1888</v>
      </c>
      <c r="D146" s="3" t="s">
        <v>45</v>
      </c>
      <c r="E146" s="3" t="s">
        <v>57</v>
      </c>
      <c r="G146" s="3" t="s">
        <v>53</v>
      </c>
    </row>
    <row r="147">
      <c r="A147" s="2">
        <v>45529.0</v>
      </c>
      <c r="B147" s="1" t="s">
        <v>67</v>
      </c>
      <c r="C147" s="1" t="s">
        <v>48</v>
      </c>
      <c r="D147" s="3" t="s">
        <v>1891</v>
      </c>
      <c r="E147" s="3" t="s">
        <v>57</v>
      </c>
      <c r="G147" s="3" t="s">
        <v>47</v>
      </c>
    </row>
    <row r="148">
      <c r="A148" s="2">
        <v>45529.0</v>
      </c>
      <c r="B148" s="1" t="s">
        <v>67</v>
      </c>
      <c r="C148" s="1" t="s">
        <v>1896</v>
      </c>
      <c r="D148" s="3" t="s">
        <v>63</v>
      </c>
      <c r="E148" s="3" t="s">
        <v>45</v>
      </c>
      <c r="G148" s="3" t="s">
        <v>64</v>
      </c>
    </row>
    <row r="149">
      <c r="A149" s="2">
        <v>45529.0</v>
      </c>
      <c r="B149" s="1" t="s">
        <v>67</v>
      </c>
      <c r="C149" s="1" t="s">
        <v>1924</v>
      </c>
      <c r="D149" s="3" t="s">
        <v>41</v>
      </c>
      <c r="E149" s="3" t="s">
        <v>1891</v>
      </c>
      <c r="G149" s="3" t="s">
        <v>64</v>
      </c>
    </row>
    <row r="150">
      <c r="A150" s="2">
        <v>45529.0</v>
      </c>
      <c r="B150" s="1" t="s">
        <v>67</v>
      </c>
      <c r="H150" s="1" t="s">
        <v>386</v>
      </c>
      <c r="I150" s="3" t="s">
        <v>63</v>
      </c>
      <c r="J150" s="3" t="s">
        <v>57</v>
      </c>
      <c r="L150" s="3" t="s">
        <v>50</v>
      </c>
      <c r="M150" s="4">
        <v>21.0</v>
      </c>
    </row>
    <row r="151">
      <c r="A151" s="2">
        <v>45529.0</v>
      </c>
      <c r="B151" s="1" t="s">
        <v>67</v>
      </c>
      <c r="P151" s="4">
        <v>4.0</v>
      </c>
      <c r="S151" s="4">
        <v>14474.0</v>
      </c>
      <c r="T151" s="4">
        <v>7124.0</v>
      </c>
      <c r="U151" s="4">
        <v>8398.0</v>
      </c>
      <c r="V151" s="4">
        <v>10952.0</v>
      </c>
      <c r="W151" s="4">
        <v>0.0</v>
      </c>
      <c r="X151" s="4">
        <v>1902.0</v>
      </c>
      <c r="Y151" s="4">
        <v>2038.0</v>
      </c>
      <c r="AA151" s="4">
        <v>5675.0</v>
      </c>
      <c r="AB151" s="4">
        <v>48658.0</v>
      </c>
      <c r="AC151" s="4">
        <v>3.0</v>
      </c>
      <c r="AD151" s="4">
        <v>0.24473632110358146</v>
      </c>
      <c r="AI151" s="4">
        <v>0.0</v>
      </c>
      <c r="AJ151" s="4">
        <v>2.0</v>
      </c>
      <c r="AK151" s="4">
        <v>582.0</v>
      </c>
      <c r="AL151" s="4">
        <v>9.0</v>
      </c>
      <c r="AM151" s="1" t="s">
        <v>1936</v>
      </c>
      <c r="AN151" s="4">
        <v>0.0</v>
      </c>
      <c r="AO151" s="4">
        <v>2.0</v>
      </c>
      <c r="AP151" s="4"/>
      <c r="AQ151" s="4"/>
      <c r="AR151" s="4"/>
      <c r="AS151" s="4"/>
      <c r="AT151" s="4"/>
      <c r="AU151" s="4"/>
      <c r="AV151" s="4"/>
    </row>
    <row r="152">
      <c r="A152" s="2">
        <v>45530.0</v>
      </c>
      <c r="B152" s="1" t="s">
        <v>69</v>
      </c>
      <c r="C152" s="1" t="s">
        <v>1886</v>
      </c>
      <c r="D152" s="3" t="s">
        <v>41</v>
      </c>
      <c r="E152" s="3" t="s">
        <v>45</v>
      </c>
      <c r="G152" s="3" t="s">
        <v>53</v>
      </c>
    </row>
    <row r="153">
      <c r="A153" s="2">
        <v>45530.0</v>
      </c>
      <c r="B153" s="1" t="s">
        <v>69</v>
      </c>
      <c r="C153" s="1" t="s">
        <v>48</v>
      </c>
      <c r="D153" s="3" t="s">
        <v>45</v>
      </c>
      <c r="E153" s="3" t="s">
        <v>46</v>
      </c>
      <c r="G153" s="3" t="s">
        <v>47</v>
      </c>
    </row>
    <row r="154">
      <c r="A154" s="2">
        <v>45530.0</v>
      </c>
      <c r="B154" s="1" t="s">
        <v>69</v>
      </c>
      <c r="C154" s="1" t="s">
        <v>1922</v>
      </c>
      <c r="D154" s="3" t="s">
        <v>45</v>
      </c>
      <c r="E154" s="3" t="s">
        <v>46</v>
      </c>
      <c r="G154" s="3" t="s">
        <v>47</v>
      </c>
    </row>
    <row r="155">
      <c r="A155" s="2">
        <v>45530.0</v>
      </c>
      <c r="B155" s="1" t="s">
        <v>69</v>
      </c>
      <c r="H155" s="1" t="s">
        <v>386</v>
      </c>
      <c r="I155" s="3" t="s">
        <v>63</v>
      </c>
      <c r="J155" s="3" t="s">
        <v>45</v>
      </c>
      <c r="L155" s="3" t="s">
        <v>64</v>
      </c>
    </row>
    <row r="156">
      <c r="A156" s="2">
        <v>45530.0</v>
      </c>
      <c r="B156" s="1" t="s">
        <v>69</v>
      </c>
      <c r="H156" s="1" t="s">
        <v>774</v>
      </c>
      <c r="I156" s="3" t="s">
        <v>45</v>
      </c>
      <c r="J156" s="3" t="s">
        <v>46</v>
      </c>
      <c r="L156" s="3" t="s">
        <v>47</v>
      </c>
    </row>
    <row r="157">
      <c r="A157" s="2">
        <v>45530.0</v>
      </c>
      <c r="B157" s="1" t="s">
        <v>69</v>
      </c>
      <c r="P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AB157" s="4">
        <v>0.0</v>
      </c>
      <c r="AC157" s="4">
        <v>0.0</v>
      </c>
      <c r="AD157" s="1" t="s">
        <v>60</v>
      </c>
      <c r="AI157" s="4">
        <v>0.0</v>
      </c>
      <c r="AJ157" s="4">
        <v>0.0</v>
      </c>
      <c r="AK157" s="4">
        <v>0.0</v>
      </c>
      <c r="AL157" s="4">
        <v>0.0</v>
      </c>
      <c r="AM157" s="1" t="e">
        <v>#DIV/0!</v>
      </c>
      <c r="AN157" s="4">
        <v>0.0</v>
      </c>
      <c r="AO157" s="4">
        <v>0.0</v>
      </c>
      <c r="AP157" s="4">
        <v>0.0</v>
      </c>
      <c r="AQ157" s="4">
        <v>0.0</v>
      </c>
      <c r="AR157" s="4">
        <v>0.0</v>
      </c>
      <c r="AS157" s="1" t="e">
        <v>#DIV/0!</v>
      </c>
      <c r="AT157" s="4">
        <v>0.0</v>
      </c>
      <c r="AU157" s="1" t="e">
        <v>#DIV/0!</v>
      </c>
      <c r="AV157" s="1" t="e">
        <v>#DIV/0!</v>
      </c>
    </row>
    <row r="158">
      <c r="A158" s="2">
        <v>45531.0</v>
      </c>
      <c r="B158" s="1" t="s">
        <v>61</v>
      </c>
      <c r="C158" s="1" t="s">
        <v>1886</v>
      </c>
      <c r="D158" s="3" t="s">
        <v>41</v>
      </c>
      <c r="E158" s="3" t="s">
        <v>45</v>
      </c>
      <c r="G158" s="3" t="s">
        <v>53</v>
      </c>
    </row>
    <row r="159">
      <c r="A159" s="2">
        <v>45531.0</v>
      </c>
      <c r="B159" s="1" t="s">
        <v>61</v>
      </c>
      <c r="C159" s="1" t="s">
        <v>48</v>
      </c>
      <c r="D159" s="3" t="s">
        <v>45</v>
      </c>
      <c r="E159" s="3" t="s">
        <v>46</v>
      </c>
      <c r="G159" s="3" t="s">
        <v>47</v>
      </c>
    </row>
    <row r="160">
      <c r="A160" s="2">
        <v>45531.0</v>
      </c>
      <c r="B160" s="1" t="s">
        <v>61</v>
      </c>
      <c r="C160" s="1" t="s">
        <v>1922</v>
      </c>
      <c r="D160" s="3" t="s">
        <v>45</v>
      </c>
      <c r="E160" s="3" t="s">
        <v>49</v>
      </c>
      <c r="G160" s="3" t="s">
        <v>64</v>
      </c>
    </row>
    <row r="161">
      <c r="A161" s="2">
        <v>45531.0</v>
      </c>
      <c r="B161" s="1" t="s">
        <v>61</v>
      </c>
      <c r="H161" s="1" t="s">
        <v>386</v>
      </c>
      <c r="I161" s="3" t="s">
        <v>63</v>
      </c>
      <c r="J161" s="3" t="s">
        <v>45</v>
      </c>
      <c r="L161" s="3" t="s">
        <v>64</v>
      </c>
      <c r="M161" s="4">
        <v>3.0</v>
      </c>
    </row>
    <row r="162">
      <c r="A162" s="2">
        <v>45531.0</v>
      </c>
      <c r="B162" s="1" t="s">
        <v>61</v>
      </c>
      <c r="H162" s="1" t="s">
        <v>774</v>
      </c>
      <c r="I162" s="3" t="s">
        <v>45</v>
      </c>
      <c r="J162" s="3" t="s">
        <v>46</v>
      </c>
      <c r="L162" s="3" t="s">
        <v>47</v>
      </c>
      <c r="M162" s="4">
        <v>8.0</v>
      </c>
      <c r="N162" s="1" t="b">
        <v>1</v>
      </c>
      <c r="O162" s="4">
        <v>320.0</v>
      </c>
    </row>
    <row r="163">
      <c r="A163" s="2">
        <v>45531.0</v>
      </c>
      <c r="B163" s="1" t="s">
        <v>61</v>
      </c>
      <c r="P163" s="4">
        <v>3.0</v>
      </c>
      <c r="S163" s="4">
        <v>6816.0</v>
      </c>
      <c r="T163" s="4">
        <v>5073.0</v>
      </c>
      <c r="U163" s="4">
        <v>6029.0</v>
      </c>
      <c r="V163" s="4">
        <v>4847.0</v>
      </c>
      <c r="W163" s="4">
        <v>0.0</v>
      </c>
      <c r="X163" s="4">
        <v>2230.0</v>
      </c>
      <c r="Y163" s="4">
        <v>4738.0</v>
      </c>
      <c r="AA163" s="4">
        <v>3970.0</v>
      </c>
      <c r="AB163" s="4">
        <v>32288.0</v>
      </c>
      <c r="AC163" s="4">
        <v>5.0</v>
      </c>
      <c r="AD163" s="4">
        <v>0.333741201445059</v>
      </c>
      <c r="AE163" s="4">
        <v>500.0</v>
      </c>
      <c r="AI163" s="4">
        <v>320.0</v>
      </c>
      <c r="AJ163" s="4">
        <v>0.0</v>
      </c>
      <c r="AK163" s="4">
        <v>0.0</v>
      </c>
      <c r="AL163" s="4">
        <v>0.0</v>
      </c>
      <c r="AM163" s="1" t="s">
        <v>1937</v>
      </c>
      <c r="AN163" s="4">
        <v>1.0</v>
      </c>
      <c r="AO163" s="4">
        <v>95.0</v>
      </c>
      <c r="AP163" s="4">
        <v>14.0</v>
      </c>
      <c r="AQ163" s="4">
        <v>3.0</v>
      </c>
      <c r="AR163" s="4">
        <v>0.0</v>
      </c>
      <c r="AS163" s="4">
        <v>0.0</v>
      </c>
      <c r="AT163" s="4">
        <v>0.0</v>
      </c>
      <c r="AU163" s="4">
        <v>1.0</v>
      </c>
      <c r="AV163" s="4">
        <v>0.0</v>
      </c>
    </row>
    <row r="164">
      <c r="A164" s="2">
        <v>45532.0</v>
      </c>
      <c r="B164" s="1" t="s">
        <v>73</v>
      </c>
      <c r="C164" s="1" t="s">
        <v>1886</v>
      </c>
      <c r="D164" s="3" t="s">
        <v>45</v>
      </c>
      <c r="E164" s="3" t="s">
        <v>46</v>
      </c>
      <c r="G164" s="3" t="s">
        <v>47</v>
      </c>
    </row>
    <row r="165">
      <c r="A165" s="2">
        <v>45532.0</v>
      </c>
      <c r="B165" s="1" t="s">
        <v>73</v>
      </c>
      <c r="C165" s="1" t="s">
        <v>1885</v>
      </c>
      <c r="D165" s="3" t="s">
        <v>41</v>
      </c>
      <c r="E165" s="3" t="s">
        <v>45</v>
      </c>
      <c r="G165" s="3" t="s">
        <v>53</v>
      </c>
    </row>
    <row r="166">
      <c r="A166" s="2">
        <v>45532.0</v>
      </c>
      <c r="B166" s="1" t="s">
        <v>73</v>
      </c>
      <c r="C166" s="1" t="s">
        <v>1888</v>
      </c>
      <c r="D166" s="3" t="s">
        <v>45</v>
      </c>
      <c r="E166" s="3" t="s">
        <v>46</v>
      </c>
      <c r="G166" s="3" t="s">
        <v>47</v>
      </c>
    </row>
    <row r="167">
      <c r="A167" s="2">
        <v>45532.0</v>
      </c>
      <c r="B167" s="1" t="s">
        <v>73</v>
      </c>
      <c r="H167" s="1" t="s">
        <v>386</v>
      </c>
      <c r="I167" s="3" t="s">
        <v>63</v>
      </c>
      <c r="J167" s="3" t="s">
        <v>70</v>
      </c>
      <c r="L167" s="3" t="s">
        <v>53</v>
      </c>
    </row>
    <row r="168">
      <c r="A168" s="2">
        <v>45532.0</v>
      </c>
      <c r="B168" s="1" t="s">
        <v>73</v>
      </c>
      <c r="H168" s="1" t="s">
        <v>174</v>
      </c>
      <c r="I168" s="3" t="s">
        <v>70</v>
      </c>
      <c r="J168" s="3" t="s">
        <v>46</v>
      </c>
      <c r="L168" s="3" t="s">
        <v>53</v>
      </c>
      <c r="N168" s="1" t="b">
        <v>1</v>
      </c>
    </row>
    <row r="169">
      <c r="A169" s="2">
        <v>45532.0</v>
      </c>
      <c r="B169" s="1" t="s">
        <v>73</v>
      </c>
      <c r="P169" s="4">
        <v>0.0</v>
      </c>
      <c r="S169" s="4">
        <v>0.0</v>
      </c>
      <c r="T169" s="4">
        <v>0.0</v>
      </c>
      <c r="U169" s="4">
        <v>0.0</v>
      </c>
      <c r="V169" s="4">
        <v>0.0</v>
      </c>
      <c r="W169" s="4">
        <v>0.0</v>
      </c>
      <c r="X169" s="4">
        <v>0.0</v>
      </c>
      <c r="AB169" s="4">
        <v>0.0</v>
      </c>
      <c r="AC169" s="4">
        <v>0.0</v>
      </c>
      <c r="AD169" s="1" t="s">
        <v>60</v>
      </c>
      <c r="AI169" s="4">
        <v>0.0</v>
      </c>
      <c r="AJ169" s="4">
        <v>0.0</v>
      </c>
      <c r="AK169" s="4">
        <v>0.0</v>
      </c>
      <c r="AL169" s="4">
        <v>0.0</v>
      </c>
      <c r="AM169" s="1" t="e">
        <v>#DIV/0!</v>
      </c>
      <c r="AN169" s="4">
        <v>0.0</v>
      </c>
      <c r="AO169" s="4">
        <v>0.0</v>
      </c>
      <c r="AP169" s="4">
        <v>0.0</v>
      </c>
      <c r="AQ169" s="4">
        <v>0.0</v>
      </c>
      <c r="AR169" s="4">
        <v>0.0</v>
      </c>
      <c r="AS169" s="1" t="e">
        <v>#DIV/0!</v>
      </c>
      <c r="AT169" s="4">
        <v>0.0</v>
      </c>
      <c r="AU169" s="1" t="e">
        <v>#DIV/0!</v>
      </c>
      <c r="AV169" s="1" t="e">
        <v>#DIV/0!</v>
      </c>
    </row>
    <row r="170">
      <c r="A170" s="2">
        <v>45533.0</v>
      </c>
      <c r="B170" s="1" t="s">
        <v>1884</v>
      </c>
      <c r="C170" s="1" t="s">
        <v>1885</v>
      </c>
      <c r="D170" s="3" t="s">
        <v>41</v>
      </c>
      <c r="E170" s="3" t="s">
        <v>45</v>
      </c>
      <c r="G170" s="3" t="s">
        <v>53</v>
      </c>
    </row>
    <row r="171">
      <c r="A171" s="2">
        <v>45533.0</v>
      </c>
      <c r="B171" s="1" t="s">
        <v>1884</v>
      </c>
      <c r="C171" s="1" t="s">
        <v>1888</v>
      </c>
      <c r="D171" s="3" t="s">
        <v>45</v>
      </c>
      <c r="E171" s="3" t="s">
        <v>46</v>
      </c>
      <c r="G171" s="3" t="s">
        <v>47</v>
      </c>
    </row>
    <row r="172">
      <c r="A172" s="2">
        <v>45533.0</v>
      </c>
      <c r="B172" s="1" t="s">
        <v>1884</v>
      </c>
      <c r="C172" s="1" t="s">
        <v>48</v>
      </c>
      <c r="D172" s="3" t="s">
        <v>45</v>
      </c>
      <c r="E172" s="3" t="s">
        <v>1887</v>
      </c>
      <c r="G172" s="3" t="s">
        <v>47</v>
      </c>
    </row>
    <row r="173">
      <c r="A173" s="2">
        <v>45533.0</v>
      </c>
      <c r="B173" s="1" t="s">
        <v>1884</v>
      </c>
      <c r="H173" s="1" t="s">
        <v>774</v>
      </c>
      <c r="I173" s="3" t="s">
        <v>63</v>
      </c>
      <c r="J173" s="3" t="s">
        <v>70</v>
      </c>
      <c r="L173" s="3" t="s">
        <v>53</v>
      </c>
    </row>
    <row r="174">
      <c r="A174" s="2">
        <v>45533.0</v>
      </c>
      <c r="B174" s="1" t="s">
        <v>1884</v>
      </c>
      <c r="H174" s="1" t="s">
        <v>174</v>
      </c>
      <c r="I174" s="3" t="s">
        <v>70</v>
      </c>
      <c r="J174" s="3" t="s">
        <v>46</v>
      </c>
      <c r="L174" s="3" t="s">
        <v>53</v>
      </c>
      <c r="M174" s="4">
        <v>5.0</v>
      </c>
      <c r="N174" s="1" t="b">
        <v>1</v>
      </c>
      <c r="O174" s="4">
        <v>200.0</v>
      </c>
    </row>
    <row r="175">
      <c r="A175" s="2">
        <v>45533.0</v>
      </c>
      <c r="B175" s="1" t="s">
        <v>1884</v>
      </c>
      <c r="P175" s="4">
        <v>1.0</v>
      </c>
      <c r="S175" s="4">
        <v>10348.0</v>
      </c>
      <c r="T175" s="4">
        <v>2573.0</v>
      </c>
      <c r="U175" s="4">
        <v>10521.0</v>
      </c>
      <c r="V175" s="4">
        <v>3517.0</v>
      </c>
      <c r="W175" s="4">
        <v>392.0</v>
      </c>
      <c r="X175" s="4">
        <v>3269.0</v>
      </c>
      <c r="Y175" s="4">
        <v>3592.0</v>
      </c>
      <c r="AA175" s="4">
        <v>5832.0</v>
      </c>
      <c r="AB175" s="4">
        <v>36975.0</v>
      </c>
      <c r="AC175" s="4">
        <v>0.0</v>
      </c>
      <c r="AD175" s="4">
        <v>0.2892665442125238</v>
      </c>
      <c r="AI175" s="4">
        <v>200.0</v>
      </c>
      <c r="AJ175" s="4">
        <v>0.0</v>
      </c>
      <c r="AK175" s="4">
        <v>0.0</v>
      </c>
      <c r="AL175" s="4">
        <v>0.0</v>
      </c>
      <c r="AM175" s="1" t="s">
        <v>1938</v>
      </c>
      <c r="AN175" s="4">
        <v>1.0</v>
      </c>
      <c r="AO175" s="4">
        <v>107.0</v>
      </c>
      <c r="AP175" s="4">
        <v>13.0</v>
      </c>
      <c r="AQ175" s="4">
        <v>0.0</v>
      </c>
      <c r="AR175" s="4">
        <v>0.0</v>
      </c>
      <c r="AS175" s="4">
        <v>0.0</v>
      </c>
      <c r="AT175" s="4">
        <v>0.0</v>
      </c>
      <c r="AU175" s="4">
        <v>1.0</v>
      </c>
      <c r="AV175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0.25"/>
    <col customWidth="1" min="2" max="2" width="16.75"/>
    <col customWidth="1" min="3" max="3" width="15.13"/>
    <col customWidth="1" min="11" max="11" width="11.63"/>
    <col customWidth="1" min="12" max="12" width="16.0"/>
  </cols>
  <sheetData>
    <row r="1">
      <c r="A1" s="7"/>
      <c r="B1" s="8" t="s">
        <v>1939</v>
      </c>
      <c r="C1" s="9" t="s">
        <v>0</v>
      </c>
      <c r="D1" s="10">
        <v>46004.0</v>
      </c>
      <c r="E1" s="11"/>
      <c r="F1" s="12" t="s">
        <v>28</v>
      </c>
      <c r="G1" s="13"/>
      <c r="H1" s="14"/>
      <c r="I1" s="12" t="s">
        <v>26</v>
      </c>
      <c r="J1" s="13"/>
      <c r="K1" s="14"/>
      <c r="L1" s="15" t="s">
        <v>1940</v>
      </c>
      <c r="M1" s="16"/>
    </row>
    <row r="2" ht="19.5" customHeight="1">
      <c r="A2" s="7"/>
      <c r="B2" s="17"/>
      <c r="C2" s="17"/>
      <c r="D2" s="18"/>
      <c r="E2" s="19"/>
      <c r="F2" s="20" t="str">
        <f>IFERROR(__xludf.DUMMYFUNCTION("IF(I2&gt;0, 
    100 / (I2 / 112 * 100 / ((SUM(A12:A21, A25:A31) + (M17 + I32) + IFERROR(SUM(FILTER(HR!W5:W48, LEN(HR!A5:A48) &gt; 0)), 0)) / 100)), 
    ""Zadej tržbu"")
"),"Zadej tržbu")</f>
        <v>Zadej tržbu</v>
      </c>
      <c r="H2" s="21"/>
      <c r="I2" s="22">
        <f>SUM(RestiaCSV!C:C) - SUMIFS(RestiaCSV!C:C, RestiaCSV!B:B, "canceled")</f>
        <v>0</v>
      </c>
      <c r="K2" s="21"/>
      <c r="L2" s="23" t="s">
        <v>1941</v>
      </c>
      <c r="M2" s="24">
        <f>SUMIFS(RestiaCSV!C:C, RestiaCSV!A:A, Report!L2, RestiaCSV!B:B, "&lt;&gt;canceled")</f>
        <v>0</v>
      </c>
    </row>
    <row r="3">
      <c r="A3" s="25"/>
      <c r="B3" s="26" t="str">
        <f>CHOOSE(WEEKDAY(D1), "Neděle", "Pondělí", "Úterý", "Středa", "Čtvrtek", "Pátek", "Sobota")</f>
        <v>Sobota</v>
      </c>
      <c r="C3" s="27"/>
      <c r="D3" s="27"/>
      <c r="E3" s="11"/>
      <c r="H3" s="21"/>
      <c r="K3" s="21"/>
      <c r="L3" s="23" t="s">
        <v>1942</v>
      </c>
      <c r="M3" s="24">
        <f>SUMIFS(RestiaCSV!C:C, RestiaCSV!A:A, Report!L3, RestiaCSV!B:B, "&lt;&gt;canceled")</f>
        <v>0</v>
      </c>
    </row>
    <row r="4">
      <c r="A4" s="25"/>
      <c r="B4" s="18"/>
      <c r="C4" s="28"/>
      <c r="D4" s="28"/>
      <c r="E4" s="19"/>
      <c r="F4" s="28"/>
      <c r="G4" s="28"/>
      <c r="H4" s="19"/>
      <c r="I4" s="28"/>
      <c r="J4" s="28"/>
      <c r="K4" s="19"/>
      <c r="L4" s="23" t="s">
        <v>1943</v>
      </c>
      <c r="M4" s="24">
        <f>SUMIFS(RestiaCSV!C:C, RestiaCSV!A:A, "damejidlo", RestiaCSV!G:G, "online", RestiaCSV!B:B, "&lt;&gt;canceled")</f>
        <v>0</v>
      </c>
    </row>
    <row r="5">
      <c r="A5" s="25"/>
      <c r="B5" s="29" t="s">
        <v>1944</v>
      </c>
      <c r="C5" s="27"/>
      <c r="D5" s="27"/>
      <c r="E5" s="27"/>
      <c r="F5" s="27"/>
      <c r="G5" s="27"/>
      <c r="H5" s="27"/>
      <c r="I5" s="27"/>
      <c r="J5" s="27"/>
      <c r="K5" s="11"/>
      <c r="L5" s="30" t="s">
        <v>1945</v>
      </c>
      <c r="M5" s="24">
        <f>SUMIFS(RestiaCSV!C:C, RestiaCSV!A:A, "generic", RestiaCSV!G:G, "online", RestiaCSV!B:B, "&lt;&gt;canceled") </f>
        <v>0</v>
      </c>
    </row>
    <row r="6">
      <c r="A6" s="25"/>
      <c r="B6" s="18"/>
      <c r="C6" s="28"/>
      <c r="D6" s="28"/>
      <c r="E6" s="28"/>
      <c r="F6" s="28"/>
      <c r="G6" s="28"/>
      <c r="H6" s="28"/>
      <c r="I6" s="28"/>
      <c r="J6" s="28"/>
      <c r="K6" s="19"/>
      <c r="L6" s="30" t="s">
        <v>1946</v>
      </c>
      <c r="M6" s="24">
        <f>SUMIFS(RestiaCSV!C:C, RestiaCSV!E:E, "wolt kurýr", RestiaCSV!A:A, "&lt;&gt;wolt", RestiaCSV!G:G, "cash", RestiaCSV!B:B, "&lt;&gt;canceled")</f>
        <v>0</v>
      </c>
    </row>
    <row r="7">
      <c r="A7" s="25"/>
      <c r="B7" s="31" t="s">
        <v>1947</v>
      </c>
      <c r="C7" s="27"/>
      <c r="D7" s="27"/>
      <c r="E7" s="11"/>
      <c r="F7" s="32"/>
      <c r="J7" s="33"/>
      <c r="K7" s="11"/>
      <c r="L7" s="34" t="s">
        <v>1948</v>
      </c>
      <c r="M7" s="35">
        <f>SUMIFS(RestiaCSV!C:C, RestiaCSV!A:A, "damejidlo", RestiaCSV!G:G, "cash", RestiaCSV!B:B, "&lt;&gt;canceled") </f>
        <v>0</v>
      </c>
    </row>
    <row r="8">
      <c r="A8" s="25"/>
      <c r="B8" s="36"/>
      <c r="E8" s="21"/>
      <c r="J8" s="36"/>
      <c r="K8" s="21"/>
      <c r="L8" s="37" t="s">
        <v>25</v>
      </c>
      <c r="M8" s="14"/>
    </row>
    <row r="9">
      <c r="A9" s="25"/>
      <c r="B9" s="18"/>
      <c r="C9" s="28"/>
      <c r="D9" s="28"/>
      <c r="E9" s="19"/>
      <c r="F9" s="28"/>
      <c r="G9" s="28"/>
      <c r="H9" s="28"/>
      <c r="I9" s="28"/>
      <c r="J9" s="18"/>
      <c r="K9" s="19"/>
      <c r="L9" s="23" t="s">
        <v>23</v>
      </c>
      <c r="M9" s="38"/>
    </row>
    <row r="10">
      <c r="A10" s="25"/>
      <c r="B10" s="39" t="s">
        <v>1949</v>
      </c>
      <c r="C10" s="28"/>
      <c r="D10" s="28"/>
      <c r="E10" s="28"/>
      <c r="F10" s="19"/>
      <c r="G10" s="40" t="s">
        <v>15</v>
      </c>
      <c r="H10" s="28"/>
      <c r="I10" s="19"/>
      <c r="J10" s="41" t="s">
        <v>1950</v>
      </c>
      <c r="K10" s="19"/>
      <c r="L10" s="23" t="s">
        <v>24</v>
      </c>
      <c r="M10" s="38"/>
    </row>
    <row r="11">
      <c r="A11" s="25"/>
      <c r="B11" s="42" t="s">
        <v>1951</v>
      </c>
      <c r="C11" s="43" t="s">
        <v>1952</v>
      </c>
      <c r="D11" s="43" t="s">
        <v>1953</v>
      </c>
      <c r="E11" s="43" t="s">
        <v>1954</v>
      </c>
      <c r="F11" s="44" t="s">
        <v>1955</v>
      </c>
      <c r="G11" s="45"/>
      <c r="I11" s="21"/>
      <c r="J11" s="46">
        <f>M2+M3+M4+M5+M6+M13+M14+M15+M16+M17+M9+M10+M11-I2</f>
        <v>0</v>
      </c>
      <c r="K11" s="11"/>
      <c r="L11" s="47" t="s">
        <v>25</v>
      </c>
      <c r="M11" s="48"/>
    </row>
    <row r="12">
      <c r="A12" s="49">
        <f t="array" ref="A12">IF(ISBLANK(B12), 0, IF(ISNUMBER(MATCH(B12, HR!A:A, 0)), 0, IF(ISNUMBER(MATCH(B12, HR!B:B, 0)), INDEX(HR!V:V, MATCH(B12, HR!B:B, 0)) * (F12 * 24), 0)))</f>
        <v>0</v>
      </c>
      <c r="B12" s="50" t="s">
        <v>1885</v>
      </c>
      <c r="C12" s="51" t="s">
        <v>41</v>
      </c>
      <c r="D12" s="51" t="s">
        <v>70</v>
      </c>
      <c r="E12" s="52"/>
      <c r="F12" s="53" t="str">
        <f t="shared" ref="F12:F21" si="1">IF(OR(ISBLANK(B12), ISBLANK(D12), D12=0), "0:00", TEXT((IF(AND(TIMEVALUE(IF(ISBLANK(D12), "00:00", D12))&gt;=TIMEVALUE("00:00"), TIMEVALUE(IF(ISBLANK(D12), "00:00", D12))&lt;=TIMEVALUE("06:00")), TIMEVALUE(IF(ISBLANK(D12), "00:00", D12))+1, TIMEVALUE(IF(ISBLANK(D12), "00:00", D12))) - TIMEVALUE(IF(ISBLANK(C12), "00:00", C12)) - TIMEVALUE(IF(ISBLANK(E12), "00:00", E12))), "hh:mm"))
</f>
        <v>08:00</v>
      </c>
      <c r="I12" s="21"/>
      <c r="J12" s="36"/>
      <c r="K12" s="21"/>
      <c r="L12" s="54" t="s">
        <v>1956</v>
      </c>
      <c r="M12" s="19"/>
    </row>
    <row r="13">
      <c r="A13" s="49">
        <f t="array" ref="A13">IF(ISBLANK(B13), 0, IF(ISNUMBER(MATCH(B13, HR!A:A, 0)), 0, IF(ISNUMBER(MATCH(B13, HR!B:B, 0)), INDEX(HR!V:V, MATCH(B13, HR!B:B, 0)) * (F13 * 24), 0)))</f>
        <v>0</v>
      </c>
      <c r="B13" s="50" t="s">
        <v>1957</v>
      </c>
      <c r="C13" s="51" t="s">
        <v>1917</v>
      </c>
      <c r="D13" s="51" t="s">
        <v>1934</v>
      </c>
      <c r="E13" s="52"/>
      <c r="F13" s="53" t="str">
        <f t="shared" si="1"/>
        <v>09:30</v>
      </c>
      <c r="G13" s="28"/>
      <c r="H13" s="28"/>
      <c r="I13" s="19"/>
      <c r="J13" s="36"/>
      <c r="K13" s="21"/>
      <c r="L13" s="23" t="s">
        <v>29</v>
      </c>
      <c r="M13" s="38"/>
    </row>
    <row r="14">
      <c r="A14" s="49">
        <f t="array" ref="A14">IF(ISBLANK(B14), 0, IF(ISNUMBER(MATCH(B14, HR!A:A, 0)), 0, IF(ISNUMBER(MATCH(B14, HR!B:B, 0)), INDEX(HR!V:V, MATCH(B14, HR!B:B, 0)) * (F14 * 24), 0)))</f>
        <v>0</v>
      </c>
      <c r="B14" s="50"/>
      <c r="C14" s="51"/>
      <c r="D14" s="51"/>
      <c r="E14" s="55"/>
      <c r="F14" s="53" t="str">
        <f t="shared" si="1"/>
        <v>0:00</v>
      </c>
      <c r="G14" s="56"/>
      <c r="I14" s="21"/>
      <c r="J14" s="36"/>
      <c r="K14" s="21"/>
      <c r="L14" s="57" t="s">
        <v>30</v>
      </c>
      <c r="M14" s="38"/>
    </row>
    <row r="15">
      <c r="A15" s="49">
        <f t="array" ref="A15">IF(ISBLANK(B15), 0, IF(ISNUMBER(MATCH(B15, HR!A:A, 0)), 0, IF(ISNUMBER(MATCH(B15, HR!B:B, 0)), INDEX(HR!V:V, MATCH(B15, HR!B:B, 0)) * (F15 * 24), 0)))</f>
        <v>0</v>
      </c>
      <c r="B15" s="50" t="s">
        <v>1896</v>
      </c>
      <c r="C15" s="51" t="s">
        <v>63</v>
      </c>
      <c r="D15" s="51" t="s">
        <v>70</v>
      </c>
      <c r="E15" s="58"/>
      <c r="F15" s="53" t="str">
        <f t="shared" si="1"/>
        <v>07:00</v>
      </c>
      <c r="I15" s="21"/>
      <c r="J15" s="36"/>
      <c r="K15" s="21"/>
      <c r="L15" s="57" t="s">
        <v>31</v>
      </c>
      <c r="M15" s="38"/>
    </row>
    <row r="16">
      <c r="A16" s="49">
        <f t="array" ref="A16">IF(ISBLANK(B16), 0, IF(ISNUMBER(MATCH(B16, HR!A:A, 0)), 0, IF(ISNUMBER(MATCH(B16, HR!B:B, 0)), INDEX(HR!V:V, MATCH(B16, HR!B:B, 0)) * (F16 * 24), 0)))</f>
        <v>0</v>
      </c>
      <c r="B16" s="50"/>
      <c r="C16" s="51"/>
      <c r="D16" s="51"/>
      <c r="E16" s="59"/>
      <c r="F16" s="53" t="str">
        <f t="shared" si="1"/>
        <v>0:00</v>
      </c>
      <c r="I16" s="21"/>
      <c r="J16" s="36"/>
      <c r="K16" s="21"/>
      <c r="L16" s="57" t="s">
        <v>32</v>
      </c>
      <c r="M16" s="38"/>
    </row>
    <row r="17">
      <c r="A17" s="49">
        <f t="array" ref="A17">IF(ISBLANK(B17), 0, IF(ISNUMBER(MATCH(B17, HR!A:A, 0)), 0, IF(ISNUMBER(MATCH(B17, HR!B:B, 0)), INDEX(HR!V:V, MATCH(B17, HR!B:B, 0)) * (F17 * 24), 0)))</f>
        <v>0</v>
      </c>
      <c r="B17" s="50"/>
      <c r="C17" s="51"/>
      <c r="D17" s="51"/>
      <c r="E17" s="52"/>
      <c r="F17" s="53" t="str">
        <f t="shared" si="1"/>
        <v>0:00</v>
      </c>
      <c r="G17" s="28"/>
      <c r="H17" s="28"/>
      <c r="I17" s="19"/>
      <c r="J17" s="18"/>
      <c r="K17" s="19"/>
      <c r="L17" s="60" t="s">
        <v>33</v>
      </c>
      <c r="M17" s="61">
        <f>sum(I25:I31)</f>
        <v>0</v>
      </c>
    </row>
    <row r="18" ht="21.75" customHeight="1">
      <c r="A18" s="49">
        <f t="array" ref="A18">IF(ISBLANK(B18), 0, IF(ISNUMBER(MATCH(B18, HR!A:A, 0)), 0, IF(ISNUMBER(MATCH(B18, HR!B:B, 0)), INDEX(HR!V:V, MATCH(B18, HR!B:B, 0)) * (F18 * 24), 0)))</f>
        <v>0</v>
      </c>
      <c r="B18" s="50"/>
      <c r="C18" s="51"/>
      <c r="D18" s="51"/>
      <c r="E18" s="59"/>
      <c r="F18" s="53" t="str">
        <f t="shared" si="1"/>
        <v>0:00</v>
      </c>
      <c r="G18" s="54" t="s">
        <v>16</v>
      </c>
      <c r="H18" s="28"/>
      <c r="I18" s="19"/>
      <c r="J18" s="62"/>
      <c r="M18" s="63"/>
    </row>
    <row r="19">
      <c r="A19" s="49">
        <f t="array" ref="A19">IF(ISBLANK(B19), 0, IF(ISNUMBER(MATCH(B19, HR!A:A, 0)), 0, IF(ISNUMBER(MATCH(B19, HR!B:B, 0)), INDEX(HR!V:V, MATCH(B19, HR!B:B, 0)) * (F19 * 24), 0)))</f>
        <v>0</v>
      </c>
      <c r="B19" s="50"/>
      <c r="C19" s="51"/>
      <c r="D19" s="51"/>
      <c r="E19" s="59"/>
      <c r="F19" s="53" t="str">
        <f t="shared" si="1"/>
        <v>0:00</v>
      </c>
      <c r="G19" s="45"/>
      <c r="I19" s="21"/>
      <c r="M19" s="63"/>
    </row>
    <row r="20">
      <c r="A20" s="49">
        <f t="array" ref="A20">IF(ISBLANK(B20), 0, IF(ISNUMBER(MATCH(B20, HR!A:A, 0)), 0, IF(ISNUMBER(MATCH(B20, HR!B:B, 0)), INDEX(HR!V:V, MATCH(B20, HR!B:B, 0)) * (F20 * 24), 0)))</f>
        <v>0</v>
      </c>
      <c r="B20" s="50"/>
      <c r="C20" s="64"/>
      <c r="D20" s="65"/>
      <c r="E20" s="59"/>
      <c r="F20" s="53" t="str">
        <f t="shared" si="1"/>
        <v>0:00</v>
      </c>
      <c r="I20" s="21"/>
      <c r="M20" s="63"/>
    </row>
    <row r="21" ht="23.25" customHeight="1">
      <c r="A21" s="49">
        <f t="array" ref="A21">IF(ISBLANK(B21), 0, IF(ISNUMBER(MATCH(B21, HR!A:A, 0)), 0, IF(ISNUMBER(MATCH(B21, HR!B:B, 0)), INDEX(HR!V:V, MATCH(B21, HR!B:B, 0)) * (F21 * 24), 0)))</f>
        <v>0</v>
      </c>
      <c r="B21" s="66"/>
      <c r="C21" s="67"/>
      <c r="D21" s="68"/>
      <c r="E21" s="69"/>
      <c r="F21" s="70" t="str">
        <f t="shared" si="1"/>
        <v>0:00</v>
      </c>
      <c r="G21" s="28"/>
      <c r="H21" s="28"/>
      <c r="I21" s="19"/>
      <c r="M21" s="63"/>
    </row>
    <row r="22">
      <c r="A22" s="71"/>
      <c r="B22" s="72"/>
      <c r="C22" s="28"/>
      <c r="D22" s="28"/>
      <c r="E22" s="28"/>
      <c r="F22" s="28"/>
      <c r="G22" s="28"/>
      <c r="H22" s="28"/>
      <c r="I22" s="19"/>
      <c r="J22" s="73" t="s">
        <v>34</v>
      </c>
      <c r="K22" s="73" t="s">
        <v>35</v>
      </c>
      <c r="L22" s="74" t="s">
        <v>1958</v>
      </c>
      <c r="M22" s="74" t="s">
        <v>37</v>
      </c>
    </row>
    <row r="23">
      <c r="A23" s="71"/>
      <c r="B23" s="75" t="s">
        <v>78</v>
      </c>
      <c r="I23" s="21"/>
      <c r="J23" s="76">
        <f>COUNTIF(RestiaCSV!B:B, "canceled")</f>
        <v>0</v>
      </c>
      <c r="K23" s="77">
        <f>SUMIF(RestiaCSV!B:B, "canceled", RestiaCSV!C:C)</f>
        <v>0</v>
      </c>
      <c r="L23" s="78">
        <f>COUNTIFS(RestiaCSV!L:L, "&gt;5", RestiaCSV!F:F, "delivery")</f>
        <v>0</v>
      </c>
      <c r="M23" s="76" t="str">
        <f>INT(AVERAGEIFS(RestiaCSV!N:N, RestiaCSV!N:N, "&gt;=5", RestiaCSV!N:N, "&lt;=30")) &amp; " min " &amp; TEXT(MOD(AVERAGEIFS(RestiaCSV!N:N, RestiaCSV!N:N, "&gt;=5", RestiaCSV!N:N, "&lt;=30") * 60, 60), "00") &amp; " s"</f>
        <v>#DIV/0!</v>
      </c>
    </row>
    <row r="24" ht="21.75" customHeight="1">
      <c r="A24" s="71"/>
      <c r="B24" s="79" t="s">
        <v>1951</v>
      </c>
      <c r="C24" s="80" t="s">
        <v>1952</v>
      </c>
      <c r="D24" s="80" t="s">
        <v>1953</v>
      </c>
      <c r="E24" s="80" t="s">
        <v>1954</v>
      </c>
      <c r="F24" s="81" t="s">
        <v>1955</v>
      </c>
      <c r="G24" s="81" t="s">
        <v>1959</v>
      </c>
      <c r="H24" s="81" t="s">
        <v>1960</v>
      </c>
      <c r="I24" s="82" t="s">
        <v>13</v>
      </c>
      <c r="J24" s="83" t="s">
        <v>1961</v>
      </c>
      <c r="K24" s="84" t="s">
        <v>1876</v>
      </c>
      <c r="L24" s="83" t="s">
        <v>1877</v>
      </c>
      <c r="M24" s="84" t="s">
        <v>1878</v>
      </c>
    </row>
    <row r="25">
      <c r="A25" s="49">
        <f t="array" ref="A25">IF(ISBLANK(B25), 0, IF(ISNUMBER(MATCH(B25, HR!A:A, 0)), 0, IF(ISNUMBER(MATCH(B25, HR!B:B, 0)), INDEX(HR!V:V, MATCH(B25, HR!B:B, 0)) * (F25 * 24), 0)))</f>
        <v>0</v>
      </c>
      <c r="B25" s="50" t="s">
        <v>1962</v>
      </c>
      <c r="C25" s="67" t="s">
        <v>63</v>
      </c>
      <c r="D25" s="67" t="s">
        <v>1894</v>
      </c>
      <c r="E25" s="67"/>
      <c r="F25" s="53" t="str">
        <f t="shared" ref="F25:F31" si="2">IF(OR(ISBLANK(B25), ISBLANK(D25), D25=0), "0:00", TEXT((IF(AND(TIMEVALUE(IF(ISBLANK(D25), "00:00", D25))&gt;=TIMEVALUE("00:00"), TIMEVALUE(IF(ISBLANK(D25), "00:00", D25))&lt;=TIMEVALUE("06:00")), TIMEVALUE(IF(ISBLANK(D25), "00:00", D25))+1, TIMEVALUE(IF(ISBLANK(D25), "00:00", D25))) - TIMEVALUE(IF(ISBLANK(C25), "00:00", C25)) - TIMEVALUE(IF(ISBLANK(E25), "00:00", E25))), "hh:mm"))
</f>
        <v>16:00</v>
      </c>
      <c r="G25" s="85">
        <f>COUNTIF(RestiaCSV!E:E, B25)</f>
        <v>0</v>
      </c>
      <c r="H25" s="86" t="b">
        <v>0</v>
      </c>
      <c r="I25" s="87">
        <f t="shared" ref="I25:I31" si="3">IF(H25,G25*40, 0)</f>
        <v>0</v>
      </c>
      <c r="J25" s="88"/>
      <c r="K25" s="88"/>
      <c r="L25" s="88"/>
      <c r="M25" s="88"/>
    </row>
    <row r="26">
      <c r="A26" s="49">
        <f t="array" ref="A26">IF(ISBLANK(B26), 0, IF(ISNUMBER(MATCH(B26, HR!A:A, 0)), 0, IF(ISNUMBER(MATCH(B26, HR!B:B, 0)), INDEX(HR!V:V, MATCH(B26, HR!B:B, 0)) * (F26 * 24), 0)))</f>
        <v>0</v>
      </c>
      <c r="B26" s="50"/>
      <c r="C26" s="67"/>
      <c r="D26" s="67"/>
      <c r="E26" s="89"/>
      <c r="F26" s="53" t="str">
        <f t="shared" si="2"/>
        <v>0:00</v>
      </c>
      <c r="G26" s="85">
        <f>COUNTIF(RestiaCSV!E:E, B26)</f>
        <v>0</v>
      </c>
      <c r="H26" s="86" t="b">
        <v>0</v>
      </c>
      <c r="I26" s="90">
        <f t="shared" si="3"/>
        <v>0</v>
      </c>
      <c r="J26" s="91">
        <f>COUNTIF(I25:I31, "&gt;0")</f>
        <v>0</v>
      </c>
      <c r="K26" s="78">
        <f>IFERROR(__xludf.DUMMYFUNCTION("COUNTA(FILTER(RestiaCSV!B2:B32, RestiaCSV!B2:B32 &lt;&gt; ""canceled""))"),0.0)</f>
        <v>0</v>
      </c>
      <c r="L26" s="78">
        <f>COUNTIF(RestiaCSV!F1:F32, "delivery")</f>
        <v>0</v>
      </c>
      <c r="M26" s="92">
        <f>COUNTIFS(RestiaCSV!M:M, "&gt;5",RestiaCSV!A:A, "&lt;&gt;wolt")</f>
        <v>0</v>
      </c>
    </row>
    <row r="27">
      <c r="A27" s="49">
        <f t="array" ref="A27">IF(ISBLANK(B27), 0, IF(ISNUMBER(MATCH(B27, HR!A:A, 0)), 0, IF(ISNUMBER(MATCH(B27, HR!B:B, 0)), INDEX(HR!V:V, MATCH(B27, HR!B:B, 0)) * (F27 * 24), 0)))</f>
        <v>0</v>
      </c>
      <c r="B27" s="50"/>
      <c r="C27" s="67"/>
      <c r="D27" s="67"/>
      <c r="E27" s="89"/>
      <c r="F27" s="53" t="str">
        <f t="shared" si="2"/>
        <v>0:00</v>
      </c>
      <c r="G27" s="85">
        <f>COUNTIF(RestiaCSV!E:E, B27)</f>
        <v>0</v>
      </c>
      <c r="H27" s="86" t="b">
        <v>0</v>
      </c>
      <c r="I27" s="90">
        <f t="shared" si="3"/>
        <v>0</v>
      </c>
      <c r="J27" s="93" t="s">
        <v>1963</v>
      </c>
      <c r="K27" s="94"/>
      <c r="L27" s="83" t="s">
        <v>1880</v>
      </c>
      <c r="M27" s="84" t="s">
        <v>1881</v>
      </c>
    </row>
    <row r="28" ht="21.75" customHeight="1">
      <c r="A28" s="49">
        <f t="array" ref="A28">IF(ISBLANK(B28), 0, IF(ISNUMBER(MATCH(B28, HR!A:A, 0)), 0, IF(ISNUMBER(MATCH(B28, HR!B:B, 0)), INDEX(HR!V:V, MATCH(B28, HR!B:B, 0)) * (F28 * 24), 0)))</f>
        <v>0</v>
      </c>
      <c r="B28" s="50"/>
      <c r="C28" s="67"/>
      <c r="D28" s="67"/>
      <c r="E28" s="89"/>
      <c r="F28" s="53" t="str">
        <f t="shared" si="2"/>
        <v>0:00</v>
      </c>
      <c r="G28" s="85">
        <f>COUNTIF(RestiaCSV!E:E, B28)</f>
        <v>0</v>
      </c>
      <c r="H28" s="86" t="b">
        <v>0</v>
      </c>
      <c r="I28" s="90">
        <f t="shared" si="3"/>
        <v>0</v>
      </c>
      <c r="J28" s="95"/>
      <c r="K28" s="96"/>
      <c r="L28" s="88"/>
      <c r="M28" s="88"/>
    </row>
    <row r="29">
      <c r="A29" s="49">
        <f t="array" ref="A29">IF(ISBLANK(B29), 0, IF(ISNUMBER(MATCH(B29, HR!A:A, 0)), 0, IF(ISNUMBER(MATCH(B29, HR!B:B, 0)), INDEX(HR!V:V, MATCH(B29, HR!B:B, 0)) * (F29 * 24), 0)))</f>
        <v>0</v>
      </c>
      <c r="B29" s="50"/>
      <c r="C29" s="67"/>
      <c r="D29" s="97"/>
      <c r="E29" s="89"/>
      <c r="F29" s="53" t="str">
        <f t="shared" si="2"/>
        <v>0:00</v>
      </c>
      <c r="G29" s="85">
        <f>COUNTIF(RestiaCSV!E:E, B29)</f>
        <v>0</v>
      </c>
      <c r="H29" s="86" t="b">
        <v>0</v>
      </c>
      <c r="I29" s="90">
        <f t="shared" si="3"/>
        <v>0</v>
      </c>
      <c r="J29" s="98">
        <f>COUNTIFS(RestiaCSV!M:M, "&gt;5", RestiaCSV!L:L, "&gt;5")</f>
        <v>0</v>
      </c>
      <c r="K29" s="99"/>
      <c r="L29" s="100" t="str">
        <f>L23/L26</f>
        <v>#DIV/0!</v>
      </c>
      <c r="M29" s="78">
        <f>COUNTIFS(RestiaCSV!L:L, "&gt;5", RestiaCSV!F:F, "delivery", RestiaCSV!E:E, "Wolt Kurýr")</f>
        <v>0</v>
      </c>
    </row>
    <row r="30">
      <c r="A30" s="49">
        <f t="array" ref="A30">IF(ISBLANK(B30), 0, IF(ISNUMBER(MATCH(B30, HR!A:A, 0)), 0, IF(ISNUMBER(MATCH(B30, HR!B:B, 0)), INDEX(HR!V:V, MATCH(B30, HR!B:B, 0)) * (F30 * 24), 0)))</f>
        <v>0</v>
      </c>
      <c r="B30" s="50"/>
      <c r="C30" s="101"/>
      <c r="D30" s="101"/>
      <c r="E30" s="89"/>
      <c r="F30" s="53" t="str">
        <f t="shared" si="2"/>
        <v>0:00</v>
      </c>
      <c r="G30" s="85">
        <f>COUNTIF(RestiaCSV!E:E, B30)</f>
        <v>0</v>
      </c>
      <c r="H30" s="86" t="b">
        <v>0</v>
      </c>
      <c r="I30" s="90">
        <f t="shared" si="3"/>
        <v>0</v>
      </c>
      <c r="J30" s="102"/>
      <c r="K30" s="102"/>
      <c r="L30" s="84" t="s">
        <v>1882</v>
      </c>
      <c r="M30" s="84" t="s">
        <v>1883</v>
      </c>
    </row>
    <row r="31">
      <c r="A31" s="49">
        <f t="array" ref="A31">IF(ISBLANK(B31), 0, IF(ISNUMBER(MATCH(B31, HR!A:A, 0)), 0, IF(ISNUMBER(MATCH(B31, HR!B:B, 0)), INDEX(HR!V:V, MATCH(B31, HR!B:B, 0)) * (F31 * 24), 0)))</f>
        <v>0</v>
      </c>
      <c r="B31" s="103"/>
      <c r="C31" s="89"/>
      <c r="D31" s="89"/>
      <c r="E31" s="89"/>
      <c r="F31" s="53" t="str">
        <f t="shared" si="2"/>
        <v>0:00</v>
      </c>
      <c r="G31" s="85">
        <f>COUNTIF(RestiaCSV!E:E, B31)</f>
        <v>0</v>
      </c>
      <c r="H31" s="86" t="b">
        <v>0</v>
      </c>
      <c r="I31" s="90">
        <f t="shared" si="3"/>
        <v>0</v>
      </c>
      <c r="J31" s="102"/>
      <c r="K31" s="102"/>
      <c r="L31" s="88"/>
      <c r="M31" s="88"/>
    </row>
    <row r="32">
      <c r="A32" s="104"/>
      <c r="B32" s="105" t="s">
        <v>90</v>
      </c>
      <c r="C32" s="106" t="s">
        <v>14</v>
      </c>
      <c r="D32" s="28"/>
      <c r="E32" s="28"/>
      <c r="F32" s="107"/>
      <c r="G32" s="108">
        <f>COUNTIFS(RestiaCSV!E:E, "wolt kurýr", RestiaCSV!A:A, "&lt;&gt;wolt")</f>
        <v>0</v>
      </c>
      <c r="H32" s="109" t="b">
        <v>1</v>
      </c>
      <c r="I32" s="110">
        <f>G32*127</f>
        <v>0</v>
      </c>
      <c r="J32" s="111"/>
      <c r="K32" s="111"/>
      <c r="L32" s="100" t="str">
        <f>100%-L29</f>
        <v>#DIV/0!</v>
      </c>
      <c r="M32" s="100" t="str">
        <f>M29/L26</f>
        <v>#DIV/0!</v>
      </c>
    </row>
  </sheetData>
  <mergeCells count="37">
    <mergeCell ref="B1:B2"/>
    <mergeCell ref="C1:C2"/>
    <mergeCell ref="D1:E2"/>
    <mergeCell ref="F1:H1"/>
    <mergeCell ref="I1:K1"/>
    <mergeCell ref="L1:M1"/>
    <mergeCell ref="I2:K4"/>
    <mergeCell ref="B5:K6"/>
    <mergeCell ref="F2:H4"/>
    <mergeCell ref="B3:E4"/>
    <mergeCell ref="B7:E9"/>
    <mergeCell ref="F7:I9"/>
    <mergeCell ref="J7:K9"/>
    <mergeCell ref="L8:M8"/>
    <mergeCell ref="B10:F10"/>
    <mergeCell ref="G10:I10"/>
    <mergeCell ref="J10:K10"/>
    <mergeCell ref="G11:I13"/>
    <mergeCell ref="J11:K17"/>
    <mergeCell ref="L12:M12"/>
    <mergeCell ref="G14:I17"/>
    <mergeCell ref="J18:M21"/>
    <mergeCell ref="K24:K25"/>
    <mergeCell ref="J27:K28"/>
    <mergeCell ref="L27:L28"/>
    <mergeCell ref="M27:M28"/>
    <mergeCell ref="J29:K29"/>
    <mergeCell ref="L30:L31"/>
    <mergeCell ref="M30:M31"/>
    <mergeCell ref="C32:F32"/>
    <mergeCell ref="G18:I18"/>
    <mergeCell ref="G19:I21"/>
    <mergeCell ref="B22:I22"/>
    <mergeCell ref="B23:I23"/>
    <mergeCell ref="J24:J25"/>
    <mergeCell ref="L24:L25"/>
    <mergeCell ref="M24:M25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1" priority="2" operator="containsText" text="Zadej">
      <formula>NOT(ISERROR(SEARCH(("Zadej"),(F2))))</formula>
    </cfRule>
  </conditionalFormatting>
  <conditionalFormatting sqref="J10:K17">
    <cfRule type="cellIs" dxfId="0" priority="3" operator="lessThan">
      <formula>0</formula>
    </cfRule>
  </conditionalFormatting>
  <dataValidations>
    <dataValidation type="list" allowBlank="1" sqref="G11 G19">
      <formula1>"Kinkorová Petra,Yarushynskyi Vladyslav,Mirga Simon"</formula1>
    </dataValidation>
    <dataValidation type="list" allowBlank="1" sqref="B25 B27:B31">
      <formula1>"Hanibal Filip,Vychivskyi Volodymyr,Reischl Jan,Kalina Filip,Fux Vojtěch ,Pergl Jan,Richterová Monika,Hendrych Rostislav,Hubr Samuel"</formula1>
    </dataValidation>
    <dataValidation type="list" allowBlank="1" sqref="B26">
      <formula1>"Hanibal Filip,Vychivskyi Volodymyr,Reischl Jan,Kalina Filip,Fux Vojtěch ,Pergl Jan,Richterová Monika,Hendrych Rostislav,Hubr Samuel,kokot jiří"</formula1>
    </dataValidation>
    <dataValidation type="list" allowBlank="1" sqref="B12:B21">
      <formula1>"Nedbal Michal,Ahurieva Viktoriia,Šebesta Tomáš,Veselý Ondřej,Coufal Jakub,Pekárková Milena,Kinkorová Petra,Nováková Adéla,Hegedüs Erik,Strauss Daniel,Mirga Simon,Yarushynskyi Vladyslav,Kopic Jakub,Céspedes Miranda Sebastián"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hidden="1" min="1" max="1" width="15.5"/>
    <col customWidth="1" min="2" max="2" width="15.5"/>
    <col customWidth="1" min="3" max="3" width="13.88"/>
    <col customWidth="1" min="5" max="5" width="14.25"/>
    <col customWidth="1" min="6" max="6" width="15.88"/>
    <col customWidth="1" min="9" max="9" width="13.25"/>
    <col customWidth="1" min="11" max="11" width="11.63"/>
    <col customWidth="1" min="12" max="12" width="24.25"/>
  </cols>
  <sheetData>
    <row r="1">
      <c r="A1" s="112"/>
      <c r="B1" s="113" t="str">
        <f>Report!B1</f>
        <v>Malešice</v>
      </c>
      <c r="C1" s="114">
        <v>45992.0</v>
      </c>
      <c r="D1" s="115" t="s">
        <v>1964</v>
      </c>
      <c r="E1" s="116">
        <v>46022.0</v>
      </c>
      <c r="F1" s="117" t="s">
        <v>28</v>
      </c>
      <c r="G1" s="13"/>
      <c r="H1" s="14"/>
      <c r="I1" s="117" t="s">
        <v>26</v>
      </c>
      <c r="J1" s="13"/>
      <c r="K1" s="14"/>
      <c r="L1" s="118" t="s">
        <v>1940</v>
      </c>
      <c r="M1" s="21"/>
      <c r="N1" s="118"/>
    </row>
    <row r="2" ht="19.5" customHeight="1">
      <c r="A2" s="112"/>
      <c r="B2" s="17"/>
      <c r="C2" s="28"/>
      <c r="D2" s="17"/>
      <c r="E2" s="19"/>
      <c r="F2" s="119">
        <v>0.23458273432656362</v>
      </c>
      <c r="H2" s="21"/>
      <c r="I2" s="120">
        <v>53227.0</v>
      </c>
      <c r="K2" s="21"/>
      <c r="L2" s="121" t="s">
        <v>1941</v>
      </c>
      <c r="M2" s="122">
        <v>19883.0</v>
      </c>
      <c r="N2" s="123"/>
    </row>
    <row r="3">
      <c r="A3" s="124"/>
      <c r="B3" s="125" t="str">
        <f>CHOOSE(WEEKDAY(C1), "Neděle", "Pondělí", "Úterý", "Středa", "Čtvrtek", "Pátek", "Sobota")</f>
        <v>Pondělí</v>
      </c>
      <c r="C3" s="27"/>
      <c r="D3" s="125" t="str">
        <f>CHOOSE(WEEKDAY(E1), "Neděle", "Pondělí", "Úterý", "Středa", "Čtvrtek", "Pátek", "Sobota")</f>
        <v>Středa</v>
      </c>
      <c r="E3" s="11"/>
      <c r="H3" s="21"/>
      <c r="K3" s="21"/>
      <c r="L3" s="126" t="s">
        <v>1942</v>
      </c>
      <c r="M3" s="127">
        <v>4753.0</v>
      </c>
      <c r="N3" s="123"/>
    </row>
    <row r="4">
      <c r="A4" s="124"/>
      <c r="B4" s="18"/>
      <c r="C4" s="28"/>
      <c r="D4" s="18"/>
      <c r="E4" s="19"/>
      <c r="F4" s="28"/>
      <c r="G4" s="28"/>
      <c r="H4" s="19"/>
      <c r="I4" s="28"/>
      <c r="J4" s="28"/>
      <c r="K4" s="19"/>
      <c r="L4" s="126" t="s">
        <v>1943</v>
      </c>
      <c r="M4" s="127">
        <v>11402.0</v>
      </c>
      <c r="N4" s="123"/>
    </row>
    <row r="5">
      <c r="A5" s="128"/>
      <c r="B5" s="129" t="s">
        <v>1965</v>
      </c>
      <c r="C5" s="27"/>
      <c r="D5" s="27"/>
      <c r="E5" s="11"/>
      <c r="F5" s="130" t="s">
        <v>1966</v>
      </c>
      <c r="G5" s="27"/>
      <c r="H5" s="27"/>
      <c r="I5" s="27"/>
      <c r="J5" s="27"/>
      <c r="K5" s="11"/>
      <c r="L5" s="131" t="s">
        <v>1945</v>
      </c>
      <c r="M5" s="127">
        <v>8978.0</v>
      </c>
      <c r="N5" s="123"/>
    </row>
    <row r="6">
      <c r="A6" s="128"/>
      <c r="B6" s="18"/>
      <c r="C6" s="28"/>
      <c r="D6" s="28"/>
      <c r="E6" s="19"/>
      <c r="F6" s="28"/>
      <c r="G6" s="28"/>
      <c r="H6" s="28"/>
      <c r="I6" s="28"/>
      <c r="J6" s="28"/>
      <c r="K6" s="19"/>
      <c r="L6" s="131" t="s">
        <v>1946</v>
      </c>
      <c r="M6" s="127">
        <v>680.0</v>
      </c>
      <c r="N6" s="123"/>
    </row>
    <row r="7">
      <c r="A7" s="132"/>
      <c r="B7" s="133">
        <f>TEXT(SUMPRODUCT((IFERROR(LEFT(D10:D30, FIND(":", D10:D30) - 1) * 60, 0) + IFERROR(MID(D10:D30, FIND(":", D10:D30) + 1, LEN(D10:D30) - FIND(":", D10:D30)), 0))), "[h]:mm")/60</f>
        <v>28.5</v>
      </c>
      <c r="C7" s="28"/>
      <c r="D7" s="28"/>
      <c r="E7" s="19"/>
      <c r="F7" s="134">
        <f>TEXT(SUMPRODUCT((IFERROR(LEFT(H10:H30, FIND(":", H10:H30) - 1) * 60, 0) + IFERROR(MID(H10:H30, FIND(":", H10:H30) + 1, LEN(H10:H30) - FIND(":", H10:H30)), 0))), "[h]:mm")/60</f>
        <v>14</v>
      </c>
      <c r="G7" s="13"/>
      <c r="H7" s="13"/>
      <c r="I7" s="13"/>
      <c r="J7" s="135"/>
      <c r="K7" s="135"/>
      <c r="L7" s="136" t="s">
        <v>1948</v>
      </c>
      <c r="M7" s="137">
        <v>2720.0</v>
      </c>
      <c r="N7" s="123"/>
    </row>
    <row r="8">
      <c r="A8" s="138"/>
      <c r="B8" s="139" t="s">
        <v>1949</v>
      </c>
      <c r="C8" s="13"/>
      <c r="D8" s="13"/>
      <c r="E8" s="14"/>
      <c r="F8" s="140" t="s">
        <v>78</v>
      </c>
      <c r="G8" s="13"/>
      <c r="H8" s="13"/>
      <c r="I8" s="14"/>
      <c r="J8" s="141" t="s">
        <v>1950</v>
      </c>
      <c r="K8" s="11"/>
      <c r="L8" s="142" t="s">
        <v>25</v>
      </c>
      <c r="M8" s="14"/>
      <c r="N8" s="118"/>
    </row>
    <row r="9">
      <c r="A9" s="143"/>
      <c r="B9" s="144" t="s">
        <v>1951</v>
      </c>
      <c r="C9" s="145" t="s">
        <v>1967</v>
      </c>
      <c r="D9" s="145" t="s">
        <v>1955</v>
      </c>
      <c r="E9" s="146"/>
      <c r="F9" s="144" t="s">
        <v>1951</v>
      </c>
      <c r="G9" s="145" t="s">
        <v>1967</v>
      </c>
      <c r="H9" s="145" t="s">
        <v>1955</v>
      </c>
      <c r="I9" s="147" t="s">
        <v>1959</v>
      </c>
      <c r="J9" s="148">
        <v>0.0</v>
      </c>
      <c r="K9" s="11"/>
      <c r="L9" s="149" t="s">
        <v>23</v>
      </c>
      <c r="M9" s="127">
        <v>2495.0</v>
      </c>
      <c r="N9" s="123"/>
    </row>
    <row r="10" ht="18.75" customHeight="1">
      <c r="A10" s="150"/>
      <c r="B10" s="151" t="s">
        <v>1957</v>
      </c>
      <c r="C10" s="152">
        <v>1.0</v>
      </c>
      <c r="D10" s="152" t="s">
        <v>1968</v>
      </c>
      <c r="E10" s="153" t="s">
        <v>1969</v>
      </c>
      <c r="F10" s="151" t="s">
        <v>1962</v>
      </c>
      <c r="G10" s="152">
        <v>1.0</v>
      </c>
      <c r="H10" s="152" t="s">
        <v>1970</v>
      </c>
      <c r="I10" s="154">
        <v>16.0</v>
      </c>
      <c r="J10" s="36"/>
      <c r="K10" s="21"/>
      <c r="L10" s="149" t="s">
        <v>24</v>
      </c>
      <c r="M10" s="127">
        <v>0.0</v>
      </c>
      <c r="N10" s="123"/>
    </row>
    <row r="11" ht="18.75" customHeight="1">
      <c r="A11" s="150"/>
      <c r="B11" s="151" t="s">
        <v>1971</v>
      </c>
      <c r="C11" s="152">
        <v>1.0</v>
      </c>
      <c r="D11" s="152" t="s">
        <v>1972</v>
      </c>
      <c r="E11" s="153" t="s">
        <v>49</v>
      </c>
      <c r="F11" s="151"/>
      <c r="G11" s="152"/>
      <c r="H11" s="152"/>
      <c r="I11" s="154"/>
      <c r="J11" s="36"/>
      <c r="K11" s="21"/>
      <c r="L11" s="155" t="s">
        <v>25</v>
      </c>
      <c r="M11" s="156">
        <v>4536.0</v>
      </c>
      <c r="N11" s="123"/>
    </row>
    <row r="12" ht="18.75" customHeight="1">
      <c r="A12" s="150"/>
      <c r="B12" s="151" t="s">
        <v>1885</v>
      </c>
      <c r="C12" s="152">
        <v>1.0</v>
      </c>
      <c r="D12" s="152" t="s">
        <v>1973</v>
      </c>
      <c r="E12" s="153" t="s">
        <v>50</v>
      </c>
      <c r="F12" s="151"/>
      <c r="G12" s="152"/>
      <c r="H12" s="152"/>
      <c r="I12" s="154"/>
      <c r="J12" s="36"/>
      <c r="K12" s="21"/>
      <c r="L12" s="157" t="s">
        <v>1956</v>
      </c>
      <c r="M12" s="19"/>
      <c r="N12" s="118"/>
    </row>
    <row r="13" ht="18.75" customHeight="1">
      <c r="A13" s="150"/>
      <c r="B13" s="151" t="s">
        <v>1896</v>
      </c>
      <c r="C13" s="152">
        <v>1.0</v>
      </c>
      <c r="D13" s="152" t="s">
        <v>1974</v>
      </c>
      <c r="E13" s="153" t="s">
        <v>50</v>
      </c>
      <c r="F13" s="151"/>
      <c r="G13" s="152"/>
      <c r="H13" s="152"/>
      <c r="I13" s="154"/>
      <c r="J13" s="36"/>
      <c r="K13" s="21"/>
      <c r="L13" s="149" t="s">
        <v>29</v>
      </c>
      <c r="M13" s="127">
        <v>500.0</v>
      </c>
      <c r="N13" s="123"/>
    </row>
    <row r="14" ht="18.75" customHeight="1">
      <c r="A14" s="150"/>
      <c r="B14" s="151"/>
      <c r="C14" s="152"/>
      <c r="D14" s="152"/>
      <c r="E14" s="153" t="s">
        <v>1974</v>
      </c>
      <c r="F14" s="151"/>
      <c r="G14" s="152"/>
      <c r="H14" s="152"/>
      <c r="I14" s="154"/>
      <c r="J14" s="36"/>
      <c r="K14" s="21"/>
      <c r="L14" s="158" t="s">
        <v>30</v>
      </c>
      <c r="M14" s="127">
        <v>0.0</v>
      </c>
      <c r="N14" s="123"/>
    </row>
    <row r="15" ht="18.75" customHeight="1">
      <c r="A15" s="150"/>
      <c r="B15" s="151"/>
      <c r="C15" s="152"/>
      <c r="D15" s="152"/>
      <c r="E15" s="153" t="s">
        <v>1974</v>
      </c>
      <c r="F15" s="151"/>
      <c r="G15" s="152"/>
      <c r="H15" s="152"/>
      <c r="I15" s="154"/>
      <c r="J15" s="36"/>
      <c r="K15" s="21"/>
      <c r="L15" s="158" t="s">
        <v>31</v>
      </c>
      <c r="M15" s="127">
        <v>0.0</v>
      </c>
      <c r="N15" s="123"/>
    </row>
    <row r="16" ht="18.75" customHeight="1">
      <c r="A16" s="150"/>
      <c r="B16" s="151"/>
      <c r="C16" s="152"/>
      <c r="D16" s="152"/>
      <c r="E16" s="159"/>
      <c r="F16" s="151"/>
      <c r="G16" s="152"/>
      <c r="H16" s="152"/>
      <c r="I16" s="154"/>
      <c r="J16" s="36"/>
      <c r="K16" s="21"/>
      <c r="L16" s="158" t="s">
        <v>32</v>
      </c>
      <c r="M16" s="127">
        <v>0.0</v>
      </c>
      <c r="N16" s="123"/>
    </row>
    <row r="17" ht="18.75" customHeight="1">
      <c r="A17" s="150"/>
      <c r="B17" s="151"/>
      <c r="C17" s="152"/>
      <c r="D17" s="152"/>
      <c r="E17" s="159"/>
      <c r="F17" s="151"/>
      <c r="G17" s="152"/>
      <c r="H17" s="152"/>
      <c r="I17" s="154"/>
      <c r="J17" s="18"/>
      <c r="K17" s="19"/>
      <c r="L17" s="160" t="s">
        <v>33</v>
      </c>
      <c r="M17" s="161">
        <v>0.0</v>
      </c>
      <c r="N17" s="123"/>
    </row>
    <row r="18" ht="18.75" customHeight="1">
      <c r="A18" s="150"/>
      <c r="B18" s="151"/>
      <c r="C18" s="152"/>
      <c r="D18" s="152"/>
      <c r="E18" s="159"/>
      <c r="F18" s="151"/>
      <c r="G18" s="152"/>
      <c r="H18" s="152"/>
      <c r="I18" s="154"/>
      <c r="J18" s="162"/>
      <c r="K18" s="13"/>
      <c r="L18" s="13"/>
      <c r="M18" s="14"/>
      <c r="N18" s="163"/>
    </row>
    <row r="19" ht="18.75" customHeight="1">
      <c r="A19" s="150"/>
      <c r="B19" s="151"/>
      <c r="C19" s="152"/>
      <c r="D19" s="152"/>
      <c r="E19" s="159"/>
      <c r="F19" s="151"/>
      <c r="G19" s="152"/>
      <c r="H19" s="152"/>
      <c r="I19" s="154"/>
      <c r="J19" s="164" t="s">
        <v>34</v>
      </c>
      <c r="K19" s="165" t="s">
        <v>35</v>
      </c>
      <c r="L19" s="166" t="s">
        <v>1958</v>
      </c>
      <c r="M19" s="167" t="s">
        <v>37</v>
      </c>
    </row>
    <row r="20" ht="18.75" customHeight="1">
      <c r="A20" s="150"/>
      <c r="B20" s="151"/>
      <c r="C20" s="152"/>
      <c r="D20" s="152"/>
      <c r="E20" s="159"/>
      <c r="F20" s="151"/>
      <c r="G20" s="168"/>
      <c r="H20" s="152"/>
      <c r="I20" s="154"/>
      <c r="J20" s="169"/>
      <c r="K20" s="88"/>
      <c r="L20" s="88"/>
      <c r="M20" s="170"/>
    </row>
    <row r="21" ht="18.75" customHeight="1">
      <c r="A21" s="150"/>
      <c r="B21" s="151"/>
      <c r="C21" s="152"/>
      <c r="D21" s="152"/>
      <c r="E21" s="159"/>
      <c r="F21" s="151"/>
      <c r="G21" s="152"/>
      <c r="H21" s="152"/>
      <c r="I21" s="154"/>
      <c r="J21" s="171">
        <v>2.0</v>
      </c>
      <c r="K21" s="172">
        <v>427.0</v>
      </c>
      <c r="L21" s="173">
        <v>4.0</v>
      </c>
      <c r="M21" s="174" t="s">
        <v>1909</v>
      </c>
      <c r="N21" s="163"/>
    </row>
    <row r="22" ht="18.75" customHeight="1">
      <c r="A22" s="150"/>
      <c r="B22" s="151"/>
      <c r="C22" s="152"/>
      <c r="D22" s="152"/>
      <c r="E22" s="159"/>
      <c r="F22" s="151"/>
      <c r="G22" s="152"/>
      <c r="H22" s="152"/>
      <c r="I22" s="154"/>
      <c r="J22" s="175" t="s">
        <v>1961</v>
      </c>
      <c r="K22" s="84" t="s">
        <v>1876</v>
      </c>
      <c r="L22" s="83" t="s">
        <v>1877</v>
      </c>
      <c r="M22" s="176" t="s">
        <v>1878</v>
      </c>
      <c r="N22" s="163"/>
    </row>
    <row r="23" ht="18.75" customHeight="1">
      <c r="A23" s="150"/>
      <c r="B23" s="151"/>
      <c r="C23" s="152"/>
      <c r="D23" s="152"/>
      <c r="E23" s="159"/>
      <c r="F23" s="151"/>
      <c r="G23" s="152"/>
      <c r="H23" s="152"/>
      <c r="I23" s="154"/>
      <c r="J23" s="169"/>
      <c r="K23" s="88"/>
      <c r="L23" s="88"/>
      <c r="M23" s="170"/>
      <c r="N23" s="163"/>
    </row>
    <row r="24" ht="18.75" customHeight="1">
      <c r="A24" s="150"/>
      <c r="B24" s="151"/>
      <c r="C24" s="152"/>
      <c r="D24" s="152"/>
      <c r="E24" s="159"/>
      <c r="F24" s="151"/>
      <c r="G24" s="152"/>
      <c r="H24" s="152"/>
      <c r="I24" s="154"/>
      <c r="J24" s="177">
        <v>0.0</v>
      </c>
      <c r="K24" s="173">
        <v>123.0</v>
      </c>
      <c r="L24" s="173">
        <v>21.0</v>
      </c>
      <c r="M24" s="178">
        <v>3.0</v>
      </c>
      <c r="N24" s="163"/>
    </row>
    <row r="25" ht="18.75" customHeight="1">
      <c r="A25" s="150"/>
      <c r="B25" s="151"/>
      <c r="C25" s="152"/>
      <c r="D25" s="152"/>
      <c r="E25" s="159"/>
      <c r="F25" s="151"/>
      <c r="G25" s="152"/>
      <c r="H25" s="152"/>
      <c r="I25" s="154"/>
      <c r="J25" s="179" t="s">
        <v>1963</v>
      </c>
      <c r="K25" s="94"/>
      <c r="L25" s="180" t="s">
        <v>1880</v>
      </c>
      <c r="M25" s="181" t="s">
        <v>1881</v>
      </c>
      <c r="N25" s="163"/>
    </row>
    <row r="26" ht="18.75" customHeight="1">
      <c r="A26" s="150"/>
      <c r="B26" s="151"/>
      <c r="C26" s="152"/>
      <c r="D26" s="152"/>
      <c r="E26" s="159"/>
      <c r="F26" s="151"/>
      <c r="G26" s="152"/>
      <c r="H26" s="152"/>
      <c r="I26" s="154"/>
      <c r="J26" s="182"/>
      <c r="K26" s="96"/>
      <c r="L26" s="88"/>
      <c r="M26" s="170"/>
      <c r="N26" s="163"/>
    </row>
    <row r="27" ht="18.75" customHeight="1">
      <c r="A27" s="150"/>
      <c r="B27" s="151"/>
      <c r="C27" s="152"/>
      <c r="D27" s="152"/>
      <c r="E27" s="159"/>
      <c r="F27" s="151"/>
      <c r="G27" s="152"/>
      <c r="H27" s="152"/>
      <c r="I27" s="154"/>
      <c r="J27" s="183">
        <v>1.0</v>
      </c>
      <c r="K27" s="99"/>
      <c r="L27" s="184">
        <v>0.19047619047619047</v>
      </c>
      <c r="M27" s="185">
        <v>1.0</v>
      </c>
      <c r="N27" s="163"/>
    </row>
    <row r="28" ht="18.75" customHeight="1">
      <c r="A28" s="150"/>
      <c r="B28" s="151"/>
      <c r="C28" s="152"/>
      <c r="D28" s="152"/>
      <c r="E28" s="159"/>
      <c r="F28" s="151"/>
      <c r="G28" s="152"/>
      <c r="H28" s="152"/>
      <c r="I28" s="154"/>
      <c r="J28" s="186"/>
      <c r="L28" s="187" t="s">
        <v>1882</v>
      </c>
      <c r="M28" s="181" t="s">
        <v>1883</v>
      </c>
      <c r="N28" s="163"/>
    </row>
    <row r="29" ht="18.75" customHeight="1">
      <c r="A29" s="150"/>
      <c r="B29" s="151"/>
      <c r="C29" s="152"/>
      <c r="D29" s="152"/>
      <c r="E29" s="159"/>
      <c r="F29" s="151"/>
      <c r="G29" s="152"/>
      <c r="H29" s="152"/>
      <c r="I29" s="154"/>
      <c r="J29" s="36"/>
      <c r="L29" s="88"/>
      <c r="M29" s="170"/>
      <c r="N29" s="163"/>
    </row>
    <row r="30" ht="18.75" customHeight="1">
      <c r="A30" s="150"/>
      <c r="B30" s="151"/>
      <c r="C30" s="152"/>
      <c r="D30" s="152"/>
      <c r="E30" s="159"/>
      <c r="F30" s="151"/>
      <c r="G30" s="152"/>
      <c r="H30" s="152"/>
      <c r="I30" s="154"/>
      <c r="J30" s="18"/>
      <c r="K30" s="28"/>
      <c r="L30" s="188">
        <v>0.8095238095238095</v>
      </c>
      <c r="M30" s="189">
        <v>0.047619047619047616</v>
      </c>
      <c r="N30" s="163"/>
    </row>
  </sheetData>
  <mergeCells count="37">
    <mergeCell ref="B1:B2"/>
    <mergeCell ref="C1:C2"/>
    <mergeCell ref="D1:D2"/>
    <mergeCell ref="E1:E2"/>
    <mergeCell ref="F1:H1"/>
    <mergeCell ref="I1:K1"/>
    <mergeCell ref="L1:M1"/>
    <mergeCell ref="B7:E7"/>
    <mergeCell ref="B8:E8"/>
    <mergeCell ref="F8:I8"/>
    <mergeCell ref="J8:K8"/>
    <mergeCell ref="L8:M8"/>
    <mergeCell ref="F2:H4"/>
    <mergeCell ref="I2:K4"/>
    <mergeCell ref="B3:C4"/>
    <mergeCell ref="D3:E4"/>
    <mergeCell ref="B5:E6"/>
    <mergeCell ref="F5:K6"/>
    <mergeCell ref="F7:I7"/>
    <mergeCell ref="J9:K17"/>
    <mergeCell ref="L12:M12"/>
    <mergeCell ref="J18:M18"/>
    <mergeCell ref="J19:J20"/>
    <mergeCell ref="K19:K20"/>
    <mergeCell ref="L19:L20"/>
    <mergeCell ref="M19:M20"/>
    <mergeCell ref="J27:K27"/>
    <mergeCell ref="J28:K30"/>
    <mergeCell ref="L28:L29"/>
    <mergeCell ref="M28:M29"/>
    <mergeCell ref="J22:J23"/>
    <mergeCell ref="K22:K23"/>
    <mergeCell ref="L22:L23"/>
    <mergeCell ref="M22:M23"/>
    <mergeCell ref="J25:K26"/>
    <mergeCell ref="L25:L26"/>
    <mergeCell ref="M25:M26"/>
  </mergeCells>
  <conditionalFormatting sqref="F2">
    <cfRule type="cellIs" dxfId="0" priority="1" operator="greaterThan">
      <formula>"30%"</formula>
    </cfRule>
  </conditionalFormatting>
  <conditionalFormatting sqref="F2:H4">
    <cfRule type="containsText" dxfId="2" priority="2" operator="containsText" text="Zadej">
      <formula>NOT(ISERROR(SEARCH(("Zadej"),(F2))))</formula>
    </cfRule>
  </conditionalFormatting>
  <conditionalFormatting sqref="J8:K18">
    <cfRule type="cellIs" dxfId="0" priority="3" operator="less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38"/>
    <col customWidth="1" min="3" max="4" width="16.5"/>
    <col customWidth="1" min="5" max="5" width="15.63"/>
    <col customWidth="1" min="6" max="7" width="16.5"/>
    <col customWidth="1" min="8" max="8" width="16.25"/>
    <col customWidth="1" min="9" max="27" width="18.13"/>
    <col customWidth="1" min="28" max="28" width="1.88"/>
  </cols>
  <sheetData>
    <row r="1">
      <c r="A1" s="190" t="s">
        <v>1975</v>
      </c>
      <c r="B1" s="13"/>
      <c r="C1" s="13"/>
      <c r="D1" s="13"/>
      <c r="E1" s="13"/>
      <c r="F1" s="13"/>
      <c r="G1" s="13"/>
      <c r="H1" s="14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1"/>
      <c r="X1" s="191"/>
      <c r="Y1" s="191"/>
      <c r="Z1" s="191"/>
      <c r="AA1" s="191"/>
      <c r="AB1" s="191"/>
    </row>
    <row r="2">
      <c r="A2" s="1" t="s">
        <v>1976</v>
      </c>
      <c r="B2" s="1" t="s">
        <v>69</v>
      </c>
      <c r="C2" s="1" t="s">
        <v>61</v>
      </c>
      <c r="D2" s="1" t="s">
        <v>73</v>
      </c>
      <c r="E2" s="1" t="s">
        <v>1884</v>
      </c>
      <c r="F2" s="1" t="s">
        <v>39</v>
      </c>
      <c r="G2" s="1" t="s">
        <v>1901</v>
      </c>
      <c r="H2" s="1" t="s">
        <v>67</v>
      </c>
    </row>
    <row r="3">
      <c r="A3" s="1" t="s">
        <v>1885</v>
      </c>
      <c r="B3" s="1" t="s">
        <v>1977</v>
      </c>
      <c r="C3" s="192"/>
      <c r="D3" s="192"/>
      <c r="E3" s="1" t="s">
        <v>1978</v>
      </c>
      <c r="F3" s="1" t="s">
        <v>1979</v>
      </c>
      <c r="G3" s="1" t="s">
        <v>1979</v>
      </c>
      <c r="H3" s="192"/>
    </row>
    <row r="4">
      <c r="A4" s="1" t="s">
        <v>1957</v>
      </c>
      <c r="B4" s="1" t="s">
        <v>1980</v>
      </c>
      <c r="C4" s="192"/>
      <c r="D4" s="1" t="s">
        <v>1978</v>
      </c>
      <c r="E4" s="192"/>
      <c r="F4" s="1" t="s">
        <v>1979</v>
      </c>
      <c r="G4" s="1" t="s">
        <v>1979</v>
      </c>
      <c r="H4" s="1" t="s">
        <v>1981</v>
      </c>
    </row>
    <row r="5">
      <c r="A5" s="1" t="s">
        <v>1982</v>
      </c>
      <c r="B5" s="1" t="s">
        <v>1983</v>
      </c>
      <c r="C5" s="192"/>
      <c r="D5" s="1" t="s">
        <v>1983</v>
      </c>
      <c r="E5" s="192"/>
      <c r="F5" s="192"/>
      <c r="G5" s="192"/>
      <c r="H5" s="1" t="s">
        <v>1983</v>
      </c>
    </row>
    <row r="6">
      <c r="A6" s="1" t="s">
        <v>1984</v>
      </c>
      <c r="B6" s="1" t="s">
        <v>1985</v>
      </c>
      <c r="C6" s="192"/>
      <c r="D6" s="1" t="s">
        <v>1985</v>
      </c>
      <c r="E6" s="192"/>
      <c r="F6" s="1" t="s">
        <v>1983</v>
      </c>
      <c r="G6" s="1" t="s">
        <v>1983</v>
      </c>
      <c r="H6" s="192"/>
    </row>
    <row r="7">
      <c r="A7" s="1" t="s">
        <v>1971</v>
      </c>
      <c r="B7" s="192"/>
      <c r="C7" s="1" t="s">
        <v>1977</v>
      </c>
      <c r="D7" s="1" t="s">
        <v>1980</v>
      </c>
      <c r="E7" s="1" t="s">
        <v>1980</v>
      </c>
      <c r="F7" s="192"/>
      <c r="G7" s="1" t="s">
        <v>1978</v>
      </c>
      <c r="H7" s="1" t="s">
        <v>1978</v>
      </c>
    </row>
    <row r="8">
      <c r="A8" s="1" t="s">
        <v>1986</v>
      </c>
      <c r="C8" s="1" t="s">
        <v>1980</v>
      </c>
      <c r="D8" s="1" t="s">
        <v>1980</v>
      </c>
      <c r="E8" s="1" t="s">
        <v>1980</v>
      </c>
      <c r="F8" s="1" t="s">
        <v>1978</v>
      </c>
      <c r="G8" s="192"/>
      <c r="H8" s="1" t="s">
        <v>1981</v>
      </c>
    </row>
    <row r="9">
      <c r="A9" s="1" t="s">
        <v>1987</v>
      </c>
      <c r="B9" s="192"/>
      <c r="C9" s="1" t="s">
        <v>1983</v>
      </c>
      <c r="D9" s="192"/>
      <c r="E9" s="1" t="s">
        <v>1983</v>
      </c>
      <c r="F9" s="192"/>
      <c r="G9" s="192"/>
      <c r="H9" s="192"/>
    </row>
    <row r="10">
      <c r="A10" s="1" t="s">
        <v>1988</v>
      </c>
      <c r="B10" s="192"/>
      <c r="C10" s="1" t="s">
        <v>1985</v>
      </c>
      <c r="D10" s="192"/>
      <c r="E10" s="192"/>
      <c r="F10" s="192"/>
      <c r="G10" s="192"/>
      <c r="H10" s="1" t="s">
        <v>1989</v>
      </c>
    </row>
    <row r="11">
      <c r="A11" s="1" t="s">
        <v>1896</v>
      </c>
      <c r="D11" s="192"/>
      <c r="E11" s="192"/>
      <c r="F11" s="192"/>
      <c r="G11" s="1" t="s">
        <v>1990</v>
      </c>
      <c r="H11" s="1" t="s">
        <v>1990</v>
      </c>
    </row>
    <row r="12">
      <c r="A12" s="192"/>
      <c r="D12" s="192"/>
      <c r="F12" s="192"/>
      <c r="G12" s="192"/>
      <c r="H12" s="192"/>
    </row>
    <row r="13">
      <c r="A13" s="192"/>
      <c r="F13" s="192"/>
      <c r="G13" s="192"/>
      <c r="H13" s="192"/>
    </row>
    <row r="14">
      <c r="A14" s="192"/>
      <c r="G14" s="192"/>
      <c r="H14" s="192"/>
    </row>
    <row r="15">
      <c r="A15" s="192"/>
      <c r="H15" s="192"/>
    </row>
    <row r="17">
      <c r="A17" s="192"/>
      <c r="C17" s="192"/>
      <c r="D17" s="192"/>
      <c r="E17" s="192"/>
      <c r="F17" s="192"/>
      <c r="G17" s="192"/>
    </row>
    <row r="19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"/>
      <c r="AB19" s="1"/>
    </row>
    <row r="20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O20" s="192"/>
      <c r="P20" s="192"/>
      <c r="Q20" s="192"/>
      <c r="S20" s="192"/>
      <c r="T20" s="192"/>
      <c r="U20" s="192"/>
      <c r="V20" s="192"/>
      <c r="W20" s="192"/>
      <c r="X20" s="192"/>
      <c r="Y20" s="192"/>
      <c r="Z20" s="192"/>
      <c r="AB20" s="1">
        <v>0.0</v>
      </c>
    </row>
    <row r="21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O21" s="192"/>
      <c r="P21" s="192"/>
      <c r="Q21" s="192"/>
      <c r="S21" s="192"/>
      <c r="T21" s="192"/>
      <c r="U21" s="192"/>
      <c r="V21" s="192"/>
      <c r="W21" s="192"/>
      <c r="X21" s="192"/>
      <c r="Y21" s="192"/>
      <c r="Z21" s="192"/>
      <c r="AB21" s="1"/>
    </row>
    <row r="2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T22" s="192"/>
      <c r="U22" s="192"/>
      <c r="V22" s="192"/>
      <c r="W22" s="192"/>
      <c r="X22" s="192"/>
      <c r="Y22" s="192"/>
      <c r="Z22" s="192"/>
      <c r="AB22" s="1"/>
    </row>
    <row r="23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O23" s="192"/>
      <c r="P23" s="192"/>
      <c r="Q23" s="192"/>
      <c r="S23" s="192"/>
      <c r="T23" s="192"/>
      <c r="U23" s="192"/>
      <c r="V23" s="192"/>
      <c r="W23" s="192"/>
      <c r="X23" s="192"/>
      <c r="Y23" s="192"/>
      <c r="Z23" s="192"/>
      <c r="AB23" s="1"/>
    </row>
    <row r="24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O24" s="192"/>
      <c r="P24" s="192"/>
      <c r="Q24" s="192"/>
      <c r="S24" s="192"/>
      <c r="T24" s="192"/>
      <c r="U24" s="192"/>
      <c r="V24" s="192"/>
      <c r="W24" s="192"/>
      <c r="X24" s="192"/>
      <c r="Y24" s="192"/>
      <c r="Z24" s="192"/>
      <c r="AB24" s="1"/>
    </row>
    <row r="25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O25" s="192"/>
      <c r="P25" s="192"/>
      <c r="Q25" s="192"/>
      <c r="S25" s="192"/>
      <c r="T25" s="192"/>
      <c r="U25" s="192"/>
      <c r="V25" s="192"/>
      <c r="W25" s="192"/>
      <c r="X25" s="192"/>
      <c r="Y25" s="192"/>
      <c r="Z25" s="192"/>
      <c r="AB25" s="1"/>
    </row>
    <row r="26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O26" s="192"/>
      <c r="P26" s="192"/>
      <c r="Q26" s="192"/>
      <c r="S26" s="192"/>
      <c r="T26" s="192"/>
      <c r="U26" s="192"/>
      <c r="V26" s="192"/>
      <c r="W26" s="192"/>
      <c r="X26" s="192"/>
      <c r="Y26" s="192"/>
      <c r="Z26" s="192"/>
      <c r="AB26" s="1">
        <v>0.0</v>
      </c>
    </row>
    <row r="27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S27" s="192"/>
      <c r="T27" s="192"/>
      <c r="U27" s="192"/>
      <c r="V27" s="192"/>
      <c r="W27" s="192"/>
      <c r="X27" s="192"/>
      <c r="Y27" s="192"/>
      <c r="Z27" s="192"/>
      <c r="AB27" s="1"/>
    </row>
    <row r="28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O28" s="192"/>
      <c r="P28" s="192"/>
      <c r="Q28" s="192"/>
      <c r="S28" s="192"/>
      <c r="T28" s="192"/>
      <c r="U28" s="192"/>
      <c r="V28" s="192"/>
      <c r="W28" s="192"/>
      <c r="X28" s="192"/>
      <c r="Y28" s="192"/>
      <c r="Z28" s="192"/>
      <c r="AB28" s="1"/>
    </row>
    <row r="29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O29" s="192"/>
      <c r="P29" s="192"/>
      <c r="Q29" s="192"/>
      <c r="S29" s="192"/>
      <c r="T29" s="192"/>
      <c r="U29" s="192"/>
      <c r="V29" s="192"/>
      <c r="W29" s="192"/>
      <c r="X29" s="192"/>
      <c r="Y29" s="192"/>
      <c r="Z29" s="192"/>
      <c r="AB29" s="1">
        <v>0.0</v>
      </c>
    </row>
    <row r="30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"/>
      <c r="AB30" s="1"/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T31" s="192"/>
      <c r="U31" s="192"/>
      <c r="V31" s="192"/>
      <c r="W31" s="192"/>
      <c r="X31" s="192"/>
      <c r="Y31" s="192"/>
      <c r="Z31" s="192"/>
      <c r="AB31" s="1"/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O32" s="192"/>
      <c r="P32" s="192"/>
      <c r="Q32" s="192"/>
      <c r="S32" s="192"/>
      <c r="T32" s="192"/>
      <c r="U32" s="192"/>
      <c r="V32" s="192"/>
      <c r="W32" s="192"/>
      <c r="X32" s="192"/>
      <c r="Y32" s="192"/>
      <c r="Z32" s="192"/>
      <c r="AB32" s="1"/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T33" s="192"/>
      <c r="U33" s="192"/>
      <c r="V33" s="192"/>
      <c r="W33" s="192"/>
      <c r="X33" s="192"/>
      <c r="Y33" s="192"/>
      <c r="Z33" s="192"/>
      <c r="AB33" s="1"/>
    </row>
    <row r="34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"/>
      <c r="AB34" s="1"/>
    </row>
    <row r="35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O35" s="192"/>
      <c r="P35" s="192"/>
      <c r="Q35" s="192"/>
      <c r="S35" s="192"/>
      <c r="T35" s="192"/>
      <c r="U35" s="192"/>
      <c r="V35" s="192"/>
      <c r="W35" s="192"/>
      <c r="X35" s="192"/>
      <c r="Y35" s="192"/>
      <c r="Z35" s="192"/>
      <c r="AB35" s="1"/>
    </row>
    <row r="36">
      <c r="A36" s="192"/>
      <c r="B36" s="192"/>
      <c r="C36" s="192"/>
      <c r="D36" s="192"/>
      <c r="E36" s="192"/>
      <c r="F36" s="192"/>
      <c r="G36" s="192"/>
      <c r="H36" s="192"/>
      <c r="I36" s="192"/>
      <c r="J36" s="192"/>
      <c r="K36" s="192"/>
      <c r="L36" s="192"/>
      <c r="M36" s="192"/>
      <c r="O36" s="192"/>
      <c r="P36" s="192"/>
      <c r="Q36" s="192"/>
      <c r="S36" s="192"/>
      <c r="T36" s="192"/>
      <c r="U36" s="192"/>
      <c r="V36" s="192"/>
      <c r="Y36" s="192"/>
      <c r="Z36" s="192"/>
      <c r="AB36" s="1">
        <v>0.0</v>
      </c>
    </row>
    <row r="37">
      <c r="A37" s="192"/>
      <c r="B37" s="192"/>
      <c r="C37" s="192"/>
      <c r="D37" s="192"/>
      <c r="E37" s="192"/>
      <c r="F37" s="192"/>
      <c r="G37" s="192"/>
      <c r="H37" s="192"/>
      <c r="I37" s="192"/>
      <c r="J37" s="192"/>
      <c r="K37" s="192"/>
      <c r="L37" s="192"/>
      <c r="M37" s="192"/>
      <c r="O37" s="192"/>
      <c r="P37" s="192"/>
      <c r="Q37" s="192"/>
      <c r="S37" s="192"/>
      <c r="T37" s="192"/>
      <c r="U37" s="192"/>
      <c r="V37" s="192"/>
      <c r="W37" s="192"/>
      <c r="X37" s="192"/>
      <c r="Y37" s="192"/>
      <c r="Z37" s="192"/>
      <c r="AB37" s="1"/>
    </row>
    <row r="38">
      <c r="A38" s="192"/>
      <c r="B38" s="192"/>
      <c r="C38" s="192"/>
      <c r="D38" s="192"/>
      <c r="E38" s="192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"/>
      <c r="AB38" s="1"/>
    </row>
    <row r="39">
      <c r="A39" s="192"/>
      <c r="B39" s="192"/>
      <c r="C39" s="192"/>
      <c r="D39" s="192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"/>
      <c r="AB39" s="1"/>
    </row>
    <row r="40">
      <c r="A40" s="192"/>
      <c r="B40" s="192"/>
      <c r="C40" s="192"/>
      <c r="D40" s="192"/>
      <c r="E40" s="192"/>
      <c r="F40" s="192"/>
      <c r="G40" s="192"/>
      <c r="H40" s="192"/>
      <c r="I40" s="192"/>
      <c r="J40" s="192"/>
      <c r="K40" s="192"/>
      <c r="L40" s="192"/>
      <c r="M40" s="192"/>
      <c r="O40" s="192"/>
      <c r="P40" s="192"/>
      <c r="Q40" s="192"/>
      <c r="S40" s="192"/>
      <c r="T40" s="192"/>
      <c r="U40" s="192"/>
      <c r="V40" s="192"/>
      <c r="W40" s="192"/>
      <c r="X40" s="192"/>
      <c r="Y40" s="192"/>
      <c r="Z40" s="192"/>
      <c r="AB40" s="1"/>
    </row>
    <row r="41">
      <c r="A41" s="192"/>
      <c r="B41" s="192"/>
      <c r="C41" s="192"/>
      <c r="D41" s="192"/>
      <c r="E41" s="192"/>
      <c r="F41" s="192"/>
      <c r="G41" s="192"/>
      <c r="H41" s="192"/>
      <c r="I41" s="192"/>
      <c r="J41" s="192"/>
      <c r="K41" s="192"/>
      <c r="L41" s="192"/>
      <c r="M41" s="192"/>
      <c r="O41" s="192"/>
      <c r="P41" s="192"/>
      <c r="Q41" s="192"/>
      <c r="S41" s="192"/>
      <c r="T41" s="192"/>
      <c r="U41" s="192"/>
      <c r="V41" s="192"/>
      <c r="W41" s="192"/>
      <c r="X41" s="192"/>
      <c r="Y41" s="192"/>
      <c r="Z41" s="192"/>
      <c r="AB41" s="1"/>
    </row>
    <row r="42">
      <c r="A42" s="192"/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"/>
      <c r="AB42" s="1"/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192"/>
      <c r="O43" s="192"/>
      <c r="P43" s="192"/>
      <c r="Q43" s="192"/>
      <c r="T43" s="192"/>
      <c r="U43" s="192"/>
      <c r="V43" s="192"/>
      <c r="W43" s="192"/>
      <c r="X43" s="192"/>
      <c r="Y43" s="192"/>
      <c r="Z43" s="192"/>
      <c r="AB43" s="1"/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O44" s="192"/>
      <c r="P44" s="192"/>
      <c r="Q44" s="192"/>
      <c r="S44" s="192"/>
      <c r="T44" s="192"/>
      <c r="U44" s="192"/>
      <c r="V44" s="192"/>
      <c r="W44" s="192"/>
      <c r="X44" s="192"/>
      <c r="Y44" s="192"/>
      <c r="Z44" s="192"/>
      <c r="AB44" s="1"/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O45" s="192"/>
      <c r="P45" s="192"/>
      <c r="Q45" s="192"/>
      <c r="S45" s="192"/>
      <c r="T45" s="192"/>
      <c r="U45" s="192"/>
      <c r="V45" s="192"/>
      <c r="W45" s="192"/>
      <c r="X45" s="192"/>
      <c r="Y45" s="192"/>
      <c r="Z45" s="192"/>
      <c r="AB45" s="1">
        <v>0.0</v>
      </c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92"/>
      <c r="O46" s="192"/>
      <c r="P46" s="192"/>
      <c r="Q46" s="192"/>
      <c r="T46" s="192"/>
      <c r="U46" s="192"/>
      <c r="V46" s="192"/>
      <c r="W46" s="192"/>
      <c r="X46" s="192"/>
      <c r="Y46" s="192"/>
      <c r="Z46" s="192"/>
      <c r="AB46" s="1"/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O47" s="192"/>
      <c r="P47" s="192"/>
      <c r="Q47" s="192"/>
      <c r="S47" s="192"/>
      <c r="T47" s="192"/>
      <c r="U47" s="192"/>
      <c r="V47" s="192"/>
      <c r="W47" s="192"/>
      <c r="X47" s="192"/>
      <c r="Y47" s="192"/>
      <c r="Z47" s="192"/>
      <c r="AB47" s="1">
        <v>0.0</v>
      </c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"/>
      <c r="AB48" s="1"/>
    </row>
    <row r="49">
      <c r="A49" s="192"/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  <c r="O49" s="192"/>
      <c r="P49" s="192"/>
      <c r="Q49" s="192"/>
      <c r="T49" s="192"/>
      <c r="U49" s="192"/>
      <c r="V49" s="192"/>
      <c r="W49" s="192"/>
      <c r="X49" s="192"/>
      <c r="Y49" s="192"/>
      <c r="Z49" s="192"/>
      <c r="AB49" s="1"/>
    </row>
    <row r="50">
      <c r="A50" s="192"/>
      <c r="B50" s="192"/>
      <c r="C50" s="192"/>
      <c r="D50" s="192"/>
      <c r="E50" s="192"/>
      <c r="F50" s="192"/>
      <c r="G50" s="192"/>
      <c r="H50" s="192"/>
      <c r="I50" s="192"/>
      <c r="J50" s="192"/>
      <c r="K50" s="192"/>
      <c r="L50" s="192"/>
      <c r="M50" s="192"/>
      <c r="O50" s="192"/>
      <c r="P50" s="192"/>
      <c r="Q50" s="192"/>
      <c r="S50" s="192"/>
      <c r="T50" s="192"/>
      <c r="U50" s="192"/>
      <c r="V50" s="192"/>
      <c r="W50" s="192"/>
      <c r="X50" s="192"/>
      <c r="Y50" s="192"/>
      <c r="Z50" s="192"/>
      <c r="AB50" s="1">
        <v>0.0</v>
      </c>
    </row>
    <row r="51">
      <c r="A51" s="192"/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O51" s="192"/>
      <c r="P51" s="192"/>
      <c r="Q51" s="192"/>
      <c r="S51" s="192"/>
      <c r="T51" s="192"/>
      <c r="U51" s="192"/>
      <c r="V51" s="192"/>
      <c r="W51" s="192"/>
      <c r="X51" s="192"/>
      <c r="Y51" s="192"/>
      <c r="Z51" s="192"/>
      <c r="AB51" s="1"/>
    </row>
    <row r="52">
      <c r="A52" s="192"/>
      <c r="B52" s="192"/>
      <c r="C52" s="192"/>
      <c r="D52" s="192"/>
      <c r="E52" s="192"/>
      <c r="F52" s="192"/>
      <c r="G52" s="192"/>
      <c r="H52" s="192"/>
      <c r="I52" s="192"/>
      <c r="J52" s="192"/>
      <c r="K52" s="192"/>
      <c r="L52" s="192"/>
      <c r="M52" s="192"/>
      <c r="N52" s="192"/>
      <c r="O52" s="192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"/>
      <c r="AB52" s="1"/>
    </row>
    <row r="53">
      <c r="A53" s="192"/>
      <c r="B53" s="192"/>
      <c r="C53" s="192"/>
      <c r="D53" s="192"/>
      <c r="E53" s="192"/>
      <c r="F53" s="192"/>
      <c r="G53" s="192"/>
      <c r="H53" s="192"/>
      <c r="I53" s="192"/>
      <c r="J53" s="192"/>
      <c r="K53" s="192"/>
      <c r="L53" s="192"/>
      <c r="M53" s="192"/>
      <c r="O53" s="192"/>
      <c r="P53" s="192"/>
      <c r="Q53" s="192"/>
      <c r="S53" s="192"/>
      <c r="T53" s="192"/>
      <c r="U53" s="192"/>
      <c r="V53" s="192"/>
      <c r="W53" s="192"/>
      <c r="X53" s="192"/>
      <c r="Y53" s="192"/>
      <c r="Z53" s="192"/>
      <c r="AB53" s="1">
        <v>0.0</v>
      </c>
    </row>
    <row r="54">
      <c r="A54" s="192"/>
      <c r="B54" s="192"/>
      <c r="C54" s="192"/>
      <c r="D54" s="192"/>
      <c r="E54" s="192"/>
      <c r="F54" s="192"/>
      <c r="G54" s="192"/>
      <c r="H54" s="192"/>
      <c r="I54" s="192"/>
      <c r="J54" s="192"/>
      <c r="K54" s="192"/>
      <c r="L54" s="192"/>
      <c r="M54" s="192"/>
      <c r="O54" s="192"/>
      <c r="P54" s="192"/>
      <c r="Q54" s="192"/>
      <c r="S54" s="192"/>
      <c r="T54" s="192"/>
      <c r="U54" s="192"/>
      <c r="V54" s="192"/>
      <c r="W54" s="192"/>
      <c r="X54" s="192"/>
      <c r="Y54" s="192"/>
      <c r="Z54" s="192"/>
      <c r="AB54" s="1">
        <v>0.0</v>
      </c>
    </row>
    <row r="55">
      <c r="A55" s="192"/>
      <c r="B55" s="192"/>
      <c r="C55" s="192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T55" s="192"/>
      <c r="U55" s="192"/>
      <c r="V55" s="192"/>
      <c r="W55" s="192"/>
      <c r="X55" s="192"/>
      <c r="Y55" s="192"/>
      <c r="Z55" s="192"/>
      <c r="AB55" s="1"/>
    </row>
    <row r="56">
      <c r="A56" s="192"/>
      <c r="B56" s="192"/>
      <c r="C56" s="192"/>
      <c r="D56" s="192"/>
      <c r="E56" s="192"/>
      <c r="F56" s="192"/>
      <c r="G56" s="192"/>
      <c r="H56" s="192"/>
      <c r="I56" s="192"/>
      <c r="J56" s="192"/>
      <c r="K56" s="192"/>
      <c r="L56" s="192"/>
      <c r="M56" s="192"/>
      <c r="N56" s="192"/>
      <c r="O56" s="192"/>
      <c r="P56" s="192"/>
      <c r="Q56" s="192"/>
      <c r="T56" s="192"/>
      <c r="U56" s="192"/>
      <c r="V56" s="192"/>
      <c r="W56" s="192"/>
      <c r="X56" s="192"/>
      <c r="Y56" s="192"/>
      <c r="Z56" s="192"/>
      <c r="AB56" s="1"/>
    </row>
    <row r="57">
      <c r="A57" s="192"/>
      <c r="B57" s="192"/>
      <c r="C57" s="192"/>
      <c r="D57" s="192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T57" s="192"/>
      <c r="U57" s="192"/>
      <c r="V57" s="192"/>
      <c r="W57" s="192"/>
      <c r="X57" s="192"/>
      <c r="Y57" s="192"/>
      <c r="Z57" s="192"/>
      <c r="AB57" s="1"/>
    </row>
    <row r="58">
      <c r="A58" s="192"/>
      <c r="B58" s="192"/>
      <c r="C58" s="192"/>
      <c r="D58" s="192"/>
      <c r="E58" s="192"/>
      <c r="F58" s="192"/>
      <c r="G58" s="192"/>
      <c r="H58" s="192"/>
      <c r="I58" s="192"/>
      <c r="J58" s="192"/>
      <c r="K58" s="192"/>
      <c r="L58" s="192"/>
      <c r="M58" s="192"/>
      <c r="O58" s="192"/>
      <c r="P58" s="192"/>
      <c r="Q58" s="192"/>
      <c r="S58" s="192"/>
      <c r="T58" s="192"/>
      <c r="U58" s="192"/>
      <c r="V58" s="192"/>
      <c r="W58" s="192"/>
      <c r="X58" s="192"/>
      <c r="Y58" s="192"/>
      <c r="Z58" s="192"/>
      <c r="AB58" s="1"/>
    </row>
    <row r="59">
      <c r="A59" s="192"/>
      <c r="B59" s="192"/>
      <c r="C59" s="192"/>
      <c r="D59" s="192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"/>
      <c r="AB59" s="1"/>
    </row>
    <row r="60">
      <c r="A60" s="192"/>
      <c r="B60" s="192"/>
      <c r="C60" s="192"/>
      <c r="D60" s="192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  <c r="T60" s="192"/>
      <c r="U60" s="192"/>
      <c r="V60" s="192"/>
      <c r="W60" s="192"/>
      <c r="X60" s="192"/>
      <c r="Y60" s="192"/>
      <c r="Z60" s="192"/>
      <c r="AB60" s="1"/>
    </row>
    <row r="61">
      <c r="A61" s="192"/>
      <c r="B61" s="192"/>
      <c r="C61" s="192"/>
      <c r="D61" s="192"/>
      <c r="E61" s="192"/>
      <c r="F61" s="192"/>
      <c r="G61" s="192"/>
      <c r="H61" s="192"/>
      <c r="I61" s="192"/>
      <c r="J61" s="192"/>
      <c r="K61" s="192"/>
      <c r="L61" s="192"/>
      <c r="M61" s="192"/>
      <c r="O61" s="192"/>
      <c r="P61" s="192"/>
      <c r="Q61" s="192"/>
      <c r="S61" s="192"/>
      <c r="T61" s="192"/>
      <c r="U61" s="192"/>
      <c r="V61" s="192"/>
      <c r="W61" s="192"/>
      <c r="X61" s="192"/>
      <c r="Y61" s="192"/>
      <c r="Z61" s="192"/>
      <c r="AB61" s="1"/>
    </row>
    <row r="62">
      <c r="A62" s="192"/>
      <c r="B62" s="192"/>
      <c r="C62" s="192"/>
      <c r="D62" s="192"/>
      <c r="E62" s="192"/>
      <c r="F62" s="192"/>
      <c r="G62" s="192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T62" s="192"/>
      <c r="U62" s="192"/>
      <c r="V62" s="192"/>
      <c r="W62" s="192"/>
      <c r="X62" s="192"/>
      <c r="Y62" s="192"/>
      <c r="Z62" s="192"/>
      <c r="AB62" s="1"/>
    </row>
    <row r="63">
      <c r="A63" s="192"/>
      <c r="B63" s="192"/>
      <c r="C63" s="192"/>
      <c r="D63" s="192"/>
      <c r="E63" s="192"/>
      <c r="F63" s="192"/>
      <c r="G63" s="192"/>
      <c r="H63" s="192"/>
      <c r="I63" s="192"/>
      <c r="J63" s="192"/>
      <c r="K63" s="192"/>
      <c r="L63" s="192"/>
      <c r="M63" s="192"/>
      <c r="N63" s="192"/>
      <c r="O63" s="192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"/>
      <c r="AB63" s="1"/>
    </row>
    <row r="64">
      <c r="A64" s="192"/>
      <c r="B64" s="192"/>
      <c r="C64" s="192"/>
      <c r="D64" s="192"/>
      <c r="E64" s="192"/>
      <c r="F64" s="192"/>
      <c r="G64" s="192"/>
      <c r="H64" s="192"/>
      <c r="I64" s="192"/>
      <c r="J64" s="192"/>
      <c r="K64" s="192"/>
      <c r="L64" s="192"/>
      <c r="M64" s="192"/>
      <c r="O64" s="192"/>
      <c r="P64" s="192"/>
      <c r="Q64" s="192"/>
      <c r="S64" s="192"/>
      <c r="T64" s="192"/>
      <c r="U64" s="192"/>
      <c r="V64" s="192"/>
      <c r="W64" s="192"/>
      <c r="X64" s="192"/>
      <c r="Y64" s="192"/>
      <c r="Z64" s="192"/>
      <c r="AB64" s="1"/>
    </row>
    <row r="65">
      <c r="A65" s="192"/>
      <c r="B65" s="192"/>
      <c r="C65" s="192"/>
      <c r="D65" s="192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  <c r="T65" s="192"/>
      <c r="U65" s="192"/>
      <c r="V65" s="192"/>
      <c r="W65" s="192"/>
      <c r="X65" s="192"/>
      <c r="Y65" s="192"/>
      <c r="Z65" s="192"/>
      <c r="AB65" s="1"/>
    </row>
    <row r="66">
      <c r="A66" s="192"/>
      <c r="B66" s="192"/>
      <c r="C66" s="192"/>
      <c r="D66" s="192"/>
      <c r="E66" s="192"/>
      <c r="F66" s="192"/>
      <c r="G66" s="192"/>
      <c r="H66" s="192"/>
      <c r="I66" s="192"/>
      <c r="J66" s="192"/>
      <c r="K66" s="192"/>
      <c r="L66" s="192"/>
      <c r="M66" s="192"/>
      <c r="N66" s="192"/>
      <c r="O66" s="192"/>
      <c r="P66" s="192"/>
      <c r="Q66" s="192"/>
      <c r="T66" s="192"/>
      <c r="U66" s="192"/>
      <c r="V66" s="192"/>
      <c r="W66" s="192"/>
      <c r="X66" s="192"/>
      <c r="Y66" s="192"/>
      <c r="Z66" s="192"/>
      <c r="AB66" s="1"/>
    </row>
    <row r="67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O67" s="192"/>
      <c r="P67" s="192"/>
      <c r="Q67" s="192"/>
      <c r="S67" s="192"/>
      <c r="T67" s="192"/>
      <c r="U67" s="192"/>
      <c r="V67" s="192"/>
      <c r="W67" s="192"/>
      <c r="X67" s="192"/>
      <c r="Y67" s="192"/>
      <c r="Z67" s="192"/>
      <c r="AB67" s="1"/>
    </row>
    <row r="68">
      <c r="A68" s="192"/>
      <c r="B68" s="192"/>
      <c r="C68" s="192"/>
      <c r="D68" s="192"/>
      <c r="E68" s="192"/>
      <c r="F68" s="192"/>
      <c r="G68" s="192"/>
      <c r="H68" s="192"/>
      <c r="I68" s="192"/>
      <c r="J68" s="192"/>
      <c r="K68" s="192"/>
      <c r="L68" s="192"/>
      <c r="M68" s="192"/>
      <c r="O68" s="192"/>
      <c r="P68" s="192"/>
      <c r="Q68" s="192"/>
      <c r="S68" s="192"/>
      <c r="T68" s="192"/>
      <c r="U68" s="192"/>
      <c r="V68" s="192"/>
      <c r="W68" s="192"/>
      <c r="X68" s="192"/>
      <c r="Y68" s="192"/>
      <c r="Z68" s="192"/>
      <c r="AB68" s="1"/>
    </row>
    <row r="69">
      <c r="A69" s="192"/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  <c r="O69" s="192"/>
      <c r="P69" s="192"/>
      <c r="Q69" s="192"/>
      <c r="S69" s="192"/>
      <c r="T69" s="192"/>
      <c r="U69" s="192"/>
      <c r="V69" s="192"/>
      <c r="W69" s="192"/>
      <c r="X69" s="192"/>
      <c r="Y69" s="192"/>
      <c r="Z69" s="192"/>
      <c r="AB69" s="1"/>
    </row>
    <row r="70">
      <c r="A70" s="192"/>
      <c r="B70" s="192"/>
      <c r="C70" s="192"/>
      <c r="D70" s="192"/>
      <c r="E70" s="192"/>
      <c r="F70" s="192"/>
      <c r="G70" s="192"/>
      <c r="H70" s="192"/>
      <c r="I70" s="192"/>
      <c r="J70" s="192"/>
      <c r="K70" s="192"/>
      <c r="L70" s="192"/>
      <c r="M70" s="192"/>
      <c r="N70" s="192"/>
      <c r="O70" s="192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"/>
      <c r="AB70" s="1"/>
    </row>
    <row r="71">
      <c r="A71" s="192"/>
      <c r="B71" s="192"/>
      <c r="C71" s="192"/>
      <c r="D71" s="192"/>
      <c r="E71" s="192"/>
      <c r="F71" s="192"/>
      <c r="G71" s="192"/>
      <c r="H71" s="192"/>
      <c r="I71" s="192"/>
      <c r="J71" s="192"/>
      <c r="K71" s="192"/>
      <c r="L71" s="192"/>
      <c r="M71" s="192"/>
      <c r="O71" s="192"/>
      <c r="P71" s="192"/>
      <c r="Q71" s="192"/>
      <c r="S71" s="192"/>
      <c r="T71" s="192"/>
      <c r="U71" s="192"/>
      <c r="V71" s="192"/>
      <c r="W71" s="192"/>
      <c r="X71" s="192"/>
      <c r="Y71" s="192"/>
      <c r="Z71" s="192"/>
      <c r="AB71" s="1"/>
    </row>
    <row r="72">
      <c r="A72" s="192"/>
      <c r="B72" s="192"/>
      <c r="C72" s="192"/>
      <c r="D72" s="192"/>
      <c r="E72" s="192"/>
      <c r="F72" s="192"/>
      <c r="G72" s="192"/>
      <c r="H72" s="192"/>
      <c r="I72" s="192"/>
      <c r="J72" s="192"/>
      <c r="K72" s="192"/>
      <c r="L72" s="192"/>
      <c r="M72" s="192"/>
      <c r="O72" s="192"/>
      <c r="P72" s="192"/>
      <c r="Q72" s="192"/>
      <c r="S72" s="192"/>
      <c r="T72" s="192"/>
      <c r="U72" s="192"/>
      <c r="V72" s="192"/>
      <c r="W72" s="192"/>
      <c r="X72" s="192"/>
      <c r="Y72" s="192"/>
      <c r="Z72" s="192"/>
      <c r="AB72" s="1"/>
    </row>
    <row r="73">
      <c r="A73" s="192"/>
      <c r="B73" s="192"/>
      <c r="C73" s="192"/>
      <c r="D73" s="192"/>
      <c r="E73" s="192"/>
      <c r="F73" s="192"/>
      <c r="G73" s="192"/>
      <c r="H73" s="192"/>
      <c r="I73" s="192"/>
      <c r="J73" s="192"/>
      <c r="K73" s="192"/>
      <c r="L73" s="192"/>
      <c r="M73" s="192"/>
      <c r="O73" s="192"/>
      <c r="P73" s="192"/>
      <c r="Q73" s="192"/>
      <c r="S73" s="192"/>
      <c r="T73" s="192"/>
      <c r="U73" s="192"/>
      <c r="V73" s="192"/>
      <c r="W73" s="192"/>
      <c r="X73" s="192"/>
      <c r="Y73" s="192"/>
      <c r="Z73" s="192"/>
      <c r="AB73" s="1"/>
    </row>
    <row r="74">
      <c r="A74" s="192"/>
      <c r="B74" s="192"/>
      <c r="C74" s="192"/>
      <c r="D74" s="192"/>
      <c r="E74" s="192"/>
      <c r="F74" s="192"/>
      <c r="G74" s="192"/>
      <c r="H74" s="192"/>
      <c r="I74" s="192"/>
      <c r="J74" s="192"/>
      <c r="K74" s="192"/>
      <c r="L74" s="192"/>
      <c r="M74" s="192"/>
      <c r="O74" s="192"/>
      <c r="P74" s="192"/>
      <c r="Q74" s="192"/>
      <c r="S74" s="192"/>
      <c r="T74" s="192"/>
      <c r="U74" s="192"/>
      <c r="V74" s="192"/>
      <c r="W74" s="192"/>
      <c r="X74" s="192"/>
      <c r="Y74" s="192"/>
      <c r="Z74" s="192"/>
      <c r="AB74" s="1"/>
    </row>
    <row r="75">
      <c r="A75" s="192"/>
      <c r="B75" s="192"/>
      <c r="C75" s="192"/>
      <c r="D75" s="192"/>
      <c r="E75" s="192"/>
      <c r="F75" s="192"/>
      <c r="G75" s="192"/>
      <c r="H75" s="192"/>
      <c r="I75" s="192"/>
      <c r="J75" s="192"/>
      <c r="K75" s="192"/>
      <c r="L75" s="192"/>
      <c r="M75" s="192"/>
      <c r="N75" s="192"/>
      <c r="O75" s="192"/>
      <c r="P75" s="192"/>
      <c r="Q75" s="192"/>
      <c r="T75" s="192"/>
      <c r="U75" s="192"/>
      <c r="V75" s="192"/>
      <c r="W75" s="192"/>
      <c r="X75" s="192"/>
      <c r="Y75" s="192"/>
      <c r="Z75" s="192"/>
      <c r="AB75" s="1"/>
    </row>
    <row r="76">
      <c r="A76" s="192"/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  <c r="O76" s="192"/>
      <c r="P76" s="192"/>
      <c r="Q76" s="192"/>
      <c r="S76" s="192"/>
      <c r="T76" s="192"/>
      <c r="U76" s="192"/>
      <c r="V76" s="192"/>
      <c r="W76" s="192"/>
      <c r="X76" s="192"/>
      <c r="Y76" s="192"/>
      <c r="Z76" s="192"/>
      <c r="AB76" s="1">
        <v>0.0</v>
      </c>
    </row>
    <row r="77">
      <c r="A77" s="192"/>
      <c r="B77" s="192"/>
      <c r="C77" s="192"/>
      <c r="D77" s="192"/>
      <c r="E77" s="192"/>
      <c r="F77" s="192"/>
      <c r="G77" s="192"/>
      <c r="H77" s="192"/>
      <c r="I77" s="192"/>
      <c r="J77" s="192"/>
      <c r="K77" s="192"/>
      <c r="L77" s="192"/>
      <c r="M77" s="192"/>
      <c r="N77" s="192"/>
      <c r="O77" s="192"/>
      <c r="P77" s="192"/>
      <c r="Q77" s="192"/>
      <c r="T77" s="192"/>
      <c r="U77" s="192"/>
      <c r="V77" s="192"/>
      <c r="W77" s="192"/>
      <c r="X77" s="192"/>
      <c r="Y77" s="192"/>
      <c r="Z77" s="192"/>
      <c r="AB77" s="1"/>
    </row>
    <row r="78">
      <c r="A78" s="192"/>
      <c r="B78" s="192"/>
      <c r="C78" s="192"/>
      <c r="D78" s="192"/>
      <c r="E78" s="192"/>
      <c r="F78" s="192"/>
      <c r="G78" s="192"/>
      <c r="H78" s="192"/>
      <c r="I78" s="192"/>
      <c r="J78" s="192"/>
      <c r="K78" s="192"/>
      <c r="L78" s="192"/>
      <c r="M78" s="192"/>
      <c r="O78" s="192"/>
      <c r="P78" s="192"/>
      <c r="Q78" s="192"/>
      <c r="S78" s="192"/>
      <c r="T78" s="192"/>
      <c r="U78" s="192"/>
      <c r="V78" s="192"/>
      <c r="W78" s="192"/>
      <c r="X78" s="192"/>
      <c r="Y78" s="192"/>
      <c r="Z78" s="192"/>
      <c r="AB78" s="1">
        <v>0.0</v>
      </c>
    </row>
    <row r="79">
      <c r="A79" s="192"/>
      <c r="B79" s="192"/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T79" s="192"/>
      <c r="U79" s="192"/>
      <c r="V79" s="192"/>
      <c r="W79" s="192"/>
      <c r="X79" s="192"/>
      <c r="Y79" s="192"/>
      <c r="Z79" s="192"/>
      <c r="AB79" s="1"/>
    </row>
    <row r="80">
      <c r="A80" s="192"/>
      <c r="B80" s="192"/>
      <c r="C80" s="192"/>
      <c r="D80" s="192"/>
      <c r="E80" s="192"/>
      <c r="F80" s="192"/>
      <c r="G80" s="192"/>
      <c r="H80" s="192"/>
      <c r="I80" s="192"/>
      <c r="J80" s="192"/>
      <c r="K80" s="192"/>
      <c r="L80" s="192"/>
      <c r="M80" s="192"/>
      <c r="O80" s="192"/>
      <c r="P80" s="192"/>
      <c r="Q80" s="192"/>
      <c r="S80" s="192"/>
      <c r="T80" s="192"/>
      <c r="U80" s="192"/>
      <c r="V80" s="192"/>
      <c r="W80" s="192"/>
      <c r="X80" s="192"/>
      <c r="Y80" s="192"/>
      <c r="Z80" s="192"/>
      <c r="AB80" s="1">
        <v>0.0</v>
      </c>
    </row>
    <row r="81">
      <c r="A81" s="192"/>
      <c r="B81" s="192"/>
      <c r="C81" s="192"/>
      <c r="D81" s="192"/>
      <c r="E81" s="192"/>
      <c r="F81" s="192"/>
      <c r="G81" s="192"/>
      <c r="H81" s="192"/>
      <c r="I81" s="192"/>
      <c r="J81" s="192"/>
      <c r="K81" s="192"/>
      <c r="L81" s="192"/>
      <c r="M81" s="192"/>
      <c r="O81" s="192"/>
      <c r="P81" s="192"/>
      <c r="Q81" s="192"/>
      <c r="S81" s="192"/>
      <c r="T81" s="192"/>
      <c r="U81" s="192"/>
      <c r="V81" s="192"/>
      <c r="W81" s="192"/>
      <c r="X81" s="192"/>
      <c r="Y81" s="192"/>
      <c r="Z81" s="192"/>
      <c r="AB81" s="1"/>
    </row>
    <row r="82">
      <c r="A82" s="192"/>
      <c r="B82" s="192"/>
      <c r="C82" s="192"/>
      <c r="D82" s="192"/>
      <c r="E82" s="192"/>
      <c r="F82" s="192"/>
      <c r="G82" s="192"/>
      <c r="H82" s="192"/>
      <c r="I82" s="192"/>
      <c r="J82" s="192"/>
      <c r="K82" s="192"/>
      <c r="L82" s="192"/>
      <c r="M82" s="192"/>
      <c r="N82" s="192"/>
      <c r="O82" s="192"/>
      <c r="P82" s="192"/>
      <c r="Q82" s="192"/>
      <c r="T82" s="192"/>
      <c r="U82" s="192"/>
      <c r="V82" s="192"/>
      <c r="W82" s="192"/>
      <c r="X82" s="192"/>
      <c r="Y82" s="192"/>
      <c r="Z82" s="192"/>
      <c r="AB82" s="1"/>
    </row>
    <row r="83">
      <c r="A83" s="192"/>
      <c r="B83" s="192"/>
      <c r="C83" s="192"/>
      <c r="D83" s="192"/>
      <c r="E83" s="192"/>
      <c r="F83" s="192"/>
      <c r="G83" s="192"/>
      <c r="H83" s="192"/>
      <c r="I83" s="192"/>
      <c r="J83" s="192"/>
      <c r="K83" s="192"/>
      <c r="L83" s="192"/>
      <c r="M83" s="192"/>
      <c r="O83" s="192"/>
      <c r="P83" s="192"/>
      <c r="Q83" s="192"/>
      <c r="S83" s="192"/>
      <c r="T83" s="192"/>
      <c r="U83" s="192"/>
      <c r="V83" s="192"/>
      <c r="W83" s="192"/>
      <c r="X83" s="192"/>
      <c r="Y83" s="192"/>
      <c r="Z83" s="192"/>
      <c r="AB83" s="1">
        <v>0.0</v>
      </c>
    </row>
    <row r="84">
      <c r="A84" s="192"/>
      <c r="B84" s="192"/>
      <c r="C84" s="192"/>
      <c r="D84" s="192"/>
      <c r="E84" s="192"/>
      <c r="F84" s="192"/>
      <c r="G84" s="192"/>
      <c r="H84" s="192"/>
      <c r="I84" s="192"/>
      <c r="J84" s="192"/>
      <c r="K84" s="192"/>
      <c r="L84" s="192"/>
      <c r="M84" s="192"/>
      <c r="O84" s="192"/>
      <c r="P84" s="192"/>
      <c r="Q84" s="192"/>
      <c r="S84" s="192"/>
      <c r="T84" s="192"/>
      <c r="U84" s="192"/>
      <c r="V84" s="192"/>
      <c r="W84" s="192"/>
      <c r="X84" s="192"/>
      <c r="Y84" s="192"/>
      <c r="Z84" s="192"/>
      <c r="AB84" s="1"/>
    </row>
    <row r="85">
      <c r="A85" s="192"/>
      <c r="B85" s="192"/>
      <c r="C85" s="192"/>
      <c r="D85" s="192"/>
      <c r="E85" s="192"/>
      <c r="F85" s="192"/>
      <c r="G85" s="192"/>
      <c r="H85" s="192"/>
      <c r="I85" s="192"/>
      <c r="J85" s="192"/>
      <c r="K85" s="192"/>
      <c r="L85" s="192"/>
      <c r="M85" s="192"/>
      <c r="O85" s="192"/>
      <c r="P85" s="192"/>
      <c r="Q85" s="192"/>
      <c r="S85" s="192"/>
      <c r="T85" s="192"/>
      <c r="U85" s="192"/>
      <c r="V85" s="192"/>
      <c r="W85" s="192"/>
      <c r="X85" s="192"/>
      <c r="Y85" s="192"/>
      <c r="Z85" s="192"/>
      <c r="AB85" s="1"/>
    </row>
    <row r="86">
      <c r="A86" s="192"/>
      <c r="B86" s="192"/>
      <c r="C86" s="192"/>
      <c r="D86" s="192"/>
      <c r="E86" s="192"/>
      <c r="F86" s="192"/>
      <c r="G86" s="192"/>
      <c r="H86" s="192"/>
      <c r="I86" s="192"/>
      <c r="J86" s="192"/>
      <c r="K86" s="192"/>
      <c r="L86" s="192"/>
      <c r="M86" s="192"/>
      <c r="N86" s="192"/>
      <c r="O86" s="192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"/>
      <c r="AB86" s="1"/>
    </row>
    <row r="87">
      <c r="A87" s="192"/>
      <c r="B87" s="192"/>
      <c r="C87" s="192"/>
      <c r="D87" s="192"/>
      <c r="E87" s="192"/>
      <c r="F87" s="192"/>
      <c r="G87" s="192"/>
      <c r="H87" s="192"/>
      <c r="I87" s="192"/>
      <c r="J87" s="192"/>
      <c r="K87" s="192"/>
      <c r="L87" s="192"/>
      <c r="M87" s="192"/>
      <c r="N87" s="192"/>
      <c r="O87" s="192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"/>
      <c r="AB87" s="1"/>
    </row>
    <row r="88">
      <c r="A88" s="192"/>
      <c r="B88" s="192"/>
      <c r="C88" s="192"/>
      <c r="D88" s="192"/>
      <c r="E88" s="192"/>
      <c r="F88" s="192"/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"/>
      <c r="AB88" s="1"/>
    </row>
    <row r="89">
      <c r="A89" s="192"/>
      <c r="B89" s="192"/>
      <c r="C89" s="192"/>
      <c r="D89" s="192"/>
      <c r="E89" s="192"/>
      <c r="F89" s="192"/>
      <c r="G89" s="192"/>
      <c r="H89" s="192"/>
      <c r="I89" s="192"/>
      <c r="J89" s="192"/>
      <c r="K89" s="192"/>
      <c r="L89" s="192"/>
      <c r="M89" s="192"/>
      <c r="N89" s="192"/>
      <c r="O89" s="192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"/>
      <c r="AB89" s="1"/>
    </row>
    <row r="90">
      <c r="A90" s="192"/>
      <c r="B90" s="192"/>
      <c r="C90" s="192"/>
      <c r="D90" s="192"/>
      <c r="E90" s="192"/>
      <c r="F90" s="192"/>
      <c r="G90" s="192"/>
      <c r="H90" s="192"/>
      <c r="I90" s="192"/>
      <c r="J90" s="192"/>
      <c r="K90" s="192"/>
      <c r="L90" s="192"/>
      <c r="M90" s="192"/>
      <c r="N90" s="192"/>
      <c r="O90" s="192"/>
      <c r="P90" s="192"/>
      <c r="Q90" s="192"/>
      <c r="S90" s="192"/>
      <c r="T90" s="192"/>
      <c r="U90" s="192"/>
      <c r="V90" s="192"/>
      <c r="W90" s="192"/>
      <c r="X90" s="192"/>
      <c r="Y90" s="192"/>
      <c r="Z90" s="192"/>
      <c r="AB90" s="1"/>
    </row>
    <row r="91">
      <c r="A91" s="192"/>
      <c r="B91" s="192"/>
      <c r="C91" s="192"/>
      <c r="D91" s="192"/>
      <c r="E91" s="192"/>
      <c r="F91" s="192"/>
      <c r="G91" s="192"/>
      <c r="H91" s="192"/>
      <c r="I91" s="192"/>
      <c r="J91" s="192"/>
      <c r="K91" s="192"/>
      <c r="L91" s="192"/>
      <c r="M91" s="192"/>
      <c r="O91" s="192"/>
      <c r="P91" s="192"/>
      <c r="Q91" s="192"/>
      <c r="S91" s="192"/>
      <c r="T91" s="192"/>
      <c r="U91" s="192"/>
      <c r="V91" s="192"/>
      <c r="W91" s="192"/>
      <c r="X91" s="192"/>
      <c r="Y91" s="192"/>
      <c r="Z91" s="192"/>
      <c r="AB91" s="1"/>
    </row>
    <row r="92">
      <c r="A92" s="192"/>
      <c r="B92" s="192"/>
      <c r="C92" s="192"/>
      <c r="D92" s="192"/>
      <c r="E92" s="192"/>
      <c r="F92" s="192"/>
      <c r="G92" s="192"/>
      <c r="H92" s="192"/>
      <c r="I92" s="192"/>
      <c r="J92" s="192"/>
      <c r="K92" s="192"/>
      <c r="L92" s="192"/>
      <c r="M92" s="192"/>
      <c r="N92" s="192"/>
      <c r="O92" s="192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"/>
      <c r="AB92" s="1"/>
    </row>
    <row r="93">
      <c r="A93" s="192"/>
      <c r="B93" s="192"/>
      <c r="C93" s="192"/>
      <c r="D93" s="192"/>
      <c r="E93" s="192"/>
      <c r="F93" s="192"/>
      <c r="G93" s="192"/>
      <c r="H93" s="192"/>
      <c r="I93" s="192"/>
      <c r="J93" s="192"/>
      <c r="K93" s="192"/>
      <c r="L93" s="192"/>
      <c r="M93" s="192"/>
      <c r="O93" s="192"/>
      <c r="P93" s="192"/>
      <c r="Q93" s="192"/>
      <c r="S93" s="192"/>
      <c r="T93" s="192"/>
      <c r="U93" s="192"/>
      <c r="V93" s="192"/>
      <c r="W93" s="192"/>
      <c r="X93" s="192"/>
      <c r="Y93" s="192"/>
      <c r="Z93" s="192"/>
      <c r="AB93" s="1"/>
    </row>
    <row r="94">
      <c r="A94" s="192"/>
      <c r="B94" s="192"/>
      <c r="C94" s="192"/>
      <c r="D94" s="192"/>
      <c r="E94" s="192"/>
      <c r="F94" s="192"/>
      <c r="G94" s="192"/>
      <c r="H94" s="192"/>
      <c r="I94" s="192"/>
      <c r="J94" s="192"/>
      <c r="K94" s="192"/>
      <c r="L94" s="192"/>
      <c r="M94" s="192"/>
      <c r="N94" s="192"/>
      <c r="O94" s="192"/>
      <c r="P94" s="192"/>
      <c r="Q94" s="192"/>
      <c r="T94" s="192"/>
      <c r="U94" s="192"/>
      <c r="V94" s="192"/>
      <c r="W94" s="192"/>
      <c r="X94" s="192"/>
      <c r="Y94" s="192"/>
      <c r="Z94" s="192"/>
      <c r="AB94" s="1"/>
    </row>
    <row r="95">
      <c r="A95" s="192"/>
      <c r="B95" s="192"/>
      <c r="C95" s="192"/>
      <c r="D95" s="192"/>
      <c r="E95" s="192"/>
      <c r="F95" s="192"/>
      <c r="G95" s="192"/>
      <c r="H95" s="192"/>
      <c r="I95" s="192"/>
      <c r="J95" s="192"/>
      <c r="K95" s="192"/>
      <c r="L95" s="192"/>
      <c r="M95" s="192"/>
      <c r="N95" s="192"/>
      <c r="O95" s="192"/>
      <c r="P95" s="192"/>
      <c r="Q95" s="192"/>
      <c r="T95" s="192"/>
      <c r="U95" s="192"/>
      <c r="V95" s="192"/>
      <c r="W95" s="192"/>
      <c r="X95" s="192"/>
      <c r="Y95" s="192"/>
      <c r="Z95" s="192"/>
      <c r="AB95" s="1"/>
    </row>
    <row r="96">
      <c r="A96" s="192"/>
      <c r="B96" s="192"/>
      <c r="C96" s="192"/>
      <c r="D96" s="192"/>
      <c r="E96" s="192"/>
      <c r="F96" s="192"/>
      <c r="G96" s="192"/>
      <c r="H96" s="192"/>
      <c r="I96" s="192"/>
      <c r="J96" s="192"/>
      <c r="K96" s="192"/>
      <c r="L96" s="192"/>
      <c r="M96" s="192"/>
      <c r="O96" s="192"/>
      <c r="P96" s="192"/>
      <c r="Q96" s="192"/>
      <c r="S96" s="192"/>
      <c r="T96" s="192"/>
      <c r="U96" s="192"/>
      <c r="V96" s="192"/>
      <c r="W96" s="192"/>
      <c r="X96" s="192"/>
      <c r="Y96" s="192"/>
      <c r="Z96" s="192"/>
      <c r="AB96" s="1"/>
    </row>
    <row r="97">
      <c r="A97" s="192"/>
      <c r="B97" s="192"/>
      <c r="C97" s="192"/>
      <c r="D97" s="192"/>
      <c r="E97" s="192"/>
      <c r="F97" s="192"/>
      <c r="G97" s="192"/>
      <c r="H97" s="192"/>
      <c r="I97" s="192"/>
      <c r="J97" s="192"/>
      <c r="K97" s="192"/>
      <c r="L97" s="192"/>
      <c r="M97" s="192"/>
      <c r="O97" s="192"/>
      <c r="P97" s="192"/>
      <c r="Q97" s="192"/>
      <c r="S97" s="192"/>
      <c r="T97" s="192"/>
      <c r="U97" s="192"/>
      <c r="V97" s="192"/>
      <c r="W97" s="192"/>
      <c r="X97" s="192"/>
      <c r="Y97" s="192"/>
      <c r="Z97" s="192"/>
      <c r="AB97" s="1">
        <v>0.0</v>
      </c>
    </row>
    <row r="98">
      <c r="A98" s="192"/>
      <c r="B98" s="192"/>
      <c r="C98" s="192"/>
      <c r="D98" s="192"/>
      <c r="E98" s="192"/>
      <c r="F98" s="192"/>
      <c r="G98" s="192"/>
      <c r="H98" s="192"/>
      <c r="I98" s="192"/>
      <c r="J98" s="192"/>
      <c r="K98" s="192"/>
      <c r="L98" s="192"/>
      <c r="M98" s="192"/>
      <c r="N98" s="192"/>
      <c r="O98" s="192"/>
      <c r="P98" s="192"/>
      <c r="Q98" s="192"/>
      <c r="T98" s="192"/>
      <c r="U98" s="192"/>
      <c r="V98" s="192"/>
      <c r="W98" s="192"/>
      <c r="X98" s="192"/>
      <c r="Y98" s="192"/>
      <c r="Z98" s="192"/>
      <c r="AB98" s="1"/>
    </row>
    <row r="99">
      <c r="A99" s="192"/>
      <c r="B99" s="192"/>
      <c r="C99" s="192"/>
      <c r="D99" s="192"/>
      <c r="E99" s="192"/>
      <c r="F99" s="192"/>
      <c r="G99" s="192"/>
      <c r="H99" s="192"/>
      <c r="I99" s="192"/>
      <c r="J99" s="192"/>
      <c r="K99" s="192"/>
      <c r="L99" s="192"/>
      <c r="M99" s="192"/>
      <c r="O99" s="192"/>
      <c r="P99" s="192"/>
      <c r="Q99" s="192"/>
      <c r="S99" s="192"/>
      <c r="T99" s="192"/>
      <c r="U99" s="192"/>
      <c r="V99" s="192"/>
      <c r="W99" s="192"/>
      <c r="X99" s="192"/>
      <c r="Y99" s="192"/>
      <c r="Z99" s="192"/>
      <c r="AB99" s="1"/>
    </row>
    <row r="100">
      <c r="A100" s="192"/>
      <c r="B100" s="192"/>
      <c r="C100" s="192"/>
      <c r="D100" s="192"/>
      <c r="E100" s="192"/>
      <c r="F100" s="192"/>
      <c r="G100" s="192"/>
      <c r="H100" s="192"/>
      <c r="I100" s="192"/>
      <c r="J100" s="192"/>
      <c r="K100" s="192"/>
      <c r="L100" s="192"/>
      <c r="M100" s="192"/>
      <c r="N100" s="192"/>
      <c r="O100" s="192"/>
      <c r="P100" s="192"/>
      <c r="Q100" s="192"/>
      <c r="T100" s="192"/>
      <c r="U100" s="192"/>
      <c r="V100" s="192"/>
      <c r="W100" s="192"/>
      <c r="X100" s="192"/>
      <c r="Y100" s="192"/>
      <c r="Z100" s="192"/>
      <c r="AB100" s="1"/>
    </row>
    <row r="101">
      <c r="A101" s="192"/>
      <c r="B101" s="192"/>
      <c r="C101" s="192"/>
      <c r="D101" s="192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"/>
      <c r="AB101" s="1"/>
    </row>
    <row r="102">
      <c r="A102" s="192"/>
      <c r="B102" s="192"/>
      <c r="C102" s="192"/>
      <c r="D102" s="192"/>
      <c r="E102" s="192"/>
      <c r="F102" s="192"/>
      <c r="G102" s="192"/>
      <c r="H102" s="192"/>
      <c r="I102" s="192"/>
      <c r="J102" s="192"/>
      <c r="K102" s="192"/>
      <c r="L102" s="192"/>
      <c r="M102" s="192"/>
      <c r="N102" s="192"/>
      <c r="O102" s="192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"/>
      <c r="AB102" s="1"/>
    </row>
    <row r="103">
      <c r="A103" s="192"/>
      <c r="B103" s="192"/>
      <c r="C103" s="192"/>
      <c r="D103" s="192"/>
      <c r="E103" s="192"/>
      <c r="F103" s="192"/>
      <c r="G103" s="192"/>
      <c r="H103" s="192"/>
      <c r="I103" s="192"/>
      <c r="J103" s="192"/>
      <c r="K103" s="192"/>
      <c r="L103" s="192"/>
      <c r="M103" s="192"/>
      <c r="O103" s="192"/>
      <c r="P103" s="192"/>
      <c r="Q103" s="192"/>
      <c r="S103" s="192"/>
      <c r="T103" s="192"/>
      <c r="U103" s="192"/>
      <c r="V103" s="192"/>
      <c r="W103" s="192"/>
      <c r="X103" s="192"/>
      <c r="Y103" s="192"/>
      <c r="Z103" s="192"/>
      <c r="AB103" s="1"/>
    </row>
    <row r="104">
      <c r="A104" s="192"/>
      <c r="B104" s="192"/>
      <c r="C104" s="192"/>
      <c r="D104" s="192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T104" s="192"/>
      <c r="U104" s="192"/>
      <c r="V104" s="192"/>
      <c r="W104" s="192"/>
      <c r="X104" s="192"/>
      <c r="Y104" s="192"/>
      <c r="Z104" s="192"/>
      <c r="AB104" s="1"/>
    </row>
    <row r="105">
      <c r="A105" s="192"/>
      <c r="B105" s="192"/>
      <c r="C105" s="192"/>
      <c r="D105" s="192"/>
      <c r="E105" s="192"/>
      <c r="F105" s="192"/>
      <c r="G105" s="192"/>
      <c r="H105" s="192"/>
      <c r="I105" s="192"/>
      <c r="J105" s="192"/>
      <c r="K105" s="192"/>
      <c r="L105" s="192"/>
      <c r="M105" s="192"/>
      <c r="N105" s="192"/>
      <c r="O105" s="192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"/>
      <c r="AB105" s="1"/>
    </row>
    <row r="106">
      <c r="A106" s="192"/>
      <c r="B106" s="192"/>
      <c r="C106" s="192"/>
      <c r="D106" s="192"/>
      <c r="E106" s="192"/>
      <c r="F106" s="192"/>
      <c r="G106" s="192"/>
      <c r="H106" s="192"/>
      <c r="I106" s="192"/>
      <c r="J106" s="192"/>
      <c r="K106" s="192"/>
      <c r="L106" s="192"/>
      <c r="M106" s="192"/>
      <c r="O106" s="192"/>
      <c r="P106" s="192"/>
      <c r="Q106" s="192"/>
      <c r="S106" s="192"/>
      <c r="T106" s="192"/>
      <c r="U106" s="192"/>
      <c r="V106" s="192"/>
      <c r="W106" s="192"/>
      <c r="X106" s="192"/>
      <c r="Y106" s="192"/>
      <c r="Z106" s="192"/>
      <c r="AB106" s="1"/>
    </row>
    <row r="107">
      <c r="A107" s="192"/>
      <c r="B107" s="192"/>
      <c r="C107" s="192"/>
      <c r="D107" s="192"/>
      <c r="E107" s="192"/>
      <c r="F107" s="192"/>
      <c r="G107" s="192"/>
      <c r="H107" s="192"/>
      <c r="I107" s="192"/>
      <c r="J107" s="192"/>
      <c r="K107" s="192"/>
      <c r="L107" s="192"/>
      <c r="M107" s="192"/>
      <c r="N107" s="192"/>
      <c r="O107" s="192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"/>
      <c r="AB107" s="1"/>
    </row>
    <row r="108">
      <c r="A108" s="192"/>
      <c r="B108" s="192"/>
      <c r="C108" s="192"/>
      <c r="D108" s="192"/>
      <c r="E108" s="192"/>
      <c r="F108" s="192"/>
      <c r="G108" s="192"/>
      <c r="H108" s="192"/>
      <c r="I108" s="192"/>
      <c r="J108" s="192"/>
      <c r="K108" s="192"/>
      <c r="L108" s="192"/>
      <c r="M108" s="192"/>
      <c r="O108" s="192"/>
      <c r="P108" s="192"/>
      <c r="Q108" s="192"/>
      <c r="S108" s="192"/>
      <c r="T108" s="192"/>
      <c r="U108" s="192"/>
      <c r="V108" s="192"/>
      <c r="W108" s="192"/>
      <c r="X108" s="192"/>
      <c r="Y108" s="192"/>
      <c r="Z108" s="192"/>
      <c r="AB108" s="1">
        <v>0.0</v>
      </c>
    </row>
    <row r="109">
      <c r="A109" s="192"/>
      <c r="B109" s="192"/>
      <c r="C109" s="192"/>
      <c r="D109" s="192"/>
      <c r="E109" s="192"/>
      <c r="F109" s="192"/>
      <c r="G109" s="192"/>
      <c r="H109" s="192"/>
      <c r="I109" s="192"/>
      <c r="J109" s="192"/>
      <c r="K109" s="192"/>
      <c r="L109" s="192"/>
      <c r="M109" s="192"/>
      <c r="O109" s="192"/>
      <c r="P109" s="192"/>
      <c r="Q109" s="192"/>
      <c r="S109" s="192"/>
      <c r="T109" s="192"/>
      <c r="U109" s="192"/>
      <c r="V109" s="192"/>
      <c r="W109" s="192"/>
      <c r="X109" s="192"/>
      <c r="Y109" s="192"/>
      <c r="Z109" s="192"/>
      <c r="AB109" s="1"/>
    </row>
    <row r="110">
      <c r="A110" s="192"/>
      <c r="B110" s="192"/>
      <c r="C110" s="192"/>
      <c r="D110" s="192"/>
      <c r="E110" s="192"/>
      <c r="F110" s="192"/>
      <c r="G110" s="192"/>
      <c r="H110" s="192"/>
      <c r="I110" s="192"/>
      <c r="J110" s="192"/>
      <c r="K110" s="192"/>
      <c r="L110" s="192"/>
      <c r="M110" s="192"/>
      <c r="N110" s="192"/>
      <c r="O110" s="192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"/>
      <c r="AB110" s="1"/>
    </row>
    <row r="111">
      <c r="A111" s="192"/>
      <c r="B111" s="192"/>
      <c r="C111" s="192"/>
      <c r="D111" s="192"/>
      <c r="E111" s="192"/>
      <c r="F111" s="192"/>
      <c r="G111" s="192"/>
      <c r="H111" s="192"/>
      <c r="I111" s="192"/>
      <c r="J111" s="192"/>
      <c r="K111" s="192"/>
      <c r="L111" s="192"/>
      <c r="M111" s="192"/>
      <c r="N111" s="192"/>
      <c r="O111" s="192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"/>
      <c r="AB111" s="1"/>
    </row>
    <row r="112">
      <c r="A112" s="192"/>
      <c r="B112" s="192"/>
      <c r="C112" s="192"/>
      <c r="D112" s="192"/>
      <c r="E112" s="192"/>
      <c r="F112" s="192"/>
      <c r="G112" s="192"/>
      <c r="H112" s="192"/>
      <c r="I112" s="192"/>
      <c r="J112" s="192"/>
      <c r="K112" s="192"/>
      <c r="L112" s="192"/>
      <c r="M112" s="192"/>
      <c r="N112" s="192"/>
      <c r="O112" s="192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"/>
      <c r="AB112" s="1"/>
    </row>
    <row r="113">
      <c r="A113" s="192"/>
      <c r="B113" s="192"/>
      <c r="C113" s="192"/>
      <c r="D113" s="192"/>
      <c r="E113" s="192"/>
      <c r="F113" s="192"/>
      <c r="G113" s="192"/>
      <c r="H113" s="192"/>
      <c r="I113" s="192"/>
      <c r="J113" s="192"/>
      <c r="K113" s="192"/>
      <c r="L113" s="192"/>
      <c r="M113" s="192"/>
      <c r="N113" s="192"/>
      <c r="O113" s="192"/>
      <c r="P113" s="192"/>
      <c r="Q113" s="192"/>
      <c r="T113" s="192"/>
      <c r="U113" s="192"/>
      <c r="V113" s="192"/>
      <c r="W113" s="192"/>
      <c r="X113" s="192"/>
      <c r="Y113" s="192"/>
      <c r="Z113" s="192"/>
      <c r="AB113" s="1"/>
    </row>
    <row r="114">
      <c r="A114" s="192"/>
      <c r="B114" s="192"/>
      <c r="C114" s="192"/>
      <c r="D114" s="192"/>
      <c r="E114" s="192"/>
      <c r="F114" s="192"/>
      <c r="G114" s="192"/>
      <c r="H114" s="192"/>
      <c r="I114" s="192"/>
      <c r="J114" s="192"/>
      <c r="K114" s="192"/>
      <c r="L114" s="192"/>
      <c r="M114" s="192"/>
      <c r="N114" s="192"/>
      <c r="O114" s="192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"/>
      <c r="AB114" s="1"/>
    </row>
    <row r="115">
      <c r="A115" s="192"/>
      <c r="B115" s="192"/>
      <c r="C115" s="192"/>
      <c r="D115" s="192"/>
      <c r="E115" s="192"/>
      <c r="F115" s="192"/>
      <c r="G115" s="192"/>
      <c r="H115" s="192"/>
      <c r="I115" s="192"/>
      <c r="J115" s="192"/>
      <c r="K115" s="192"/>
      <c r="L115" s="192"/>
      <c r="M115" s="192"/>
      <c r="O115" s="192"/>
      <c r="P115" s="192"/>
      <c r="Q115" s="192"/>
      <c r="S115" s="192"/>
      <c r="T115" s="192"/>
      <c r="U115" s="192"/>
      <c r="V115" s="192"/>
      <c r="W115" s="192"/>
      <c r="X115" s="192"/>
      <c r="Y115" s="192"/>
      <c r="Z115" s="192"/>
      <c r="AB115" s="1"/>
    </row>
    <row r="116">
      <c r="A116" s="192"/>
      <c r="B116" s="192"/>
      <c r="C116" s="192"/>
      <c r="D116" s="192"/>
      <c r="E116" s="192"/>
      <c r="F116" s="192"/>
      <c r="G116" s="192"/>
      <c r="H116" s="192"/>
      <c r="I116" s="192"/>
      <c r="J116" s="192"/>
      <c r="K116" s="192"/>
      <c r="L116" s="192"/>
      <c r="M116" s="192"/>
      <c r="O116" s="192"/>
      <c r="P116" s="192"/>
      <c r="Q116" s="192"/>
      <c r="S116" s="192"/>
      <c r="T116" s="192"/>
      <c r="U116" s="192"/>
      <c r="V116" s="192"/>
      <c r="W116" s="192"/>
      <c r="X116" s="192"/>
      <c r="Y116" s="192"/>
      <c r="Z116" s="192"/>
      <c r="AB116" s="1"/>
    </row>
    <row r="117">
      <c r="A117" s="192"/>
      <c r="B117" s="192"/>
      <c r="C117" s="192"/>
      <c r="D117" s="192"/>
      <c r="E117" s="192"/>
      <c r="F117" s="192"/>
      <c r="G117" s="192"/>
      <c r="H117" s="192"/>
      <c r="I117" s="192"/>
      <c r="J117" s="192"/>
      <c r="K117" s="192"/>
      <c r="L117" s="192"/>
      <c r="M117" s="192"/>
      <c r="N117" s="192"/>
      <c r="O117" s="192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"/>
      <c r="AB117" s="1"/>
    </row>
    <row r="118">
      <c r="A118" s="192"/>
      <c r="B118" s="192"/>
      <c r="C118" s="192"/>
      <c r="D118" s="192"/>
      <c r="E118" s="192"/>
      <c r="F118" s="192"/>
      <c r="G118" s="192"/>
      <c r="H118" s="192"/>
      <c r="I118" s="192"/>
      <c r="J118" s="192"/>
      <c r="K118" s="192"/>
      <c r="L118" s="192"/>
      <c r="M118" s="192"/>
      <c r="O118" s="192"/>
      <c r="P118" s="192"/>
      <c r="Q118" s="192"/>
      <c r="S118" s="192"/>
      <c r="T118" s="192"/>
      <c r="U118" s="192"/>
      <c r="V118" s="192"/>
      <c r="W118" s="192"/>
      <c r="X118" s="192"/>
      <c r="Y118" s="192"/>
      <c r="Z118" s="192"/>
      <c r="AB118" s="1"/>
    </row>
    <row r="119">
      <c r="A119" s="192"/>
      <c r="B119" s="192"/>
      <c r="C119" s="192"/>
      <c r="D119" s="192"/>
      <c r="E119" s="192"/>
      <c r="F119" s="192"/>
      <c r="G119" s="192"/>
      <c r="H119" s="192"/>
      <c r="I119" s="192"/>
      <c r="J119" s="192"/>
      <c r="K119" s="192"/>
      <c r="L119" s="192"/>
      <c r="M119" s="192"/>
      <c r="N119" s="192"/>
      <c r="O119" s="192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"/>
      <c r="AB119" s="1"/>
    </row>
    <row r="120">
      <c r="A120" s="192"/>
      <c r="B120" s="192"/>
      <c r="C120" s="192"/>
      <c r="D120" s="192"/>
      <c r="E120" s="192"/>
      <c r="F120" s="192"/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T120" s="192"/>
      <c r="U120" s="192"/>
      <c r="V120" s="192"/>
      <c r="W120" s="192"/>
      <c r="X120" s="192"/>
      <c r="Y120" s="192"/>
      <c r="Z120" s="192"/>
      <c r="AB120" s="1"/>
    </row>
    <row r="121">
      <c r="A121" s="192"/>
      <c r="B121" s="192"/>
      <c r="C121" s="192"/>
      <c r="D121" s="192"/>
      <c r="E121" s="192"/>
      <c r="F121" s="192"/>
      <c r="G121" s="192"/>
      <c r="H121" s="192"/>
      <c r="I121" s="192"/>
      <c r="J121" s="192"/>
      <c r="K121" s="192"/>
      <c r="L121" s="192"/>
      <c r="M121" s="192"/>
      <c r="N121" s="192"/>
      <c r="O121" s="192"/>
      <c r="P121" s="192"/>
      <c r="Q121" s="192"/>
      <c r="T121" s="192"/>
      <c r="U121" s="192"/>
      <c r="V121" s="192"/>
      <c r="W121" s="192"/>
      <c r="X121" s="192"/>
      <c r="Y121" s="192"/>
      <c r="Z121" s="192"/>
      <c r="AB121" s="1"/>
    </row>
    <row r="122">
      <c r="A122" s="192"/>
      <c r="B122" s="192"/>
      <c r="C122" s="192"/>
      <c r="D122" s="192"/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  <c r="P122" s="192"/>
      <c r="Q122" s="192"/>
      <c r="T122" s="192"/>
      <c r="U122" s="192"/>
      <c r="V122" s="192"/>
      <c r="W122" s="192"/>
      <c r="X122" s="192"/>
      <c r="Y122" s="192"/>
      <c r="Z122" s="192"/>
      <c r="AB122" s="1"/>
    </row>
    <row r="123">
      <c r="A123" s="192"/>
      <c r="B123" s="192"/>
      <c r="C123" s="192"/>
      <c r="D123" s="192"/>
      <c r="E123" s="192"/>
      <c r="F123" s="192"/>
      <c r="G123" s="192"/>
      <c r="H123" s="192"/>
      <c r="I123" s="192"/>
      <c r="J123" s="192"/>
      <c r="K123" s="192"/>
      <c r="L123" s="192"/>
      <c r="M123" s="192"/>
      <c r="N123" s="192"/>
      <c r="O123" s="192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"/>
      <c r="AB123" s="1"/>
    </row>
    <row r="124">
      <c r="A124" s="192"/>
      <c r="B124" s="192"/>
      <c r="C124" s="192"/>
      <c r="D124" s="192"/>
      <c r="E124" s="192"/>
      <c r="F124" s="192"/>
      <c r="G124" s="192"/>
      <c r="H124" s="192"/>
      <c r="I124" s="192"/>
      <c r="J124" s="192"/>
      <c r="K124" s="192"/>
      <c r="L124" s="192"/>
      <c r="M124" s="192"/>
      <c r="N124" s="192"/>
      <c r="O124" s="192"/>
      <c r="P124" s="192"/>
      <c r="Q124" s="192"/>
      <c r="S124" s="192"/>
      <c r="T124" s="192"/>
      <c r="U124" s="192"/>
      <c r="V124" s="192"/>
      <c r="W124" s="192"/>
      <c r="X124" s="192"/>
      <c r="Y124" s="192"/>
      <c r="Z124" s="192"/>
      <c r="AB124" s="1"/>
    </row>
    <row r="125">
      <c r="A125" s="192"/>
      <c r="B125" s="192"/>
      <c r="C125" s="192"/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O125" s="192"/>
      <c r="P125" s="192"/>
      <c r="Q125" s="192"/>
      <c r="S125" s="192"/>
      <c r="T125" s="192"/>
      <c r="U125" s="192"/>
      <c r="V125" s="192"/>
      <c r="W125" s="192"/>
      <c r="X125" s="192"/>
      <c r="Y125" s="192"/>
      <c r="Z125" s="192"/>
      <c r="AB125" s="1">
        <v>0.0</v>
      </c>
    </row>
    <row r="126">
      <c r="A126" s="192"/>
      <c r="B126" s="192"/>
      <c r="C126" s="192"/>
      <c r="D126" s="192"/>
      <c r="E126" s="192"/>
      <c r="F126" s="192"/>
      <c r="G126" s="192"/>
      <c r="H126" s="192"/>
      <c r="I126" s="192"/>
      <c r="J126" s="192"/>
      <c r="K126" s="192"/>
      <c r="L126" s="192"/>
      <c r="M126" s="192"/>
      <c r="O126" s="192"/>
      <c r="P126" s="192"/>
      <c r="Q126" s="192"/>
      <c r="S126" s="192"/>
      <c r="T126" s="192"/>
      <c r="U126" s="192"/>
      <c r="V126" s="192"/>
      <c r="W126" s="192"/>
      <c r="X126" s="192"/>
      <c r="Y126" s="192"/>
      <c r="Z126" s="192"/>
      <c r="AB126" s="1"/>
    </row>
    <row r="127">
      <c r="A127" s="192"/>
      <c r="B127" s="192"/>
      <c r="C127" s="192"/>
      <c r="D127" s="192"/>
      <c r="E127" s="192"/>
      <c r="F127" s="192"/>
      <c r="G127" s="192"/>
      <c r="H127" s="192"/>
      <c r="I127" s="192"/>
      <c r="J127" s="192"/>
      <c r="K127" s="192"/>
      <c r="L127" s="192"/>
      <c r="M127" s="192"/>
      <c r="O127" s="192"/>
      <c r="P127" s="192"/>
      <c r="Q127" s="192"/>
      <c r="S127" s="192"/>
      <c r="T127" s="192"/>
      <c r="U127" s="192"/>
      <c r="V127" s="192"/>
      <c r="W127" s="192"/>
      <c r="X127" s="192"/>
      <c r="Y127" s="192"/>
      <c r="Z127" s="192"/>
      <c r="AB127" s="1"/>
    </row>
    <row r="128">
      <c r="A128" s="192"/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"/>
      <c r="AB128" s="1"/>
    </row>
    <row r="129">
      <c r="A129" s="192"/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  <c r="M129" s="192"/>
      <c r="N129" s="192"/>
      <c r="O129" s="192"/>
      <c r="P129" s="192"/>
      <c r="Q129" s="192"/>
      <c r="T129" s="192"/>
      <c r="U129" s="192"/>
      <c r="V129" s="192"/>
      <c r="W129" s="192"/>
      <c r="X129" s="192"/>
      <c r="Y129" s="192"/>
      <c r="Z129" s="192"/>
      <c r="AB129" s="1"/>
    </row>
    <row r="130">
      <c r="A130" s="192"/>
      <c r="B130" s="192"/>
      <c r="C130" s="192"/>
      <c r="D130" s="192"/>
      <c r="E130" s="192"/>
      <c r="F130" s="192"/>
      <c r="G130" s="192"/>
      <c r="H130" s="192"/>
      <c r="I130" s="192"/>
      <c r="J130" s="192"/>
      <c r="K130" s="192"/>
      <c r="L130" s="192"/>
      <c r="M130" s="192"/>
      <c r="N130" s="192"/>
      <c r="O130" s="192"/>
      <c r="P130" s="192"/>
      <c r="Q130" s="192"/>
      <c r="T130" s="192"/>
      <c r="U130" s="192"/>
      <c r="V130" s="192"/>
      <c r="W130" s="192"/>
      <c r="X130" s="192"/>
      <c r="Y130" s="192"/>
      <c r="Z130" s="192"/>
      <c r="AB130" s="1"/>
    </row>
    <row r="131">
      <c r="A131" s="192"/>
      <c r="B131" s="192"/>
      <c r="C131" s="192"/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O131" s="192"/>
      <c r="P131" s="192"/>
      <c r="Q131" s="192"/>
      <c r="S131" s="192"/>
      <c r="T131" s="192"/>
      <c r="U131" s="192"/>
      <c r="V131" s="192"/>
      <c r="W131" s="192"/>
      <c r="X131" s="192"/>
      <c r="Y131" s="192"/>
      <c r="Z131" s="192"/>
      <c r="AB131" s="1">
        <v>0.0</v>
      </c>
    </row>
    <row r="132">
      <c r="A132" s="192"/>
      <c r="B132" s="192"/>
      <c r="C132" s="192"/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O132" s="192"/>
      <c r="P132" s="192"/>
      <c r="Q132" s="192"/>
      <c r="S132" s="192"/>
      <c r="T132" s="192"/>
      <c r="U132" s="192"/>
      <c r="V132" s="192"/>
      <c r="W132" s="192"/>
      <c r="X132" s="192"/>
      <c r="Y132" s="192"/>
      <c r="Z132" s="192"/>
      <c r="AB132" s="1">
        <v>0.0</v>
      </c>
    </row>
    <row r="133">
      <c r="A133" s="192"/>
      <c r="B133" s="192"/>
      <c r="C133" s="192"/>
      <c r="D133" s="192"/>
      <c r="E133" s="192"/>
      <c r="F133" s="192"/>
      <c r="G133" s="192"/>
      <c r="H133" s="192"/>
      <c r="I133" s="192"/>
      <c r="J133" s="192"/>
      <c r="K133" s="192"/>
      <c r="L133" s="192"/>
      <c r="M133" s="192"/>
      <c r="O133" s="192"/>
      <c r="P133" s="192"/>
      <c r="Q133" s="192"/>
      <c r="S133" s="192"/>
      <c r="T133" s="192"/>
      <c r="U133" s="192"/>
      <c r="V133" s="192"/>
      <c r="W133" s="192"/>
      <c r="X133" s="192"/>
      <c r="Y133" s="192"/>
      <c r="Z133" s="192"/>
      <c r="AB133" s="1"/>
    </row>
    <row r="134">
      <c r="A134" s="192"/>
      <c r="B134" s="192"/>
      <c r="C134" s="192"/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2"/>
      <c r="O134" s="192"/>
      <c r="P134" s="192"/>
      <c r="Q134" s="192"/>
      <c r="S134" s="192"/>
      <c r="T134" s="192"/>
      <c r="U134" s="192"/>
      <c r="V134" s="192"/>
      <c r="W134" s="192"/>
      <c r="X134" s="192"/>
      <c r="Y134" s="192"/>
      <c r="Z134" s="192"/>
      <c r="AB134" s="1"/>
    </row>
    <row r="135">
      <c r="A135" s="192"/>
      <c r="B135" s="192"/>
      <c r="C135" s="192"/>
      <c r="D135" s="192"/>
      <c r="E135" s="192"/>
      <c r="F135" s="192"/>
      <c r="G135" s="192"/>
      <c r="H135" s="192"/>
      <c r="I135" s="192"/>
      <c r="J135" s="192"/>
      <c r="K135" s="192"/>
      <c r="L135" s="192"/>
      <c r="M135" s="192"/>
      <c r="N135" s="192"/>
      <c r="O135" s="192"/>
      <c r="P135" s="192"/>
      <c r="Q135" s="192"/>
      <c r="S135" s="192"/>
      <c r="T135" s="192"/>
      <c r="U135" s="192"/>
      <c r="V135" s="192"/>
      <c r="W135" s="192"/>
      <c r="X135" s="192"/>
      <c r="Y135" s="192"/>
      <c r="Z135" s="192"/>
      <c r="AB135" s="1"/>
    </row>
    <row r="136">
      <c r="A136" s="192"/>
      <c r="B136" s="192"/>
      <c r="C136" s="192"/>
      <c r="D136" s="192"/>
      <c r="E136" s="192"/>
      <c r="F136" s="192"/>
      <c r="G136" s="192"/>
      <c r="H136" s="192"/>
      <c r="I136" s="192"/>
      <c r="J136" s="192"/>
      <c r="K136" s="192"/>
      <c r="L136" s="192"/>
      <c r="M136" s="192"/>
      <c r="O136" s="192"/>
      <c r="P136" s="192"/>
      <c r="Q136" s="192"/>
      <c r="S136" s="192"/>
      <c r="T136" s="192"/>
      <c r="U136" s="192"/>
      <c r="V136" s="192"/>
      <c r="W136" s="192"/>
      <c r="X136" s="192"/>
      <c r="Y136" s="192"/>
      <c r="Z136" s="192"/>
      <c r="AB136" s="1">
        <v>0.0</v>
      </c>
    </row>
    <row r="137">
      <c r="A137" s="192"/>
      <c r="B137" s="192"/>
      <c r="C137" s="192"/>
      <c r="D137" s="192"/>
      <c r="E137" s="192"/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  <c r="P137" s="192"/>
      <c r="Q137" s="192"/>
      <c r="T137" s="192"/>
      <c r="U137" s="192"/>
      <c r="V137" s="192"/>
      <c r="W137" s="192"/>
      <c r="X137" s="192"/>
      <c r="Y137" s="192"/>
      <c r="Z137" s="192"/>
      <c r="AB137" s="1"/>
    </row>
    <row r="138">
      <c r="A138" s="192"/>
      <c r="B138" s="192"/>
      <c r="C138" s="192"/>
      <c r="D138" s="192"/>
      <c r="E138" s="192"/>
      <c r="F138" s="192"/>
      <c r="G138" s="192"/>
      <c r="H138" s="192"/>
      <c r="I138" s="192"/>
      <c r="J138" s="192"/>
      <c r="K138" s="192"/>
      <c r="L138" s="192"/>
      <c r="M138" s="192"/>
      <c r="O138" s="192"/>
      <c r="P138" s="192"/>
      <c r="Q138" s="192"/>
      <c r="S138" s="192"/>
      <c r="T138" s="192"/>
      <c r="U138" s="192"/>
      <c r="V138" s="192"/>
      <c r="W138" s="192"/>
      <c r="X138" s="192"/>
      <c r="Y138" s="192"/>
      <c r="Z138" s="192"/>
      <c r="AB138" s="1">
        <v>0.0</v>
      </c>
    </row>
    <row r="139">
      <c r="A139" s="192"/>
      <c r="B139" s="192"/>
      <c r="C139" s="192"/>
      <c r="D139" s="192"/>
      <c r="E139" s="192"/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  <c r="P139" s="192"/>
      <c r="Q139" s="192"/>
      <c r="S139" s="192"/>
      <c r="T139" s="192"/>
      <c r="U139" s="192"/>
      <c r="V139" s="192"/>
      <c r="W139" s="192"/>
      <c r="X139" s="192"/>
      <c r="Y139" s="192"/>
      <c r="Z139" s="192"/>
      <c r="AB139" s="1"/>
    </row>
    <row r="140">
      <c r="A140" s="192"/>
      <c r="B140" s="192"/>
      <c r="C140" s="192"/>
      <c r="D140" s="192"/>
      <c r="E140" s="192"/>
      <c r="F140" s="192"/>
      <c r="G140" s="192"/>
      <c r="H140" s="192"/>
      <c r="I140" s="192"/>
      <c r="J140" s="192"/>
      <c r="K140" s="192"/>
      <c r="L140" s="192"/>
      <c r="M140" s="192"/>
      <c r="O140" s="192"/>
      <c r="P140" s="192"/>
      <c r="Q140" s="192"/>
      <c r="S140" s="192"/>
      <c r="T140" s="192"/>
      <c r="U140" s="192"/>
      <c r="V140" s="192"/>
      <c r="W140" s="192"/>
      <c r="X140" s="192"/>
      <c r="Y140" s="192"/>
      <c r="Z140" s="192"/>
      <c r="AB140" s="1"/>
    </row>
    <row r="141">
      <c r="A141" s="192"/>
      <c r="B141" s="192"/>
      <c r="C141" s="192"/>
      <c r="D141" s="192"/>
      <c r="E141" s="192"/>
      <c r="F141" s="192"/>
      <c r="G141" s="192"/>
      <c r="H141" s="192"/>
      <c r="I141" s="192"/>
      <c r="J141" s="192"/>
      <c r="K141" s="192"/>
      <c r="L141" s="192"/>
      <c r="M141" s="192"/>
      <c r="N141" s="192"/>
      <c r="O141" s="192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"/>
      <c r="AB141" s="1"/>
    </row>
  </sheetData>
  <mergeCells count="1">
    <mergeCell ref="A1:H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9" width="25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  <c r="AC1" s="192"/>
      <c r="AD1" s="192"/>
      <c r="AE1" s="192"/>
    </row>
    <row r="2">
      <c r="A2" s="1"/>
      <c r="B2" s="1"/>
      <c r="C2" s="193"/>
      <c r="D2" s="1"/>
      <c r="E2" s="192"/>
      <c r="F2" s="1"/>
      <c r="G2" s="1"/>
      <c r="H2" s="1"/>
      <c r="I2" s="1"/>
      <c r="J2" s="1"/>
      <c r="K2" s="192"/>
      <c r="L2" s="1"/>
      <c r="M2" s="1"/>
      <c r="N2" s="1"/>
      <c r="O2" s="1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</row>
    <row r="3" hidden="1">
      <c r="A3" s="1"/>
      <c r="B3" s="1"/>
      <c r="C3" s="1"/>
      <c r="D3" s="1"/>
      <c r="E3" s="192"/>
      <c r="F3" s="1"/>
      <c r="G3" s="1"/>
      <c r="H3" s="1"/>
      <c r="I3" s="1"/>
      <c r="J3" s="1"/>
      <c r="K3" s="192"/>
      <c r="L3" s="1"/>
      <c r="M3" s="1"/>
      <c r="N3" s="1"/>
      <c r="O3" s="1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2"/>
      <c r="AB3" s="192"/>
      <c r="AC3" s="192"/>
      <c r="AD3" s="192"/>
      <c r="AE3" s="192"/>
    </row>
    <row r="4" hidden="1">
      <c r="A4" s="1"/>
      <c r="B4" s="1"/>
      <c r="C4" s="193"/>
      <c r="D4" s="1"/>
      <c r="E4" s="1"/>
      <c r="F4" s="1"/>
      <c r="G4" s="1"/>
      <c r="H4" s="1"/>
      <c r="I4" s="1"/>
      <c r="J4" s="1"/>
      <c r="K4" s="192"/>
      <c r="L4" s="1"/>
      <c r="M4" s="1"/>
      <c r="N4" s="1"/>
      <c r="O4" s="1"/>
      <c r="P4" s="192"/>
      <c r="Q4" s="192"/>
      <c r="R4" s="192"/>
      <c r="S4" s="192"/>
      <c r="T4" s="192"/>
      <c r="U4" s="192"/>
      <c r="V4" s="192"/>
      <c r="W4" s="192"/>
      <c r="X4" s="192"/>
      <c r="Y4" s="192"/>
      <c r="Z4" s="192"/>
      <c r="AA4" s="192"/>
      <c r="AB4" s="192"/>
      <c r="AC4" s="192"/>
      <c r="AD4" s="192"/>
      <c r="AE4" s="192"/>
    </row>
    <row r="5" hidden="1">
      <c r="A5" s="1"/>
      <c r="B5" s="1"/>
      <c r="C5" s="193"/>
      <c r="D5" s="1"/>
      <c r="E5" s="192"/>
      <c r="F5" s="1"/>
      <c r="G5" s="1"/>
      <c r="H5" s="1"/>
      <c r="I5" s="192"/>
      <c r="J5" s="192"/>
      <c r="K5" s="192"/>
      <c r="L5" s="1"/>
      <c r="M5" s="1"/>
      <c r="N5" s="192"/>
      <c r="O5" s="1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</row>
    <row r="6" hidden="1">
      <c r="A6" s="1"/>
      <c r="B6" s="1"/>
      <c r="C6" s="193"/>
      <c r="D6" s="1"/>
      <c r="E6" s="1"/>
      <c r="F6" s="1"/>
      <c r="G6" s="1"/>
      <c r="H6" s="1"/>
      <c r="I6" s="1"/>
      <c r="J6" s="1"/>
      <c r="K6" s="192"/>
      <c r="L6" s="1"/>
      <c r="M6" s="1"/>
      <c r="N6" s="1"/>
      <c r="O6" s="1"/>
      <c r="P6" s="192"/>
      <c r="Q6" s="192"/>
      <c r="R6" s="192"/>
      <c r="S6" s="192"/>
      <c r="T6" s="192"/>
      <c r="U6" s="192"/>
      <c r="V6" s="192"/>
      <c r="W6" s="192"/>
      <c r="X6" s="192"/>
      <c r="Y6" s="192"/>
      <c r="Z6" s="192"/>
      <c r="AA6" s="192"/>
      <c r="AB6" s="192"/>
      <c r="AC6" s="192"/>
      <c r="AD6" s="192"/>
      <c r="AE6" s="192"/>
    </row>
    <row r="7" hidden="1">
      <c r="A7" s="1"/>
      <c r="B7" s="1"/>
      <c r="C7" s="193"/>
      <c r="D7" s="1"/>
      <c r="E7" s="1"/>
      <c r="F7" s="1"/>
      <c r="G7" s="1"/>
      <c r="H7" s="1"/>
      <c r="I7" s="1"/>
      <c r="J7" s="1"/>
      <c r="K7" s="192"/>
      <c r="L7" s="1"/>
      <c r="M7" s="1"/>
      <c r="N7" s="1"/>
      <c r="O7" s="1"/>
      <c r="P7" s="192"/>
      <c r="Q7" s="192"/>
      <c r="R7" s="192"/>
      <c r="S7" s="192"/>
      <c r="T7" s="192"/>
      <c r="U7" s="192"/>
      <c r="V7" s="192"/>
      <c r="W7" s="192"/>
      <c r="X7" s="192"/>
      <c r="Y7" s="192"/>
      <c r="Z7" s="192"/>
      <c r="AA7" s="192"/>
      <c r="AB7" s="192"/>
      <c r="AC7" s="192"/>
      <c r="AD7" s="192"/>
      <c r="AE7" s="192"/>
    </row>
    <row r="8" hidden="1">
      <c r="A8" s="1"/>
      <c r="B8" s="1"/>
      <c r="C8" s="193"/>
      <c r="D8" s="1"/>
      <c r="E8" s="192"/>
      <c r="F8" s="1"/>
      <c r="G8" s="1"/>
      <c r="H8" s="1"/>
      <c r="I8" s="1"/>
      <c r="J8" s="1"/>
      <c r="K8" s="192"/>
      <c r="L8" s="1"/>
      <c r="M8" s="1"/>
      <c r="N8" s="1"/>
      <c r="O8" s="1"/>
      <c r="P8" s="192"/>
      <c r="Q8" s="192"/>
      <c r="R8" s="192"/>
      <c r="S8" s="192"/>
      <c r="T8" s="192"/>
      <c r="U8" s="192"/>
      <c r="V8" s="192"/>
      <c r="W8" s="192"/>
      <c r="X8" s="192"/>
      <c r="Y8" s="192"/>
      <c r="Z8" s="192"/>
      <c r="AA8" s="192"/>
      <c r="AB8" s="192"/>
      <c r="AC8" s="192"/>
      <c r="AD8" s="192"/>
      <c r="AE8" s="192"/>
    </row>
    <row r="9" hidden="1">
      <c r="A9" s="1"/>
      <c r="B9" s="193"/>
      <c r="C9" s="193"/>
      <c r="D9" s="1"/>
      <c r="E9" s="192"/>
      <c r="F9" s="1"/>
      <c r="G9" s="1"/>
      <c r="H9" s="1"/>
      <c r="I9" s="1"/>
      <c r="J9" s="1"/>
      <c r="K9" s="192"/>
      <c r="L9" s="1"/>
      <c r="M9" s="1"/>
      <c r="N9" s="1"/>
      <c r="O9" s="1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</row>
    <row r="10" hidden="1">
      <c r="A10" s="1"/>
      <c r="B10" s="1"/>
      <c r="C10" s="193"/>
      <c r="D10" s="1"/>
      <c r="E10" s="1"/>
      <c r="F10" s="1"/>
      <c r="G10" s="1"/>
      <c r="H10" s="1"/>
      <c r="I10" s="1"/>
      <c r="J10" s="1"/>
      <c r="K10" s="192"/>
      <c r="L10" s="1"/>
      <c r="M10" s="1"/>
      <c r="N10" s="1"/>
      <c r="O10" s="1"/>
      <c r="P10" s="192"/>
      <c r="Q10" s="192"/>
      <c r="R10" s="192"/>
      <c r="S10" s="192"/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</row>
    <row r="11" hidden="1">
      <c r="A11" s="1"/>
      <c r="B11" s="1"/>
      <c r="C11" s="193"/>
      <c r="D11" s="1"/>
      <c r="E11" s="192"/>
      <c r="F11" s="1"/>
      <c r="G11" s="1"/>
      <c r="H11" s="1"/>
      <c r="I11" s="1"/>
      <c r="J11" s="1"/>
      <c r="K11" s="192"/>
      <c r="L11" s="1"/>
      <c r="M11" s="1"/>
      <c r="N11" s="1"/>
      <c r="O11" s="1"/>
      <c r="P11" s="192"/>
      <c r="Q11" s="192"/>
      <c r="R11" s="192"/>
      <c r="S11" s="192"/>
      <c r="T11" s="192"/>
      <c r="U11" s="192"/>
      <c r="V11" s="192"/>
      <c r="W11" s="192"/>
      <c r="X11" s="192"/>
      <c r="Y11" s="192"/>
      <c r="Z11" s="192"/>
      <c r="AA11" s="192"/>
      <c r="AB11" s="192"/>
      <c r="AC11" s="192"/>
      <c r="AD11" s="192"/>
      <c r="AE11" s="192"/>
    </row>
    <row r="12" hidden="1">
      <c r="A12" s="1"/>
      <c r="B12" s="1"/>
      <c r="C12" s="193"/>
      <c r="D12" s="1"/>
      <c r="E12" s="192"/>
      <c r="F12" s="1"/>
      <c r="G12" s="1"/>
      <c r="H12" s="1"/>
      <c r="I12" s="1"/>
      <c r="J12" s="1"/>
      <c r="K12" s="192"/>
      <c r="L12" s="1"/>
      <c r="M12" s="1"/>
      <c r="N12" s="1"/>
      <c r="O12" s="1"/>
      <c r="P12" s="192"/>
      <c r="Q12" s="192"/>
      <c r="R12" s="192"/>
      <c r="S12" s="192"/>
      <c r="T12" s="192"/>
      <c r="U12" s="192"/>
      <c r="V12" s="192"/>
      <c r="W12" s="192"/>
      <c r="X12" s="192"/>
      <c r="Y12" s="192"/>
      <c r="Z12" s="192"/>
      <c r="AA12" s="192"/>
      <c r="AB12" s="192"/>
      <c r="AC12" s="192"/>
      <c r="AD12" s="192"/>
      <c r="AE12" s="192"/>
    </row>
    <row r="13" hidden="1">
      <c r="A13" s="1"/>
      <c r="B13" s="1"/>
      <c r="C13" s="1"/>
      <c r="D13" s="1"/>
      <c r="E13" s="192"/>
      <c r="F13" s="1"/>
      <c r="G13" s="1"/>
      <c r="H13" s="1"/>
      <c r="I13" s="1"/>
      <c r="J13" s="1"/>
      <c r="K13" s="192"/>
      <c r="L13" s="1"/>
      <c r="M13" s="1"/>
      <c r="N13" s="1"/>
      <c r="O13" s="1"/>
      <c r="P13" s="192"/>
      <c r="Q13" s="192"/>
      <c r="R13" s="192"/>
      <c r="S13" s="192"/>
      <c r="T13" s="192"/>
      <c r="U13" s="192"/>
      <c r="V13" s="192"/>
      <c r="W13" s="192"/>
      <c r="X13" s="192"/>
      <c r="Y13" s="192"/>
      <c r="Z13" s="192"/>
      <c r="AA13" s="192"/>
      <c r="AB13" s="192"/>
      <c r="AC13" s="192"/>
      <c r="AD13" s="192"/>
      <c r="AE13" s="192"/>
    </row>
    <row r="14" hidden="1">
      <c r="A14" s="1"/>
      <c r="B14" s="1"/>
      <c r="C14" s="193"/>
      <c r="D14" s="1"/>
      <c r="E14" s="192"/>
      <c r="F14" s="1"/>
      <c r="G14" s="1"/>
      <c r="H14" s="1"/>
      <c r="I14" s="1"/>
      <c r="J14" s="1"/>
      <c r="K14" s="192"/>
      <c r="L14" s="1"/>
      <c r="M14" s="1"/>
      <c r="N14" s="1"/>
      <c r="O14" s="1"/>
      <c r="P14" s="192"/>
      <c r="Q14" s="192"/>
      <c r="R14" s="192"/>
      <c r="S14" s="192"/>
      <c r="T14" s="192"/>
      <c r="U14" s="192"/>
      <c r="V14" s="192"/>
      <c r="W14" s="192"/>
      <c r="X14" s="192"/>
      <c r="Y14" s="192"/>
      <c r="Z14" s="192"/>
      <c r="AA14" s="192"/>
      <c r="AB14" s="192"/>
      <c r="AC14" s="192"/>
      <c r="AD14" s="192"/>
      <c r="AE14" s="192"/>
    </row>
    <row r="15" hidden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</row>
    <row r="16" hidden="1">
      <c r="A16" s="1"/>
      <c r="B16" s="1"/>
      <c r="C16" s="193"/>
      <c r="D16" s="1"/>
      <c r="E16" s="192"/>
      <c r="F16" s="1"/>
      <c r="G16" s="1"/>
      <c r="H16" s="1"/>
      <c r="I16" s="1"/>
      <c r="J16" s="1"/>
      <c r="K16" s="192"/>
      <c r="L16" s="1"/>
      <c r="M16" s="1"/>
      <c r="N16" s="1"/>
      <c r="O16" s="1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92"/>
      <c r="AC16" s="192"/>
      <c r="AD16" s="192"/>
      <c r="AE16" s="192"/>
    </row>
    <row r="17" hidden="1">
      <c r="A17" s="1"/>
      <c r="B17" s="1"/>
      <c r="C17" s="193"/>
      <c r="D17" s="1"/>
      <c r="E17" s="192"/>
      <c r="F17" s="1"/>
      <c r="G17" s="1"/>
      <c r="H17" s="1"/>
      <c r="I17" s="1"/>
      <c r="J17" s="1"/>
      <c r="K17" s="192"/>
      <c r="L17" s="1"/>
      <c r="M17" s="1"/>
      <c r="N17" s="1"/>
      <c r="O17" s="1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92"/>
      <c r="AC17" s="192"/>
      <c r="AD17" s="192"/>
      <c r="AE17" s="192"/>
    </row>
    <row r="18" hidden="1">
      <c r="A18" s="1"/>
      <c r="B18" s="1"/>
      <c r="C18" s="193"/>
      <c r="D18" s="1"/>
      <c r="E18" s="192"/>
      <c r="F18" s="1"/>
      <c r="G18" s="1"/>
      <c r="H18" s="1"/>
      <c r="I18" s="1"/>
      <c r="J18" s="1"/>
      <c r="K18" s="192"/>
      <c r="L18" s="1"/>
      <c r="M18" s="1"/>
      <c r="N18" s="1"/>
      <c r="O18" s="1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</row>
    <row r="19" hidden="1">
      <c r="A19" s="1"/>
      <c r="B19" s="1"/>
      <c r="C19" s="193"/>
      <c r="D19" s="1"/>
      <c r="E19" s="1"/>
      <c r="F19" s="1"/>
      <c r="G19" s="1"/>
      <c r="H19" s="1"/>
      <c r="I19" s="1"/>
      <c r="J19" s="1"/>
      <c r="K19" s="192"/>
      <c r="L19" s="1"/>
      <c r="M19" s="1"/>
      <c r="N19" s="1"/>
      <c r="O19" s="1"/>
      <c r="P19" s="192"/>
      <c r="Q19" s="192"/>
      <c r="R19" s="192"/>
      <c r="S19" s="192"/>
      <c r="T19" s="192"/>
      <c r="U19" s="192"/>
      <c r="V19" s="192"/>
      <c r="W19" s="192"/>
      <c r="X19" s="192"/>
      <c r="Y19" s="192"/>
      <c r="Z19" s="192"/>
      <c r="AA19" s="192"/>
      <c r="AB19" s="192"/>
      <c r="AC19" s="192"/>
      <c r="AD19" s="192"/>
      <c r="AE19" s="192"/>
    </row>
    <row r="20" hidden="1">
      <c r="A20" s="1"/>
      <c r="B20" s="1"/>
      <c r="C20" s="193"/>
      <c r="D20" s="1"/>
      <c r="E20" s="192"/>
      <c r="F20" s="1"/>
      <c r="G20" s="1"/>
      <c r="H20" s="1"/>
      <c r="I20" s="1"/>
      <c r="J20" s="1"/>
      <c r="K20" s="192"/>
      <c r="L20" s="1"/>
      <c r="M20" s="1"/>
      <c r="N20" s="1"/>
      <c r="O20" s="1"/>
      <c r="P20" s="192"/>
      <c r="Q20" s="192"/>
      <c r="R20" s="192"/>
      <c r="S20" s="192"/>
      <c r="T20" s="192"/>
      <c r="U20" s="192"/>
      <c r="V20" s="192"/>
      <c r="W20" s="192"/>
      <c r="X20" s="192"/>
      <c r="Y20" s="192"/>
      <c r="Z20" s="192"/>
      <c r="AA20" s="192"/>
      <c r="AB20" s="192"/>
      <c r="AC20" s="192"/>
      <c r="AD20" s="192"/>
      <c r="AE20" s="192"/>
    </row>
    <row r="21" hidden="1">
      <c r="A21" s="1"/>
      <c r="B21" s="1"/>
      <c r="C21" s="193"/>
      <c r="D21" s="1"/>
      <c r="E21" s="1"/>
      <c r="F21" s="1"/>
      <c r="G21" s="1"/>
      <c r="H21" s="1"/>
      <c r="I21" s="1"/>
      <c r="J21" s="1"/>
      <c r="K21" s="192"/>
      <c r="L21" s="1"/>
      <c r="M21" s="1"/>
      <c r="N21" s="1"/>
      <c r="O21" s="1"/>
      <c r="P21" s="192"/>
      <c r="Q21" s="192"/>
      <c r="R21" s="192"/>
      <c r="S21" s="192"/>
      <c r="T21" s="192"/>
      <c r="U21" s="192"/>
      <c r="V21" s="192"/>
      <c r="W21" s="192"/>
      <c r="X21" s="192"/>
      <c r="Y21" s="192"/>
      <c r="Z21" s="192"/>
      <c r="AA21" s="192"/>
      <c r="AB21" s="192"/>
      <c r="AC21" s="192"/>
      <c r="AD21" s="192"/>
      <c r="AE21" s="192"/>
    </row>
    <row r="22" hidden="1">
      <c r="A22" s="1"/>
      <c r="B22" s="1"/>
      <c r="C22" s="193"/>
      <c r="D22" s="1"/>
      <c r="E22" s="192"/>
      <c r="F22" s="1"/>
      <c r="G22" s="1"/>
      <c r="H22" s="1"/>
      <c r="I22" s="1"/>
      <c r="J22" s="1"/>
      <c r="K22" s="192"/>
      <c r="L22" s="1"/>
      <c r="M22" s="1"/>
      <c r="N22" s="1"/>
      <c r="O22" s="1"/>
      <c r="P22" s="192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</row>
    <row r="23" hidden="1">
      <c r="A23" s="1"/>
      <c r="B23" s="1"/>
      <c r="C23" s="193"/>
      <c r="D23" s="1"/>
      <c r="E23" s="192"/>
      <c r="F23" s="1"/>
      <c r="G23" s="1"/>
      <c r="H23" s="1"/>
      <c r="I23" s="1"/>
      <c r="J23" s="1"/>
      <c r="K23" s="192"/>
      <c r="L23" s="1"/>
      <c r="M23" s="1"/>
      <c r="N23" s="1"/>
      <c r="O23" s="1"/>
      <c r="P23" s="192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</row>
    <row r="24" hidden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92"/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</row>
    <row r="25" hidden="1">
      <c r="A25" s="1"/>
      <c r="B25" s="1"/>
      <c r="C25" s="193"/>
      <c r="D25" s="1"/>
      <c r="E25" s="1"/>
      <c r="F25" s="1"/>
      <c r="G25" s="1"/>
      <c r="H25" s="1"/>
      <c r="I25" s="1"/>
      <c r="J25" s="1"/>
      <c r="K25" s="192"/>
      <c r="L25" s="1"/>
      <c r="M25" s="1"/>
      <c r="N25" s="1"/>
      <c r="O25" s="1"/>
      <c r="P25" s="192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</row>
    <row r="26" hidden="1">
      <c r="A26" s="1"/>
      <c r="B26" s="193"/>
      <c r="C26" s="193"/>
      <c r="D26" s="1"/>
      <c r="E26" s="1"/>
      <c r="F26" s="1"/>
      <c r="G26" s="1"/>
      <c r="H26" s="1"/>
      <c r="I26" s="1"/>
      <c r="J26" s="1"/>
      <c r="K26" s="192"/>
      <c r="L26" s="1"/>
      <c r="M26" s="1"/>
      <c r="N26" s="1"/>
      <c r="O26" s="1"/>
      <c r="P26" s="192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</row>
    <row r="27" hidden="1">
      <c r="A27" s="1"/>
      <c r="B27" s="1"/>
      <c r="C27" s="193"/>
      <c r="D27" s="1"/>
      <c r="E27" s="192"/>
      <c r="F27" s="1"/>
      <c r="G27" s="1"/>
      <c r="H27" s="1"/>
      <c r="I27" s="1"/>
      <c r="J27" s="1"/>
      <c r="K27" s="192"/>
      <c r="L27" s="1"/>
      <c r="M27" s="1"/>
      <c r="N27" s="1"/>
      <c r="O27" s="1"/>
      <c r="P27" s="192"/>
      <c r="Q27" s="192"/>
      <c r="R27" s="192"/>
      <c r="S27" s="192"/>
      <c r="T27" s="192"/>
      <c r="U27" s="192"/>
      <c r="V27" s="192"/>
      <c r="W27" s="192"/>
      <c r="X27" s="192"/>
      <c r="Y27" s="192"/>
      <c r="Z27" s="192"/>
      <c r="AA27" s="192"/>
      <c r="AB27" s="192"/>
      <c r="AC27" s="192"/>
      <c r="AD27" s="192"/>
      <c r="AE27" s="192"/>
    </row>
    <row r="28" hidden="1">
      <c r="A28" s="1"/>
      <c r="B28" s="1"/>
      <c r="C28" s="193"/>
      <c r="D28" s="1"/>
      <c r="E28" s="1"/>
      <c r="F28" s="1"/>
      <c r="G28" s="1"/>
      <c r="H28" s="1"/>
      <c r="I28" s="1"/>
      <c r="J28" s="1"/>
      <c r="K28" s="192"/>
      <c r="L28" s="1"/>
      <c r="M28" s="1"/>
      <c r="N28" s="1"/>
      <c r="O28" s="1"/>
      <c r="P28" s="192"/>
      <c r="Q28" s="192"/>
      <c r="R28" s="192"/>
      <c r="S28" s="192"/>
      <c r="T28" s="192"/>
      <c r="U28" s="192"/>
      <c r="V28" s="192"/>
      <c r="W28" s="192"/>
      <c r="X28" s="192"/>
      <c r="Y28" s="192"/>
      <c r="Z28" s="192"/>
      <c r="AA28" s="192"/>
      <c r="AB28" s="192"/>
      <c r="AC28" s="192"/>
      <c r="AD28" s="192"/>
      <c r="AE28" s="192"/>
    </row>
    <row r="29" hidden="1">
      <c r="A29" s="1"/>
      <c r="B29" s="1"/>
      <c r="C29" s="193"/>
      <c r="D29" s="1"/>
      <c r="E29" s="192"/>
      <c r="F29" s="1"/>
      <c r="G29" s="1"/>
      <c r="H29" s="1"/>
      <c r="I29" s="1"/>
      <c r="J29" s="1"/>
      <c r="K29" s="192"/>
      <c r="L29" s="1"/>
      <c r="M29" s="1"/>
      <c r="N29" s="1"/>
      <c r="O29" s="1"/>
      <c r="P29" s="192"/>
      <c r="Q29" s="192"/>
      <c r="R29" s="192"/>
      <c r="S29" s="192"/>
      <c r="T29" s="192"/>
      <c r="U29" s="192"/>
      <c r="V29" s="192"/>
      <c r="W29" s="192"/>
      <c r="X29" s="192"/>
      <c r="Y29" s="192"/>
      <c r="Z29" s="192"/>
      <c r="AA29" s="192"/>
      <c r="AB29" s="192"/>
      <c r="AC29" s="192"/>
      <c r="AD29" s="192"/>
      <c r="AE29" s="192"/>
    </row>
    <row r="30" hidden="1">
      <c r="A30" s="1"/>
      <c r="B30" s="1"/>
      <c r="C30" s="1"/>
      <c r="D30" s="1"/>
      <c r="E30" s="1"/>
      <c r="F30" s="1"/>
      <c r="G30" s="1"/>
      <c r="H30" s="1"/>
      <c r="I30" s="1"/>
      <c r="J30" s="1"/>
      <c r="K30" s="192"/>
      <c r="L30" s="1"/>
      <c r="M30" s="1"/>
      <c r="N30" s="1"/>
      <c r="O30" s="1"/>
      <c r="P30" s="192"/>
      <c r="Q30" s="192"/>
      <c r="R30" s="192"/>
      <c r="S30" s="192"/>
      <c r="T30" s="192"/>
      <c r="U30" s="192"/>
      <c r="V30" s="192"/>
      <c r="W30" s="192"/>
      <c r="X30" s="192"/>
      <c r="Y30" s="192"/>
      <c r="Z30" s="192"/>
      <c r="AA30" s="192"/>
      <c r="AB30" s="192"/>
      <c r="AC30" s="192"/>
      <c r="AD30" s="192"/>
      <c r="AE30" s="192"/>
    </row>
    <row r="31" hidden="1">
      <c r="A31" s="1"/>
      <c r="B31" s="1"/>
      <c r="C31" s="1"/>
      <c r="D31" s="1"/>
      <c r="E31" s="192"/>
      <c r="F31" s="1"/>
      <c r="G31" s="1"/>
      <c r="H31" s="1"/>
      <c r="I31" s="1"/>
      <c r="J31" s="1"/>
      <c r="K31" s="192"/>
      <c r="L31" s="1"/>
      <c r="M31" s="1"/>
      <c r="N31" s="1"/>
      <c r="O31" s="1"/>
      <c r="P31" s="192"/>
      <c r="Q31" s="192"/>
      <c r="R31" s="192"/>
      <c r="S31" s="192"/>
      <c r="T31" s="192"/>
      <c r="U31" s="192"/>
      <c r="V31" s="192"/>
      <c r="W31" s="192"/>
      <c r="X31" s="192"/>
      <c r="Y31" s="192"/>
      <c r="Z31" s="192"/>
      <c r="AA31" s="192"/>
      <c r="AB31" s="192"/>
      <c r="AC31" s="192"/>
      <c r="AD31" s="192"/>
      <c r="AE31" s="192"/>
    </row>
    <row r="32" hidden="1">
      <c r="A32" s="1"/>
      <c r="B32" s="1"/>
      <c r="C32" s="193"/>
      <c r="D32" s="1"/>
      <c r="E32" s="192"/>
      <c r="F32" s="1"/>
      <c r="G32" s="1"/>
      <c r="H32" s="1"/>
      <c r="I32" s="1"/>
      <c r="J32" s="1"/>
      <c r="K32" s="192"/>
      <c r="L32" s="1"/>
      <c r="M32" s="1"/>
      <c r="N32" s="1"/>
      <c r="O32" s="1"/>
      <c r="P32" s="192"/>
      <c r="Q32" s="192"/>
      <c r="R32" s="192"/>
      <c r="S32" s="192"/>
      <c r="T32" s="192"/>
      <c r="U32" s="192"/>
      <c r="V32" s="192"/>
      <c r="W32" s="192"/>
      <c r="X32" s="192"/>
      <c r="Y32" s="192"/>
      <c r="Z32" s="192"/>
      <c r="AA32" s="192"/>
      <c r="AB32" s="192"/>
      <c r="AC32" s="192"/>
      <c r="AD32" s="192"/>
      <c r="AE32" s="192"/>
    </row>
    <row r="33" hidden="1">
      <c r="A33" s="1"/>
      <c r="B33" s="1"/>
      <c r="C33" s="193"/>
      <c r="D33" s="1"/>
      <c r="E33" s="1"/>
      <c r="F33" s="1"/>
      <c r="G33" s="1"/>
      <c r="H33" s="1"/>
      <c r="I33" s="1"/>
      <c r="J33" s="1"/>
      <c r="K33" s="192"/>
      <c r="L33" s="1"/>
      <c r="M33" s="1"/>
      <c r="N33" s="1"/>
      <c r="O33" s="1"/>
      <c r="P33" s="192"/>
      <c r="Q33" s="192"/>
      <c r="R33" s="192"/>
      <c r="S33" s="192"/>
      <c r="T33" s="192"/>
      <c r="U33" s="192"/>
      <c r="V33" s="192"/>
      <c r="W33" s="192"/>
      <c r="X33" s="192"/>
      <c r="Y33" s="192"/>
      <c r="Z33" s="192"/>
      <c r="AA33" s="192"/>
      <c r="AB33" s="192"/>
      <c r="AC33" s="192"/>
      <c r="AD33" s="192"/>
      <c r="AE33" s="192"/>
    </row>
    <row r="34" hidden="1">
      <c r="A34" s="1"/>
      <c r="B34" s="1"/>
      <c r="C34" s="1"/>
      <c r="D34" s="1"/>
      <c r="E34" s="1"/>
      <c r="F34" s="1"/>
      <c r="G34" s="1"/>
      <c r="H34" s="1"/>
      <c r="I34" s="1"/>
      <c r="J34" s="1"/>
      <c r="K34" s="192"/>
      <c r="L34" s="1"/>
      <c r="M34" s="1"/>
      <c r="N34" s="1"/>
      <c r="O34" s="1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</row>
    <row r="35" hidden="1">
      <c r="A35" s="1"/>
      <c r="B35" s="1"/>
      <c r="C35" s="193"/>
      <c r="D35" s="1"/>
      <c r="E35" s="1"/>
      <c r="F35" s="1"/>
      <c r="G35" s="1"/>
      <c r="H35" s="1"/>
      <c r="I35" s="1"/>
      <c r="J35" s="1"/>
      <c r="K35" s="192"/>
      <c r="L35" s="1"/>
      <c r="M35" s="1"/>
      <c r="N35" s="1"/>
      <c r="O35" s="1"/>
      <c r="P35" s="192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</row>
    <row r="36" hidden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92"/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</row>
    <row r="37" hidden="1">
      <c r="A37" s="1"/>
      <c r="B37" s="1"/>
      <c r="C37" s="193"/>
      <c r="D37" s="1"/>
      <c r="E37" s="1"/>
      <c r="F37" s="1"/>
      <c r="G37" s="1"/>
      <c r="H37" s="1"/>
      <c r="I37" s="1"/>
      <c r="J37" s="1"/>
      <c r="K37" s="192"/>
      <c r="L37" s="1"/>
      <c r="M37" s="1"/>
      <c r="N37" s="1"/>
      <c r="O37" s="1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</row>
    <row r="38" hidden="1">
      <c r="A38" s="1"/>
      <c r="B38" s="1"/>
      <c r="C38" s="193"/>
      <c r="D38" s="1"/>
      <c r="E38" s="1"/>
      <c r="F38" s="1"/>
      <c r="G38" s="1"/>
      <c r="H38" s="1"/>
      <c r="I38" s="1"/>
      <c r="J38" s="1"/>
      <c r="K38" s="192"/>
      <c r="L38" s="1"/>
      <c r="M38" s="1"/>
      <c r="N38" s="1"/>
      <c r="O38" s="1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</row>
    <row r="39" hidden="1">
      <c r="A39" s="1"/>
      <c r="B39" s="1"/>
      <c r="C39" s="193"/>
      <c r="D39" s="1"/>
      <c r="E39" s="1"/>
      <c r="F39" s="1"/>
      <c r="G39" s="1"/>
      <c r="H39" s="1"/>
      <c r="I39" s="1"/>
      <c r="J39" s="1"/>
      <c r="K39" s="192"/>
      <c r="L39" s="1"/>
      <c r="M39" s="1"/>
      <c r="N39" s="1"/>
      <c r="O39" s="1"/>
      <c r="P39" s="192"/>
      <c r="Q39" s="192"/>
      <c r="R39" s="192"/>
      <c r="S39" s="192"/>
      <c r="T39" s="192"/>
      <c r="U39" s="192"/>
      <c r="V39" s="192"/>
      <c r="W39" s="192"/>
      <c r="X39" s="192"/>
      <c r="Y39" s="192"/>
      <c r="Z39" s="192"/>
      <c r="AA39" s="192"/>
      <c r="AB39" s="192"/>
      <c r="AC39" s="192"/>
      <c r="AD39" s="192"/>
      <c r="AE39" s="192"/>
    </row>
    <row r="40" hidden="1">
      <c r="A40" s="1"/>
      <c r="B40" s="1"/>
      <c r="C40" s="193"/>
      <c r="D40" s="1"/>
      <c r="E40" s="192"/>
      <c r="F40" s="1"/>
      <c r="G40" s="1"/>
      <c r="H40" s="1"/>
      <c r="I40" s="1"/>
      <c r="J40" s="1"/>
      <c r="K40" s="192"/>
      <c r="L40" s="1"/>
      <c r="M40" s="1"/>
      <c r="N40" s="1"/>
      <c r="O40" s="1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</row>
    <row r="41" hidden="1">
      <c r="A41" s="1"/>
      <c r="B41" s="1"/>
      <c r="C41" s="193"/>
      <c r="D41" s="1"/>
      <c r="E41" s="192"/>
      <c r="F41" s="1"/>
      <c r="G41" s="1"/>
      <c r="H41" s="1"/>
      <c r="I41" s="1"/>
      <c r="J41" s="1"/>
      <c r="K41" s="192"/>
      <c r="L41" s="1"/>
      <c r="M41" s="1"/>
      <c r="N41" s="1"/>
      <c r="O41" s="1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</row>
    <row r="42" hidden="1">
      <c r="A42" s="1"/>
      <c r="B42" s="193"/>
      <c r="C42" s="193"/>
      <c r="D42" s="1"/>
      <c r="E42" s="192"/>
      <c r="F42" s="1"/>
      <c r="G42" s="1"/>
      <c r="H42" s="1"/>
      <c r="I42" s="1"/>
      <c r="J42" s="1"/>
      <c r="K42" s="192"/>
      <c r="L42" s="1"/>
      <c r="M42" s="1"/>
      <c r="N42" s="1"/>
      <c r="O42" s="1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</row>
    <row r="43" hidden="1">
      <c r="A43" s="1"/>
      <c r="B43" s="1"/>
      <c r="C43" s="1"/>
      <c r="D43" s="1"/>
      <c r="E43" s="192"/>
      <c r="F43" s="1"/>
      <c r="G43" s="1"/>
      <c r="H43" s="1"/>
      <c r="I43" s="1"/>
      <c r="J43" s="1"/>
      <c r="K43" s="192"/>
      <c r="L43" s="1"/>
      <c r="M43" s="1"/>
      <c r="N43" s="1"/>
      <c r="O43" s="1"/>
      <c r="P43" s="192"/>
      <c r="Q43" s="192"/>
      <c r="R43" s="192"/>
      <c r="S43" s="192"/>
      <c r="T43" s="192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</row>
    <row r="44" hidden="1">
      <c r="A44" s="1"/>
      <c r="B44" s="1"/>
      <c r="C44" s="193"/>
      <c r="D44" s="1"/>
      <c r="E44" s="192"/>
      <c r="F44" s="1"/>
      <c r="G44" s="1"/>
      <c r="H44" s="1"/>
      <c r="I44" s="1"/>
      <c r="J44" s="1"/>
      <c r="K44" s="192"/>
      <c r="L44" s="1"/>
      <c r="M44" s="1"/>
      <c r="N44" s="1"/>
      <c r="O44" s="1"/>
      <c r="P44" s="192"/>
      <c r="Q44" s="192"/>
      <c r="R44" s="192"/>
      <c r="S44" s="192"/>
      <c r="T44" s="192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</row>
    <row r="45" hidden="1">
      <c r="A45" s="1"/>
      <c r="B45" s="193"/>
      <c r="C45" s="193"/>
      <c r="D45" s="1"/>
      <c r="E45" s="192"/>
      <c r="F45" s="1"/>
      <c r="G45" s="1"/>
      <c r="H45" s="1"/>
      <c r="I45" s="1"/>
      <c r="J45" s="1"/>
      <c r="K45" s="192"/>
      <c r="L45" s="1"/>
      <c r="M45" s="1"/>
      <c r="N45" s="1"/>
      <c r="O45" s="1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</row>
    <row r="46" hidden="1">
      <c r="A46" s="1"/>
      <c r="B46" s="1"/>
      <c r="C46" s="193"/>
      <c r="D46" s="1"/>
      <c r="E46" s="192"/>
      <c r="F46" s="1"/>
      <c r="G46" s="1"/>
      <c r="H46" s="1"/>
      <c r="I46" s="1"/>
      <c r="J46" s="1"/>
      <c r="K46" s="192"/>
      <c r="L46" s="1"/>
      <c r="M46" s="1"/>
      <c r="N46" s="1"/>
      <c r="O46" s="1"/>
      <c r="P46" s="192"/>
      <c r="Q46" s="192"/>
      <c r="R46" s="192"/>
      <c r="S46" s="192"/>
      <c r="T46" s="192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</row>
    <row r="47" hidden="1">
      <c r="A47" s="1"/>
      <c r="B47" s="1"/>
      <c r="C47" s="1"/>
      <c r="D47" s="1"/>
      <c r="E47" s="1"/>
      <c r="F47" s="1"/>
      <c r="G47" s="1"/>
      <c r="H47" s="1"/>
      <c r="I47" s="1"/>
      <c r="J47" s="1"/>
      <c r="K47" s="192"/>
      <c r="L47" s="1"/>
      <c r="M47" s="1"/>
      <c r="N47" s="1"/>
      <c r="O47" s="1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</row>
    <row r="48" hidden="1">
      <c r="A48" s="1"/>
      <c r="B48" s="1"/>
      <c r="C48" s="1"/>
      <c r="D48" s="1"/>
      <c r="E48" s="1"/>
      <c r="F48" s="1"/>
      <c r="G48" s="1"/>
      <c r="H48" s="1"/>
      <c r="I48" s="1"/>
      <c r="J48" s="1"/>
      <c r="K48" s="192"/>
      <c r="L48" s="1"/>
      <c r="M48" s="1"/>
      <c r="N48" s="1"/>
      <c r="O48" s="1"/>
      <c r="P48" s="192"/>
      <c r="Q48" s="192"/>
      <c r="R48" s="192"/>
      <c r="S48" s="192"/>
      <c r="T48" s="192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</row>
    <row r="49" hidden="1">
      <c r="A49" s="1"/>
      <c r="B49" s="193"/>
      <c r="C49" s="19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92"/>
      <c r="Q49" s="192"/>
      <c r="R49" s="192"/>
      <c r="S49" s="192"/>
      <c r="T49" s="192"/>
      <c r="U49" s="192"/>
      <c r="V49" s="192"/>
      <c r="W49" s="192"/>
      <c r="X49" s="192"/>
      <c r="Y49" s="192"/>
      <c r="Z49" s="192"/>
      <c r="AA49" s="192"/>
      <c r="AB49" s="192"/>
      <c r="AC49" s="192"/>
      <c r="AD49" s="192"/>
      <c r="AE49" s="192"/>
    </row>
    <row r="50" hidden="1">
      <c r="A50" s="1"/>
      <c r="B50" s="1"/>
      <c r="C50" s="1"/>
      <c r="D50" s="1"/>
      <c r="E50" s="1"/>
      <c r="F50" s="1"/>
      <c r="G50" s="1"/>
      <c r="H50" s="1"/>
      <c r="I50" s="1"/>
      <c r="J50" s="1"/>
      <c r="K50" s="192"/>
      <c r="L50" s="1"/>
      <c r="M50" s="1"/>
      <c r="N50" s="1"/>
      <c r="O50" s="1"/>
      <c r="P50" s="192"/>
      <c r="Q50" s="192"/>
      <c r="R50" s="192"/>
      <c r="S50" s="192"/>
      <c r="T50" s="192"/>
      <c r="U50" s="192"/>
      <c r="V50" s="192"/>
      <c r="W50" s="192"/>
      <c r="X50" s="192"/>
      <c r="Y50" s="192"/>
      <c r="Z50" s="192"/>
      <c r="AA50" s="192"/>
      <c r="AB50" s="192"/>
      <c r="AC50" s="192"/>
      <c r="AD50" s="192"/>
      <c r="AE50" s="192"/>
    </row>
    <row r="51" hidden="1">
      <c r="A51" s="1"/>
      <c r="B51" s="1"/>
      <c r="C51" s="193"/>
      <c r="D51" s="1"/>
      <c r="E51" s="1"/>
      <c r="F51" s="1"/>
      <c r="G51" s="1"/>
      <c r="H51" s="1"/>
      <c r="I51" s="1"/>
      <c r="J51" s="1"/>
      <c r="K51" s="192"/>
      <c r="L51" s="1"/>
      <c r="M51" s="1"/>
      <c r="N51" s="1"/>
      <c r="O51" s="1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</row>
    <row r="52" hidden="1">
      <c r="A52" s="1"/>
      <c r="B52" s="1"/>
      <c r="C52" s="193"/>
      <c r="D52" s="1"/>
      <c r="E52" s="192"/>
      <c r="F52" s="1"/>
      <c r="G52" s="1"/>
      <c r="H52" s="1"/>
      <c r="I52" s="1"/>
      <c r="J52" s="1"/>
      <c r="K52" s="192"/>
      <c r="L52" s="1"/>
      <c r="M52" s="1"/>
      <c r="N52" s="1"/>
      <c r="O52" s="1"/>
      <c r="P52" s="192"/>
      <c r="Q52" s="192"/>
      <c r="R52" s="192"/>
      <c r="S52" s="192"/>
      <c r="T52" s="192"/>
      <c r="U52" s="192"/>
      <c r="V52" s="192"/>
      <c r="W52" s="192"/>
      <c r="X52" s="192"/>
      <c r="Y52" s="192"/>
      <c r="Z52" s="192"/>
      <c r="AA52" s="192"/>
      <c r="AB52" s="192"/>
      <c r="AC52" s="192"/>
      <c r="AD52" s="192"/>
      <c r="AE52" s="192"/>
    </row>
    <row r="53" hidden="1">
      <c r="A53" s="1"/>
      <c r="B53" s="1"/>
      <c r="C53" s="19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92"/>
      <c r="Q53" s="192"/>
      <c r="R53" s="192"/>
      <c r="S53" s="192"/>
      <c r="T53" s="192"/>
      <c r="U53" s="192"/>
      <c r="V53" s="192"/>
      <c r="W53" s="192"/>
      <c r="X53" s="192"/>
      <c r="Y53" s="192"/>
      <c r="Z53" s="192"/>
      <c r="AA53" s="192"/>
      <c r="AB53" s="192"/>
      <c r="AC53" s="192"/>
      <c r="AD53" s="192"/>
      <c r="AE53" s="192"/>
    </row>
    <row r="54" hidden="1">
      <c r="A54" s="1"/>
      <c r="B54" s="1"/>
      <c r="C54" s="193"/>
      <c r="D54" s="1"/>
      <c r="E54" s="1"/>
      <c r="F54" s="1"/>
      <c r="G54" s="1"/>
      <c r="H54" s="1"/>
      <c r="I54" s="1"/>
      <c r="J54" s="1"/>
      <c r="K54" s="192"/>
      <c r="L54" s="1"/>
      <c r="M54" s="1"/>
      <c r="N54" s="1"/>
      <c r="O54" s="1"/>
      <c r="P54" s="192"/>
      <c r="Q54" s="192"/>
      <c r="R54" s="192"/>
      <c r="S54" s="192"/>
      <c r="T54" s="192"/>
      <c r="U54" s="192"/>
      <c r="V54" s="192"/>
      <c r="W54" s="192"/>
      <c r="X54" s="192"/>
      <c r="Y54" s="192"/>
      <c r="Z54" s="192"/>
      <c r="AA54" s="192"/>
      <c r="AB54" s="192"/>
      <c r="AC54" s="192"/>
      <c r="AD54" s="192"/>
      <c r="AE54" s="192"/>
    </row>
    <row r="55" hidden="1">
      <c r="A55" s="1"/>
      <c r="B55" s="1"/>
      <c r="C55" s="1"/>
      <c r="D55" s="1"/>
      <c r="E55" s="1"/>
      <c r="F55" s="1"/>
      <c r="G55" s="1"/>
      <c r="H55" s="1"/>
      <c r="I55" s="1"/>
      <c r="J55" s="1"/>
      <c r="K55" s="192"/>
      <c r="L55" s="1"/>
      <c r="M55" s="1"/>
      <c r="N55" s="1"/>
      <c r="O55" s="1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</row>
    <row r="56" hidden="1">
      <c r="A56" s="1"/>
      <c r="B56" s="1"/>
      <c r="C56" s="1"/>
      <c r="D56" s="1"/>
      <c r="E56" s="1"/>
      <c r="F56" s="1"/>
      <c r="G56" s="1"/>
      <c r="H56" s="1"/>
      <c r="I56" s="1"/>
      <c r="J56" s="1"/>
      <c r="K56" s="192"/>
      <c r="L56" s="1"/>
      <c r="M56" s="1"/>
      <c r="N56" s="1"/>
      <c r="O56" s="1"/>
      <c r="P56" s="192"/>
      <c r="Q56" s="192"/>
      <c r="R56" s="192"/>
      <c r="S56" s="192"/>
      <c r="T56" s="192"/>
      <c r="U56" s="192"/>
      <c r="V56" s="192"/>
      <c r="W56" s="192"/>
      <c r="X56" s="192"/>
      <c r="Y56" s="192"/>
      <c r="Z56" s="192"/>
      <c r="AA56" s="192"/>
      <c r="AB56" s="192"/>
      <c r="AC56" s="192"/>
      <c r="AD56" s="192"/>
      <c r="AE56" s="192"/>
    </row>
    <row r="57" hidden="1">
      <c r="A57" s="1"/>
      <c r="B57" s="1"/>
      <c r="C57" s="193"/>
      <c r="D57" s="1"/>
      <c r="E57" s="1"/>
      <c r="F57" s="1"/>
      <c r="G57" s="1"/>
      <c r="H57" s="1"/>
      <c r="I57" s="1"/>
      <c r="J57" s="1"/>
      <c r="K57" s="192"/>
      <c r="L57" s="1"/>
      <c r="M57" s="1"/>
      <c r="N57" s="1"/>
      <c r="O57" s="1"/>
      <c r="P57" s="192"/>
      <c r="Q57" s="192"/>
      <c r="R57" s="192"/>
      <c r="S57" s="192"/>
      <c r="T57" s="192"/>
      <c r="U57" s="192"/>
      <c r="V57" s="192"/>
      <c r="W57" s="192"/>
      <c r="X57" s="192"/>
      <c r="Y57" s="192"/>
      <c r="Z57" s="192"/>
      <c r="AA57" s="192"/>
      <c r="AB57" s="192"/>
      <c r="AC57" s="192"/>
      <c r="AD57" s="192"/>
      <c r="AE57" s="192"/>
    </row>
    <row r="58" hidden="1">
      <c r="A58" s="1"/>
      <c r="B58" s="1"/>
      <c r="C58" s="193"/>
      <c r="D58" s="1"/>
      <c r="E58" s="1"/>
      <c r="F58" s="1"/>
      <c r="G58" s="1"/>
      <c r="H58" s="1"/>
      <c r="I58" s="1"/>
      <c r="J58" s="1"/>
      <c r="K58" s="192"/>
      <c r="L58" s="1"/>
      <c r="M58" s="1"/>
      <c r="N58" s="1"/>
      <c r="O58" s="1"/>
      <c r="P58" s="192"/>
      <c r="Q58" s="192"/>
      <c r="R58" s="192"/>
      <c r="S58" s="192"/>
      <c r="T58" s="192"/>
      <c r="U58" s="192"/>
      <c r="V58" s="192"/>
      <c r="W58" s="192"/>
      <c r="X58" s="192"/>
      <c r="Y58" s="192"/>
      <c r="Z58" s="192"/>
      <c r="AA58" s="192"/>
      <c r="AB58" s="192"/>
      <c r="AC58" s="192"/>
      <c r="AD58" s="192"/>
      <c r="AE58" s="192"/>
    </row>
    <row r="59" hidden="1">
      <c r="A59" s="1"/>
      <c r="B59" s="1"/>
      <c r="C59" s="193"/>
      <c r="D59" s="1"/>
      <c r="E59" s="192"/>
      <c r="F59" s="1"/>
      <c r="G59" s="1"/>
      <c r="H59" s="1"/>
      <c r="I59" s="1"/>
      <c r="J59" s="1"/>
      <c r="K59" s="192"/>
      <c r="L59" s="1"/>
      <c r="M59" s="1"/>
      <c r="N59" s="1"/>
      <c r="O59" s="1"/>
      <c r="P59" s="192"/>
      <c r="Q59" s="192"/>
      <c r="R59" s="192"/>
      <c r="S59" s="192"/>
      <c r="T59" s="192"/>
      <c r="U59" s="192"/>
      <c r="V59" s="192"/>
      <c r="W59" s="192"/>
      <c r="X59" s="192"/>
      <c r="Y59" s="192"/>
      <c r="Z59" s="192"/>
      <c r="AA59" s="192"/>
      <c r="AB59" s="192"/>
      <c r="AC59" s="192"/>
      <c r="AD59" s="192"/>
      <c r="AE59" s="192"/>
    </row>
    <row r="60" hidden="1">
      <c r="A60" s="1"/>
      <c r="B60" s="193"/>
      <c r="C60" s="193"/>
      <c r="D60" s="1"/>
      <c r="E60" s="192"/>
      <c r="F60" s="1"/>
      <c r="G60" s="1"/>
      <c r="H60" s="1"/>
      <c r="I60" s="1"/>
      <c r="J60" s="1"/>
      <c r="K60" s="192"/>
      <c r="L60" s="1"/>
      <c r="M60" s="1"/>
      <c r="N60" s="1"/>
      <c r="O60" s="1"/>
      <c r="P60" s="192"/>
      <c r="Q60" s="192"/>
      <c r="R60" s="192"/>
      <c r="S60" s="192"/>
      <c r="T60" s="192"/>
      <c r="U60" s="192"/>
      <c r="V60" s="192"/>
      <c r="W60" s="192"/>
      <c r="X60" s="192"/>
      <c r="Y60" s="192"/>
      <c r="Z60" s="192"/>
      <c r="AA60" s="192"/>
      <c r="AB60" s="192"/>
      <c r="AC60" s="192"/>
      <c r="AD60" s="192"/>
      <c r="AE60" s="192"/>
    </row>
    <row r="61" hidden="1">
      <c r="A61" s="1"/>
      <c r="B61" s="1"/>
      <c r="C61" s="193"/>
      <c r="D61" s="1"/>
      <c r="E61" s="1"/>
      <c r="F61" s="1"/>
      <c r="G61" s="1"/>
      <c r="H61" s="1"/>
      <c r="I61" s="1"/>
      <c r="J61" s="1"/>
      <c r="K61" s="192"/>
      <c r="L61" s="1"/>
      <c r="M61" s="1"/>
      <c r="N61" s="1"/>
      <c r="O61" s="1"/>
      <c r="P61" s="192"/>
      <c r="Q61" s="192"/>
      <c r="R61" s="192"/>
      <c r="S61" s="192"/>
      <c r="T61" s="192"/>
      <c r="U61" s="192"/>
      <c r="V61" s="192"/>
      <c r="W61" s="192"/>
      <c r="X61" s="192"/>
      <c r="Y61" s="192"/>
      <c r="Z61" s="192"/>
      <c r="AA61" s="192"/>
      <c r="AB61" s="192"/>
      <c r="AC61" s="192"/>
      <c r="AD61" s="192"/>
      <c r="AE61" s="192"/>
    </row>
    <row r="62" hidden="1">
      <c r="A62" s="1"/>
      <c r="B62" s="1"/>
      <c r="C62" s="193"/>
      <c r="D62" s="1"/>
      <c r="E62" s="1"/>
      <c r="F62" s="1"/>
      <c r="G62" s="1"/>
      <c r="H62" s="1"/>
      <c r="I62" s="1"/>
      <c r="J62" s="1"/>
      <c r="K62" s="192"/>
      <c r="L62" s="1"/>
      <c r="M62" s="1"/>
      <c r="N62" s="1"/>
      <c r="O62" s="1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92"/>
      <c r="AA62" s="192"/>
      <c r="AB62" s="192"/>
      <c r="AC62" s="192"/>
      <c r="AD62" s="192"/>
      <c r="AE62" s="192"/>
    </row>
    <row r="63" hidden="1">
      <c r="A63" s="1"/>
      <c r="B63" s="1"/>
      <c r="C63" s="193"/>
      <c r="D63" s="1"/>
      <c r="E63" s="1"/>
      <c r="F63" s="1"/>
      <c r="G63" s="1"/>
      <c r="H63" s="1"/>
      <c r="I63" s="1"/>
      <c r="J63" s="1"/>
      <c r="K63" s="192"/>
      <c r="L63" s="1"/>
      <c r="M63" s="1"/>
      <c r="N63" s="1"/>
      <c r="O63" s="1"/>
      <c r="P63" s="192"/>
      <c r="Q63" s="192"/>
      <c r="R63" s="192"/>
      <c r="S63" s="192"/>
      <c r="T63" s="192"/>
      <c r="U63" s="192"/>
      <c r="V63" s="192"/>
      <c r="W63" s="192"/>
      <c r="X63" s="192"/>
      <c r="Y63" s="192"/>
      <c r="Z63" s="192"/>
      <c r="AA63" s="192"/>
      <c r="AB63" s="192"/>
      <c r="AC63" s="192"/>
      <c r="AD63" s="192"/>
      <c r="AE63" s="192"/>
    </row>
    <row r="64" hidden="1">
      <c r="A64" s="1"/>
      <c r="B64" s="1"/>
      <c r="C64" s="19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92"/>
      <c r="Q64" s="192"/>
      <c r="R64" s="192"/>
      <c r="S64" s="192"/>
      <c r="T64" s="192"/>
      <c r="U64" s="192"/>
      <c r="V64" s="192"/>
      <c r="W64" s="192"/>
      <c r="X64" s="192"/>
      <c r="Y64" s="192"/>
      <c r="Z64" s="192"/>
      <c r="AA64" s="192"/>
      <c r="AB64" s="192"/>
      <c r="AC64" s="192"/>
      <c r="AD64" s="192"/>
      <c r="AE64" s="192"/>
    </row>
    <row r="65" hidden="1">
      <c r="A65" s="1"/>
      <c r="B65" s="1"/>
      <c r="C65" s="193"/>
      <c r="D65" s="1"/>
      <c r="E65" s="192"/>
      <c r="F65" s="1"/>
      <c r="G65" s="1"/>
      <c r="H65" s="1"/>
      <c r="I65" s="1"/>
      <c r="J65" s="1"/>
      <c r="K65" s="192"/>
      <c r="L65" s="1"/>
      <c r="M65" s="1"/>
      <c r="N65" s="1"/>
      <c r="O65" s="1"/>
      <c r="P65" s="192"/>
      <c r="Q65" s="192"/>
      <c r="R65" s="192"/>
      <c r="S65" s="192"/>
      <c r="T65" s="192"/>
      <c r="U65" s="192"/>
      <c r="V65" s="192"/>
      <c r="W65" s="192"/>
      <c r="X65" s="192"/>
      <c r="Y65" s="192"/>
      <c r="Z65" s="192"/>
      <c r="AA65" s="192"/>
      <c r="AB65" s="192"/>
      <c r="AC65" s="192"/>
      <c r="AD65" s="192"/>
      <c r="AE65" s="192"/>
    </row>
    <row r="66" hidden="1">
      <c r="A66" s="1"/>
      <c r="B66" s="1"/>
      <c r="C66" s="193"/>
      <c r="D66" s="1"/>
      <c r="E66" s="192"/>
      <c r="F66" s="1"/>
      <c r="G66" s="1"/>
      <c r="H66" s="1"/>
      <c r="I66" s="1"/>
      <c r="J66" s="1"/>
      <c r="K66" s="192"/>
      <c r="L66" s="1"/>
      <c r="M66" s="1"/>
      <c r="N66" s="1"/>
      <c r="O66" s="1"/>
      <c r="P66" s="192"/>
      <c r="Q66" s="192"/>
      <c r="R66" s="192"/>
      <c r="S66" s="192"/>
      <c r="T66" s="192"/>
      <c r="U66" s="192"/>
      <c r="V66" s="192"/>
      <c r="W66" s="192"/>
      <c r="X66" s="192"/>
      <c r="Y66" s="192"/>
      <c r="Z66" s="192"/>
      <c r="AA66" s="192"/>
      <c r="AB66" s="192"/>
      <c r="AC66" s="192"/>
      <c r="AD66" s="192"/>
      <c r="AE66" s="192"/>
    </row>
    <row r="67" hidden="1">
      <c r="A67" s="1"/>
      <c r="B67" s="1"/>
      <c r="C67" s="193"/>
      <c r="D67" s="1"/>
      <c r="E67" s="192"/>
      <c r="F67" s="1"/>
      <c r="G67" s="1"/>
      <c r="H67" s="1"/>
      <c r="I67" s="1"/>
      <c r="J67" s="1"/>
      <c r="K67" s="192"/>
      <c r="L67" s="1"/>
      <c r="M67" s="1"/>
      <c r="N67" s="1"/>
      <c r="O67" s="1"/>
      <c r="P67" s="192"/>
      <c r="Q67" s="192"/>
      <c r="R67" s="192"/>
      <c r="S67" s="192"/>
      <c r="T67" s="192"/>
      <c r="U67" s="192"/>
      <c r="V67" s="192"/>
      <c r="W67" s="192"/>
      <c r="X67" s="192"/>
      <c r="Y67" s="192"/>
      <c r="Z67" s="192"/>
      <c r="AA67" s="192"/>
      <c r="AB67" s="192"/>
      <c r="AC67" s="192"/>
      <c r="AD67" s="192"/>
      <c r="AE67" s="192"/>
    </row>
    <row r="68" hidden="1">
      <c r="A68" s="1"/>
      <c r="B68" s="1"/>
      <c r="C68" s="1"/>
      <c r="D68" s="1"/>
      <c r="E68" s="192"/>
      <c r="F68" s="1"/>
      <c r="G68" s="1"/>
      <c r="H68" s="1"/>
      <c r="I68" s="1"/>
      <c r="J68" s="1"/>
      <c r="K68" s="192"/>
      <c r="L68" s="1"/>
      <c r="M68" s="1"/>
      <c r="N68" s="1"/>
      <c r="O68" s="1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</row>
    <row r="69" hidden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92"/>
      <c r="Q69" s="192"/>
      <c r="R69" s="192"/>
      <c r="S69" s="192"/>
      <c r="T69" s="192"/>
      <c r="U69" s="192"/>
      <c r="V69" s="192"/>
      <c r="W69" s="192"/>
      <c r="X69" s="192"/>
      <c r="Y69" s="192"/>
      <c r="Z69" s="192"/>
      <c r="AA69" s="192"/>
      <c r="AB69" s="192"/>
      <c r="AC69" s="192"/>
      <c r="AD69" s="192"/>
      <c r="AE69" s="192"/>
    </row>
    <row r="70" hidden="1">
      <c r="A70" s="1"/>
      <c r="B70" s="1"/>
      <c r="C70" s="1"/>
      <c r="D70" s="1"/>
      <c r="E70" s="1"/>
      <c r="F70" s="1"/>
      <c r="G70" s="1"/>
      <c r="H70" s="1"/>
      <c r="I70" s="1"/>
      <c r="J70" s="1"/>
      <c r="K70" s="192"/>
      <c r="L70" s="1"/>
      <c r="M70" s="1"/>
      <c r="N70" s="1"/>
      <c r="O70" s="1"/>
      <c r="P70" s="192"/>
      <c r="Q70" s="192"/>
      <c r="R70" s="192"/>
      <c r="S70" s="192"/>
      <c r="T70" s="192"/>
      <c r="U70" s="192"/>
      <c r="V70" s="192"/>
      <c r="W70" s="192"/>
      <c r="X70" s="192"/>
      <c r="Y70" s="192"/>
      <c r="Z70" s="192"/>
      <c r="AA70" s="192"/>
      <c r="AB70" s="192"/>
      <c r="AC70" s="192"/>
      <c r="AD70" s="192"/>
      <c r="AE70" s="192"/>
    </row>
    <row r="71" hidden="1">
      <c r="A71" s="1"/>
      <c r="B71" s="1"/>
      <c r="C71" s="1"/>
      <c r="D71" s="1"/>
      <c r="E71" s="1"/>
      <c r="F71" s="1"/>
      <c r="G71" s="1"/>
      <c r="H71" s="1"/>
      <c r="I71" s="1"/>
      <c r="J71" s="1"/>
      <c r="K71" s="192"/>
      <c r="L71" s="1"/>
      <c r="M71" s="1"/>
      <c r="N71" s="1"/>
      <c r="O71" s="1"/>
      <c r="P71" s="192"/>
      <c r="Q71" s="192"/>
      <c r="R71" s="192"/>
      <c r="S71" s="192"/>
      <c r="T71" s="192"/>
      <c r="U71" s="192"/>
      <c r="V71" s="192"/>
      <c r="W71" s="192"/>
      <c r="X71" s="192"/>
      <c r="Y71" s="192"/>
      <c r="Z71" s="192"/>
      <c r="AA71" s="192"/>
      <c r="AB71" s="192"/>
      <c r="AC71" s="192"/>
      <c r="AD71" s="192"/>
      <c r="AE71" s="192"/>
    </row>
    <row r="72" hidden="1">
      <c r="A72" s="1"/>
      <c r="B72" s="1"/>
      <c r="C72" s="193"/>
      <c r="D72" s="1"/>
      <c r="E72" s="192"/>
      <c r="F72" s="1"/>
      <c r="G72" s="1"/>
      <c r="H72" s="1"/>
      <c r="I72" s="1"/>
      <c r="J72" s="1"/>
      <c r="K72" s="192"/>
      <c r="L72" s="1"/>
      <c r="M72" s="1"/>
      <c r="N72" s="1"/>
      <c r="O72" s="1"/>
      <c r="P72" s="192"/>
      <c r="Q72" s="192"/>
      <c r="R72" s="192"/>
      <c r="S72" s="192"/>
      <c r="T72" s="192"/>
      <c r="U72" s="192"/>
      <c r="V72" s="192"/>
      <c r="W72" s="192"/>
      <c r="X72" s="192"/>
      <c r="Y72" s="192"/>
      <c r="Z72" s="192"/>
      <c r="AA72" s="192"/>
      <c r="AB72" s="192"/>
      <c r="AC72" s="192"/>
      <c r="AD72" s="192"/>
      <c r="AE72" s="192"/>
    </row>
    <row r="73" hidden="1">
      <c r="A73" s="1"/>
      <c r="B73" s="193"/>
      <c r="C73" s="193"/>
      <c r="D73" s="1"/>
      <c r="E73" s="1"/>
      <c r="F73" s="1"/>
      <c r="G73" s="1"/>
      <c r="H73" s="1"/>
      <c r="I73" s="1"/>
      <c r="J73" s="1"/>
      <c r="K73" s="192"/>
      <c r="L73" s="1"/>
      <c r="M73" s="1"/>
      <c r="N73" s="1"/>
      <c r="O73" s="1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2"/>
      <c r="AB73" s="192"/>
      <c r="AC73" s="192"/>
      <c r="AD73" s="192"/>
      <c r="AE73" s="192"/>
    </row>
    <row r="74" hidden="1">
      <c r="A74" s="1"/>
      <c r="B74" s="1"/>
      <c r="C74" s="193"/>
      <c r="D74" s="1"/>
      <c r="E74" s="1"/>
      <c r="F74" s="1"/>
      <c r="G74" s="1"/>
      <c r="H74" s="1"/>
      <c r="I74" s="1"/>
      <c r="J74" s="1"/>
      <c r="K74" s="192"/>
      <c r="L74" s="1"/>
      <c r="M74" s="1"/>
      <c r="N74" s="1"/>
      <c r="O74" s="1"/>
      <c r="P74" s="192"/>
      <c r="Q74" s="192"/>
      <c r="R74" s="192"/>
      <c r="S74" s="192"/>
      <c r="T74" s="192"/>
      <c r="U74" s="192"/>
      <c r="V74" s="192"/>
      <c r="W74" s="192"/>
      <c r="X74" s="192"/>
      <c r="Y74" s="192"/>
      <c r="Z74" s="192"/>
      <c r="AA74" s="192"/>
      <c r="AB74" s="192"/>
      <c r="AC74" s="192"/>
      <c r="AD74" s="192"/>
      <c r="AE74" s="192"/>
    </row>
    <row r="75" hidden="1">
      <c r="A75" s="1"/>
      <c r="B75" s="1"/>
      <c r="C75" s="193"/>
      <c r="D75" s="1"/>
      <c r="E75" s="1"/>
      <c r="F75" s="1"/>
      <c r="G75" s="1"/>
      <c r="H75" s="1"/>
      <c r="I75" s="1"/>
      <c r="J75" s="1"/>
      <c r="K75" s="192"/>
      <c r="L75" s="1"/>
      <c r="M75" s="1"/>
      <c r="N75" s="1"/>
      <c r="O75" s="1"/>
      <c r="P75" s="192"/>
      <c r="Q75" s="192"/>
      <c r="R75" s="192"/>
      <c r="S75" s="192"/>
      <c r="T75" s="192"/>
      <c r="U75" s="192"/>
      <c r="V75" s="192"/>
      <c r="W75" s="192"/>
      <c r="X75" s="192"/>
      <c r="Y75" s="192"/>
      <c r="Z75" s="192"/>
      <c r="AA75" s="192"/>
      <c r="AB75" s="192"/>
      <c r="AC75" s="192"/>
      <c r="AD75" s="192"/>
      <c r="AE75" s="192"/>
    </row>
    <row r="76" hidden="1">
      <c r="A76" s="1"/>
      <c r="B76" s="1"/>
      <c r="C76" s="193"/>
      <c r="D76" s="1"/>
      <c r="E76" s="1"/>
      <c r="F76" s="1"/>
      <c r="G76" s="1"/>
      <c r="H76" s="1"/>
      <c r="I76" s="1"/>
      <c r="J76" s="1"/>
      <c r="K76" s="192"/>
      <c r="L76" s="1"/>
      <c r="M76" s="1"/>
      <c r="N76" s="1"/>
      <c r="O76" s="1"/>
      <c r="P76" s="192"/>
      <c r="Q76" s="192"/>
      <c r="R76" s="192"/>
      <c r="S76" s="192"/>
      <c r="T76" s="192"/>
      <c r="U76" s="192"/>
      <c r="V76" s="192"/>
      <c r="W76" s="192"/>
      <c r="X76" s="192"/>
      <c r="Y76" s="192"/>
      <c r="Z76" s="192"/>
      <c r="AA76" s="192"/>
      <c r="AB76" s="192"/>
      <c r="AC76" s="192"/>
      <c r="AD76" s="192"/>
      <c r="AE76" s="192"/>
    </row>
    <row r="77" hidden="1">
      <c r="A77" s="1"/>
      <c r="B77" s="1"/>
      <c r="C77" s="1"/>
      <c r="D77" s="1"/>
      <c r="E77" s="192"/>
      <c r="F77" s="1"/>
      <c r="G77" s="1"/>
      <c r="H77" s="1"/>
      <c r="I77" s="1"/>
      <c r="J77" s="1"/>
      <c r="K77" s="192"/>
      <c r="L77" s="1"/>
      <c r="M77" s="1"/>
      <c r="N77" s="1"/>
      <c r="O77" s="1"/>
      <c r="P77" s="192"/>
      <c r="Q77" s="192"/>
      <c r="R77" s="192"/>
      <c r="S77" s="192"/>
      <c r="T77" s="192"/>
      <c r="U77" s="192"/>
      <c r="V77" s="192"/>
      <c r="W77" s="192"/>
      <c r="X77" s="192"/>
      <c r="Y77" s="192"/>
      <c r="Z77" s="192"/>
      <c r="AA77" s="192"/>
      <c r="AB77" s="192"/>
      <c r="AC77" s="192"/>
      <c r="AD77" s="192"/>
      <c r="AE77" s="192"/>
    </row>
    <row r="78" hidden="1">
      <c r="A78" s="1"/>
      <c r="B78" s="1"/>
      <c r="C78" s="19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92"/>
      <c r="Q78" s="192"/>
      <c r="R78" s="192"/>
      <c r="S78" s="192"/>
      <c r="T78" s="192"/>
      <c r="U78" s="192"/>
      <c r="V78" s="192"/>
      <c r="W78" s="192"/>
      <c r="X78" s="192"/>
      <c r="Y78" s="192"/>
      <c r="Z78" s="192"/>
      <c r="AA78" s="192"/>
      <c r="AB78" s="192"/>
      <c r="AC78" s="192"/>
      <c r="AD78" s="192"/>
      <c r="AE78" s="192"/>
    </row>
    <row r="79" hidden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  <c r="AC79" s="192"/>
      <c r="AD79" s="192"/>
      <c r="AE79" s="192"/>
    </row>
    <row r="80" hidden="1">
      <c r="A80" s="1"/>
      <c r="B80" s="1"/>
      <c r="C80" s="193"/>
      <c r="D80" s="1"/>
      <c r="E80" s="1"/>
      <c r="F80" s="1"/>
      <c r="G80" s="1"/>
      <c r="H80" s="1"/>
      <c r="I80" s="1"/>
      <c r="J80" s="1"/>
      <c r="K80" s="192"/>
      <c r="L80" s="1"/>
      <c r="M80" s="1"/>
      <c r="N80" s="1"/>
      <c r="O80" s="1"/>
      <c r="P80" s="192"/>
      <c r="Q80" s="192"/>
      <c r="R80" s="192"/>
      <c r="S80" s="192"/>
      <c r="T80" s="192"/>
      <c r="U80" s="192"/>
      <c r="V80" s="192"/>
      <c r="W80" s="192"/>
      <c r="X80" s="192"/>
      <c r="Y80" s="192"/>
      <c r="Z80" s="192"/>
      <c r="AA80" s="192"/>
      <c r="AB80" s="192"/>
      <c r="AC80" s="192"/>
      <c r="AD80" s="192"/>
      <c r="AE80" s="192"/>
    </row>
    <row r="81" hidden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92"/>
      <c r="Q81" s="192"/>
      <c r="R81" s="192"/>
      <c r="S81" s="192"/>
      <c r="T81" s="192"/>
      <c r="U81" s="192"/>
      <c r="V81" s="192"/>
      <c r="W81" s="192"/>
      <c r="X81" s="192"/>
      <c r="Y81" s="192"/>
      <c r="Z81" s="192"/>
      <c r="AA81" s="192"/>
      <c r="AB81" s="192"/>
      <c r="AC81" s="192"/>
      <c r="AD81" s="192"/>
      <c r="AE81" s="192"/>
    </row>
    <row r="82" hidden="1">
      <c r="A82" s="1"/>
      <c r="B82" s="1"/>
      <c r="C82" s="19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92"/>
      <c r="Q82" s="192"/>
      <c r="R82" s="192"/>
      <c r="S82" s="192"/>
      <c r="T82" s="192"/>
      <c r="U82" s="192"/>
      <c r="V82" s="192"/>
      <c r="W82" s="192"/>
      <c r="X82" s="192"/>
      <c r="Y82" s="192"/>
      <c r="Z82" s="192"/>
      <c r="AA82" s="192"/>
      <c r="AB82" s="192"/>
      <c r="AC82" s="192"/>
      <c r="AD82" s="192"/>
      <c r="AE82" s="192"/>
    </row>
    <row r="83" hidden="1">
      <c r="A83" s="1"/>
      <c r="B83" s="1"/>
      <c r="C83" s="193"/>
      <c r="D83" s="1"/>
      <c r="E83" s="1"/>
      <c r="F83" s="1"/>
      <c r="G83" s="1"/>
      <c r="H83" s="1"/>
      <c r="I83" s="1"/>
      <c r="J83" s="1"/>
      <c r="K83" s="192"/>
      <c r="L83" s="1"/>
      <c r="M83" s="1"/>
      <c r="N83" s="1"/>
      <c r="O83" s="1"/>
      <c r="P83" s="192"/>
      <c r="Q83" s="192"/>
      <c r="R83" s="192"/>
      <c r="S83" s="192"/>
      <c r="T83" s="192"/>
      <c r="U83" s="192"/>
      <c r="V83" s="192"/>
      <c r="W83" s="192"/>
      <c r="X83" s="192"/>
      <c r="Y83" s="192"/>
      <c r="Z83" s="192"/>
      <c r="AA83" s="192"/>
      <c r="AB83" s="192"/>
      <c r="AC83" s="192"/>
      <c r="AD83" s="192"/>
      <c r="AE83" s="192"/>
    </row>
    <row r="84" hidden="1">
      <c r="A84" s="1"/>
      <c r="B84" s="1"/>
      <c r="C84" s="1"/>
      <c r="D84" s="1"/>
      <c r="E84" s="1"/>
      <c r="F84" s="1"/>
      <c r="G84" s="1"/>
      <c r="H84" s="1"/>
      <c r="I84" s="1"/>
      <c r="J84" s="1"/>
      <c r="K84" s="192"/>
      <c r="L84" s="1"/>
      <c r="M84" s="1"/>
      <c r="N84" s="1"/>
      <c r="O84" s="1"/>
      <c r="P84" s="192"/>
      <c r="Q84" s="192"/>
      <c r="R84" s="192"/>
      <c r="S84" s="192"/>
      <c r="T84" s="192"/>
      <c r="U84" s="192"/>
      <c r="V84" s="192"/>
      <c r="W84" s="192"/>
      <c r="X84" s="192"/>
      <c r="Y84" s="192"/>
      <c r="Z84" s="192"/>
      <c r="AA84" s="192"/>
      <c r="AB84" s="192"/>
      <c r="AC84" s="192"/>
      <c r="AD84" s="192"/>
      <c r="AE84" s="192"/>
    </row>
    <row r="85" hidden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92"/>
      <c r="Q85" s="192"/>
      <c r="R85" s="192"/>
      <c r="S85" s="192"/>
      <c r="T85" s="192"/>
      <c r="U85" s="192"/>
      <c r="V85" s="192"/>
      <c r="W85" s="192"/>
      <c r="X85" s="192"/>
      <c r="Y85" s="192"/>
      <c r="Z85" s="192"/>
      <c r="AA85" s="192"/>
      <c r="AB85" s="192"/>
      <c r="AC85" s="192"/>
      <c r="AD85" s="192"/>
      <c r="AE85" s="192"/>
    </row>
    <row r="86" hidden="1">
      <c r="A86" s="1"/>
      <c r="B86" s="1"/>
      <c r="C86" s="1"/>
      <c r="D86" s="1"/>
      <c r="E86" s="192"/>
      <c r="F86" s="1"/>
      <c r="G86" s="1"/>
      <c r="H86" s="1"/>
      <c r="I86" s="1"/>
      <c r="J86" s="1"/>
      <c r="K86" s="192"/>
      <c r="L86" s="1"/>
      <c r="M86" s="1"/>
      <c r="N86" s="1"/>
      <c r="O86" s="1"/>
      <c r="P86" s="192"/>
      <c r="Q86" s="192"/>
      <c r="R86" s="192"/>
      <c r="S86" s="192"/>
      <c r="T86" s="192"/>
      <c r="U86" s="192"/>
      <c r="V86" s="192"/>
      <c r="W86" s="192"/>
      <c r="X86" s="192"/>
      <c r="Y86" s="192"/>
      <c r="Z86" s="192"/>
      <c r="AA86" s="192"/>
      <c r="AB86" s="192"/>
      <c r="AC86" s="192"/>
      <c r="AD86" s="192"/>
      <c r="AE86" s="192"/>
    </row>
    <row r="87" hidden="1">
      <c r="A87" s="1"/>
      <c r="B87" s="1"/>
      <c r="C87" s="193"/>
      <c r="D87" s="1"/>
      <c r="E87" s="1"/>
      <c r="F87" s="1"/>
      <c r="G87" s="1"/>
      <c r="H87" s="1"/>
      <c r="I87" s="1"/>
      <c r="J87" s="1"/>
      <c r="K87" s="192"/>
      <c r="L87" s="1"/>
      <c r="M87" s="1"/>
      <c r="N87" s="1"/>
      <c r="O87" s="1"/>
      <c r="P87" s="192"/>
      <c r="Q87" s="192"/>
      <c r="R87" s="192"/>
      <c r="S87" s="192"/>
      <c r="T87" s="192"/>
      <c r="U87" s="192"/>
      <c r="V87" s="192"/>
      <c r="W87" s="192"/>
      <c r="X87" s="192"/>
      <c r="Y87" s="192"/>
      <c r="Z87" s="192"/>
      <c r="AA87" s="192"/>
      <c r="AB87" s="192"/>
      <c r="AC87" s="192"/>
      <c r="AD87" s="192"/>
      <c r="AE87" s="192"/>
    </row>
    <row r="88" hidden="1">
      <c r="A88" s="1"/>
      <c r="B88" s="1"/>
      <c r="C88" s="193"/>
      <c r="D88" s="1"/>
      <c r="E88" s="1"/>
      <c r="F88" s="1"/>
      <c r="G88" s="1"/>
      <c r="H88" s="1"/>
      <c r="I88" s="1"/>
      <c r="J88" s="1"/>
      <c r="K88" s="192"/>
      <c r="L88" s="1"/>
      <c r="M88" s="1"/>
      <c r="N88" s="1"/>
      <c r="O88" s="1"/>
      <c r="P88" s="192"/>
      <c r="Q88" s="192"/>
      <c r="R88" s="192"/>
      <c r="S88" s="192"/>
      <c r="T88" s="192"/>
      <c r="U88" s="192"/>
      <c r="V88" s="192"/>
      <c r="W88" s="192"/>
      <c r="X88" s="192"/>
      <c r="Y88" s="192"/>
      <c r="Z88" s="192"/>
      <c r="AA88" s="192"/>
      <c r="AB88" s="192"/>
      <c r="AC88" s="192"/>
      <c r="AD88" s="192"/>
      <c r="AE88" s="192"/>
    </row>
    <row r="89" hidden="1">
      <c r="A89" s="1"/>
      <c r="B89" s="1"/>
      <c r="C89" s="1"/>
      <c r="D89" s="1"/>
      <c r="E89" s="1"/>
      <c r="F89" s="1"/>
      <c r="G89" s="1"/>
      <c r="H89" s="1"/>
      <c r="I89" s="1"/>
      <c r="J89" s="1"/>
      <c r="K89" s="192"/>
      <c r="L89" s="1"/>
      <c r="M89" s="1"/>
      <c r="N89" s="1"/>
      <c r="O89" s="1"/>
      <c r="P89" s="192"/>
      <c r="Q89" s="192"/>
      <c r="R89" s="192"/>
      <c r="S89" s="192"/>
      <c r="T89" s="192"/>
      <c r="U89" s="192"/>
      <c r="V89" s="192"/>
      <c r="W89" s="192"/>
      <c r="X89" s="192"/>
      <c r="Y89" s="192"/>
      <c r="Z89" s="192"/>
      <c r="AA89" s="192"/>
      <c r="AB89" s="192"/>
      <c r="AC89" s="192"/>
      <c r="AD89" s="192"/>
      <c r="AE89" s="192"/>
    </row>
    <row r="90" hidden="1">
      <c r="A90" s="1"/>
      <c r="B90" s="1"/>
      <c r="C90" s="193"/>
      <c r="D90" s="1"/>
      <c r="E90" s="1"/>
      <c r="F90" s="1"/>
      <c r="G90" s="1"/>
      <c r="H90" s="1"/>
      <c r="I90" s="1"/>
      <c r="J90" s="1"/>
      <c r="K90" s="192"/>
      <c r="L90" s="1"/>
      <c r="M90" s="1"/>
      <c r="N90" s="1"/>
      <c r="O90" s="1"/>
      <c r="P90" s="192"/>
      <c r="Q90" s="192"/>
      <c r="R90" s="192"/>
      <c r="S90" s="192"/>
      <c r="T90" s="192"/>
      <c r="U90" s="192"/>
      <c r="V90" s="192"/>
      <c r="W90" s="192"/>
      <c r="X90" s="192"/>
      <c r="Y90" s="192"/>
      <c r="Z90" s="192"/>
      <c r="AA90" s="192"/>
      <c r="AB90" s="192"/>
      <c r="AC90" s="192"/>
      <c r="AD90" s="192"/>
      <c r="AE90" s="192"/>
    </row>
    <row r="91" hidden="1">
      <c r="A91" s="1"/>
      <c r="B91" s="1"/>
      <c r="C91" s="193"/>
      <c r="D91" s="1"/>
      <c r="E91" s="192"/>
      <c r="F91" s="1"/>
      <c r="G91" s="1"/>
      <c r="H91" s="1"/>
      <c r="I91" s="1"/>
      <c r="J91" s="1"/>
      <c r="K91" s="192"/>
      <c r="L91" s="1"/>
      <c r="M91" s="1"/>
      <c r="N91" s="1"/>
      <c r="O91" s="1"/>
      <c r="P91" s="192"/>
      <c r="Q91" s="192"/>
      <c r="R91" s="192"/>
      <c r="S91" s="192"/>
      <c r="T91" s="192"/>
      <c r="U91" s="192"/>
      <c r="V91" s="192"/>
      <c r="W91" s="192"/>
      <c r="X91" s="192"/>
      <c r="Y91" s="192"/>
      <c r="Z91" s="192"/>
      <c r="AA91" s="192"/>
      <c r="AB91" s="192"/>
      <c r="AC91" s="192"/>
      <c r="AD91" s="192"/>
      <c r="AE91" s="192"/>
    </row>
    <row r="92" hidden="1">
      <c r="A92" s="1"/>
      <c r="B92" s="1"/>
      <c r="C92" s="1"/>
      <c r="D92" s="1"/>
      <c r="E92" s="192"/>
      <c r="F92" s="1"/>
      <c r="G92" s="1"/>
      <c r="H92" s="1"/>
      <c r="I92" s="1"/>
      <c r="J92" s="1"/>
      <c r="K92" s="192"/>
      <c r="L92" s="1"/>
      <c r="M92" s="1"/>
      <c r="N92" s="1"/>
      <c r="O92" s="1"/>
      <c r="P92" s="192"/>
      <c r="Q92" s="192"/>
      <c r="R92" s="192"/>
      <c r="S92" s="192"/>
      <c r="T92" s="192"/>
      <c r="U92" s="192"/>
      <c r="V92" s="192"/>
      <c r="W92" s="192"/>
      <c r="X92" s="192"/>
      <c r="Y92" s="192"/>
      <c r="Z92" s="192"/>
      <c r="AA92" s="192"/>
      <c r="AB92" s="192"/>
      <c r="AC92" s="192"/>
      <c r="AD92" s="192"/>
      <c r="AE92" s="192"/>
    </row>
    <row r="93" hidden="1">
      <c r="A93" s="1"/>
      <c r="B93" s="1"/>
      <c r="C93" s="19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92"/>
      <c r="Q93" s="192"/>
      <c r="R93" s="192"/>
      <c r="S93" s="192"/>
      <c r="T93" s="192"/>
      <c r="U93" s="192"/>
      <c r="V93" s="192"/>
      <c r="W93" s="192"/>
      <c r="X93" s="192"/>
      <c r="Y93" s="192"/>
      <c r="Z93" s="192"/>
      <c r="AA93" s="192"/>
      <c r="AB93" s="192"/>
      <c r="AC93" s="192"/>
      <c r="AD93" s="192"/>
      <c r="AE93" s="192"/>
    </row>
    <row r="94" hidden="1">
      <c r="A94" s="1"/>
      <c r="B94" s="1"/>
      <c r="C94" s="19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92"/>
      <c r="Q94" s="192"/>
      <c r="R94" s="192"/>
      <c r="S94" s="192"/>
      <c r="T94" s="192"/>
      <c r="U94" s="192"/>
      <c r="V94" s="192"/>
      <c r="W94" s="192"/>
      <c r="X94" s="192"/>
      <c r="Y94" s="192"/>
      <c r="Z94" s="192"/>
      <c r="AA94" s="192"/>
      <c r="AB94" s="192"/>
      <c r="AC94" s="192"/>
      <c r="AD94" s="192"/>
      <c r="AE94" s="192"/>
    </row>
    <row r="95" hidden="1">
      <c r="A95" s="1"/>
      <c r="B95" s="1"/>
      <c r="C95" s="1"/>
      <c r="D95" s="1"/>
      <c r="E95" s="192"/>
      <c r="F95" s="1"/>
      <c r="G95" s="1"/>
      <c r="H95" s="1"/>
      <c r="I95" s="1"/>
      <c r="J95" s="1"/>
      <c r="K95" s="192"/>
      <c r="L95" s="1"/>
      <c r="M95" s="1"/>
      <c r="N95" s="1"/>
      <c r="O95" s="1"/>
      <c r="P95" s="192"/>
      <c r="Q95" s="192"/>
      <c r="R95" s="192"/>
      <c r="S95" s="192"/>
      <c r="T95" s="192"/>
      <c r="U95" s="192"/>
      <c r="V95" s="192"/>
      <c r="W95" s="192"/>
      <c r="X95" s="192"/>
      <c r="Y95" s="192"/>
      <c r="Z95" s="192"/>
      <c r="AA95" s="192"/>
      <c r="AB95" s="192"/>
      <c r="AC95" s="192"/>
      <c r="AD95" s="192"/>
      <c r="AE95" s="192"/>
    </row>
    <row r="96" hidden="1">
      <c r="A96" s="1"/>
      <c r="B96" s="1"/>
      <c r="C96" s="193"/>
      <c r="D96" s="1"/>
      <c r="E96" s="192"/>
      <c r="F96" s="1"/>
      <c r="G96" s="1"/>
      <c r="H96" s="1"/>
      <c r="I96" s="1"/>
      <c r="J96" s="1"/>
      <c r="K96" s="192"/>
      <c r="L96" s="1"/>
      <c r="M96" s="1"/>
      <c r="N96" s="1"/>
      <c r="O96" s="1"/>
      <c r="P96" s="192"/>
      <c r="Q96" s="192"/>
      <c r="R96" s="192"/>
      <c r="S96" s="192"/>
      <c r="T96" s="192"/>
      <c r="U96" s="192"/>
      <c r="V96" s="192"/>
      <c r="W96" s="192"/>
      <c r="X96" s="192"/>
      <c r="Y96" s="192"/>
      <c r="Z96" s="192"/>
      <c r="AA96" s="192"/>
      <c r="AB96" s="192"/>
      <c r="AC96" s="192"/>
      <c r="AD96" s="192"/>
      <c r="AE96" s="192"/>
    </row>
    <row r="97" hidden="1">
      <c r="A97" s="1"/>
      <c r="B97" s="1"/>
      <c r="C97" s="193"/>
      <c r="D97" s="1"/>
      <c r="E97" s="192"/>
      <c r="F97" s="1"/>
      <c r="G97" s="1"/>
      <c r="H97" s="1"/>
      <c r="I97" s="1"/>
      <c r="J97" s="1"/>
      <c r="K97" s="192"/>
      <c r="L97" s="1"/>
      <c r="M97" s="1"/>
      <c r="N97" s="1"/>
      <c r="O97" s="1"/>
      <c r="P97" s="192"/>
      <c r="Q97" s="192"/>
      <c r="R97" s="192"/>
      <c r="S97" s="192"/>
      <c r="T97" s="192"/>
      <c r="U97" s="192"/>
      <c r="V97" s="192"/>
      <c r="W97" s="192"/>
      <c r="X97" s="192"/>
      <c r="Y97" s="192"/>
      <c r="Z97" s="192"/>
      <c r="AA97" s="192"/>
      <c r="AB97" s="192"/>
      <c r="AC97" s="192"/>
      <c r="AD97" s="192"/>
      <c r="AE97" s="192"/>
    </row>
    <row r="98" hidden="1">
      <c r="A98" s="1"/>
      <c r="B98" s="1"/>
      <c r="C98" s="193"/>
      <c r="D98" s="1"/>
      <c r="E98" s="1"/>
      <c r="F98" s="1"/>
      <c r="G98" s="1"/>
      <c r="H98" s="1"/>
      <c r="I98" s="1"/>
      <c r="J98" s="1"/>
      <c r="K98" s="192"/>
      <c r="L98" s="1"/>
      <c r="M98" s="1"/>
      <c r="N98" s="1"/>
      <c r="O98" s="1"/>
      <c r="P98" s="192"/>
      <c r="Q98" s="192"/>
      <c r="R98" s="192"/>
      <c r="S98" s="192"/>
      <c r="T98" s="192"/>
      <c r="U98" s="192"/>
      <c r="V98" s="192"/>
      <c r="W98" s="192"/>
      <c r="X98" s="192"/>
      <c r="Y98" s="192"/>
      <c r="Z98" s="192"/>
      <c r="AA98" s="192"/>
      <c r="AB98" s="192"/>
      <c r="AC98" s="192"/>
      <c r="AD98" s="192"/>
      <c r="AE98" s="192"/>
    </row>
    <row r="99" hidden="1">
      <c r="A99" s="1"/>
      <c r="B99" s="1"/>
      <c r="C99" s="1"/>
      <c r="D99" s="1"/>
      <c r="E99" s="192"/>
      <c r="F99" s="1"/>
      <c r="G99" s="1"/>
      <c r="H99" s="1"/>
      <c r="I99" s="1"/>
      <c r="J99" s="1"/>
      <c r="K99" s="192"/>
      <c r="L99" s="1"/>
      <c r="M99" s="1"/>
      <c r="N99" s="1"/>
      <c r="O99" s="1"/>
      <c r="P99" s="192"/>
      <c r="Q99" s="192"/>
      <c r="R99" s="192"/>
      <c r="S99" s="192"/>
      <c r="T99" s="192"/>
      <c r="U99" s="192"/>
      <c r="V99" s="192"/>
      <c r="W99" s="192"/>
      <c r="X99" s="192"/>
      <c r="Y99" s="192"/>
      <c r="Z99" s="192"/>
      <c r="AA99" s="192"/>
      <c r="AB99" s="192"/>
      <c r="AC99" s="192"/>
      <c r="AD99" s="192"/>
      <c r="AE99" s="192"/>
    </row>
    <row r="100" hidden="1">
      <c r="A100" s="1"/>
      <c r="B100" s="1"/>
      <c r="C100" s="19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92"/>
      <c r="Q100" s="192"/>
      <c r="R100" s="192"/>
      <c r="S100" s="192"/>
      <c r="T100" s="192"/>
      <c r="U100" s="192"/>
      <c r="V100" s="192"/>
      <c r="W100" s="192"/>
      <c r="X100" s="192"/>
      <c r="Y100" s="192"/>
      <c r="Z100" s="192"/>
      <c r="AA100" s="192"/>
      <c r="AB100" s="192"/>
      <c r="AC100" s="192"/>
      <c r="AD100" s="192"/>
      <c r="AE100" s="192"/>
    </row>
    <row r="101" hidden="1">
      <c r="A101" s="1"/>
      <c r="B101" s="1"/>
      <c r="C101" s="193"/>
      <c r="D101" s="1"/>
      <c r="E101" s="1"/>
      <c r="F101" s="1"/>
      <c r="G101" s="1"/>
      <c r="H101" s="1"/>
      <c r="I101" s="1"/>
      <c r="J101" s="1"/>
      <c r="K101" s="192"/>
      <c r="L101" s="1"/>
      <c r="M101" s="1"/>
      <c r="N101" s="1"/>
      <c r="O101" s="1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/>
      <c r="AD101" s="192"/>
      <c r="AE101" s="192"/>
    </row>
    <row r="102" hidden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92"/>
      <c r="L102" s="1"/>
      <c r="M102" s="1"/>
      <c r="N102" s="1"/>
      <c r="O102" s="1"/>
      <c r="P102" s="192"/>
      <c r="Q102" s="192"/>
      <c r="R102" s="192"/>
      <c r="S102" s="192"/>
      <c r="T102" s="192"/>
      <c r="U102" s="192"/>
      <c r="V102" s="192"/>
      <c r="W102" s="192"/>
      <c r="X102" s="192"/>
      <c r="Y102" s="192"/>
      <c r="Z102" s="192"/>
      <c r="AA102" s="192"/>
      <c r="AB102" s="192"/>
      <c r="AC102" s="192"/>
      <c r="AD102" s="192"/>
      <c r="AE102" s="192"/>
    </row>
    <row r="103" hidden="1">
      <c r="A103" s="1"/>
      <c r="B103" s="1"/>
      <c r="C103" s="19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92"/>
      <c r="Q103" s="192"/>
      <c r="R103" s="192"/>
      <c r="S103" s="192"/>
      <c r="T103" s="192"/>
      <c r="U103" s="192"/>
      <c r="V103" s="192"/>
      <c r="W103" s="192"/>
      <c r="X103" s="192"/>
      <c r="Y103" s="192"/>
      <c r="Z103" s="192"/>
      <c r="AA103" s="192"/>
      <c r="AB103" s="192"/>
      <c r="AC103" s="192"/>
      <c r="AD103" s="192"/>
      <c r="AE103" s="192"/>
    </row>
    <row r="104" hidden="1">
      <c r="A104" s="1"/>
      <c r="B104" s="1"/>
      <c r="C104" s="193"/>
      <c r="D104" s="1"/>
      <c r="E104" s="1"/>
      <c r="F104" s="1"/>
      <c r="G104" s="1"/>
      <c r="H104" s="1"/>
      <c r="I104" s="1"/>
      <c r="J104" s="1"/>
      <c r="K104" s="192"/>
      <c r="L104" s="1"/>
      <c r="M104" s="1"/>
      <c r="N104" s="1"/>
      <c r="O104" s="1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/>
    </row>
    <row r="105" hidden="1">
      <c r="A105" s="1"/>
      <c r="B105" s="1"/>
      <c r="C105" s="19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92"/>
      <c r="Q105" s="192"/>
      <c r="R105" s="192"/>
      <c r="S105" s="192"/>
      <c r="T105" s="192"/>
      <c r="U105" s="192"/>
      <c r="V105" s="192"/>
      <c r="W105" s="192"/>
      <c r="X105" s="192"/>
      <c r="Y105" s="192"/>
      <c r="Z105" s="192"/>
      <c r="AA105" s="192"/>
      <c r="AB105" s="192"/>
      <c r="AC105" s="192"/>
      <c r="AD105" s="192"/>
      <c r="AE105" s="192"/>
    </row>
    <row r="106" hidden="1">
      <c r="A106" s="1"/>
      <c r="B106" s="1"/>
      <c r="C106" s="19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92"/>
      <c r="Q106" s="192"/>
      <c r="R106" s="192"/>
      <c r="S106" s="192"/>
      <c r="T106" s="192"/>
      <c r="U106" s="192"/>
      <c r="V106" s="192"/>
      <c r="W106" s="192"/>
      <c r="X106" s="192"/>
      <c r="Y106" s="192"/>
      <c r="Z106" s="192"/>
      <c r="AA106" s="192"/>
      <c r="AB106" s="192"/>
      <c r="AC106" s="192"/>
      <c r="AD106" s="192"/>
      <c r="AE106" s="192"/>
    </row>
    <row r="107" hidden="1">
      <c r="A107" s="1"/>
      <c r="B107" s="1"/>
      <c r="C107" s="1"/>
      <c r="D107" s="1"/>
      <c r="E107" s="192"/>
      <c r="F107" s="1"/>
      <c r="G107" s="1"/>
      <c r="H107" s="1"/>
      <c r="I107" s="1"/>
      <c r="J107" s="1"/>
      <c r="K107" s="192"/>
      <c r="L107" s="1"/>
      <c r="M107" s="1"/>
      <c r="N107" s="1"/>
      <c r="O107" s="1"/>
      <c r="P107" s="192"/>
      <c r="Q107" s="192"/>
      <c r="R107" s="192"/>
      <c r="S107" s="192"/>
      <c r="T107" s="192"/>
      <c r="U107" s="192"/>
      <c r="V107" s="192"/>
      <c r="W107" s="192"/>
      <c r="X107" s="192"/>
      <c r="Y107" s="192"/>
      <c r="Z107" s="192"/>
      <c r="AA107" s="192"/>
      <c r="AB107" s="192"/>
      <c r="AC107" s="192"/>
      <c r="AD107" s="192"/>
      <c r="AE107" s="192"/>
    </row>
    <row r="108" hidden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92"/>
      <c r="L108" s="1"/>
      <c r="M108" s="1"/>
      <c r="N108" s="1"/>
      <c r="O108" s="1"/>
      <c r="P108" s="192"/>
      <c r="Q108" s="192"/>
      <c r="R108" s="192"/>
      <c r="S108" s="192"/>
      <c r="T108" s="192"/>
      <c r="U108" s="192"/>
      <c r="V108" s="192"/>
      <c r="W108" s="192"/>
      <c r="X108" s="192"/>
      <c r="Y108" s="192"/>
      <c r="Z108" s="192"/>
      <c r="AA108" s="192"/>
      <c r="AB108" s="192"/>
      <c r="AC108" s="192"/>
      <c r="AD108" s="192"/>
      <c r="AE108" s="192"/>
    </row>
    <row r="109" hidden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92"/>
      <c r="L109" s="1"/>
      <c r="M109" s="1"/>
      <c r="N109" s="1"/>
      <c r="O109" s="1"/>
      <c r="P109" s="192"/>
      <c r="Q109" s="192"/>
      <c r="R109" s="192"/>
      <c r="S109" s="192"/>
      <c r="T109" s="192"/>
      <c r="U109" s="192"/>
      <c r="V109" s="192"/>
      <c r="W109" s="192"/>
      <c r="X109" s="192"/>
      <c r="Y109" s="192"/>
      <c r="Z109" s="192"/>
      <c r="AA109" s="192"/>
      <c r="AB109" s="192"/>
      <c r="AC109" s="192"/>
      <c r="AD109" s="192"/>
      <c r="AE109" s="192"/>
    </row>
    <row r="110" hidden="1">
      <c r="A110" s="1"/>
      <c r="B110" s="1"/>
      <c r="C110" s="19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92"/>
      <c r="Q110" s="192"/>
      <c r="R110" s="192"/>
      <c r="S110" s="192"/>
      <c r="T110" s="192"/>
      <c r="U110" s="192"/>
      <c r="V110" s="192"/>
      <c r="W110" s="192"/>
      <c r="X110" s="192"/>
      <c r="Y110" s="192"/>
      <c r="Z110" s="192"/>
      <c r="AA110" s="192"/>
      <c r="AB110" s="192"/>
      <c r="AC110" s="192"/>
      <c r="AD110" s="192"/>
      <c r="AE110" s="192"/>
    </row>
    <row r="111" hidden="1">
      <c r="A111" s="1"/>
      <c r="B111" s="1"/>
      <c r="C111" s="193"/>
      <c r="D111" s="1"/>
      <c r="E111" s="192"/>
      <c r="F111" s="1"/>
      <c r="G111" s="1"/>
      <c r="H111" s="1"/>
      <c r="I111" s="1"/>
      <c r="J111" s="1"/>
      <c r="K111" s="192"/>
      <c r="L111" s="1"/>
      <c r="M111" s="1"/>
      <c r="N111" s="1"/>
      <c r="O111" s="1"/>
      <c r="P111" s="192"/>
      <c r="Q111" s="192"/>
      <c r="R111" s="192"/>
      <c r="S111" s="192"/>
      <c r="T111" s="192"/>
      <c r="U111" s="192"/>
      <c r="V111" s="192"/>
      <c r="W111" s="192"/>
      <c r="X111" s="192"/>
      <c r="Y111" s="192"/>
      <c r="Z111" s="192"/>
      <c r="AA111" s="192"/>
      <c r="AB111" s="192"/>
      <c r="AC111" s="192"/>
      <c r="AD111" s="192"/>
      <c r="AE111" s="192"/>
    </row>
    <row r="112" hidden="1">
      <c r="A112" s="1"/>
      <c r="B112" s="1"/>
      <c r="C112" s="193"/>
      <c r="D112" s="1"/>
      <c r="E112" s="192"/>
      <c r="F112" s="1"/>
      <c r="G112" s="1"/>
      <c r="H112" s="1"/>
      <c r="I112" s="1"/>
      <c r="J112" s="1"/>
      <c r="K112" s="192"/>
      <c r="L112" s="1"/>
      <c r="M112" s="1"/>
      <c r="N112" s="1"/>
      <c r="O112" s="1"/>
      <c r="P112" s="192"/>
      <c r="Q112" s="192"/>
      <c r="R112" s="192"/>
      <c r="S112" s="192"/>
      <c r="T112" s="192"/>
      <c r="U112" s="192"/>
      <c r="V112" s="192"/>
      <c r="W112" s="192"/>
      <c r="X112" s="192"/>
      <c r="Y112" s="192"/>
      <c r="Z112" s="192"/>
      <c r="AA112" s="192"/>
      <c r="AB112" s="192"/>
      <c r="AC112" s="192"/>
      <c r="AD112" s="192"/>
      <c r="AE112" s="192"/>
    </row>
    <row r="113" hidden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92"/>
      <c r="Q113" s="192"/>
      <c r="R113" s="192"/>
      <c r="S113" s="192"/>
      <c r="T113" s="192"/>
      <c r="U113" s="192"/>
      <c r="V113" s="192"/>
      <c r="W113" s="192"/>
      <c r="X113" s="192"/>
      <c r="Y113" s="192"/>
      <c r="Z113" s="192"/>
      <c r="AA113" s="192"/>
      <c r="AB113" s="192"/>
      <c r="AC113" s="192"/>
      <c r="AD113" s="192"/>
      <c r="AE113" s="192"/>
    </row>
    <row r="114" hidden="1">
      <c r="A114" s="1"/>
      <c r="B114" s="1"/>
      <c r="C114" s="19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92"/>
      <c r="Q114" s="192"/>
      <c r="R114" s="192"/>
      <c r="S114" s="192"/>
      <c r="T114" s="192"/>
      <c r="U114" s="192"/>
      <c r="V114" s="192"/>
      <c r="W114" s="192"/>
      <c r="X114" s="192"/>
      <c r="Y114" s="192"/>
      <c r="Z114" s="192"/>
      <c r="AA114" s="192"/>
      <c r="AB114" s="192"/>
      <c r="AC114" s="192"/>
      <c r="AD114" s="192"/>
      <c r="AE114" s="192"/>
    </row>
    <row r="115" hidden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92"/>
      <c r="L115" s="1"/>
      <c r="M115" s="1"/>
      <c r="N115" s="1"/>
      <c r="O115" s="1"/>
      <c r="P115" s="192"/>
      <c r="Q115" s="192"/>
      <c r="R115" s="192"/>
      <c r="S115" s="192"/>
      <c r="T115" s="192"/>
      <c r="U115" s="192"/>
      <c r="V115" s="192"/>
      <c r="W115" s="192"/>
      <c r="X115" s="192"/>
      <c r="Y115" s="192"/>
      <c r="Z115" s="192"/>
      <c r="AA115" s="192"/>
      <c r="AB115" s="192"/>
      <c r="AC115" s="192"/>
      <c r="AD115" s="192"/>
      <c r="AE115" s="192"/>
    </row>
    <row r="116" hidden="1">
      <c r="A116" s="1"/>
      <c r="B116" s="1"/>
      <c r="C116" s="1"/>
      <c r="D116" s="1"/>
      <c r="E116" s="192"/>
      <c r="F116" s="1"/>
      <c r="G116" s="1"/>
      <c r="H116" s="1"/>
      <c r="I116" s="1"/>
      <c r="J116" s="1"/>
      <c r="K116" s="192"/>
      <c r="L116" s="1"/>
      <c r="M116" s="1"/>
      <c r="N116" s="1"/>
      <c r="O116" s="1"/>
      <c r="P116" s="192"/>
      <c r="Q116" s="192"/>
      <c r="R116" s="192"/>
      <c r="S116" s="192"/>
      <c r="T116" s="192"/>
      <c r="U116" s="192"/>
      <c r="V116" s="192"/>
      <c r="W116" s="192"/>
      <c r="X116" s="192"/>
      <c r="Y116" s="192"/>
      <c r="Z116" s="192"/>
      <c r="AA116" s="192"/>
      <c r="AB116" s="192"/>
      <c r="AC116" s="192"/>
      <c r="AD116" s="192"/>
      <c r="AE116" s="192"/>
    </row>
    <row r="117" hidden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92"/>
      <c r="Q117" s="192"/>
      <c r="R117" s="192"/>
      <c r="S117" s="192"/>
      <c r="T117" s="192"/>
      <c r="U117" s="192"/>
      <c r="V117" s="192"/>
      <c r="W117" s="192"/>
      <c r="X117" s="192"/>
      <c r="Y117" s="192"/>
      <c r="Z117" s="192"/>
      <c r="AA117" s="192"/>
      <c r="AB117" s="192"/>
      <c r="AC117" s="192"/>
      <c r="AD117" s="192"/>
      <c r="AE117" s="192"/>
    </row>
    <row r="118" hidden="1">
      <c r="A118" s="1"/>
      <c r="B118" s="1"/>
      <c r="C118" s="193"/>
      <c r="D118" s="1"/>
      <c r="E118" s="192"/>
      <c r="F118" s="1"/>
      <c r="G118" s="1"/>
      <c r="H118" s="1"/>
      <c r="I118" s="1"/>
      <c r="J118" s="1"/>
      <c r="K118" s="192"/>
      <c r="L118" s="1"/>
      <c r="M118" s="1"/>
      <c r="N118" s="1"/>
      <c r="O118" s="1"/>
      <c r="P118" s="192"/>
      <c r="Q118" s="192"/>
      <c r="R118" s="192"/>
      <c r="S118" s="192"/>
      <c r="T118" s="192"/>
      <c r="U118" s="192"/>
      <c r="V118" s="192"/>
      <c r="W118" s="192"/>
      <c r="X118" s="192"/>
      <c r="Y118" s="192"/>
      <c r="Z118" s="192"/>
      <c r="AA118" s="192"/>
      <c r="AB118" s="192"/>
      <c r="AC118" s="192"/>
      <c r="AD118" s="192"/>
      <c r="AE118" s="192"/>
    </row>
    <row r="119" hidden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92"/>
      <c r="Q119" s="192"/>
      <c r="R119" s="192"/>
      <c r="S119" s="192"/>
      <c r="T119" s="192"/>
      <c r="U119" s="192"/>
      <c r="V119" s="192"/>
      <c r="W119" s="192"/>
      <c r="X119" s="192"/>
      <c r="Y119" s="192"/>
      <c r="Z119" s="192"/>
      <c r="AA119" s="192"/>
      <c r="AB119" s="192"/>
      <c r="AC119" s="192"/>
      <c r="AD119" s="192"/>
      <c r="AE119" s="192"/>
    </row>
    <row r="120" hidden="1">
      <c r="A120" s="1"/>
      <c r="B120" s="1"/>
      <c r="C120" s="1"/>
      <c r="D120" s="1"/>
      <c r="E120" s="192"/>
      <c r="F120" s="1"/>
      <c r="G120" s="1"/>
      <c r="H120" s="1"/>
      <c r="I120" s="1"/>
      <c r="J120" s="1"/>
      <c r="K120" s="192"/>
      <c r="L120" s="1"/>
      <c r="M120" s="1"/>
      <c r="N120" s="1"/>
      <c r="O120" s="1"/>
      <c r="P120" s="192"/>
      <c r="Q120" s="192"/>
      <c r="R120" s="192"/>
      <c r="S120" s="192"/>
      <c r="T120" s="192"/>
      <c r="U120" s="192"/>
      <c r="V120" s="192"/>
      <c r="W120" s="192"/>
      <c r="X120" s="192"/>
      <c r="Y120" s="192"/>
      <c r="Z120" s="192"/>
      <c r="AA120" s="192"/>
      <c r="AB120" s="192"/>
      <c r="AC120" s="192"/>
      <c r="AD120" s="192"/>
      <c r="AE120" s="192"/>
    </row>
    <row r="121" hidden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92"/>
      <c r="Q121" s="192"/>
      <c r="R121" s="192"/>
      <c r="S121" s="192"/>
      <c r="T121" s="192"/>
      <c r="U121" s="192"/>
      <c r="V121" s="192"/>
      <c r="W121" s="192"/>
      <c r="X121" s="192"/>
      <c r="Y121" s="192"/>
      <c r="Z121" s="192"/>
      <c r="AA121" s="192"/>
      <c r="AB121" s="192"/>
      <c r="AC121" s="192"/>
      <c r="AD121" s="192"/>
      <c r="AE121" s="192"/>
    </row>
    <row r="122" hidden="1">
      <c r="A122" s="1"/>
      <c r="B122" s="1"/>
      <c r="C122" s="1"/>
      <c r="D122" s="1"/>
      <c r="E122" s="192"/>
      <c r="F122" s="1"/>
      <c r="G122" s="1"/>
      <c r="H122" s="1"/>
      <c r="I122" s="1"/>
      <c r="J122" s="1"/>
      <c r="K122" s="192"/>
      <c r="L122" s="1"/>
      <c r="M122" s="1"/>
      <c r="N122" s="1"/>
      <c r="O122" s="1"/>
      <c r="P122" s="192"/>
      <c r="Q122" s="192"/>
      <c r="R122" s="192"/>
      <c r="S122" s="192"/>
      <c r="T122" s="192"/>
      <c r="U122" s="192"/>
      <c r="V122" s="192"/>
      <c r="W122" s="192"/>
      <c r="X122" s="192"/>
      <c r="Y122" s="192"/>
      <c r="Z122" s="192"/>
      <c r="AA122" s="192"/>
      <c r="AB122" s="192"/>
      <c r="AC122" s="192"/>
      <c r="AD122" s="192"/>
      <c r="AE122" s="192"/>
    </row>
    <row r="123" hidden="1">
      <c r="A123" s="1"/>
      <c r="B123" s="1"/>
      <c r="C123" s="193"/>
      <c r="D123" s="1"/>
      <c r="E123" s="192"/>
      <c r="F123" s="1"/>
      <c r="G123" s="1"/>
      <c r="H123" s="1"/>
      <c r="I123" s="1"/>
      <c r="J123" s="1"/>
      <c r="K123" s="192"/>
      <c r="L123" s="1"/>
      <c r="M123" s="1"/>
      <c r="N123" s="1"/>
      <c r="O123" s="1"/>
      <c r="P123" s="192"/>
      <c r="Q123" s="192"/>
      <c r="R123" s="192"/>
      <c r="S123" s="192"/>
      <c r="T123" s="192"/>
      <c r="U123" s="192"/>
      <c r="V123" s="192"/>
      <c r="W123" s="192"/>
      <c r="X123" s="192"/>
      <c r="Y123" s="192"/>
      <c r="Z123" s="192"/>
      <c r="AA123" s="192"/>
      <c r="AB123" s="192"/>
      <c r="AC123" s="192"/>
      <c r="AD123" s="192"/>
      <c r="AE123" s="192"/>
    </row>
    <row r="124" hidden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92"/>
      <c r="L124" s="1"/>
      <c r="M124" s="1"/>
      <c r="N124" s="1"/>
      <c r="O124" s="1"/>
      <c r="P124" s="192"/>
      <c r="Q124" s="192"/>
      <c r="R124" s="192"/>
      <c r="S124" s="192"/>
      <c r="T124" s="192"/>
      <c r="U124" s="192"/>
      <c r="V124" s="192"/>
      <c r="W124" s="192"/>
      <c r="X124" s="192"/>
      <c r="Y124" s="192"/>
      <c r="Z124" s="192"/>
      <c r="AA124" s="192"/>
      <c r="AB124" s="192"/>
      <c r="AC124" s="192"/>
      <c r="AD124" s="192"/>
      <c r="AE124" s="192"/>
    </row>
    <row r="125" hidden="1">
      <c r="A125" s="1"/>
      <c r="B125" s="1"/>
      <c r="C125" s="193"/>
      <c r="D125" s="1"/>
      <c r="E125" s="1"/>
      <c r="F125" s="1"/>
      <c r="G125" s="1"/>
      <c r="H125" s="1"/>
      <c r="I125" s="1"/>
      <c r="J125" s="1"/>
      <c r="K125" s="192"/>
      <c r="L125" s="1"/>
      <c r="M125" s="1"/>
      <c r="N125" s="1"/>
      <c r="O125" s="1"/>
      <c r="P125" s="192"/>
      <c r="Q125" s="192"/>
      <c r="R125" s="192"/>
      <c r="S125" s="192"/>
      <c r="T125" s="192"/>
      <c r="U125" s="192"/>
      <c r="V125" s="192"/>
      <c r="W125" s="192"/>
      <c r="X125" s="192"/>
      <c r="Y125" s="192"/>
      <c r="Z125" s="192"/>
      <c r="AA125" s="192"/>
      <c r="AB125" s="192"/>
      <c r="AC125" s="192"/>
      <c r="AD125" s="192"/>
      <c r="AE125" s="192"/>
    </row>
    <row r="126" hidden="1">
      <c r="A126" s="1"/>
      <c r="B126" s="1"/>
      <c r="C126" s="1"/>
      <c r="D126" s="1"/>
      <c r="E126" s="192"/>
      <c r="F126" s="1"/>
      <c r="G126" s="1"/>
      <c r="H126" s="1"/>
      <c r="I126" s="1"/>
      <c r="J126" s="1"/>
      <c r="K126" s="192"/>
      <c r="L126" s="1"/>
      <c r="M126" s="1"/>
      <c r="N126" s="1"/>
      <c r="O126" s="1"/>
      <c r="P126" s="192"/>
      <c r="Q126" s="192"/>
      <c r="R126" s="192"/>
      <c r="S126" s="192"/>
      <c r="T126" s="192"/>
      <c r="U126" s="192"/>
      <c r="V126" s="192"/>
      <c r="W126" s="192"/>
      <c r="X126" s="192"/>
      <c r="Y126" s="192"/>
      <c r="Z126" s="192"/>
      <c r="AA126" s="192"/>
      <c r="AB126" s="192"/>
      <c r="AC126" s="192"/>
      <c r="AD126" s="192"/>
      <c r="AE126" s="192"/>
    </row>
    <row r="127" hidden="1">
      <c r="A127" s="1"/>
      <c r="B127" s="1"/>
      <c r="C127" s="193"/>
      <c r="D127" s="1"/>
      <c r="E127" s="1"/>
      <c r="F127" s="1"/>
      <c r="G127" s="1"/>
      <c r="H127" s="1"/>
      <c r="I127" s="1"/>
      <c r="J127" s="1"/>
      <c r="K127" s="192"/>
      <c r="L127" s="1"/>
      <c r="M127" s="1"/>
      <c r="N127" s="1"/>
      <c r="O127" s="1"/>
      <c r="P127" s="192"/>
      <c r="Q127" s="192"/>
      <c r="R127" s="192"/>
      <c r="S127" s="192"/>
      <c r="T127" s="192"/>
      <c r="U127" s="192"/>
      <c r="V127" s="192"/>
      <c r="W127" s="192"/>
      <c r="X127" s="192"/>
      <c r="Y127" s="192"/>
      <c r="Z127" s="192"/>
      <c r="AA127" s="192"/>
      <c r="AB127" s="192"/>
      <c r="AC127" s="192"/>
      <c r="AD127" s="192"/>
      <c r="AE127" s="192"/>
    </row>
    <row r="128" hidden="1">
      <c r="A128" s="1"/>
      <c r="B128" s="193"/>
      <c r="C128" s="19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92"/>
      <c r="Q128" s="192"/>
      <c r="R128" s="192"/>
      <c r="S128" s="192"/>
      <c r="T128" s="192"/>
      <c r="U128" s="192"/>
      <c r="V128" s="192"/>
      <c r="W128" s="192"/>
      <c r="X128" s="192"/>
      <c r="Y128" s="192"/>
      <c r="Z128" s="192"/>
      <c r="AA128" s="192"/>
      <c r="AB128" s="192"/>
      <c r="AC128" s="192"/>
      <c r="AD128" s="192"/>
      <c r="AE128" s="192"/>
    </row>
    <row r="129" hidden="1">
      <c r="A129" s="1"/>
      <c r="B129" s="1"/>
      <c r="C129" s="1"/>
      <c r="D129" s="1"/>
      <c r="E129" s="192"/>
      <c r="F129" s="1"/>
      <c r="G129" s="1"/>
      <c r="H129" s="1"/>
      <c r="I129" s="1"/>
      <c r="J129" s="1"/>
      <c r="K129" s="192"/>
      <c r="L129" s="1"/>
      <c r="M129" s="1"/>
      <c r="N129" s="1"/>
      <c r="O129" s="1"/>
      <c r="P129" s="192"/>
      <c r="Q129" s="192"/>
      <c r="R129" s="192"/>
      <c r="S129" s="192"/>
      <c r="T129" s="192"/>
      <c r="U129" s="192"/>
      <c r="V129" s="192"/>
      <c r="W129" s="192"/>
      <c r="X129" s="192"/>
      <c r="Y129" s="192"/>
      <c r="Z129" s="192"/>
      <c r="AA129" s="192"/>
      <c r="AB129" s="192"/>
      <c r="AC129" s="192"/>
      <c r="AD129" s="192"/>
      <c r="AE129" s="192"/>
    </row>
    <row r="130" hidden="1">
      <c r="A130" s="1"/>
      <c r="B130" s="1"/>
      <c r="C130" s="1"/>
      <c r="D130" s="1"/>
      <c r="E130" s="192"/>
      <c r="F130" s="1"/>
      <c r="G130" s="1"/>
      <c r="H130" s="1"/>
      <c r="I130" s="1"/>
      <c r="J130" s="1"/>
      <c r="K130" s="192"/>
      <c r="L130" s="1"/>
      <c r="M130" s="1"/>
      <c r="N130" s="1"/>
      <c r="O130" s="1"/>
      <c r="P130" s="192"/>
      <c r="Q130" s="192"/>
      <c r="R130" s="192"/>
      <c r="S130" s="192"/>
      <c r="T130" s="192"/>
      <c r="U130" s="192"/>
      <c r="V130" s="192"/>
      <c r="W130" s="192"/>
      <c r="X130" s="192"/>
      <c r="Y130" s="192"/>
      <c r="Z130" s="192"/>
      <c r="AA130" s="192"/>
      <c r="AB130" s="192"/>
      <c r="AC130" s="192"/>
      <c r="AD130" s="192"/>
      <c r="AE130" s="192"/>
    </row>
    <row r="131" hidden="1">
      <c r="A131" s="1"/>
      <c r="B131" s="1"/>
      <c r="C131" s="19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92"/>
      <c r="Q131" s="192"/>
      <c r="R131" s="192"/>
      <c r="S131" s="192"/>
      <c r="T131" s="192"/>
      <c r="U131" s="192"/>
      <c r="V131" s="192"/>
      <c r="W131" s="192"/>
      <c r="X131" s="192"/>
      <c r="Y131" s="192"/>
      <c r="Z131" s="192"/>
      <c r="AA131" s="192"/>
      <c r="AB131" s="192"/>
      <c r="AC131" s="192"/>
      <c r="AD131" s="192"/>
      <c r="AE131" s="192"/>
    </row>
    <row r="132" hidden="1">
      <c r="A132" s="1"/>
      <c r="B132" s="1"/>
      <c r="C132" s="1"/>
      <c r="D132" s="1"/>
      <c r="E132" s="192"/>
      <c r="F132" s="1"/>
      <c r="G132" s="1"/>
      <c r="H132" s="1"/>
      <c r="I132" s="1"/>
      <c r="J132" s="1"/>
      <c r="K132" s="192"/>
      <c r="L132" s="1"/>
      <c r="M132" s="1"/>
      <c r="N132" s="1"/>
      <c r="O132" s="1"/>
      <c r="P132" s="192"/>
      <c r="Q132" s="192"/>
      <c r="R132" s="192"/>
      <c r="S132" s="192"/>
      <c r="T132" s="192"/>
      <c r="U132" s="192"/>
      <c r="V132" s="192"/>
      <c r="W132" s="192"/>
      <c r="X132" s="192"/>
      <c r="Y132" s="192"/>
      <c r="Z132" s="192"/>
      <c r="AA132" s="192"/>
      <c r="AB132" s="192"/>
      <c r="AC132" s="192"/>
      <c r="AD132" s="192"/>
      <c r="AE132" s="192"/>
    </row>
    <row r="133" hidden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92"/>
      <c r="L133" s="1"/>
      <c r="M133" s="1"/>
      <c r="N133" s="1"/>
      <c r="O133" s="1"/>
      <c r="P133" s="192"/>
      <c r="Q133" s="192"/>
      <c r="R133" s="192"/>
      <c r="S133" s="192"/>
      <c r="T133" s="192"/>
      <c r="U133" s="192"/>
      <c r="V133" s="192"/>
      <c r="W133" s="192"/>
      <c r="X133" s="192"/>
      <c r="Y133" s="192"/>
      <c r="Z133" s="192"/>
      <c r="AA133" s="192"/>
      <c r="AB133" s="192"/>
      <c r="AC133" s="192"/>
      <c r="AD133" s="192"/>
      <c r="AE133" s="192"/>
    </row>
    <row r="134" hidden="1">
      <c r="A134" s="1"/>
      <c r="B134" s="1"/>
      <c r="C134" s="1"/>
      <c r="D134" s="1"/>
      <c r="E134" s="192"/>
      <c r="F134" s="1"/>
      <c r="G134" s="1"/>
      <c r="H134" s="1"/>
      <c r="I134" s="1"/>
      <c r="J134" s="1"/>
      <c r="K134" s="192"/>
      <c r="L134" s="1"/>
      <c r="M134" s="1"/>
      <c r="N134" s="1"/>
      <c r="O134" s="1"/>
      <c r="P134" s="192"/>
      <c r="Q134" s="192"/>
      <c r="R134" s="192"/>
      <c r="S134" s="192"/>
      <c r="T134" s="192"/>
      <c r="U134" s="192"/>
      <c r="V134" s="192"/>
      <c r="W134" s="192"/>
      <c r="X134" s="192"/>
      <c r="Y134" s="192"/>
      <c r="Z134" s="192"/>
      <c r="AA134" s="192"/>
      <c r="AB134" s="192"/>
      <c r="AC134" s="192"/>
      <c r="AD134" s="192"/>
      <c r="AE134" s="192"/>
    </row>
    <row r="135" hidden="1">
      <c r="A135" s="1"/>
      <c r="B135" s="1"/>
      <c r="C135" s="193"/>
      <c r="D135" s="1"/>
      <c r="E135" s="1"/>
      <c r="F135" s="1"/>
      <c r="G135" s="1"/>
      <c r="H135" s="1"/>
      <c r="I135" s="1"/>
      <c r="J135" s="1"/>
      <c r="K135" s="192"/>
      <c r="L135" s="1"/>
      <c r="M135" s="1"/>
      <c r="N135" s="1"/>
      <c r="O135" s="1"/>
      <c r="P135" s="192"/>
      <c r="Q135" s="192"/>
      <c r="R135" s="192"/>
      <c r="S135" s="192"/>
      <c r="T135" s="192"/>
      <c r="U135" s="192"/>
      <c r="V135" s="192"/>
      <c r="W135" s="192"/>
      <c r="X135" s="192"/>
      <c r="Y135" s="192"/>
      <c r="Z135" s="192"/>
      <c r="AA135" s="192"/>
      <c r="AB135" s="192"/>
      <c r="AC135" s="192"/>
      <c r="AD135" s="192"/>
      <c r="AE135" s="192"/>
    </row>
    <row r="136" hidden="1">
      <c r="A136" s="1"/>
      <c r="B136" s="1"/>
      <c r="C136" s="193"/>
      <c r="D136" s="1"/>
      <c r="E136" s="192"/>
      <c r="F136" s="1"/>
      <c r="G136" s="1"/>
      <c r="H136" s="1"/>
      <c r="I136" s="1"/>
      <c r="J136" s="1"/>
      <c r="K136" s="192"/>
      <c r="L136" s="1"/>
      <c r="M136" s="1"/>
      <c r="N136" s="1"/>
      <c r="O136" s="1"/>
      <c r="P136" s="192"/>
      <c r="Q136" s="192"/>
      <c r="R136" s="192"/>
      <c r="S136" s="192"/>
      <c r="T136" s="192"/>
      <c r="U136" s="192"/>
      <c r="V136" s="192"/>
      <c r="W136" s="192"/>
      <c r="X136" s="192"/>
      <c r="Y136" s="192"/>
      <c r="Z136" s="192"/>
      <c r="AA136" s="192"/>
      <c r="AB136" s="192"/>
      <c r="AC136" s="192"/>
      <c r="AD136" s="192"/>
      <c r="AE136" s="192"/>
    </row>
    <row r="137" hidden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92"/>
      <c r="L137" s="1"/>
      <c r="M137" s="1"/>
      <c r="N137" s="1"/>
      <c r="O137" s="1"/>
      <c r="P137" s="192"/>
      <c r="Q137" s="192"/>
      <c r="R137" s="192"/>
      <c r="S137" s="192"/>
      <c r="T137" s="192"/>
      <c r="U137" s="192"/>
      <c r="V137" s="192"/>
      <c r="W137" s="192"/>
      <c r="X137" s="192"/>
      <c r="Y137" s="192"/>
      <c r="Z137" s="192"/>
      <c r="AA137" s="192"/>
      <c r="AB137" s="192"/>
      <c r="AC137" s="192"/>
      <c r="AD137" s="192"/>
      <c r="AE137" s="192"/>
    </row>
    <row r="138" hidden="1">
      <c r="A138" s="1"/>
      <c r="B138" s="1"/>
      <c r="C138" s="1"/>
      <c r="D138" s="1"/>
      <c r="E138" s="192"/>
      <c r="F138" s="1"/>
      <c r="G138" s="1"/>
      <c r="H138" s="1"/>
      <c r="I138" s="1"/>
      <c r="J138" s="1"/>
      <c r="K138" s="192"/>
      <c r="L138" s="1"/>
      <c r="M138" s="1"/>
      <c r="N138" s="1"/>
      <c r="O138" s="1"/>
      <c r="P138" s="192"/>
      <c r="Q138" s="192"/>
      <c r="R138" s="192"/>
      <c r="S138" s="192"/>
      <c r="T138" s="192"/>
      <c r="U138" s="192"/>
      <c r="V138" s="192"/>
      <c r="W138" s="192"/>
      <c r="X138" s="192"/>
      <c r="Y138" s="192"/>
      <c r="Z138" s="192"/>
      <c r="AA138" s="192"/>
      <c r="AB138" s="192"/>
      <c r="AC138" s="192"/>
      <c r="AD138" s="192"/>
      <c r="AE138" s="192"/>
    </row>
    <row r="139" hidden="1">
      <c r="A139" s="1"/>
      <c r="B139" s="1"/>
      <c r="C139" s="19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92"/>
      <c r="Q139" s="192"/>
      <c r="R139" s="192"/>
      <c r="S139" s="192"/>
      <c r="T139" s="192"/>
      <c r="U139" s="192"/>
      <c r="V139" s="192"/>
      <c r="W139" s="192"/>
      <c r="X139" s="192"/>
      <c r="Y139" s="192"/>
      <c r="Z139" s="192"/>
      <c r="AA139" s="192"/>
      <c r="AB139" s="192"/>
      <c r="AC139" s="192"/>
      <c r="AD139" s="192"/>
      <c r="AE139" s="192"/>
    </row>
    <row r="140" hidden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92"/>
      <c r="L140" s="1"/>
      <c r="M140" s="1"/>
      <c r="N140" s="1"/>
      <c r="O140" s="1"/>
      <c r="P140" s="192"/>
      <c r="Q140" s="192"/>
      <c r="R140" s="192"/>
      <c r="S140" s="192"/>
      <c r="T140" s="192"/>
      <c r="U140" s="192"/>
      <c r="V140" s="192"/>
      <c r="W140" s="192"/>
      <c r="X140" s="192"/>
      <c r="Y140" s="192"/>
      <c r="Z140" s="192"/>
      <c r="AA140" s="192"/>
      <c r="AB140" s="192"/>
      <c r="AC140" s="192"/>
      <c r="AD140" s="192"/>
      <c r="AE140" s="192"/>
    </row>
    <row r="141" hidden="1">
      <c r="A141" s="1"/>
      <c r="B141" s="1"/>
      <c r="C141" s="193"/>
      <c r="D141" s="1"/>
      <c r="E141" s="192"/>
      <c r="F141" s="1"/>
      <c r="G141" s="1"/>
      <c r="H141" s="1"/>
      <c r="I141" s="1"/>
      <c r="J141" s="1"/>
      <c r="K141" s="192"/>
      <c r="L141" s="1"/>
      <c r="M141" s="1"/>
      <c r="N141" s="1"/>
      <c r="O141" s="1"/>
      <c r="P141" s="192"/>
      <c r="Q141" s="192"/>
      <c r="R141" s="192"/>
      <c r="S141" s="192"/>
      <c r="T141" s="192"/>
      <c r="U141" s="192"/>
      <c r="V141" s="192"/>
      <c r="W141" s="192"/>
      <c r="X141" s="192"/>
      <c r="Y141" s="192"/>
      <c r="Z141" s="192"/>
      <c r="AA141" s="192"/>
      <c r="AB141" s="192"/>
      <c r="AC141" s="192"/>
      <c r="AD141" s="192"/>
      <c r="AE141" s="192"/>
    </row>
    <row r="142" hidden="1">
      <c r="A142" s="1"/>
      <c r="B142" s="1"/>
      <c r="C142" s="1"/>
      <c r="D142" s="1"/>
      <c r="E142" s="192"/>
      <c r="F142" s="1"/>
      <c r="G142" s="1"/>
      <c r="H142" s="1"/>
      <c r="I142" s="1"/>
      <c r="J142" s="1"/>
      <c r="K142" s="192"/>
      <c r="L142" s="1"/>
      <c r="M142" s="1"/>
      <c r="N142" s="1"/>
      <c r="O142" s="1"/>
      <c r="P142" s="192"/>
      <c r="Q142" s="192"/>
      <c r="R142" s="192"/>
      <c r="S142" s="192"/>
      <c r="T142" s="192"/>
      <c r="U142" s="192"/>
      <c r="V142" s="192"/>
      <c r="W142" s="192"/>
      <c r="X142" s="192"/>
      <c r="Y142" s="192"/>
      <c r="Z142" s="192"/>
      <c r="AA142" s="192"/>
      <c r="AB142" s="192"/>
      <c r="AC142" s="192"/>
      <c r="AD142" s="192"/>
      <c r="AE142" s="192"/>
    </row>
    <row r="143" hidden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92"/>
      <c r="L143" s="1"/>
      <c r="M143" s="1"/>
      <c r="N143" s="1"/>
      <c r="O143" s="1"/>
      <c r="P143" s="192"/>
      <c r="Q143" s="192"/>
      <c r="R143" s="192"/>
      <c r="S143" s="192"/>
      <c r="T143" s="192"/>
      <c r="U143" s="192"/>
      <c r="V143" s="192"/>
      <c r="W143" s="192"/>
      <c r="X143" s="192"/>
      <c r="Y143" s="192"/>
      <c r="Z143" s="192"/>
      <c r="AA143" s="192"/>
      <c r="AB143" s="192"/>
      <c r="AC143" s="192"/>
      <c r="AD143" s="192"/>
      <c r="AE143" s="192"/>
    </row>
    <row r="144" hidden="1">
      <c r="A144" s="1"/>
      <c r="B144" s="1"/>
      <c r="C144" s="19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92"/>
      <c r="Q144" s="192"/>
      <c r="R144" s="192"/>
      <c r="S144" s="192"/>
      <c r="T144" s="192"/>
      <c r="U144" s="192"/>
      <c r="V144" s="192"/>
      <c r="W144" s="192"/>
      <c r="X144" s="192"/>
      <c r="Y144" s="192"/>
      <c r="Z144" s="192"/>
      <c r="AA144" s="192"/>
      <c r="AB144" s="192"/>
      <c r="AC144" s="192"/>
      <c r="AD144" s="192"/>
      <c r="AE144" s="192"/>
    </row>
    <row r="145" hidden="1">
      <c r="A145" s="1"/>
      <c r="B145" s="1"/>
      <c r="C145" s="1"/>
      <c r="D145" s="1"/>
      <c r="E145" s="192"/>
      <c r="F145" s="1"/>
      <c r="G145" s="1"/>
      <c r="H145" s="1"/>
      <c r="I145" s="1"/>
      <c r="J145" s="1"/>
      <c r="K145" s="192"/>
      <c r="L145" s="1"/>
      <c r="M145" s="1"/>
      <c r="N145" s="1"/>
      <c r="O145" s="1"/>
      <c r="P145" s="192"/>
      <c r="Q145" s="192"/>
      <c r="R145" s="192"/>
      <c r="S145" s="192"/>
      <c r="T145" s="192"/>
      <c r="U145" s="192"/>
      <c r="V145" s="192"/>
      <c r="W145" s="192"/>
      <c r="X145" s="192"/>
      <c r="Y145" s="192"/>
      <c r="Z145" s="192"/>
      <c r="AA145" s="192"/>
      <c r="AB145" s="192"/>
      <c r="AC145" s="192"/>
      <c r="AD145" s="192"/>
      <c r="AE145" s="192"/>
    </row>
    <row r="146" hidden="1">
      <c r="A146" s="1"/>
      <c r="B146" s="1"/>
      <c r="C146" s="19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92"/>
      <c r="Q146" s="192"/>
      <c r="R146" s="192"/>
      <c r="S146" s="192"/>
      <c r="T146" s="192"/>
      <c r="U146" s="192"/>
      <c r="V146" s="192"/>
      <c r="W146" s="192"/>
      <c r="X146" s="192"/>
      <c r="Y146" s="192"/>
      <c r="Z146" s="192"/>
      <c r="AA146" s="192"/>
      <c r="AB146" s="192"/>
      <c r="AC146" s="192"/>
      <c r="AD146" s="192"/>
      <c r="AE146" s="192"/>
    </row>
    <row r="147" hidden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92"/>
      <c r="L147" s="1"/>
      <c r="M147" s="1"/>
      <c r="N147" s="1"/>
      <c r="O147" s="1"/>
      <c r="P147" s="192"/>
      <c r="Q147" s="192"/>
      <c r="R147" s="192"/>
      <c r="S147" s="192"/>
      <c r="T147" s="192"/>
      <c r="U147" s="192"/>
      <c r="V147" s="192"/>
      <c r="W147" s="192"/>
      <c r="X147" s="192"/>
      <c r="Y147" s="192"/>
      <c r="Z147" s="192"/>
      <c r="AA147" s="192"/>
      <c r="AB147" s="192"/>
      <c r="AC147" s="192"/>
      <c r="AD147" s="192"/>
      <c r="AE147" s="192"/>
    </row>
    <row r="148" hidden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92"/>
      <c r="L148" s="1"/>
      <c r="M148" s="1"/>
      <c r="N148" s="1"/>
      <c r="O148" s="1"/>
      <c r="P148" s="192"/>
      <c r="Q148" s="192"/>
      <c r="R148" s="192"/>
      <c r="S148" s="192"/>
      <c r="T148" s="192"/>
      <c r="U148" s="192"/>
      <c r="V148" s="192"/>
      <c r="W148" s="192"/>
      <c r="X148" s="192"/>
      <c r="Y148" s="192"/>
      <c r="Z148" s="192"/>
      <c r="AA148" s="192"/>
      <c r="AB148" s="192"/>
      <c r="AC148" s="192"/>
      <c r="AD148" s="192"/>
      <c r="AE148" s="192"/>
    </row>
    <row r="149" hidden="1">
      <c r="A149" s="1"/>
      <c r="B149" s="1"/>
      <c r="C149" s="19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92"/>
      <c r="Q149" s="192"/>
      <c r="R149" s="192"/>
      <c r="S149" s="192"/>
      <c r="T149" s="192"/>
      <c r="U149" s="192"/>
      <c r="V149" s="192"/>
      <c r="W149" s="192"/>
      <c r="X149" s="192"/>
      <c r="Y149" s="192"/>
      <c r="Z149" s="192"/>
      <c r="AA149" s="192"/>
      <c r="AB149" s="192"/>
      <c r="AC149" s="192"/>
      <c r="AD149" s="192"/>
      <c r="AE149" s="192"/>
    </row>
    <row r="150" hidden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92"/>
      <c r="L150" s="1"/>
      <c r="M150" s="1"/>
      <c r="N150" s="1"/>
      <c r="O150" s="1"/>
      <c r="P150" s="192"/>
      <c r="Q150" s="192"/>
      <c r="R150" s="192"/>
      <c r="S150" s="192"/>
      <c r="T150" s="192"/>
      <c r="U150" s="192"/>
      <c r="V150" s="192"/>
      <c r="W150" s="192"/>
      <c r="X150" s="192"/>
      <c r="Y150" s="192"/>
      <c r="Z150" s="192"/>
      <c r="AA150" s="192"/>
      <c r="AB150" s="192"/>
      <c r="AC150" s="192"/>
      <c r="AD150" s="192"/>
      <c r="AE150" s="192"/>
    </row>
    <row r="151" hidden="1">
      <c r="A151" s="1"/>
      <c r="B151" s="1"/>
      <c r="C151" s="193"/>
      <c r="D151" s="1"/>
      <c r="E151" s="192"/>
      <c r="F151" s="1"/>
      <c r="G151" s="1"/>
      <c r="H151" s="1"/>
      <c r="I151" s="1"/>
      <c r="J151" s="1"/>
      <c r="K151" s="192"/>
      <c r="L151" s="1"/>
      <c r="M151" s="1"/>
      <c r="N151" s="1"/>
      <c r="O151" s="1"/>
      <c r="P151" s="192"/>
      <c r="Q151" s="192"/>
      <c r="R151" s="192"/>
      <c r="S151" s="192"/>
      <c r="T151" s="192"/>
      <c r="U151" s="192"/>
      <c r="V151" s="192"/>
      <c r="W151" s="192"/>
      <c r="X151" s="192"/>
      <c r="Y151" s="192"/>
      <c r="Z151" s="192"/>
      <c r="AA151" s="192"/>
      <c r="AB151" s="192"/>
      <c r="AC151" s="192"/>
      <c r="AD151" s="192"/>
      <c r="AE151" s="192"/>
    </row>
    <row r="152" hidden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92"/>
      <c r="L152" s="1"/>
      <c r="M152" s="1"/>
      <c r="N152" s="1"/>
      <c r="O152" s="1"/>
      <c r="P152" s="192"/>
      <c r="Q152" s="192"/>
      <c r="R152" s="192"/>
      <c r="S152" s="192"/>
      <c r="T152" s="192"/>
      <c r="U152" s="192"/>
      <c r="V152" s="192"/>
      <c r="W152" s="192"/>
      <c r="X152" s="192"/>
      <c r="Y152" s="192"/>
      <c r="Z152" s="192"/>
      <c r="AA152" s="192"/>
      <c r="AB152" s="192"/>
      <c r="AC152" s="192"/>
      <c r="AD152" s="192"/>
      <c r="AE152" s="192"/>
    </row>
    <row r="153" hidden="1">
      <c r="A153" s="1"/>
      <c r="B153" s="1"/>
      <c r="C153" s="193"/>
      <c r="D153" s="1"/>
      <c r="E153" s="192"/>
      <c r="F153" s="1"/>
      <c r="G153" s="1"/>
      <c r="H153" s="1"/>
      <c r="I153" s="1"/>
      <c r="J153" s="1"/>
      <c r="K153" s="192"/>
      <c r="L153" s="1"/>
      <c r="M153" s="1"/>
      <c r="N153" s="1"/>
      <c r="O153" s="1"/>
      <c r="P153" s="192"/>
      <c r="Q153" s="192"/>
      <c r="R153" s="192"/>
      <c r="S153" s="192"/>
      <c r="T153" s="192"/>
      <c r="U153" s="192"/>
      <c r="V153" s="192"/>
      <c r="W153" s="192"/>
      <c r="X153" s="192"/>
      <c r="Y153" s="192"/>
      <c r="Z153" s="192"/>
      <c r="AA153" s="192"/>
      <c r="AB153" s="192"/>
      <c r="AC153" s="192"/>
      <c r="AD153" s="192"/>
      <c r="AE153" s="192"/>
    </row>
    <row r="154" hidden="1">
      <c r="A154" s="1"/>
      <c r="B154" s="193"/>
      <c r="C154" s="1"/>
      <c r="D154" s="1"/>
      <c r="E154" s="1"/>
      <c r="F154" s="1"/>
      <c r="G154" s="1"/>
      <c r="H154" s="1"/>
      <c r="I154" s="1"/>
      <c r="J154" s="1"/>
      <c r="K154" s="192"/>
      <c r="L154" s="1"/>
      <c r="M154" s="1"/>
      <c r="N154" s="1"/>
      <c r="O154" s="1"/>
      <c r="P154" s="192"/>
      <c r="Q154" s="192"/>
      <c r="R154" s="192"/>
      <c r="S154" s="192"/>
      <c r="T154" s="192"/>
      <c r="U154" s="192"/>
      <c r="V154" s="192"/>
      <c r="W154" s="192"/>
      <c r="X154" s="192"/>
      <c r="Y154" s="192"/>
      <c r="Z154" s="192"/>
      <c r="AA154" s="192"/>
      <c r="AB154" s="192"/>
      <c r="AC154" s="192"/>
      <c r="AD154" s="192"/>
      <c r="AE154" s="192"/>
    </row>
    <row r="155" hidden="1">
      <c r="A155" s="1"/>
      <c r="B155" s="1"/>
      <c r="C155" s="1"/>
      <c r="D155" s="1"/>
      <c r="E155" s="192"/>
      <c r="F155" s="1"/>
      <c r="G155" s="1"/>
      <c r="H155" s="1"/>
      <c r="I155" s="1"/>
      <c r="J155" s="1"/>
      <c r="K155" s="192"/>
      <c r="L155" s="1"/>
      <c r="M155" s="1"/>
      <c r="N155" s="1"/>
      <c r="O155" s="1"/>
      <c r="P155" s="192"/>
      <c r="Q155" s="192"/>
      <c r="R155" s="192"/>
      <c r="S155" s="192"/>
      <c r="T155" s="192"/>
      <c r="U155" s="192"/>
      <c r="V155" s="192"/>
      <c r="W155" s="192"/>
      <c r="X155" s="192"/>
      <c r="Y155" s="192"/>
      <c r="Z155" s="192"/>
      <c r="AA155" s="192"/>
      <c r="AB155" s="192"/>
      <c r="AC155" s="192"/>
      <c r="AD155" s="192"/>
      <c r="AE155" s="192"/>
    </row>
    <row r="156" hidden="1">
      <c r="A156" s="1"/>
      <c r="B156" s="1"/>
      <c r="C156" s="1"/>
      <c r="D156" s="1"/>
      <c r="E156" s="192"/>
      <c r="F156" s="1"/>
      <c r="G156" s="1"/>
      <c r="H156" s="1"/>
      <c r="I156" s="1"/>
      <c r="J156" s="1"/>
      <c r="K156" s="192"/>
      <c r="L156" s="1"/>
      <c r="M156" s="1"/>
      <c r="N156" s="1"/>
      <c r="O156" s="1"/>
      <c r="P156" s="192"/>
      <c r="Q156" s="192"/>
      <c r="R156" s="192"/>
      <c r="S156" s="192"/>
      <c r="T156" s="192"/>
      <c r="U156" s="192"/>
      <c r="V156" s="192"/>
      <c r="W156" s="192"/>
      <c r="X156" s="192"/>
      <c r="Y156" s="192"/>
      <c r="Z156" s="192"/>
      <c r="AA156" s="192"/>
      <c r="AB156" s="192"/>
      <c r="AC156" s="192"/>
      <c r="AD156" s="192"/>
      <c r="AE156" s="192"/>
    </row>
    <row r="157" hidden="1">
      <c r="A157" s="1"/>
      <c r="B157" s="1"/>
      <c r="C157" s="1"/>
      <c r="D157" s="1"/>
      <c r="E157" s="192"/>
      <c r="F157" s="1"/>
      <c r="G157" s="1"/>
      <c r="H157" s="1"/>
      <c r="I157" s="1"/>
      <c r="J157" s="1"/>
      <c r="K157" s="192"/>
      <c r="L157" s="1"/>
      <c r="M157" s="1"/>
      <c r="N157" s="1"/>
      <c r="O157" s="1"/>
      <c r="P157" s="192"/>
      <c r="Q157" s="192"/>
      <c r="R157" s="192"/>
      <c r="S157" s="192"/>
      <c r="T157" s="192"/>
      <c r="U157" s="192"/>
      <c r="V157" s="192"/>
      <c r="W157" s="192"/>
      <c r="X157" s="192"/>
      <c r="Y157" s="192"/>
      <c r="Z157" s="192"/>
      <c r="AA157" s="192"/>
      <c r="AB157" s="192"/>
      <c r="AC157" s="192"/>
      <c r="AD157" s="192"/>
      <c r="AE157" s="192"/>
    </row>
    <row r="158" hidden="1">
      <c r="A158" s="1"/>
      <c r="B158" s="1"/>
      <c r="C158" s="1"/>
      <c r="D158" s="1"/>
      <c r="E158" s="192"/>
      <c r="F158" s="1"/>
      <c r="G158" s="1"/>
      <c r="H158" s="1"/>
      <c r="I158" s="1"/>
      <c r="J158" s="1"/>
      <c r="K158" s="192"/>
      <c r="L158" s="1"/>
      <c r="M158" s="1"/>
      <c r="N158" s="1"/>
      <c r="O158" s="1"/>
      <c r="P158" s="192"/>
      <c r="Q158" s="192"/>
      <c r="R158" s="192"/>
      <c r="S158" s="192"/>
      <c r="T158" s="192"/>
      <c r="U158" s="192"/>
      <c r="V158" s="192"/>
      <c r="W158" s="192"/>
      <c r="X158" s="192"/>
      <c r="Y158" s="192"/>
      <c r="Z158" s="192"/>
      <c r="AA158" s="192"/>
      <c r="AB158" s="192"/>
      <c r="AC158" s="192"/>
      <c r="AD158" s="192"/>
      <c r="AE158" s="192"/>
    </row>
    <row r="159" hidden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92"/>
      <c r="L159" s="1"/>
      <c r="M159" s="1"/>
      <c r="N159" s="1"/>
      <c r="O159" s="1"/>
      <c r="P159" s="192"/>
      <c r="Q159" s="192"/>
      <c r="R159" s="192"/>
      <c r="S159" s="192"/>
      <c r="T159" s="192"/>
      <c r="U159" s="192"/>
      <c r="V159" s="192"/>
      <c r="W159" s="192"/>
      <c r="X159" s="192"/>
      <c r="Y159" s="192"/>
      <c r="Z159" s="192"/>
      <c r="AA159" s="192"/>
      <c r="AB159" s="192"/>
      <c r="AC159" s="192"/>
      <c r="AD159" s="192"/>
      <c r="AE159" s="192"/>
    </row>
    <row r="160" hidden="1">
      <c r="A160" s="1"/>
      <c r="B160" s="1"/>
      <c r="C160" s="1"/>
      <c r="D160" s="1"/>
      <c r="E160" s="192"/>
      <c r="F160" s="1"/>
      <c r="G160" s="1"/>
      <c r="H160" s="1"/>
      <c r="I160" s="1"/>
      <c r="J160" s="1"/>
      <c r="K160" s="192"/>
      <c r="L160" s="1"/>
      <c r="M160" s="1"/>
      <c r="N160" s="1"/>
      <c r="O160" s="1"/>
      <c r="P160" s="192"/>
      <c r="Q160" s="192"/>
      <c r="R160" s="192"/>
      <c r="S160" s="192"/>
      <c r="T160" s="192"/>
      <c r="U160" s="192"/>
      <c r="V160" s="192"/>
      <c r="W160" s="192"/>
      <c r="X160" s="192"/>
      <c r="Y160" s="192"/>
      <c r="Z160" s="192"/>
      <c r="AA160" s="192"/>
      <c r="AB160" s="192"/>
      <c r="AC160" s="192"/>
      <c r="AD160" s="192"/>
      <c r="AE160" s="192"/>
    </row>
    <row r="161" hidden="1">
      <c r="A161" s="1"/>
      <c r="B161" s="1"/>
      <c r="C161" s="1"/>
      <c r="D161" s="1"/>
      <c r="E161" s="192"/>
      <c r="F161" s="1"/>
      <c r="G161" s="1"/>
      <c r="H161" s="1"/>
      <c r="I161" s="1"/>
      <c r="J161" s="1"/>
      <c r="K161" s="192"/>
      <c r="L161" s="1"/>
      <c r="M161" s="1"/>
      <c r="N161" s="1"/>
      <c r="O161" s="1"/>
      <c r="P161" s="192"/>
      <c r="Q161" s="192"/>
      <c r="R161" s="192"/>
      <c r="S161" s="192"/>
      <c r="T161" s="192"/>
      <c r="U161" s="192"/>
      <c r="V161" s="192"/>
      <c r="W161" s="192"/>
      <c r="X161" s="192"/>
      <c r="Y161" s="192"/>
      <c r="Z161" s="192"/>
      <c r="AA161" s="192"/>
      <c r="AB161" s="192"/>
      <c r="AC161" s="192"/>
      <c r="AD161" s="192"/>
      <c r="AE161" s="192"/>
    </row>
    <row r="162" hidden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92"/>
      <c r="Q162" s="192"/>
      <c r="R162" s="192"/>
      <c r="S162" s="192"/>
      <c r="T162" s="192"/>
      <c r="U162" s="192"/>
      <c r="V162" s="192"/>
      <c r="W162" s="192"/>
      <c r="X162" s="192"/>
      <c r="Y162" s="192"/>
      <c r="Z162" s="192"/>
      <c r="AA162" s="192"/>
      <c r="AB162" s="192"/>
      <c r="AC162" s="192"/>
      <c r="AD162" s="192"/>
      <c r="AE162" s="192"/>
    </row>
    <row r="163" hidden="1">
      <c r="A163" s="192"/>
      <c r="B163" s="192"/>
      <c r="C163" s="192"/>
      <c r="D163" s="192"/>
      <c r="E163" s="192"/>
      <c r="F163" s="192"/>
      <c r="G163" s="192"/>
      <c r="H163" s="192"/>
      <c r="I163" s="192"/>
      <c r="J163" s="192"/>
      <c r="K163" s="192"/>
      <c r="L163" s="192"/>
      <c r="M163" s="192"/>
      <c r="N163" s="192"/>
      <c r="O163" s="192"/>
      <c r="P163" s="192"/>
      <c r="Q163" s="192"/>
      <c r="R163" s="192"/>
      <c r="S163" s="192"/>
      <c r="T163" s="192"/>
      <c r="U163" s="192"/>
      <c r="V163" s="192"/>
      <c r="W163" s="192"/>
      <c r="X163" s="192"/>
      <c r="Y163" s="192"/>
      <c r="Z163" s="192"/>
      <c r="AA163" s="192"/>
      <c r="AB163" s="192"/>
      <c r="AC163" s="192"/>
      <c r="AD163" s="192"/>
      <c r="AE163" s="192"/>
    </row>
    <row r="164" hidden="1">
      <c r="A164" s="192"/>
      <c r="B164" s="192"/>
      <c r="C164" s="192"/>
      <c r="D164" s="192"/>
      <c r="E164" s="192"/>
      <c r="F164" s="192"/>
      <c r="G164" s="192"/>
      <c r="H164" s="192"/>
      <c r="I164" s="192"/>
      <c r="J164" s="192"/>
      <c r="K164" s="192"/>
      <c r="L164" s="192"/>
      <c r="M164" s="192"/>
      <c r="N164" s="192"/>
      <c r="O164" s="192"/>
      <c r="P164" s="192"/>
      <c r="Q164" s="192"/>
      <c r="R164" s="192"/>
      <c r="S164" s="192"/>
      <c r="T164" s="192"/>
      <c r="U164" s="192"/>
      <c r="V164" s="192"/>
      <c r="W164" s="192"/>
      <c r="X164" s="192"/>
      <c r="Y164" s="192"/>
      <c r="Z164" s="192"/>
      <c r="AA164" s="192"/>
      <c r="AB164" s="192"/>
      <c r="AC164" s="192"/>
      <c r="AD164" s="192"/>
      <c r="AE164" s="192"/>
    </row>
    <row r="165" hidden="1">
      <c r="A165" s="192"/>
      <c r="B165" s="192"/>
      <c r="C165" s="192"/>
      <c r="D165" s="192"/>
      <c r="E165" s="192"/>
      <c r="F165" s="192"/>
      <c r="G165" s="192"/>
      <c r="H165" s="192"/>
      <c r="I165" s="192"/>
      <c r="J165" s="192"/>
      <c r="K165" s="192"/>
      <c r="L165" s="192"/>
      <c r="M165" s="192"/>
      <c r="N165" s="192"/>
      <c r="O165" s="192"/>
      <c r="P165" s="192"/>
      <c r="Q165" s="192"/>
      <c r="R165" s="192"/>
      <c r="S165" s="192"/>
      <c r="T165" s="192"/>
      <c r="U165" s="192"/>
      <c r="V165" s="192"/>
      <c r="W165" s="192"/>
      <c r="X165" s="192"/>
      <c r="Y165" s="192"/>
      <c r="Z165" s="192"/>
      <c r="AA165" s="192"/>
      <c r="AB165" s="192"/>
      <c r="AC165" s="192"/>
      <c r="AD165" s="192"/>
      <c r="AE165" s="192"/>
    </row>
    <row r="166" hidden="1">
      <c r="A166" s="192"/>
      <c r="B166" s="192"/>
      <c r="C166" s="192"/>
      <c r="D166" s="192"/>
      <c r="E166" s="192"/>
      <c r="F166" s="192"/>
      <c r="G166" s="192"/>
      <c r="H166" s="192"/>
      <c r="I166" s="192"/>
      <c r="J166" s="192"/>
      <c r="K166" s="192"/>
      <c r="L166" s="192"/>
      <c r="M166" s="192"/>
      <c r="N166" s="192"/>
      <c r="O166" s="192"/>
      <c r="P166" s="192"/>
      <c r="Q166" s="192"/>
      <c r="R166" s="192"/>
      <c r="S166" s="192"/>
      <c r="T166" s="192"/>
      <c r="U166" s="192"/>
      <c r="V166" s="192"/>
      <c r="W166" s="192"/>
      <c r="X166" s="192"/>
      <c r="Y166" s="192"/>
      <c r="Z166" s="192"/>
      <c r="AA166" s="192"/>
      <c r="AB166" s="192"/>
      <c r="AC166" s="192"/>
      <c r="AD166" s="192"/>
      <c r="AE166" s="192"/>
    </row>
    <row r="167" hidden="1">
      <c r="A167" s="192"/>
      <c r="B167" s="192"/>
      <c r="C167" s="192"/>
      <c r="D167" s="192"/>
      <c r="E167" s="192"/>
      <c r="F167" s="192"/>
      <c r="G167" s="192"/>
      <c r="H167" s="192"/>
      <c r="I167" s="192"/>
      <c r="J167" s="192"/>
      <c r="K167" s="192"/>
      <c r="L167" s="192"/>
      <c r="M167" s="192"/>
      <c r="N167" s="192"/>
      <c r="O167" s="192"/>
      <c r="P167" s="192"/>
      <c r="Q167" s="192"/>
      <c r="R167" s="192"/>
      <c r="S167" s="192"/>
      <c r="T167" s="192"/>
      <c r="U167" s="192"/>
      <c r="V167" s="192"/>
      <c r="W167" s="192"/>
      <c r="X167" s="192"/>
      <c r="Y167" s="192"/>
      <c r="Z167" s="192"/>
      <c r="AA167" s="192"/>
      <c r="AB167" s="192"/>
      <c r="AC167" s="192"/>
      <c r="AD167" s="192"/>
      <c r="AE167" s="192"/>
    </row>
    <row r="168" hidden="1">
      <c r="A168" s="192"/>
      <c r="B168" s="192"/>
      <c r="C168" s="192"/>
      <c r="D168" s="192"/>
      <c r="E168" s="192"/>
      <c r="F168" s="192"/>
      <c r="G168" s="192"/>
      <c r="H168" s="192"/>
      <c r="I168" s="192"/>
      <c r="J168" s="192"/>
      <c r="K168" s="192"/>
      <c r="L168" s="192"/>
      <c r="M168" s="192"/>
      <c r="N168" s="192"/>
      <c r="O168" s="192"/>
      <c r="P168" s="192"/>
      <c r="Q168" s="192"/>
      <c r="R168" s="192"/>
      <c r="S168" s="192"/>
      <c r="T168" s="192"/>
      <c r="U168" s="192"/>
      <c r="V168" s="192"/>
      <c r="W168" s="192"/>
      <c r="X168" s="192"/>
      <c r="Y168" s="192"/>
      <c r="Z168" s="192"/>
      <c r="AA168" s="192"/>
      <c r="AB168" s="192"/>
      <c r="AC168" s="192"/>
      <c r="AD168" s="192"/>
      <c r="AE168" s="192"/>
    </row>
    <row r="169" hidden="1">
      <c r="A169" s="192"/>
      <c r="B169" s="192"/>
      <c r="C169" s="192"/>
      <c r="D169" s="192"/>
      <c r="E169" s="192"/>
      <c r="F169" s="192"/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</row>
    <row r="170" hidden="1">
      <c r="A170" s="192"/>
      <c r="B170" s="192"/>
      <c r="C170" s="192"/>
      <c r="D170" s="192"/>
      <c r="E170" s="192"/>
      <c r="F170" s="192"/>
      <c r="G170" s="192"/>
      <c r="H170" s="192"/>
      <c r="I170" s="192"/>
      <c r="J170" s="192"/>
      <c r="K170" s="192"/>
      <c r="L170" s="192"/>
      <c r="M170" s="192"/>
      <c r="N170" s="192"/>
      <c r="O170" s="192"/>
      <c r="P170" s="192"/>
      <c r="Q170" s="192"/>
      <c r="R170" s="192"/>
      <c r="S170" s="192"/>
      <c r="T170" s="192"/>
      <c r="U170" s="192"/>
      <c r="V170" s="192"/>
      <c r="W170" s="192"/>
      <c r="X170" s="192"/>
      <c r="Y170" s="192"/>
      <c r="Z170" s="192"/>
      <c r="AA170" s="192"/>
      <c r="AB170" s="192"/>
      <c r="AC170" s="192"/>
      <c r="AD170" s="192"/>
      <c r="AE170" s="192"/>
    </row>
    <row r="171" hidden="1">
      <c r="A171" s="192"/>
      <c r="B171" s="192"/>
      <c r="C171" s="194"/>
      <c r="D171" s="192"/>
      <c r="E171" s="192"/>
      <c r="F171" s="192"/>
      <c r="G171" s="192"/>
      <c r="H171" s="192"/>
      <c r="I171" s="192"/>
      <c r="J171" s="192"/>
      <c r="K171" s="192"/>
      <c r="L171" s="192"/>
      <c r="M171" s="192"/>
      <c r="N171" s="192"/>
      <c r="O171" s="192"/>
      <c r="P171" s="192"/>
      <c r="Q171" s="192"/>
      <c r="R171" s="192"/>
      <c r="S171" s="192"/>
      <c r="T171" s="192"/>
      <c r="U171" s="192"/>
      <c r="V171" s="192"/>
      <c r="W171" s="192"/>
      <c r="X171" s="192"/>
      <c r="Y171" s="192"/>
      <c r="Z171" s="192"/>
      <c r="AA171" s="192"/>
      <c r="AB171" s="192"/>
      <c r="AC171" s="192"/>
      <c r="AD171" s="192"/>
      <c r="AE171" s="192"/>
    </row>
    <row r="172" hidden="1">
      <c r="A172" s="192"/>
      <c r="B172" s="192"/>
      <c r="C172" s="192"/>
      <c r="D172" s="192"/>
      <c r="E172" s="192"/>
      <c r="F172" s="192"/>
      <c r="G172" s="192"/>
      <c r="H172" s="192"/>
      <c r="I172" s="192"/>
      <c r="J172" s="192"/>
      <c r="K172" s="192"/>
      <c r="L172" s="192"/>
      <c r="M172" s="192"/>
      <c r="N172" s="192"/>
      <c r="O172" s="192"/>
      <c r="P172" s="192"/>
      <c r="Q172" s="192"/>
      <c r="R172" s="192"/>
      <c r="S172" s="192"/>
      <c r="T172" s="192"/>
      <c r="U172" s="192"/>
      <c r="V172" s="192"/>
      <c r="W172" s="192"/>
      <c r="X172" s="192"/>
      <c r="Y172" s="192"/>
      <c r="Z172" s="192"/>
      <c r="AA172" s="192"/>
      <c r="AB172" s="192"/>
      <c r="AC172" s="192"/>
      <c r="AD172" s="192"/>
      <c r="AE172" s="192"/>
    </row>
    <row r="173" hidden="1">
      <c r="A173" s="192"/>
      <c r="B173" s="192"/>
      <c r="C173" s="192"/>
      <c r="D173" s="192"/>
      <c r="E173" s="192"/>
      <c r="F173" s="192"/>
      <c r="G173" s="192"/>
      <c r="H173" s="192"/>
      <c r="I173" s="192"/>
      <c r="J173" s="192"/>
      <c r="K173" s="192"/>
      <c r="L173" s="192"/>
      <c r="M173" s="192"/>
      <c r="N173" s="192"/>
      <c r="O173" s="192"/>
      <c r="P173" s="192"/>
      <c r="Q173" s="192"/>
      <c r="R173" s="192"/>
      <c r="S173" s="192"/>
      <c r="T173" s="192"/>
      <c r="U173" s="192"/>
      <c r="V173" s="192"/>
      <c r="W173" s="192"/>
      <c r="X173" s="192"/>
      <c r="Y173" s="192"/>
      <c r="Z173" s="192"/>
      <c r="AA173" s="192"/>
      <c r="AB173" s="192"/>
      <c r="AC173" s="192"/>
      <c r="AD173" s="192"/>
      <c r="AE173" s="192"/>
    </row>
    <row r="174" hidden="1">
      <c r="A174" s="192"/>
      <c r="B174" s="192"/>
      <c r="C174" s="192"/>
      <c r="D174" s="192"/>
      <c r="E174" s="192"/>
      <c r="F174" s="192"/>
      <c r="G174" s="192"/>
      <c r="H174" s="192"/>
      <c r="I174" s="192"/>
      <c r="J174" s="192"/>
      <c r="K174" s="192"/>
      <c r="L174" s="192"/>
      <c r="M174" s="192"/>
      <c r="N174" s="192"/>
      <c r="O174" s="192"/>
      <c r="P174" s="192"/>
      <c r="Q174" s="192"/>
      <c r="R174" s="192"/>
      <c r="S174" s="192"/>
      <c r="T174" s="192"/>
      <c r="U174" s="192"/>
      <c r="V174" s="192"/>
      <c r="W174" s="192"/>
      <c r="X174" s="192"/>
      <c r="Y174" s="192"/>
      <c r="Z174" s="192"/>
      <c r="AA174" s="192"/>
      <c r="AB174" s="192"/>
      <c r="AC174" s="192"/>
      <c r="AD174" s="192"/>
      <c r="AE174" s="192"/>
    </row>
    <row r="175" hidden="1">
      <c r="A175" s="192"/>
      <c r="B175" s="192"/>
      <c r="C175" s="192"/>
      <c r="D175" s="192"/>
      <c r="E175" s="192"/>
      <c r="F175" s="192"/>
      <c r="G175" s="192"/>
      <c r="H175" s="192"/>
      <c r="I175" s="192"/>
      <c r="J175" s="192"/>
      <c r="K175" s="192"/>
      <c r="L175" s="192"/>
      <c r="M175" s="192"/>
      <c r="N175" s="192"/>
      <c r="O175" s="192"/>
      <c r="P175" s="192"/>
      <c r="Q175" s="192"/>
      <c r="R175" s="192"/>
      <c r="S175" s="192"/>
      <c r="T175" s="192"/>
      <c r="U175" s="192"/>
      <c r="V175" s="192"/>
      <c r="W175" s="192"/>
      <c r="X175" s="192"/>
      <c r="Y175" s="192"/>
      <c r="Z175" s="192"/>
      <c r="AA175" s="192"/>
      <c r="AB175" s="192"/>
      <c r="AC175" s="192"/>
      <c r="AD175" s="192"/>
      <c r="AE175" s="192"/>
    </row>
    <row r="176" hidden="1">
      <c r="A176" s="192"/>
      <c r="B176" s="192"/>
      <c r="C176" s="192"/>
      <c r="D176" s="192"/>
      <c r="E176" s="192"/>
      <c r="F176" s="192"/>
      <c r="G176" s="192"/>
      <c r="H176" s="192"/>
      <c r="I176" s="192"/>
      <c r="J176" s="192"/>
      <c r="K176" s="192"/>
      <c r="L176" s="192"/>
      <c r="M176" s="192"/>
      <c r="N176" s="192"/>
      <c r="O176" s="192"/>
      <c r="P176" s="192"/>
      <c r="Q176" s="192"/>
      <c r="R176" s="192"/>
      <c r="S176" s="192"/>
      <c r="T176" s="192"/>
      <c r="U176" s="192"/>
      <c r="V176" s="192"/>
      <c r="W176" s="192"/>
      <c r="X176" s="192"/>
      <c r="Y176" s="192"/>
      <c r="Z176" s="192"/>
      <c r="AA176" s="192"/>
      <c r="AB176" s="192"/>
      <c r="AC176" s="192"/>
      <c r="AD176" s="192"/>
      <c r="AE176" s="192"/>
    </row>
    <row r="177" hidden="1">
      <c r="A177" s="192"/>
      <c r="B177" s="192"/>
      <c r="C177" s="194"/>
      <c r="D177" s="192"/>
      <c r="E177" s="192"/>
      <c r="F177" s="192"/>
      <c r="G177" s="192"/>
      <c r="H177" s="192"/>
      <c r="I177" s="192"/>
      <c r="J177" s="192"/>
      <c r="K177" s="192"/>
      <c r="L177" s="192"/>
      <c r="M177" s="192"/>
      <c r="N177" s="192"/>
      <c r="O177" s="192"/>
      <c r="P177" s="192"/>
      <c r="Q177" s="192"/>
      <c r="R177" s="192"/>
      <c r="S177" s="192"/>
      <c r="T177" s="192"/>
      <c r="U177" s="192"/>
      <c r="V177" s="192"/>
      <c r="W177" s="192"/>
      <c r="X177" s="192"/>
      <c r="Y177" s="192"/>
      <c r="Z177" s="192"/>
      <c r="AA177" s="192"/>
      <c r="AB177" s="192"/>
      <c r="AC177" s="192"/>
      <c r="AD177" s="192"/>
      <c r="AE177" s="192"/>
    </row>
    <row r="178" hidden="1">
      <c r="A178" s="192"/>
      <c r="B178" s="192"/>
      <c r="C178" s="192"/>
      <c r="D178" s="192"/>
      <c r="E178" s="192"/>
      <c r="F178" s="192"/>
      <c r="G178" s="192"/>
      <c r="H178" s="192"/>
      <c r="I178" s="192"/>
      <c r="J178" s="192"/>
      <c r="K178" s="192"/>
      <c r="L178" s="192"/>
      <c r="M178" s="192"/>
      <c r="N178" s="192"/>
      <c r="O178" s="192"/>
      <c r="P178" s="192"/>
      <c r="Q178" s="192"/>
      <c r="R178" s="192"/>
      <c r="S178" s="192"/>
      <c r="T178" s="192"/>
      <c r="U178" s="192"/>
      <c r="V178" s="192"/>
      <c r="W178" s="192"/>
      <c r="X178" s="192"/>
      <c r="Y178" s="192"/>
      <c r="Z178" s="192"/>
      <c r="AA178" s="192"/>
      <c r="AB178" s="192"/>
      <c r="AC178" s="192"/>
      <c r="AD178" s="192"/>
      <c r="AE178" s="192"/>
    </row>
    <row r="179" hidden="1">
      <c r="A179" s="192"/>
      <c r="B179" s="192"/>
      <c r="C179" s="192"/>
      <c r="D179" s="192"/>
      <c r="E179" s="192"/>
      <c r="F179" s="192"/>
      <c r="G179" s="192"/>
      <c r="H179" s="192"/>
      <c r="I179" s="192"/>
      <c r="J179" s="192"/>
      <c r="K179" s="192"/>
      <c r="L179" s="192"/>
      <c r="M179" s="192"/>
      <c r="N179" s="192"/>
      <c r="O179" s="192"/>
      <c r="P179" s="192"/>
      <c r="Q179" s="192"/>
      <c r="R179" s="192"/>
      <c r="S179" s="192"/>
      <c r="T179" s="192"/>
      <c r="U179" s="192"/>
      <c r="V179" s="192"/>
      <c r="W179" s="192"/>
      <c r="X179" s="192"/>
      <c r="Y179" s="192"/>
      <c r="Z179" s="192"/>
      <c r="AA179" s="192"/>
      <c r="AB179" s="192"/>
      <c r="AC179" s="192"/>
      <c r="AD179" s="192"/>
      <c r="AE179" s="192"/>
    </row>
    <row r="180" hidden="1">
      <c r="A180" s="192"/>
      <c r="B180" s="192"/>
      <c r="C180" s="192"/>
      <c r="D180" s="192"/>
      <c r="E180" s="192"/>
      <c r="F180" s="192"/>
      <c r="G180" s="192"/>
      <c r="H180" s="192"/>
      <c r="I180" s="192"/>
      <c r="J180" s="192"/>
      <c r="K180" s="192"/>
      <c r="L180" s="192"/>
      <c r="M180" s="192"/>
      <c r="N180" s="192"/>
      <c r="O180" s="192"/>
      <c r="P180" s="192"/>
      <c r="Q180" s="192"/>
      <c r="R180" s="192"/>
      <c r="S180" s="192"/>
      <c r="T180" s="192"/>
      <c r="U180" s="192"/>
      <c r="V180" s="192"/>
      <c r="W180" s="192"/>
      <c r="X180" s="192"/>
      <c r="Y180" s="192"/>
      <c r="Z180" s="192"/>
      <c r="AA180" s="192"/>
      <c r="AB180" s="192"/>
      <c r="AC180" s="192"/>
      <c r="AD180" s="192"/>
      <c r="AE180" s="192"/>
    </row>
    <row r="181" hidden="1">
      <c r="A181" s="192"/>
      <c r="B181" s="192"/>
      <c r="C181" s="192"/>
      <c r="D181" s="192"/>
      <c r="E181" s="192"/>
      <c r="F181" s="192"/>
      <c r="G181" s="192"/>
      <c r="H181" s="192"/>
      <c r="I181" s="192"/>
      <c r="J181" s="192"/>
      <c r="K181" s="192"/>
      <c r="L181" s="192"/>
      <c r="M181" s="192"/>
      <c r="N181" s="192"/>
      <c r="O181" s="192"/>
      <c r="P181" s="192"/>
      <c r="Q181" s="192"/>
      <c r="R181" s="192"/>
      <c r="S181" s="192"/>
      <c r="T181" s="192"/>
      <c r="U181" s="192"/>
      <c r="V181" s="192"/>
      <c r="W181" s="192"/>
      <c r="X181" s="192"/>
      <c r="Y181" s="192"/>
      <c r="Z181" s="192"/>
      <c r="AA181" s="192"/>
      <c r="AB181" s="192"/>
      <c r="AC181" s="192"/>
      <c r="AD181" s="192"/>
      <c r="AE181" s="192"/>
    </row>
    <row r="182" hidden="1">
      <c r="A182" s="192"/>
      <c r="B182" s="192"/>
      <c r="C182" s="192"/>
      <c r="D182" s="192"/>
      <c r="E182" s="192"/>
      <c r="F182" s="192"/>
      <c r="G182" s="192"/>
      <c r="H182" s="192"/>
      <c r="I182" s="192"/>
      <c r="J182" s="192"/>
      <c r="K182" s="192"/>
      <c r="L182" s="192"/>
      <c r="M182" s="192"/>
      <c r="N182" s="192"/>
      <c r="O182" s="192"/>
      <c r="P182" s="192"/>
      <c r="Q182" s="192"/>
      <c r="R182" s="192"/>
      <c r="S182" s="192"/>
      <c r="T182" s="192"/>
      <c r="U182" s="192"/>
      <c r="V182" s="192"/>
      <c r="W182" s="192"/>
      <c r="X182" s="192"/>
      <c r="Y182" s="192"/>
      <c r="Z182" s="192"/>
      <c r="AA182" s="192"/>
      <c r="AB182" s="192"/>
      <c r="AC182" s="192"/>
      <c r="AD182" s="192"/>
      <c r="AE182" s="192"/>
    </row>
    <row r="183" hidden="1">
      <c r="A183" s="192"/>
      <c r="B183" s="192"/>
      <c r="C183" s="192"/>
      <c r="D183" s="192"/>
      <c r="E183" s="192"/>
      <c r="F183" s="192"/>
      <c r="G183" s="192"/>
      <c r="H183" s="192"/>
      <c r="I183" s="192"/>
      <c r="J183" s="192"/>
      <c r="K183" s="192"/>
      <c r="L183" s="192"/>
      <c r="M183" s="192"/>
      <c r="N183" s="192"/>
      <c r="O183" s="192"/>
      <c r="P183" s="192"/>
      <c r="Q183" s="192"/>
      <c r="R183" s="192"/>
      <c r="S183" s="192"/>
      <c r="T183" s="192"/>
      <c r="U183" s="192"/>
      <c r="V183" s="192"/>
      <c r="W183" s="192"/>
      <c r="X183" s="192"/>
      <c r="Y183" s="192"/>
      <c r="Z183" s="192"/>
      <c r="AA183" s="192"/>
      <c r="AB183" s="192"/>
      <c r="AC183" s="192"/>
      <c r="AD183" s="192"/>
      <c r="AE183" s="192"/>
    </row>
    <row r="184" hidden="1">
      <c r="A184" s="192"/>
      <c r="B184" s="192"/>
      <c r="C184" s="192"/>
      <c r="D184" s="192"/>
      <c r="E184" s="192"/>
      <c r="F184" s="192"/>
      <c r="G184" s="192"/>
      <c r="H184" s="192"/>
      <c r="I184" s="192"/>
      <c r="J184" s="192"/>
      <c r="K184" s="192"/>
      <c r="L184" s="192"/>
      <c r="M184" s="192"/>
      <c r="N184" s="192"/>
      <c r="O184" s="192"/>
      <c r="P184" s="192"/>
      <c r="Q184" s="192"/>
      <c r="R184" s="192"/>
      <c r="S184" s="192"/>
      <c r="T184" s="192"/>
      <c r="U184" s="192"/>
      <c r="V184" s="192"/>
      <c r="W184" s="192"/>
      <c r="X184" s="192"/>
      <c r="Y184" s="192"/>
      <c r="Z184" s="192"/>
      <c r="AA184" s="192"/>
      <c r="AB184" s="192"/>
      <c r="AC184" s="192"/>
      <c r="AD184" s="192"/>
      <c r="AE184" s="192"/>
    </row>
    <row r="185" hidden="1">
      <c r="A185" s="192"/>
      <c r="B185" s="192"/>
      <c r="C185" s="194"/>
      <c r="D185" s="192"/>
      <c r="E185" s="192"/>
      <c r="F185" s="192"/>
      <c r="G185" s="192"/>
      <c r="H185" s="192"/>
      <c r="I185" s="192"/>
      <c r="J185" s="192"/>
      <c r="K185" s="192"/>
      <c r="L185" s="192"/>
      <c r="M185" s="192"/>
      <c r="N185" s="192"/>
      <c r="O185" s="192"/>
      <c r="P185" s="192"/>
      <c r="Q185" s="192"/>
      <c r="R185" s="192"/>
      <c r="S185" s="192"/>
      <c r="T185" s="192"/>
      <c r="U185" s="192"/>
      <c r="V185" s="192"/>
      <c r="W185" s="192"/>
      <c r="X185" s="192"/>
      <c r="Y185" s="192"/>
      <c r="Z185" s="192"/>
      <c r="AA185" s="192"/>
      <c r="AB185" s="192"/>
      <c r="AC185" s="192"/>
      <c r="AD185" s="192"/>
      <c r="AE185" s="192"/>
    </row>
    <row r="186" hidden="1">
      <c r="A186" s="192"/>
      <c r="B186" s="192"/>
      <c r="C186" s="192"/>
      <c r="D186" s="192"/>
      <c r="E186" s="192"/>
      <c r="F186" s="192"/>
      <c r="G186" s="192"/>
      <c r="H186" s="192"/>
      <c r="I186" s="192"/>
      <c r="J186" s="192"/>
      <c r="K186" s="192"/>
      <c r="L186" s="192"/>
      <c r="M186" s="192"/>
      <c r="N186" s="192"/>
      <c r="O186" s="192"/>
      <c r="P186" s="192"/>
      <c r="Q186" s="192"/>
      <c r="R186" s="192"/>
      <c r="S186" s="192"/>
      <c r="T186" s="192"/>
      <c r="U186" s="192"/>
      <c r="V186" s="192"/>
      <c r="W186" s="192"/>
      <c r="X186" s="192"/>
      <c r="Y186" s="192"/>
      <c r="Z186" s="192"/>
      <c r="AA186" s="192"/>
      <c r="AB186" s="192"/>
      <c r="AC186" s="192"/>
      <c r="AD186" s="192"/>
      <c r="AE186" s="192"/>
    </row>
    <row r="187" hidden="1">
      <c r="A187" s="192"/>
      <c r="B187" s="192"/>
      <c r="C187" s="192"/>
      <c r="D187" s="192"/>
      <c r="E187" s="192"/>
      <c r="F187" s="192"/>
      <c r="G187" s="192"/>
      <c r="H187" s="192"/>
      <c r="I187" s="192"/>
      <c r="J187" s="192"/>
      <c r="K187" s="192"/>
      <c r="L187" s="192"/>
      <c r="M187" s="192"/>
      <c r="N187" s="192"/>
      <c r="O187" s="192"/>
      <c r="P187" s="192"/>
      <c r="Q187" s="192"/>
      <c r="R187" s="192"/>
      <c r="S187" s="192"/>
      <c r="T187" s="192"/>
      <c r="U187" s="192"/>
      <c r="V187" s="192"/>
      <c r="W187" s="192"/>
      <c r="X187" s="192"/>
      <c r="Y187" s="192"/>
      <c r="Z187" s="192"/>
      <c r="AA187" s="192"/>
      <c r="AB187" s="192"/>
      <c r="AC187" s="192"/>
      <c r="AD187" s="192"/>
      <c r="AE187" s="192"/>
    </row>
    <row r="188" hidden="1">
      <c r="A188" s="192"/>
      <c r="B188" s="192"/>
      <c r="C188" s="192"/>
      <c r="D188" s="192"/>
      <c r="E188" s="192"/>
      <c r="F188" s="192"/>
      <c r="G188" s="192"/>
      <c r="H188" s="192"/>
      <c r="I188" s="192"/>
      <c r="J188" s="192"/>
      <c r="K188" s="192"/>
      <c r="L188" s="192"/>
      <c r="M188" s="192"/>
      <c r="N188" s="192"/>
      <c r="O188" s="192"/>
      <c r="P188" s="192"/>
      <c r="Q188" s="192"/>
      <c r="R188" s="192"/>
      <c r="S188" s="192"/>
      <c r="T188" s="192"/>
      <c r="U188" s="192"/>
      <c r="V188" s="192"/>
      <c r="W188" s="192"/>
      <c r="X188" s="192"/>
      <c r="Y188" s="192"/>
      <c r="Z188" s="192"/>
      <c r="AA188" s="192"/>
      <c r="AB188" s="192"/>
      <c r="AC188" s="192"/>
      <c r="AD188" s="192"/>
      <c r="AE188" s="192"/>
    </row>
    <row r="189" hidden="1">
      <c r="A189" s="192"/>
      <c r="B189" s="192"/>
      <c r="C189" s="192"/>
      <c r="D189" s="192"/>
      <c r="E189" s="192"/>
      <c r="F189" s="192"/>
      <c r="G189" s="192"/>
      <c r="H189" s="192"/>
      <c r="I189" s="192"/>
      <c r="J189" s="192"/>
      <c r="K189" s="192"/>
      <c r="L189" s="192"/>
      <c r="M189" s="192"/>
      <c r="N189" s="192"/>
      <c r="O189" s="192"/>
      <c r="P189" s="192"/>
      <c r="Q189" s="192"/>
      <c r="R189" s="192"/>
      <c r="S189" s="192"/>
      <c r="T189" s="192"/>
      <c r="U189" s="192"/>
      <c r="V189" s="192"/>
      <c r="W189" s="192"/>
      <c r="X189" s="192"/>
      <c r="Y189" s="192"/>
      <c r="Z189" s="192"/>
      <c r="AA189" s="192"/>
      <c r="AB189" s="192"/>
      <c r="AC189" s="192"/>
      <c r="AD189" s="192"/>
      <c r="AE189" s="192"/>
    </row>
    <row r="190" hidden="1">
      <c r="A190" s="192"/>
      <c r="B190" s="192"/>
      <c r="C190" s="192"/>
      <c r="D190" s="192"/>
      <c r="E190" s="192"/>
      <c r="F190" s="192"/>
      <c r="G190" s="192"/>
      <c r="H190" s="192"/>
      <c r="I190" s="192"/>
      <c r="J190" s="192"/>
      <c r="K190" s="192"/>
      <c r="L190" s="192"/>
      <c r="M190" s="192"/>
      <c r="N190" s="192"/>
      <c r="O190" s="192"/>
      <c r="P190" s="192"/>
      <c r="Q190" s="192"/>
      <c r="R190" s="192"/>
      <c r="S190" s="192"/>
      <c r="T190" s="192"/>
      <c r="U190" s="192"/>
      <c r="V190" s="192"/>
      <c r="W190" s="192"/>
      <c r="X190" s="192"/>
      <c r="Y190" s="192"/>
      <c r="Z190" s="192"/>
      <c r="AA190" s="192"/>
      <c r="AB190" s="192"/>
      <c r="AC190" s="192"/>
      <c r="AD190" s="192"/>
      <c r="AE190" s="192"/>
    </row>
    <row r="191" hidden="1">
      <c r="A191" s="192"/>
      <c r="B191" s="192"/>
      <c r="C191" s="192"/>
      <c r="D191" s="192"/>
      <c r="E191" s="192"/>
      <c r="F191" s="192"/>
      <c r="G191" s="192"/>
      <c r="H191" s="192"/>
      <c r="I191" s="192"/>
      <c r="J191" s="192"/>
      <c r="K191" s="192"/>
      <c r="L191" s="192"/>
      <c r="M191" s="192"/>
      <c r="N191" s="192"/>
      <c r="O191" s="192"/>
      <c r="P191" s="192"/>
      <c r="Q191" s="192"/>
      <c r="R191" s="192"/>
      <c r="S191" s="192"/>
      <c r="T191" s="192"/>
      <c r="U191" s="192"/>
      <c r="V191" s="192"/>
      <c r="W191" s="192"/>
      <c r="X191" s="192"/>
      <c r="Y191" s="192"/>
      <c r="Z191" s="192"/>
      <c r="AA191" s="192"/>
      <c r="AB191" s="192"/>
      <c r="AC191" s="192"/>
      <c r="AD191" s="192"/>
      <c r="AE191" s="192"/>
    </row>
    <row r="192" hidden="1">
      <c r="A192" s="192"/>
      <c r="B192" s="192"/>
      <c r="C192" s="192"/>
      <c r="D192" s="192"/>
      <c r="E192" s="192"/>
      <c r="F192" s="192"/>
      <c r="G192" s="192"/>
      <c r="H192" s="192"/>
      <c r="I192" s="192"/>
      <c r="J192" s="192"/>
      <c r="K192" s="192"/>
      <c r="L192" s="192"/>
      <c r="M192" s="192"/>
      <c r="N192" s="192"/>
      <c r="O192" s="192"/>
      <c r="P192" s="192"/>
      <c r="Q192" s="192"/>
      <c r="R192" s="192"/>
      <c r="S192" s="192"/>
      <c r="T192" s="192"/>
      <c r="U192" s="192"/>
      <c r="V192" s="192"/>
      <c r="W192" s="192"/>
      <c r="X192" s="192"/>
      <c r="Y192" s="192"/>
      <c r="Z192" s="192"/>
      <c r="AA192" s="192"/>
      <c r="AB192" s="192"/>
      <c r="AC192" s="192"/>
      <c r="AD192" s="192"/>
      <c r="AE192" s="192"/>
    </row>
    <row r="193" hidden="1">
      <c r="A193" s="192"/>
      <c r="B193" s="192"/>
      <c r="C193" s="192"/>
      <c r="D193" s="192"/>
      <c r="E193" s="192"/>
      <c r="F193" s="192"/>
      <c r="G193" s="192"/>
      <c r="H193" s="192"/>
      <c r="I193" s="192"/>
      <c r="J193" s="192"/>
      <c r="K193" s="192"/>
      <c r="L193" s="192"/>
      <c r="M193" s="192"/>
      <c r="N193" s="192"/>
      <c r="O193" s="192"/>
      <c r="P193" s="192"/>
      <c r="Q193" s="192"/>
      <c r="R193" s="192"/>
      <c r="S193" s="192"/>
      <c r="T193" s="192"/>
      <c r="U193" s="192"/>
      <c r="V193" s="192"/>
      <c r="W193" s="192"/>
      <c r="X193" s="192"/>
      <c r="Y193" s="192"/>
      <c r="Z193" s="192"/>
      <c r="AA193" s="192"/>
      <c r="AB193" s="192"/>
      <c r="AC193" s="192"/>
      <c r="AD193" s="192"/>
      <c r="AE193" s="192"/>
    </row>
    <row r="194" hidden="1">
      <c r="A194" s="192"/>
      <c r="B194" s="192"/>
      <c r="C194" s="192"/>
      <c r="D194" s="192"/>
      <c r="E194" s="192"/>
      <c r="F194" s="192"/>
      <c r="G194" s="192"/>
      <c r="H194" s="192"/>
      <c r="I194" s="192"/>
      <c r="J194" s="192"/>
      <c r="K194" s="192"/>
      <c r="L194" s="192"/>
      <c r="M194" s="192"/>
      <c r="N194" s="192"/>
      <c r="O194" s="192"/>
      <c r="P194" s="192"/>
      <c r="Q194" s="192"/>
      <c r="R194" s="192"/>
      <c r="S194" s="192"/>
      <c r="T194" s="192"/>
      <c r="U194" s="192"/>
      <c r="V194" s="192"/>
      <c r="W194" s="192"/>
      <c r="X194" s="192"/>
      <c r="Y194" s="192"/>
      <c r="Z194" s="192"/>
      <c r="AA194" s="192"/>
      <c r="AB194" s="192"/>
      <c r="AC194" s="192"/>
      <c r="AD194" s="192"/>
      <c r="AE194" s="192"/>
    </row>
    <row r="195" hidden="1">
      <c r="A195" s="192"/>
      <c r="B195" s="192"/>
      <c r="C195" s="192"/>
      <c r="D195" s="192"/>
      <c r="E195" s="192"/>
      <c r="F195" s="192"/>
      <c r="G195" s="192"/>
      <c r="H195" s="192"/>
      <c r="I195" s="192"/>
      <c r="J195" s="192"/>
      <c r="K195" s="192"/>
      <c r="L195" s="192"/>
      <c r="M195" s="192"/>
      <c r="N195" s="192"/>
      <c r="O195" s="192"/>
      <c r="P195" s="192"/>
      <c r="Q195" s="192"/>
      <c r="R195" s="192"/>
      <c r="S195" s="192"/>
      <c r="T195" s="192"/>
      <c r="U195" s="192"/>
      <c r="V195" s="192"/>
      <c r="W195" s="192"/>
      <c r="X195" s="192"/>
      <c r="Y195" s="192"/>
      <c r="Z195" s="192"/>
      <c r="AA195" s="192"/>
      <c r="AB195" s="192"/>
      <c r="AC195" s="192"/>
      <c r="AD195" s="192"/>
      <c r="AE195" s="192"/>
    </row>
    <row r="196" hidden="1">
      <c r="A196" s="192"/>
      <c r="B196" s="192"/>
      <c r="C196" s="192"/>
      <c r="D196" s="192"/>
      <c r="E196" s="192"/>
      <c r="F196" s="192"/>
      <c r="G196" s="192"/>
      <c r="H196" s="192"/>
      <c r="I196" s="192"/>
      <c r="J196" s="192"/>
      <c r="K196" s="192"/>
      <c r="L196" s="192"/>
      <c r="M196" s="192"/>
      <c r="N196" s="192"/>
      <c r="O196" s="192"/>
      <c r="P196" s="192"/>
      <c r="Q196" s="192"/>
      <c r="R196" s="192"/>
      <c r="S196" s="192"/>
      <c r="T196" s="192"/>
      <c r="U196" s="192"/>
      <c r="V196" s="192"/>
      <c r="W196" s="192"/>
      <c r="X196" s="192"/>
      <c r="Y196" s="192"/>
      <c r="Z196" s="192"/>
      <c r="AA196" s="192"/>
      <c r="AB196" s="192"/>
      <c r="AC196" s="192"/>
      <c r="AD196" s="192"/>
      <c r="AE196" s="192"/>
    </row>
    <row r="197" hidden="1">
      <c r="A197" s="192"/>
      <c r="B197" s="192"/>
      <c r="C197" s="192"/>
      <c r="D197" s="192"/>
      <c r="E197" s="192"/>
      <c r="F197" s="192"/>
      <c r="G197" s="192"/>
      <c r="H197" s="192"/>
      <c r="I197" s="192"/>
      <c r="J197" s="192"/>
      <c r="K197" s="192"/>
      <c r="L197" s="192"/>
      <c r="M197" s="192"/>
      <c r="N197" s="192"/>
      <c r="O197" s="192"/>
      <c r="P197" s="192"/>
      <c r="Q197" s="192"/>
      <c r="R197" s="192"/>
      <c r="S197" s="192"/>
      <c r="T197" s="192"/>
      <c r="U197" s="192"/>
      <c r="V197" s="192"/>
      <c r="W197" s="192"/>
      <c r="X197" s="192"/>
      <c r="Y197" s="192"/>
      <c r="Z197" s="192"/>
      <c r="AA197" s="192"/>
      <c r="AB197" s="192"/>
      <c r="AC197" s="192"/>
      <c r="AD197" s="192"/>
      <c r="AE197" s="192"/>
    </row>
    <row r="198" hidden="1">
      <c r="A198" s="192"/>
      <c r="B198" s="192"/>
      <c r="C198" s="192"/>
      <c r="D198" s="192"/>
      <c r="E198" s="192"/>
      <c r="F198" s="192"/>
      <c r="G198" s="192"/>
      <c r="H198" s="192"/>
      <c r="I198" s="192"/>
      <c r="J198" s="192"/>
      <c r="K198" s="192"/>
      <c r="L198" s="192"/>
      <c r="M198" s="192"/>
      <c r="N198" s="192"/>
      <c r="O198" s="192"/>
      <c r="P198" s="192"/>
      <c r="Q198" s="192"/>
      <c r="R198" s="192"/>
      <c r="S198" s="192"/>
      <c r="T198" s="192"/>
      <c r="U198" s="192"/>
      <c r="V198" s="192"/>
      <c r="W198" s="192"/>
      <c r="X198" s="192"/>
      <c r="Y198" s="192"/>
      <c r="Z198" s="192"/>
      <c r="AA198" s="192"/>
      <c r="AB198" s="192"/>
      <c r="AC198" s="192"/>
      <c r="AD198" s="192"/>
      <c r="AE198" s="192"/>
    </row>
    <row r="199" hidden="1">
      <c r="A199" s="192"/>
      <c r="B199" s="192"/>
      <c r="C199" s="192"/>
      <c r="D199" s="192"/>
      <c r="E199" s="192"/>
      <c r="F199" s="192"/>
      <c r="G199" s="192"/>
      <c r="H199" s="192"/>
      <c r="I199" s="192"/>
      <c r="J199" s="192"/>
      <c r="K199" s="192"/>
      <c r="L199" s="192"/>
      <c r="M199" s="192"/>
      <c r="N199" s="192"/>
      <c r="O199" s="192"/>
      <c r="P199" s="192"/>
      <c r="Q199" s="192"/>
      <c r="R199" s="192"/>
      <c r="S199" s="192"/>
      <c r="T199" s="192"/>
      <c r="U199" s="192"/>
      <c r="V199" s="192"/>
      <c r="W199" s="192"/>
      <c r="X199" s="192"/>
      <c r="Y199" s="192"/>
      <c r="Z199" s="192"/>
      <c r="AA199" s="192"/>
      <c r="AB199" s="192"/>
      <c r="AC199" s="192"/>
      <c r="AD199" s="192"/>
      <c r="AE199" s="192"/>
    </row>
    <row r="200" hidden="1">
      <c r="A200" s="192"/>
      <c r="B200" s="192"/>
      <c r="C200" s="192"/>
      <c r="D200" s="192"/>
      <c r="E200" s="192"/>
      <c r="F200" s="192"/>
      <c r="G200" s="192"/>
      <c r="H200" s="192"/>
      <c r="I200" s="192"/>
      <c r="J200" s="192"/>
      <c r="K200" s="192"/>
      <c r="L200" s="192"/>
      <c r="M200" s="192"/>
      <c r="N200" s="192"/>
      <c r="O200" s="192"/>
      <c r="P200" s="192"/>
      <c r="Q200" s="192"/>
      <c r="R200" s="192"/>
      <c r="S200" s="192"/>
      <c r="T200" s="192"/>
      <c r="U200" s="192"/>
      <c r="V200" s="192"/>
      <c r="W200" s="192"/>
      <c r="X200" s="192"/>
      <c r="Y200" s="192"/>
      <c r="Z200" s="192"/>
      <c r="AA200" s="192"/>
      <c r="AB200" s="192"/>
      <c r="AC200" s="192"/>
      <c r="AD200" s="192"/>
      <c r="AE200" s="192"/>
    </row>
    <row r="201" hidden="1">
      <c r="A201" s="192"/>
      <c r="B201" s="192"/>
      <c r="C201" s="192"/>
      <c r="D201" s="192"/>
      <c r="E201" s="192"/>
      <c r="F201" s="192"/>
      <c r="G201" s="192"/>
      <c r="H201" s="192"/>
      <c r="I201" s="192"/>
      <c r="J201" s="192"/>
      <c r="K201" s="192"/>
      <c r="L201" s="192"/>
      <c r="M201" s="192"/>
      <c r="N201" s="192"/>
      <c r="O201" s="192"/>
      <c r="P201" s="192"/>
      <c r="Q201" s="192"/>
      <c r="R201" s="192"/>
      <c r="S201" s="192"/>
      <c r="T201" s="192"/>
      <c r="U201" s="192"/>
      <c r="V201" s="192"/>
      <c r="W201" s="192"/>
      <c r="X201" s="192"/>
      <c r="Y201" s="192"/>
      <c r="Z201" s="192"/>
      <c r="AA201" s="192"/>
      <c r="AB201" s="192"/>
      <c r="AC201" s="192"/>
      <c r="AD201" s="192"/>
      <c r="AE201" s="192"/>
    </row>
    <row r="202" hidden="1">
      <c r="A202" s="192"/>
      <c r="B202" s="192"/>
      <c r="C202" s="192"/>
      <c r="D202" s="192"/>
      <c r="E202" s="192"/>
      <c r="F202" s="192"/>
      <c r="G202" s="192"/>
      <c r="H202" s="192"/>
      <c r="I202" s="192"/>
      <c r="J202" s="192"/>
      <c r="K202" s="192"/>
      <c r="L202" s="192"/>
      <c r="M202" s="192"/>
      <c r="N202" s="192"/>
      <c r="O202" s="192"/>
      <c r="P202" s="192"/>
      <c r="Q202" s="192"/>
      <c r="R202" s="192"/>
      <c r="S202" s="192"/>
      <c r="T202" s="192"/>
      <c r="U202" s="192"/>
      <c r="V202" s="192"/>
      <c r="W202" s="192"/>
      <c r="X202" s="192"/>
      <c r="Y202" s="192"/>
      <c r="Z202" s="192"/>
      <c r="AA202" s="192"/>
      <c r="AB202" s="192"/>
      <c r="AC202" s="192"/>
      <c r="AD202" s="192"/>
      <c r="AE202" s="192"/>
    </row>
    <row r="203" hidden="1">
      <c r="A203" s="192"/>
      <c r="B203" s="192"/>
      <c r="C203" s="192"/>
      <c r="D203" s="192"/>
      <c r="E203" s="192"/>
      <c r="F203" s="192"/>
      <c r="G203" s="192"/>
      <c r="H203" s="192"/>
      <c r="I203" s="192"/>
      <c r="J203" s="192"/>
      <c r="K203" s="192"/>
      <c r="L203" s="192"/>
      <c r="M203" s="192"/>
      <c r="N203" s="192"/>
      <c r="O203" s="192"/>
      <c r="P203" s="192"/>
      <c r="Q203" s="192"/>
      <c r="R203" s="192"/>
      <c r="S203" s="192"/>
      <c r="T203" s="192"/>
      <c r="U203" s="192"/>
      <c r="V203" s="192"/>
      <c r="W203" s="192"/>
      <c r="X203" s="192"/>
      <c r="Y203" s="192"/>
      <c r="Z203" s="192"/>
      <c r="AA203" s="192"/>
      <c r="AB203" s="192"/>
      <c r="AC203" s="192"/>
      <c r="AD203" s="192"/>
      <c r="AE203" s="192"/>
    </row>
    <row r="204" hidden="1">
      <c r="A204" s="192"/>
      <c r="B204" s="192"/>
      <c r="C204" s="192"/>
      <c r="D204" s="192"/>
      <c r="E204" s="192"/>
      <c r="F204" s="192"/>
      <c r="G204" s="192"/>
      <c r="H204" s="192"/>
      <c r="I204" s="192"/>
      <c r="J204" s="192"/>
      <c r="K204" s="192"/>
      <c r="L204" s="192"/>
      <c r="M204" s="192"/>
      <c r="N204" s="192"/>
      <c r="O204" s="192"/>
      <c r="P204" s="192"/>
      <c r="Q204" s="192"/>
      <c r="R204" s="192"/>
      <c r="S204" s="192"/>
      <c r="T204" s="192"/>
      <c r="U204" s="192"/>
      <c r="V204" s="192"/>
      <c r="W204" s="192"/>
      <c r="X204" s="192"/>
      <c r="Y204" s="192"/>
      <c r="Z204" s="192"/>
      <c r="AA204" s="192"/>
      <c r="AB204" s="192"/>
      <c r="AC204" s="192"/>
      <c r="AD204" s="192"/>
      <c r="AE204" s="192"/>
    </row>
    <row r="205" hidden="1">
      <c r="A205" s="192"/>
      <c r="B205" s="192"/>
      <c r="C205" s="192"/>
      <c r="D205" s="192"/>
      <c r="E205" s="192"/>
      <c r="F205" s="192"/>
      <c r="G205" s="192"/>
      <c r="H205" s="192"/>
      <c r="I205" s="192"/>
      <c r="J205" s="192"/>
      <c r="K205" s="192"/>
      <c r="L205" s="192"/>
      <c r="M205" s="192"/>
      <c r="N205" s="192"/>
      <c r="O205" s="192"/>
      <c r="P205" s="192"/>
      <c r="Q205" s="192"/>
      <c r="R205" s="192"/>
      <c r="S205" s="192"/>
      <c r="T205" s="192"/>
      <c r="U205" s="192"/>
      <c r="V205" s="192"/>
      <c r="W205" s="192"/>
      <c r="X205" s="192"/>
      <c r="Y205" s="192"/>
      <c r="Z205" s="192"/>
      <c r="AA205" s="192"/>
      <c r="AB205" s="192"/>
      <c r="AC205" s="192"/>
      <c r="AD205" s="192"/>
      <c r="AE205" s="192"/>
    </row>
    <row r="206" hidden="1">
      <c r="A206" s="192"/>
      <c r="B206" s="192"/>
      <c r="C206" s="192"/>
      <c r="D206" s="192"/>
      <c r="E206" s="192"/>
      <c r="F206" s="192"/>
      <c r="G206" s="192"/>
      <c r="H206" s="192"/>
      <c r="I206" s="192"/>
      <c r="J206" s="192"/>
      <c r="K206" s="192"/>
      <c r="L206" s="192"/>
      <c r="M206" s="192"/>
      <c r="N206" s="192"/>
      <c r="O206" s="192"/>
      <c r="P206" s="192"/>
      <c r="Q206" s="192"/>
      <c r="R206" s="192"/>
      <c r="S206" s="192"/>
      <c r="T206" s="192"/>
      <c r="U206" s="192"/>
      <c r="V206" s="192"/>
      <c r="W206" s="192"/>
      <c r="X206" s="192"/>
      <c r="Y206" s="192"/>
      <c r="Z206" s="192"/>
      <c r="AA206" s="192"/>
      <c r="AB206" s="192"/>
      <c r="AC206" s="192"/>
      <c r="AD206" s="192"/>
      <c r="AE206" s="192"/>
    </row>
    <row r="207" hidden="1">
      <c r="A207" s="192"/>
      <c r="B207" s="192"/>
      <c r="C207" s="192"/>
      <c r="D207" s="192"/>
      <c r="E207" s="192"/>
      <c r="F207" s="192"/>
      <c r="G207" s="192"/>
      <c r="H207" s="192"/>
      <c r="I207" s="192"/>
      <c r="J207" s="192"/>
      <c r="K207" s="192"/>
      <c r="L207" s="192"/>
      <c r="M207" s="192"/>
      <c r="N207" s="192"/>
      <c r="O207" s="192"/>
      <c r="P207" s="192"/>
      <c r="Q207" s="192"/>
      <c r="R207" s="192"/>
      <c r="S207" s="192"/>
      <c r="T207" s="192"/>
      <c r="U207" s="192"/>
      <c r="V207" s="192"/>
      <c r="W207" s="192"/>
      <c r="X207" s="192"/>
      <c r="Y207" s="192"/>
      <c r="Z207" s="192"/>
      <c r="AA207" s="192"/>
      <c r="AB207" s="192"/>
      <c r="AC207" s="192"/>
      <c r="AD207" s="192"/>
      <c r="AE207" s="192"/>
    </row>
    <row r="208" hidden="1">
      <c r="A208" s="192"/>
      <c r="B208" s="192"/>
      <c r="C208" s="192"/>
      <c r="D208" s="192"/>
      <c r="E208" s="192"/>
      <c r="F208" s="192"/>
      <c r="G208" s="192"/>
      <c r="H208" s="192"/>
      <c r="I208" s="192"/>
      <c r="J208" s="192"/>
      <c r="K208" s="192"/>
      <c r="L208" s="192"/>
      <c r="M208" s="192"/>
      <c r="N208" s="192"/>
      <c r="O208" s="192"/>
      <c r="P208" s="192"/>
      <c r="Q208" s="192"/>
      <c r="R208" s="192"/>
      <c r="S208" s="192"/>
      <c r="T208" s="192"/>
      <c r="U208" s="192"/>
      <c r="V208" s="192"/>
      <c r="W208" s="192"/>
      <c r="X208" s="192"/>
      <c r="Y208" s="192"/>
      <c r="Z208" s="192"/>
      <c r="AA208" s="192"/>
      <c r="AB208" s="192"/>
      <c r="AC208" s="192"/>
      <c r="AD208" s="192"/>
      <c r="AE208" s="192"/>
    </row>
    <row r="209" hidden="1">
      <c r="A209" s="192"/>
      <c r="B209" s="192"/>
      <c r="C209" s="192"/>
      <c r="D209" s="192"/>
      <c r="E209" s="192"/>
      <c r="F209" s="192"/>
      <c r="G209" s="192"/>
      <c r="H209" s="192"/>
      <c r="I209" s="192"/>
      <c r="J209" s="192"/>
      <c r="K209" s="192"/>
      <c r="L209" s="192"/>
      <c r="M209" s="192"/>
      <c r="N209" s="192"/>
      <c r="O209" s="192"/>
      <c r="P209" s="192"/>
      <c r="Q209" s="192"/>
      <c r="R209" s="192"/>
      <c r="S209" s="192"/>
      <c r="T209" s="192"/>
      <c r="U209" s="192"/>
      <c r="V209" s="192"/>
      <c r="W209" s="192"/>
      <c r="X209" s="192"/>
      <c r="Y209" s="192"/>
      <c r="Z209" s="192"/>
      <c r="AA209" s="192"/>
      <c r="AB209" s="192"/>
      <c r="AC209" s="192"/>
      <c r="AD209" s="192"/>
      <c r="AE209" s="192"/>
    </row>
    <row r="210" hidden="1">
      <c r="A210" s="192"/>
      <c r="B210" s="192"/>
      <c r="C210" s="192"/>
      <c r="D210" s="192"/>
      <c r="E210" s="192"/>
      <c r="F210" s="192"/>
      <c r="G210" s="192"/>
      <c r="H210" s="192"/>
      <c r="I210" s="192"/>
      <c r="J210" s="192"/>
      <c r="K210" s="192"/>
      <c r="L210" s="192"/>
      <c r="M210" s="192"/>
      <c r="N210" s="192"/>
      <c r="O210" s="192"/>
      <c r="P210" s="192"/>
      <c r="Q210" s="192"/>
      <c r="R210" s="192"/>
      <c r="S210" s="192"/>
      <c r="T210" s="192"/>
      <c r="U210" s="192"/>
      <c r="V210" s="192"/>
      <c r="W210" s="192"/>
      <c r="X210" s="192"/>
      <c r="Y210" s="192"/>
      <c r="Z210" s="192"/>
      <c r="AA210" s="192"/>
      <c r="AB210" s="192"/>
      <c r="AC210" s="192"/>
      <c r="AD210" s="192"/>
      <c r="AE210" s="192"/>
    </row>
    <row r="211" hidden="1">
      <c r="A211" s="192"/>
      <c r="B211" s="192"/>
      <c r="C211" s="192"/>
      <c r="D211" s="192"/>
      <c r="E211" s="192"/>
      <c r="F211" s="192"/>
      <c r="G211" s="192"/>
      <c r="H211" s="192"/>
      <c r="I211" s="192"/>
      <c r="J211" s="192"/>
      <c r="K211" s="192"/>
      <c r="L211" s="192"/>
      <c r="M211" s="192"/>
      <c r="N211" s="192"/>
      <c r="O211" s="192"/>
      <c r="P211" s="192"/>
      <c r="Q211" s="192"/>
      <c r="R211" s="192"/>
      <c r="S211" s="192"/>
      <c r="T211" s="192"/>
      <c r="U211" s="192"/>
      <c r="V211" s="192"/>
      <c r="W211" s="192"/>
      <c r="X211" s="192"/>
      <c r="Y211" s="192"/>
      <c r="Z211" s="192"/>
      <c r="AA211" s="192"/>
      <c r="AB211" s="192"/>
      <c r="AC211" s="192"/>
      <c r="AD211" s="192"/>
      <c r="AE211" s="192"/>
    </row>
    <row r="212" hidden="1">
      <c r="A212" s="192"/>
      <c r="B212" s="192"/>
      <c r="C212" s="192"/>
      <c r="D212" s="192"/>
      <c r="E212" s="192"/>
      <c r="F212" s="192"/>
      <c r="G212" s="192"/>
      <c r="H212" s="192"/>
      <c r="I212" s="192"/>
      <c r="J212" s="192"/>
      <c r="K212" s="192"/>
      <c r="L212" s="192"/>
      <c r="M212" s="192"/>
      <c r="N212" s="192"/>
      <c r="O212" s="192"/>
      <c r="P212" s="192"/>
      <c r="Q212" s="192"/>
      <c r="R212" s="192"/>
      <c r="S212" s="192"/>
      <c r="T212" s="192"/>
      <c r="U212" s="192"/>
      <c r="V212" s="192"/>
      <c r="W212" s="192"/>
      <c r="X212" s="192"/>
      <c r="Y212" s="192"/>
      <c r="Z212" s="192"/>
      <c r="AA212" s="192"/>
      <c r="AB212" s="192"/>
      <c r="AC212" s="192"/>
      <c r="AD212" s="192"/>
      <c r="AE212" s="192"/>
    </row>
    <row r="213" hidden="1">
      <c r="A213" s="192"/>
      <c r="B213" s="192"/>
      <c r="C213" s="192"/>
      <c r="D213" s="192"/>
      <c r="E213" s="192"/>
      <c r="F213" s="192"/>
      <c r="G213" s="192"/>
      <c r="H213" s="192"/>
      <c r="I213" s="192"/>
      <c r="J213" s="192"/>
      <c r="K213" s="192"/>
      <c r="L213" s="192"/>
      <c r="M213" s="192"/>
      <c r="N213" s="192"/>
      <c r="O213" s="192"/>
      <c r="P213" s="192"/>
      <c r="Q213" s="192"/>
      <c r="R213" s="192"/>
      <c r="S213" s="192"/>
      <c r="T213" s="192"/>
      <c r="U213" s="192"/>
      <c r="V213" s="192"/>
      <c r="W213" s="192"/>
      <c r="X213" s="192"/>
      <c r="Y213" s="192"/>
      <c r="Z213" s="192"/>
      <c r="AA213" s="192"/>
      <c r="AB213" s="192"/>
      <c r="AC213" s="192"/>
      <c r="AD213" s="192"/>
      <c r="AE213" s="192"/>
    </row>
    <row r="214" hidden="1">
      <c r="A214" s="192"/>
      <c r="B214" s="192"/>
      <c r="C214" s="192"/>
      <c r="D214" s="192"/>
      <c r="E214" s="192"/>
      <c r="F214" s="192"/>
      <c r="G214" s="192"/>
      <c r="H214" s="192"/>
      <c r="I214" s="192"/>
      <c r="J214" s="192"/>
      <c r="K214" s="192"/>
      <c r="L214" s="192"/>
      <c r="M214" s="192"/>
      <c r="N214" s="192"/>
      <c r="O214" s="192"/>
      <c r="P214" s="192"/>
      <c r="Q214" s="192"/>
      <c r="R214" s="192"/>
      <c r="S214" s="192"/>
      <c r="T214" s="192"/>
      <c r="U214" s="192"/>
      <c r="V214" s="192"/>
      <c r="W214" s="192"/>
      <c r="X214" s="192"/>
      <c r="Y214" s="192"/>
      <c r="Z214" s="192"/>
      <c r="AA214" s="192"/>
      <c r="AB214" s="192"/>
      <c r="AC214" s="192"/>
      <c r="AD214" s="192"/>
      <c r="AE214" s="192"/>
    </row>
    <row r="215" hidden="1">
      <c r="A215" s="192"/>
      <c r="B215" s="192"/>
      <c r="C215" s="192"/>
      <c r="D215" s="192"/>
      <c r="E215" s="192"/>
      <c r="F215" s="192"/>
      <c r="G215" s="192"/>
      <c r="H215" s="192"/>
      <c r="I215" s="192"/>
      <c r="J215" s="192"/>
      <c r="K215" s="192"/>
      <c r="L215" s="192"/>
      <c r="M215" s="192"/>
      <c r="N215" s="192"/>
      <c r="O215" s="192"/>
      <c r="P215" s="192"/>
      <c r="Q215" s="192"/>
      <c r="R215" s="192"/>
      <c r="S215" s="192"/>
      <c r="T215" s="192"/>
      <c r="U215" s="192"/>
      <c r="V215" s="192"/>
      <c r="W215" s="192"/>
      <c r="X215" s="192"/>
      <c r="Y215" s="192"/>
      <c r="Z215" s="192"/>
      <c r="AA215" s="192"/>
      <c r="AB215" s="192"/>
      <c r="AC215" s="192"/>
      <c r="AD215" s="192"/>
      <c r="AE215" s="192"/>
    </row>
    <row r="216" hidden="1">
      <c r="A216" s="192"/>
      <c r="B216" s="192"/>
      <c r="C216" s="192"/>
      <c r="D216" s="192"/>
      <c r="E216" s="192"/>
      <c r="F216" s="192"/>
      <c r="G216" s="192"/>
      <c r="H216" s="192"/>
      <c r="I216" s="192"/>
      <c r="J216" s="192"/>
      <c r="K216" s="192"/>
      <c r="L216" s="192"/>
      <c r="M216" s="192"/>
      <c r="N216" s="192"/>
      <c r="O216" s="192"/>
      <c r="P216" s="192"/>
      <c r="Q216" s="192"/>
      <c r="R216" s="192"/>
      <c r="S216" s="192"/>
      <c r="T216" s="192"/>
      <c r="U216" s="192"/>
      <c r="V216" s="192"/>
      <c r="W216" s="192"/>
      <c r="X216" s="192"/>
      <c r="Y216" s="192"/>
      <c r="Z216" s="192"/>
      <c r="AA216" s="192"/>
      <c r="AB216" s="192"/>
      <c r="AC216" s="192"/>
      <c r="AD216" s="192"/>
      <c r="AE216" s="192"/>
    </row>
    <row r="217" hidden="1">
      <c r="A217" s="192"/>
      <c r="B217" s="192"/>
      <c r="C217" s="192"/>
      <c r="D217" s="192"/>
      <c r="E217" s="192"/>
      <c r="F217" s="192"/>
      <c r="G217" s="192"/>
      <c r="H217" s="192"/>
      <c r="I217" s="192"/>
      <c r="J217" s="192"/>
      <c r="K217" s="192"/>
      <c r="L217" s="192"/>
      <c r="M217" s="192"/>
      <c r="N217" s="192"/>
      <c r="O217" s="192"/>
      <c r="P217" s="192"/>
      <c r="Q217" s="192"/>
      <c r="R217" s="192"/>
      <c r="S217" s="192"/>
      <c r="T217" s="192"/>
      <c r="U217" s="192"/>
      <c r="V217" s="192"/>
      <c r="W217" s="192"/>
      <c r="X217" s="192"/>
      <c r="Y217" s="192"/>
      <c r="Z217" s="192"/>
      <c r="AA217" s="192"/>
      <c r="AB217" s="192"/>
      <c r="AC217" s="192"/>
      <c r="AD217" s="192"/>
      <c r="AE217" s="192"/>
    </row>
    <row r="218" hidden="1">
      <c r="A218" s="192"/>
      <c r="B218" s="192"/>
      <c r="C218" s="192"/>
      <c r="D218" s="192"/>
      <c r="E218" s="192"/>
      <c r="F218" s="192"/>
      <c r="G218" s="192"/>
      <c r="H218" s="192"/>
      <c r="I218" s="192"/>
      <c r="J218" s="192"/>
      <c r="K218" s="192"/>
      <c r="L218" s="192"/>
      <c r="M218" s="192"/>
      <c r="N218" s="192"/>
      <c r="O218" s="192"/>
      <c r="P218" s="192"/>
      <c r="Q218" s="192"/>
      <c r="R218" s="192"/>
      <c r="S218" s="192"/>
      <c r="T218" s="192"/>
      <c r="U218" s="192"/>
      <c r="V218" s="192"/>
      <c r="W218" s="192"/>
      <c r="X218" s="192"/>
      <c r="Y218" s="192"/>
      <c r="Z218" s="192"/>
      <c r="AA218" s="192"/>
      <c r="AB218" s="192"/>
      <c r="AC218" s="192"/>
      <c r="AD218" s="192"/>
      <c r="AE218" s="192"/>
    </row>
    <row r="219" hidden="1">
      <c r="A219" s="192"/>
      <c r="B219" s="192"/>
      <c r="C219" s="192"/>
      <c r="D219" s="192"/>
      <c r="E219" s="192"/>
      <c r="F219" s="192"/>
      <c r="G219" s="192"/>
      <c r="H219" s="192"/>
      <c r="I219" s="192"/>
      <c r="J219" s="192"/>
      <c r="K219" s="192"/>
      <c r="L219" s="192"/>
      <c r="M219" s="192"/>
      <c r="N219" s="192"/>
      <c r="O219" s="192"/>
      <c r="P219" s="192"/>
      <c r="Q219" s="192"/>
      <c r="R219" s="192"/>
      <c r="S219" s="192"/>
      <c r="T219" s="192"/>
      <c r="U219" s="192"/>
      <c r="V219" s="192"/>
      <c r="W219" s="192"/>
      <c r="X219" s="192"/>
      <c r="Y219" s="192"/>
      <c r="Z219" s="192"/>
      <c r="AA219" s="192"/>
      <c r="AB219" s="192"/>
      <c r="AC219" s="192"/>
      <c r="AD219" s="192"/>
      <c r="AE219" s="192"/>
    </row>
    <row r="220" hidden="1">
      <c r="A220" s="192"/>
      <c r="B220" s="192"/>
      <c r="C220" s="192"/>
      <c r="D220" s="192"/>
      <c r="E220" s="192"/>
      <c r="F220" s="192"/>
      <c r="G220" s="192"/>
      <c r="H220" s="192"/>
      <c r="I220" s="192"/>
      <c r="J220" s="192"/>
      <c r="K220" s="192"/>
      <c r="L220" s="192"/>
      <c r="M220" s="192"/>
      <c r="N220" s="192"/>
      <c r="O220" s="192"/>
      <c r="P220" s="192"/>
      <c r="Q220" s="192"/>
      <c r="R220" s="192"/>
      <c r="S220" s="192"/>
      <c r="T220" s="192"/>
      <c r="U220" s="192"/>
      <c r="V220" s="192"/>
      <c r="W220" s="192"/>
      <c r="X220" s="192"/>
      <c r="Y220" s="192"/>
      <c r="Z220" s="192"/>
      <c r="AA220" s="192"/>
      <c r="AB220" s="192"/>
      <c r="AC220" s="192"/>
      <c r="AD220" s="192"/>
      <c r="AE220" s="192"/>
    </row>
    <row r="221" hidden="1">
      <c r="A221" s="192"/>
      <c r="B221" s="192"/>
      <c r="C221" s="192"/>
      <c r="D221" s="192"/>
      <c r="E221" s="192"/>
      <c r="F221" s="192"/>
      <c r="G221" s="192"/>
      <c r="H221" s="192"/>
      <c r="I221" s="192"/>
      <c r="J221" s="192"/>
      <c r="K221" s="192"/>
      <c r="L221" s="192"/>
      <c r="M221" s="192"/>
      <c r="N221" s="192"/>
      <c r="O221" s="192"/>
      <c r="P221" s="192"/>
      <c r="Q221" s="192"/>
      <c r="R221" s="192"/>
      <c r="S221" s="192"/>
      <c r="T221" s="192"/>
      <c r="U221" s="192"/>
      <c r="V221" s="192"/>
      <c r="W221" s="192"/>
      <c r="X221" s="192"/>
      <c r="Y221" s="192"/>
      <c r="Z221" s="192"/>
      <c r="AA221" s="192"/>
      <c r="AB221" s="192"/>
      <c r="AC221" s="192"/>
      <c r="AD221" s="192"/>
      <c r="AE221" s="192"/>
    </row>
    <row r="222" hidden="1">
      <c r="A222" s="192"/>
      <c r="B222" s="192"/>
      <c r="C222" s="192"/>
      <c r="D222" s="192"/>
      <c r="E222" s="192"/>
      <c r="F222" s="192"/>
      <c r="G222" s="192"/>
      <c r="H222" s="192"/>
      <c r="I222" s="192"/>
      <c r="J222" s="192"/>
      <c r="K222" s="192"/>
      <c r="L222" s="192"/>
      <c r="M222" s="192"/>
      <c r="N222" s="192"/>
      <c r="O222" s="192"/>
      <c r="P222" s="192"/>
      <c r="Q222" s="192"/>
      <c r="R222" s="192"/>
      <c r="S222" s="192"/>
      <c r="T222" s="192"/>
      <c r="U222" s="192"/>
      <c r="V222" s="192"/>
      <c r="W222" s="192"/>
      <c r="X222" s="192"/>
      <c r="Y222" s="192"/>
      <c r="Z222" s="192"/>
      <c r="AA222" s="192"/>
      <c r="AB222" s="192"/>
      <c r="AC222" s="192"/>
      <c r="AD222" s="192"/>
      <c r="AE222" s="192"/>
    </row>
    <row r="223" hidden="1">
      <c r="A223" s="192"/>
      <c r="B223" s="192"/>
      <c r="C223" s="192"/>
      <c r="D223" s="192"/>
      <c r="E223" s="192"/>
      <c r="F223" s="192"/>
      <c r="G223" s="192"/>
      <c r="H223" s="192"/>
      <c r="I223" s="192"/>
      <c r="J223" s="192"/>
      <c r="K223" s="192"/>
      <c r="L223" s="192"/>
      <c r="M223" s="192"/>
      <c r="N223" s="192"/>
      <c r="O223" s="192"/>
      <c r="P223" s="192"/>
      <c r="Q223" s="192"/>
      <c r="R223" s="192"/>
      <c r="S223" s="192"/>
      <c r="T223" s="192"/>
      <c r="U223" s="192"/>
      <c r="V223" s="192"/>
      <c r="W223" s="192"/>
      <c r="X223" s="192"/>
      <c r="Y223" s="192"/>
      <c r="Z223" s="192"/>
      <c r="AA223" s="192"/>
      <c r="AB223" s="192"/>
      <c r="AC223" s="192"/>
      <c r="AD223" s="192"/>
      <c r="AE223" s="192"/>
    </row>
    <row r="224" hidden="1">
      <c r="A224" s="192"/>
      <c r="B224" s="192"/>
      <c r="C224" s="192"/>
      <c r="D224" s="192"/>
      <c r="E224" s="192"/>
      <c r="F224" s="192"/>
      <c r="G224" s="192"/>
      <c r="H224" s="192"/>
      <c r="I224" s="192"/>
      <c r="J224" s="192"/>
      <c r="K224" s="192"/>
      <c r="L224" s="192"/>
      <c r="M224" s="192"/>
      <c r="N224" s="192"/>
      <c r="O224" s="192"/>
      <c r="P224" s="192"/>
      <c r="Q224" s="192"/>
      <c r="R224" s="192"/>
      <c r="S224" s="192"/>
      <c r="T224" s="192"/>
      <c r="U224" s="192"/>
      <c r="V224" s="192"/>
      <c r="W224" s="192"/>
      <c r="X224" s="192"/>
      <c r="Y224" s="192"/>
      <c r="Z224" s="192"/>
      <c r="AA224" s="192"/>
      <c r="AB224" s="192"/>
      <c r="AC224" s="192"/>
      <c r="AD224" s="192"/>
      <c r="AE224" s="192"/>
    </row>
    <row r="225" hidden="1">
      <c r="A225" s="192"/>
      <c r="B225" s="192"/>
      <c r="C225" s="192"/>
      <c r="D225" s="192"/>
      <c r="E225" s="192"/>
      <c r="F225" s="192"/>
      <c r="G225" s="192"/>
      <c r="H225" s="192"/>
      <c r="I225" s="192"/>
      <c r="J225" s="192"/>
      <c r="K225" s="192"/>
      <c r="L225" s="192"/>
      <c r="M225" s="192"/>
      <c r="N225" s="192"/>
      <c r="O225" s="192"/>
      <c r="P225" s="192"/>
      <c r="Q225" s="192"/>
      <c r="R225" s="192"/>
      <c r="S225" s="192"/>
      <c r="T225" s="192"/>
      <c r="U225" s="192"/>
      <c r="V225" s="192"/>
      <c r="W225" s="192"/>
      <c r="X225" s="192"/>
      <c r="Y225" s="192"/>
      <c r="Z225" s="192"/>
      <c r="AA225" s="192"/>
      <c r="AB225" s="192"/>
      <c r="AC225" s="192"/>
      <c r="AD225" s="192"/>
      <c r="AE225" s="192"/>
    </row>
    <row r="226" hidden="1">
      <c r="A226" s="192"/>
      <c r="B226" s="192"/>
      <c r="C226" s="192"/>
      <c r="D226" s="192"/>
      <c r="E226" s="192"/>
      <c r="F226" s="192"/>
      <c r="G226" s="192"/>
      <c r="H226" s="192"/>
      <c r="I226" s="192"/>
      <c r="J226" s="192"/>
      <c r="K226" s="192"/>
      <c r="L226" s="192"/>
      <c r="M226" s="192"/>
      <c r="N226" s="192"/>
      <c r="O226" s="192"/>
      <c r="P226" s="192"/>
      <c r="Q226" s="192"/>
      <c r="R226" s="192"/>
      <c r="S226" s="192"/>
      <c r="T226" s="192"/>
      <c r="U226" s="192"/>
      <c r="V226" s="192"/>
      <c r="W226" s="192"/>
      <c r="X226" s="192"/>
      <c r="Y226" s="192"/>
      <c r="Z226" s="192"/>
      <c r="AA226" s="192"/>
      <c r="AB226" s="192"/>
      <c r="AC226" s="192"/>
      <c r="AD226" s="192"/>
      <c r="AE226" s="192"/>
    </row>
    <row r="227" hidden="1">
      <c r="A227" s="192"/>
      <c r="B227" s="192"/>
      <c r="C227" s="192"/>
      <c r="D227" s="192"/>
      <c r="E227" s="192"/>
      <c r="F227" s="192"/>
      <c r="G227" s="192"/>
      <c r="H227" s="192"/>
      <c r="I227" s="192"/>
      <c r="J227" s="192"/>
      <c r="K227" s="192"/>
      <c r="L227" s="192"/>
      <c r="M227" s="192"/>
      <c r="N227" s="192"/>
      <c r="O227" s="192"/>
      <c r="P227" s="192"/>
      <c r="Q227" s="192"/>
      <c r="S227" s="192"/>
      <c r="T227" s="192"/>
      <c r="U227" s="192"/>
      <c r="V227" s="192"/>
      <c r="W227" s="192"/>
      <c r="X227" s="192"/>
      <c r="Y227" s="192"/>
      <c r="Z227" s="192"/>
      <c r="AB227" s="192"/>
      <c r="AC227" s="192"/>
      <c r="AD227" s="192"/>
      <c r="AE227" s="192"/>
    </row>
    <row r="228" hidden="1">
      <c r="A228" s="192"/>
      <c r="B228" s="192"/>
      <c r="C228" s="192"/>
      <c r="D228" s="192"/>
      <c r="E228" s="192"/>
      <c r="F228" s="192"/>
      <c r="G228" s="192"/>
      <c r="H228" s="192"/>
      <c r="I228" s="192"/>
      <c r="J228" s="192"/>
      <c r="K228" s="192"/>
      <c r="L228" s="192"/>
      <c r="M228" s="192"/>
      <c r="N228" s="192"/>
      <c r="O228" s="192"/>
      <c r="P228" s="192"/>
      <c r="Q228" s="192"/>
      <c r="S228" s="192"/>
      <c r="T228" s="192"/>
      <c r="U228" s="192"/>
      <c r="V228" s="192"/>
      <c r="W228" s="192"/>
      <c r="X228" s="192"/>
      <c r="Y228" s="192"/>
      <c r="Z228" s="192"/>
      <c r="AB228" s="192"/>
      <c r="AC228" s="192"/>
      <c r="AD228" s="192"/>
      <c r="AE228" s="192"/>
    </row>
    <row r="229" hidden="1">
      <c r="A229" s="192"/>
      <c r="B229" s="192"/>
      <c r="C229" s="192"/>
      <c r="D229" s="192"/>
      <c r="E229" s="192"/>
      <c r="F229" s="192"/>
      <c r="G229" s="192"/>
      <c r="H229" s="192"/>
      <c r="I229" s="192"/>
      <c r="J229" s="192"/>
      <c r="K229" s="192"/>
      <c r="L229" s="192"/>
      <c r="M229" s="192"/>
      <c r="N229" s="192"/>
      <c r="O229" s="192"/>
      <c r="P229" s="192"/>
      <c r="Q229" s="192"/>
      <c r="S229" s="192"/>
      <c r="T229" s="192"/>
      <c r="U229" s="192"/>
      <c r="V229" s="192"/>
      <c r="W229" s="192"/>
      <c r="X229" s="192"/>
      <c r="Y229" s="192"/>
      <c r="Z229" s="192"/>
      <c r="AB229" s="192"/>
      <c r="AC229" s="192"/>
      <c r="AD229" s="192"/>
      <c r="AE229" s="192"/>
    </row>
    <row r="230" hidden="1">
      <c r="A230" s="192"/>
      <c r="B230" s="192"/>
      <c r="C230" s="192"/>
      <c r="D230" s="192"/>
      <c r="E230" s="192"/>
      <c r="F230" s="192"/>
      <c r="G230" s="192"/>
      <c r="H230" s="192"/>
      <c r="I230" s="192"/>
      <c r="J230" s="192"/>
      <c r="K230" s="192"/>
      <c r="L230" s="192"/>
      <c r="M230" s="192"/>
      <c r="N230" s="192"/>
      <c r="O230" s="192"/>
      <c r="P230" s="192"/>
      <c r="Q230" s="192"/>
      <c r="R230" s="192"/>
      <c r="S230" s="192"/>
      <c r="T230" s="192"/>
      <c r="U230" s="192"/>
      <c r="V230" s="192"/>
      <c r="W230" s="192"/>
      <c r="X230" s="192"/>
      <c r="Y230" s="192"/>
      <c r="Z230" s="192"/>
      <c r="AA230" s="192"/>
      <c r="AB230" s="192"/>
      <c r="AC230" s="192"/>
      <c r="AD230" s="192"/>
      <c r="AE230" s="192"/>
    </row>
    <row r="231" hidden="1">
      <c r="A231" s="192"/>
      <c r="B231" s="192"/>
      <c r="C231" s="192"/>
      <c r="D231" s="192"/>
      <c r="E231" s="192"/>
      <c r="F231" s="192"/>
      <c r="G231" s="192"/>
      <c r="H231" s="192"/>
      <c r="I231" s="192"/>
      <c r="J231" s="192"/>
      <c r="K231" s="192"/>
      <c r="L231" s="192"/>
      <c r="M231" s="192"/>
      <c r="N231" s="192"/>
      <c r="O231" s="192"/>
      <c r="P231" s="192"/>
      <c r="Q231" s="192"/>
      <c r="R231" s="192"/>
      <c r="S231" s="192"/>
      <c r="T231" s="192"/>
      <c r="U231" s="192"/>
      <c r="V231" s="192"/>
      <c r="W231" s="192"/>
      <c r="X231" s="192"/>
      <c r="Y231" s="192"/>
      <c r="Z231" s="192"/>
      <c r="AA231" s="192"/>
      <c r="AB231" s="192"/>
      <c r="AC231" s="192"/>
      <c r="AD231" s="192"/>
      <c r="AE231" s="192"/>
    </row>
    <row r="232" hidden="1">
      <c r="A232" s="192"/>
      <c r="B232" s="192"/>
      <c r="C232" s="192"/>
      <c r="D232" s="192"/>
      <c r="E232" s="192"/>
      <c r="F232" s="192"/>
      <c r="G232" s="192"/>
      <c r="H232" s="192"/>
      <c r="I232" s="192"/>
      <c r="J232" s="192"/>
      <c r="K232" s="192"/>
      <c r="L232" s="192"/>
      <c r="M232" s="192"/>
      <c r="N232" s="192"/>
      <c r="O232" s="192"/>
      <c r="P232" s="192"/>
      <c r="Q232" s="192"/>
      <c r="R232" s="192"/>
      <c r="S232" s="192"/>
      <c r="T232" s="192"/>
      <c r="U232" s="192"/>
      <c r="V232" s="192"/>
      <c r="W232" s="192"/>
      <c r="X232" s="192"/>
      <c r="Y232" s="192"/>
      <c r="Z232" s="192"/>
      <c r="AA232" s="192"/>
      <c r="AB232" s="192"/>
      <c r="AC232" s="192"/>
      <c r="AD232" s="192"/>
      <c r="AE232" s="192"/>
    </row>
    <row r="233" hidden="1">
      <c r="A233" s="192"/>
      <c r="B233" s="192"/>
      <c r="C233" s="192"/>
      <c r="D233" s="192"/>
      <c r="E233" s="192"/>
      <c r="F233" s="192"/>
      <c r="G233" s="192"/>
      <c r="H233" s="192"/>
      <c r="I233" s="192"/>
      <c r="J233" s="192"/>
      <c r="K233" s="192"/>
      <c r="L233" s="192"/>
      <c r="M233" s="192"/>
      <c r="N233" s="192"/>
      <c r="O233" s="192"/>
      <c r="P233" s="192"/>
      <c r="Q233" s="192"/>
      <c r="R233" s="192"/>
      <c r="S233" s="192"/>
      <c r="T233" s="192"/>
      <c r="U233" s="192"/>
      <c r="V233" s="192"/>
      <c r="W233" s="192"/>
      <c r="X233" s="192"/>
      <c r="Y233" s="192"/>
      <c r="Z233" s="192"/>
      <c r="AA233" s="192"/>
      <c r="AB233" s="192"/>
      <c r="AC233" s="192"/>
      <c r="AD233" s="192"/>
      <c r="AE233" s="192"/>
    </row>
    <row r="234" hidden="1">
      <c r="A234" s="192"/>
      <c r="B234" s="192"/>
      <c r="C234" s="192"/>
      <c r="D234" s="192"/>
      <c r="E234" s="192"/>
      <c r="F234" s="192"/>
      <c r="G234" s="192"/>
      <c r="H234" s="192"/>
      <c r="I234" s="192"/>
      <c r="J234" s="192"/>
      <c r="K234" s="192"/>
      <c r="L234" s="192"/>
      <c r="M234" s="192"/>
      <c r="N234" s="192"/>
      <c r="O234" s="192"/>
      <c r="P234" s="192"/>
      <c r="Q234" s="192"/>
      <c r="R234" s="192"/>
      <c r="S234" s="192"/>
      <c r="T234" s="192"/>
      <c r="U234" s="192"/>
      <c r="V234" s="192"/>
      <c r="W234" s="192"/>
      <c r="X234" s="192"/>
      <c r="Y234" s="192"/>
      <c r="Z234" s="192"/>
      <c r="AA234" s="192"/>
      <c r="AB234" s="192"/>
      <c r="AC234" s="192"/>
      <c r="AD234" s="192"/>
      <c r="AE234" s="192"/>
    </row>
    <row r="235" hidden="1">
      <c r="A235" s="192"/>
      <c r="B235" s="192"/>
      <c r="C235" s="192"/>
      <c r="D235" s="192"/>
      <c r="E235" s="192"/>
      <c r="F235" s="192"/>
      <c r="G235" s="192"/>
      <c r="H235" s="192"/>
      <c r="I235" s="192"/>
      <c r="J235" s="192"/>
      <c r="K235" s="192"/>
      <c r="L235" s="192"/>
      <c r="M235" s="192"/>
      <c r="N235" s="192"/>
      <c r="O235" s="192"/>
      <c r="P235" s="192"/>
      <c r="Q235" s="192"/>
      <c r="R235" s="192"/>
      <c r="S235" s="192"/>
      <c r="T235" s="192"/>
      <c r="U235" s="192"/>
      <c r="V235" s="192"/>
      <c r="W235" s="192"/>
      <c r="X235" s="192"/>
      <c r="Y235" s="192"/>
      <c r="Z235" s="192"/>
      <c r="AA235" s="192"/>
      <c r="AB235" s="192"/>
      <c r="AC235" s="192"/>
      <c r="AD235" s="192"/>
      <c r="AE235" s="192"/>
    </row>
    <row r="236" hidden="1">
      <c r="A236" s="192"/>
      <c r="B236" s="192"/>
      <c r="C236" s="192"/>
      <c r="D236" s="192"/>
      <c r="E236" s="192"/>
      <c r="F236" s="192"/>
      <c r="G236" s="192"/>
      <c r="H236" s="192"/>
      <c r="I236" s="192"/>
      <c r="J236" s="192"/>
      <c r="K236" s="192"/>
      <c r="L236" s="192"/>
      <c r="M236" s="192"/>
      <c r="N236" s="192"/>
      <c r="O236" s="192"/>
      <c r="P236" s="192"/>
      <c r="Q236" s="192"/>
      <c r="S236" s="192"/>
      <c r="T236" s="192"/>
      <c r="U236" s="192"/>
      <c r="V236" s="192"/>
      <c r="W236" s="192"/>
      <c r="X236" s="192"/>
      <c r="Y236" s="192"/>
      <c r="Z236" s="192"/>
      <c r="AB236" s="192"/>
      <c r="AC236" s="192"/>
      <c r="AD236" s="192"/>
      <c r="AE236" s="192"/>
    </row>
    <row r="237" hidden="1">
      <c r="A237" s="192"/>
      <c r="B237" s="192"/>
      <c r="C237" s="192"/>
      <c r="D237" s="192"/>
      <c r="E237" s="192"/>
      <c r="F237" s="192"/>
      <c r="G237" s="192"/>
      <c r="H237" s="192"/>
      <c r="I237" s="192"/>
      <c r="J237" s="192"/>
      <c r="K237" s="192"/>
      <c r="L237" s="192"/>
      <c r="M237" s="192"/>
      <c r="N237" s="192"/>
      <c r="O237" s="192"/>
      <c r="P237" s="192"/>
      <c r="Q237" s="192"/>
      <c r="R237" s="192"/>
      <c r="S237" s="192"/>
      <c r="T237" s="192"/>
      <c r="U237" s="192"/>
      <c r="V237" s="192"/>
      <c r="W237" s="192"/>
      <c r="X237" s="192"/>
      <c r="Y237" s="192"/>
      <c r="Z237" s="192"/>
      <c r="AA237" s="192"/>
      <c r="AB237" s="192"/>
      <c r="AC237" s="192"/>
      <c r="AD237" s="192"/>
      <c r="AE237" s="192"/>
    </row>
    <row r="238" hidden="1">
      <c r="A238" s="192"/>
      <c r="B238" s="192"/>
      <c r="C238" s="192"/>
      <c r="D238" s="192"/>
      <c r="E238" s="192"/>
      <c r="F238" s="192"/>
      <c r="G238" s="192"/>
      <c r="H238" s="192"/>
      <c r="I238" s="192"/>
      <c r="J238" s="192"/>
      <c r="K238" s="192"/>
      <c r="L238" s="192"/>
      <c r="M238" s="192"/>
      <c r="N238" s="192"/>
      <c r="O238" s="192"/>
      <c r="P238" s="192"/>
      <c r="Q238" s="192"/>
      <c r="R238" s="192"/>
      <c r="S238" s="192"/>
      <c r="T238" s="192"/>
      <c r="U238" s="192"/>
      <c r="V238" s="192"/>
      <c r="W238" s="192"/>
      <c r="X238" s="192"/>
      <c r="Y238" s="192"/>
      <c r="Z238" s="192"/>
      <c r="AA238" s="192"/>
      <c r="AB238" s="192"/>
      <c r="AC238" s="192"/>
      <c r="AD238" s="192"/>
      <c r="AE238" s="192"/>
    </row>
    <row r="239" hidden="1">
      <c r="A239" s="192"/>
      <c r="B239" s="192"/>
      <c r="C239" s="192"/>
      <c r="D239" s="192"/>
      <c r="E239" s="192"/>
      <c r="F239" s="192"/>
      <c r="G239" s="192"/>
      <c r="H239" s="192"/>
      <c r="I239" s="192"/>
      <c r="J239" s="192"/>
      <c r="K239" s="192"/>
      <c r="L239" s="192"/>
      <c r="M239" s="192"/>
      <c r="N239" s="192"/>
      <c r="O239" s="192"/>
      <c r="P239" s="192"/>
      <c r="Q239" s="192"/>
      <c r="R239" s="192"/>
      <c r="S239" s="192"/>
      <c r="T239" s="192"/>
      <c r="U239" s="192"/>
      <c r="V239" s="192"/>
      <c r="W239" s="192"/>
      <c r="X239" s="192"/>
      <c r="Y239" s="192"/>
      <c r="Z239" s="192"/>
      <c r="AA239" s="192"/>
      <c r="AB239" s="192"/>
      <c r="AC239" s="192"/>
      <c r="AD239" s="192"/>
      <c r="AE239" s="192"/>
    </row>
    <row r="240" hidden="1">
      <c r="A240" s="192"/>
      <c r="B240" s="192"/>
      <c r="C240" s="192"/>
      <c r="D240" s="192"/>
      <c r="E240" s="192"/>
      <c r="F240" s="192"/>
      <c r="G240" s="192"/>
      <c r="H240" s="192"/>
      <c r="I240" s="192"/>
      <c r="J240" s="192"/>
      <c r="K240" s="192"/>
      <c r="L240" s="192"/>
      <c r="M240" s="192"/>
      <c r="N240" s="192"/>
      <c r="O240" s="192"/>
      <c r="P240" s="192"/>
      <c r="Q240" s="192"/>
      <c r="R240" s="192"/>
      <c r="S240" s="192"/>
      <c r="T240" s="192"/>
      <c r="U240" s="192"/>
      <c r="V240" s="192"/>
      <c r="W240" s="192"/>
      <c r="X240" s="192"/>
      <c r="Y240" s="192"/>
      <c r="Z240" s="192"/>
      <c r="AA240" s="192"/>
      <c r="AB240" s="192"/>
      <c r="AC240" s="192"/>
      <c r="AD240" s="192"/>
      <c r="AE240" s="192"/>
    </row>
    <row r="241" hidden="1">
      <c r="A241" s="192"/>
      <c r="B241" s="192"/>
      <c r="C241" s="192"/>
      <c r="D241" s="192"/>
      <c r="E241" s="192"/>
      <c r="F241" s="192"/>
      <c r="G241" s="192"/>
      <c r="H241" s="192"/>
      <c r="I241" s="192"/>
      <c r="J241" s="192"/>
      <c r="K241" s="192"/>
      <c r="L241" s="192"/>
      <c r="M241" s="192"/>
      <c r="N241" s="192"/>
      <c r="O241" s="192"/>
      <c r="P241" s="192"/>
      <c r="Q241" s="192"/>
      <c r="R241" s="192"/>
      <c r="S241" s="192"/>
      <c r="T241" s="192"/>
      <c r="U241" s="192"/>
      <c r="V241" s="192"/>
      <c r="W241" s="192"/>
      <c r="X241" s="192"/>
      <c r="Y241" s="192"/>
      <c r="Z241" s="192"/>
      <c r="AA241" s="192"/>
      <c r="AB241" s="192"/>
      <c r="AC241" s="192"/>
      <c r="AD241" s="192"/>
      <c r="AE241" s="192"/>
    </row>
    <row r="242" hidden="1">
      <c r="A242" s="192"/>
      <c r="B242" s="192"/>
      <c r="C242" s="192"/>
      <c r="D242" s="192"/>
      <c r="E242" s="192"/>
      <c r="F242" s="192"/>
      <c r="G242" s="192"/>
      <c r="H242" s="192"/>
      <c r="I242" s="192"/>
      <c r="J242" s="192"/>
      <c r="K242" s="192"/>
      <c r="L242" s="192"/>
      <c r="M242" s="192"/>
      <c r="N242" s="192"/>
      <c r="O242" s="192"/>
      <c r="P242" s="192"/>
      <c r="Q242" s="192"/>
      <c r="R242" s="192"/>
      <c r="S242" s="192"/>
      <c r="T242" s="192"/>
      <c r="U242" s="192"/>
      <c r="V242" s="192"/>
      <c r="W242" s="192"/>
      <c r="X242" s="192"/>
      <c r="Y242" s="192"/>
      <c r="Z242" s="192"/>
      <c r="AA242" s="192"/>
      <c r="AB242" s="192"/>
      <c r="AC242" s="192"/>
      <c r="AD242" s="192"/>
      <c r="AE242" s="192"/>
    </row>
    <row r="243" hidden="1">
      <c r="A243" s="192"/>
      <c r="B243" s="192"/>
      <c r="C243" s="192"/>
      <c r="D243" s="192"/>
      <c r="E243" s="192"/>
      <c r="F243" s="192"/>
      <c r="G243" s="192"/>
      <c r="H243" s="192"/>
      <c r="I243" s="192"/>
      <c r="J243" s="192"/>
      <c r="K243" s="192"/>
      <c r="L243" s="192"/>
      <c r="M243" s="192"/>
      <c r="N243" s="192"/>
      <c r="O243" s="192"/>
      <c r="P243" s="192"/>
      <c r="Q243" s="192"/>
      <c r="R243" s="192"/>
      <c r="S243" s="192"/>
      <c r="T243" s="192"/>
      <c r="U243" s="192"/>
      <c r="V243" s="192"/>
      <c r="W243" s="192"/>
      <c r="X243" s="192"/>
      <c r="Y243" s="192"/>
      <c r="Z243" s="192"/>
      <c r="AA243" s="192"/>
      <c r="AB243" s="192"/>
      <c r="AC243" s="192"/>
      <c r="AD243" s="192"/>
      <c r="AE243" s="192"/>
    </row>
    <row r="244" hidden="1">
      <c r="A244" s="192"/>
      <c r="B244" s="192"/>
      <c r="C244" s="192"/>
      <c r="D244" s="192"/>
      <c r="E244" s="192"/>
      <c r="F244" s="192"/>
      <c r="G244" s="192"/>
      <c r="H244" s="192"/>
      <c r="I244" s="192"/>
      <c r="J244" s="192"/>
      <c r="K244" s="192"/>
      <c r="L244" s="192"/>
      <c r="M244" s="192"/>
      <c r="N244" s="192"/>
      <c r="O244" s="192"/>
      <c r="P244" s="192"/>
      <c r="Q244" s="192"/>
      <c r="R244" s="192"/>
      <c r="S244" s="192"/>
      <c r="T244" s="192"/>
      <c r="U244" s="192"/>
      <c r="V244" s="192"/>
      <c r="W244" s="192"/>
      <c r="X244" s="192"/>
      <c r="Y244" s="192"/>
      <c r="Z244" s="192"/>
      <c r="AA244" s="192"/>
      <c r="AB244" s="192"/>
      <c r="AC244" s="192"/>
      <c r="AD244" s="192"/>
      <c r="AE244" s="192"/>
    </row>
    <row r="245" hidden="1">
      <c r="A245" s="192"/>
      <c r="B245" s="192"/>
      <c r="C245" s="192"/>
      <c r="D245" s="192"/>
      <c r="E245" s="192"/>
      <c r="F245" s="192"/>
      <c r="G245" s="192"/>
      <c r="H245" s="192"/>
      <c r="I245" s="192"/>
      <c r="J245" s="192"/>
      <c r="K245" s="192"/>
      <c r="L245" s="192"/>
      <c r="M245" s="192"/>
      <c r="N245" s="192"/>
      <c r="O245" s="192"/>
      <c r="P245" s="192"/>
      <c r="Q245" s="192"/>
      <c r="R245" s="192"/>
      <c r="S245" s="192"/>
      <c r="T245" s="192"/>
      <c r="U245" s="192"/>
      <c r="V245" s="192"/>
      <c r="W245" s="192"/>
      <c r="X245" s="192"/>
      <c r="Y245" s="192"/>
      <c r="Z245" s="192"/>
      <c r="AA245" s="192"/>
      <c r="AB245" s="192"/>
      <c r="AC245" s="192"/>
      <c r="AD245" s="192"/>
      <c r="AE245" s="192"/>
    </row>
    <row r="246" hidden="1">
      <c r="A246" s="192"/>
      <c r="B246" s="192"/>
      <c r="C246" s="192"/>
      <c r="D246" s="192"/>
      <c r="E246" s="192"/>
      <c r="F246" s="192"/>
      <c r="G246" s="192"/>
      <c r="H246" s="192"/>
      <c r="I246" s="192"/>
      <c r="J246" s="192"/>
      <c r="K246" s="192"/>
      <c r="L246" s="192"/>
      <c r="M246" s="192"/>
      <c r="N246" s="192"/>
      <c r="O246" s="192"/>
      <c r="P246" s="192"/>
      <c r="Q246" s="192"/>
      <c r="R246" s="192"/>
      <c r="S246" s="192"/>
      <c r="T246" s="192"/>
      <c r="U246" s="192"/>
      <c r="V246" s="192"/>
      <c r="W246" s="192"/>
      <c r="X246" s="192"/>
      <c r="Y246" s="192"/>
      <c r="Z246" s="192"/>
      <c r="AA246" s="192"/>
      <c r="AB246" s="192"/>
      <c r="AC246" s="192"/>
      <c r="AD246" s="192"/>
      <c r="AE246" s="192"/>
    </row>
    <row r="247" hidden="1">
      <c r="A247" s="192"/>
      <c r="B247" s="192"/>
      <c r="C247" s="192"/>
      <c r="D247" s="192"/>
      <c r="E247" s="192"/>
      <c r="F247" s="192"/>
      <c r="G247" s="192"/>
      <c r="H247" s="192"/>
      <c r="I247" s="192"/>
      <c r="J247" s="192"/>
      <c r="K247" s="192"/>
      <c r="L247" s="192"/>
      <c r="M247" s="192"/>
      <c r="N247" s="192"/>
      <c r="O247" s="192"/>
      <c r="P247" s="192"/>
      <c r="Q247" s="192"/>
      <c r="S247" s="192"/>
      <c r="T247" s="192"/>
      <c r="U247" s="192"/>
      <c r="V247" s="192"/>
      <c r="W247" s="192"/>
      <c r="X247" s="192"/>
      <c r="Y247" s="192"/>
      <c r="Z247" s="192"/>
      <c r="AB247" s="192"/>
      <c r="AC247" s="192"/>
      <c r="AD247" s="192"/>
      <c r="AE247" s="192"/>
    </row>
    <row r="248" hidden="1">
      <c r="A248" s="192"/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  <c r="L248" s="192"/>
      <c r="M248" s="192"/>
      <c r="N248" s="192"/>
      <c r="O248" s="192"/>
      <c r="P248" s="192"/>
      <c r="Q248" s="192"/>
      <c r="R248" s="192"/>
      <c r="S248" s="192"/>
      <c r="T248" s="192"/>
      <c r="U248" s="192"/>
      <c r="V248" s="192"/>
      <c r="W248" s="192"/>
      <c r="X248" s="192"/>
      <c r="Y248" s="192"/>
      <c r="Z248" s="192"/>
      <c r="AA248" s="192"/>
      <c r="AB248" s="192"/>
      <c r="AC248" s="192"/>
      <c r="AD248" s="192"/>
      <c r="AE248" s="192"/>
    </row>
    <row r="249" hidden="1">
      <c r="A249" s="192"/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  <c r="L249" s="192"/>
      <c r="M249" s="192"/>
      <c r="N249" s="192"/>
      <c r="O249" s="192"/>
      <c r="P249" s="192"/>
      <c r="Q249" s="192"/>
      <c r="R249" s="192"/>
      <c r="S249" s="192"/>
      <c r="T249" s="192"/>
      <c r="U249" s="192"/>
      <c r="V249" s="192"/>
      <c r="W249" s="192"/>
      <c r="X249" s="192"/>
      <c r="Y249" s="192"/>
      <c r="Z249" s="192"/>
      <c r="AA249" s="192"/>
      <c r="AB249" s="192"/>
      <c r="AC249" s="192"/>
      <c r="AD249" s="192"/>
      <c r="AE249" s="192"/>
    </row>
    <row r="250" hidden="1">
      <c r="A250" s="192"/>
      <c r="B250" s="192"/>
      <c r="C250" s="192"/>
      <c r="D250" s="192"/>
      <c r="E250" s="192"/>
      <c r="F250" s="192"/>
      <c r="G250" s="192"/>
      <c r="H250" s="192"/>
      <c r="I250" s="192"/>
      <c r="J250" s="192"/>
      <c r="K250" s="192"/>
      <c r="L250" s="192"/>
      <c r="M250" s="192"/>
      <c r="N250" s="192"/>
      <c r="O250" s="192"/>
      <c r="P250" s="192"/>
      <c r="Q250" s="192"/>
      <c r="R250" s="192"/>
      <c r="S250" s="192"/>
      <c r="T250" s="192"/>
      <c r="U250" s="192"/>
      <c r="V250" s="192"/>
      <c r="W250" s="192"/>
      <c r="X250" s="192"/>
      <c r="Y250" s="192"/>
      <c r="Z250" s="192"/>
      <c r="AA250" s="192"/>
      <c r="AB250" s="192"/>
      <c r="AC250" s="192"/>
      <c r="AD250" s="192"/>
      <c r="AE250" s="192"/>
    </row>
    <row r="251" hidden="1">
      <c r="A251" s="192"/>
      <c r="B251" s="192"/>
      <c r="C251" s="192"/>
      <c r="D251" s="192"/>
      <c r="E251" s="192"/>
      <c r="F251" s="192"/>
      <c r="G251" s="192"/>
      <c r="H251" s="192"/>
      <c r="I251" s="192"/>
      <c r="J251" s="192"/>
      <c r="K251" s="192"/>
      <c r="L251" s="192"/>
      <c r="M251" s="192"/>
      <c r="N251" s="192"/>
      <c r="O251" s="192"/>
      <c r="P251" s="192"/>
      <c r="Q251" s="192"/>
      <c r="S251" s="192"/>
      <c r="T251" s="192"/>
      <c r="U251" s="192"/>
      <c r="V251" s="192"/>
      <c r="W251" s="192"/>
      <c r="X251" s="192"/>
      <c r="Y251" s="192"/>
      <c r="Z251" s="192"/>
      <c r="AB251" s="192"/>
      <c r="AC251" s="192"/>
      <c r="AD251" s="192"/>
      <c r="AE251" s="192"/>
    </row>
    <row r="252" hidden="1">
      <c r="A252" s="192"/>
      <c r="B252" s="192"/>
      <c r="C252" s="192"/>
      <c r="D252" s="192"/>
      <c r="E252" s="192"/>
      <c r="F252" s="192"/>
      <c r="G252" s="192"/>
      <c r="H252" s="192"/>
      <c r="I252" s="192"/>
      <c r="J252" s="192"/>
      <c r="K252" s="192"/>
      <c r="L252" s="192"/>
      <c r="M252" s="192"/>
      <c r="N252" s="192"/>
      <c r="O252" s="192"/>
      <c r="P252" s="192"/>
      <c r="Q252" s="192"/>
      <c r="S252" s="192"/>
      <c r="T252" s="192"/>
      <c r="U252" s="192"/>
      <c r="V252" s="192"/>
      <c r="W252" s="192"/>
      <c r="X252" s="192"/>
      <c r="Y252" s="192"/>
      <c r="Z252" s="192"/>
      <c r="AB252" s="192"/>
      <c r="AC252" s="192"/>
      <c r="AD252" s="192"/>
      <c r="AE252" s="192"/>
    </row>
    <row r="253" hidden="1">
      <c r="A253" s="192"/>
      <c r="B253" s="192"/>
      <c r="C253" s="194"/>
      <c r="D253" s="192"/>
      <c r="E253" s="192"/>
      <c r="F253" s="192"/>
      <c r="G253" s="192"/>
      <c r="H253" s="192"/>
      <c r="I253" s="192"/>
      <c r="J253" s="192"/>
      <c r="K253" s="192"/>
      <c r="L253" s="192"/>
      <c r="M253" s="192"/>
      <c r="N253" s="192"/>
      <c r="O253" s="192"/>
      <c r="P253" s="192"/>
      <c r="Q253" s="192"/>
      <c r="R253" s="192"/>
      <c r="S253" s="192"/>
      <c r="T253" s="192"/>
      <c r="U253" s="192"/>
      <c r="V253" s="192"/>
      <c r="W253" s="192"/>
      <c r="X253" s="192"/>
      <c r="Y253" s="192"/>
      <c r="Z253" s="192"/>
      <c r="AA253" s="192"/>
      <c r="AB253" s="192"/>
      <c r="AC253" s="192"/>
      <c r="AD253" s="192"/>
      <c r="AE253" s="192"/>
    </row>
    <row r="254" hidden="1">
      <c r="A254" s="192"/>
      <c r="B254" s="192"/>
      <c r="C254" s="192"/>
      <c r="D254" s="192"/>
      <c r="E254" s="192"/>
      <c r="F254" s="192"/>
      <c r="G254" s="192"/>
      <c r="H254" s="192"/>
      <c r="I254" s="192"/>
      <c r="J254" s="192"/>
      <c r="K254" s="192"/>
      <c r="L254" s="192"/>
      <c r="M254" s="192"/>
      <c r="N254" s="192"/>
      <c r="O254" s="192"/>
      <c r="P254" s="192"/>
      <c r="Q254" s="192"/>
      <c r="R254" s="192"/>
      <c r="S254" s="192"/>
      <c r="T254" s="192"/>
      <c r="U254" s="192"/>
      <c r="V254" s="192"/>
      <c r="W254" s="192"/>
      <c r="X254" s="192"/>
      <c r="Y254" s="192"/>
      <c r="Z254" s="192"/>
      <c r="AA254" s="192"/>
      <c r="AB254" s="192"/>
      <c r="AC254" s="192"/>
      <c r="AD254" s="192"/>
      <c r="AE254" s="192"/>
    </row>
    <row r="255" hidden="1">
      <c r="A255" s="192"/>
      <c r="B255" s="192"/>
      <c r="C255" s="192"/>
      <c r="D255" s="192"/>
      <c r="E255" s="192"/>
      <c r="F255" s="192"/>
      <c r="G255" s="192"/>
      <c r="H255" s="192"/>
      <c r="I255" s="192"/>
      <c r="J255" s="192"/>
      <c r="K255" s="192"/>
      <c r="L255" s="192"/>
      <c r="M255" s="192"/>
      <c r="N255" s="192"/>
      <c r="O255" s="192"/>
      <c r="P255" s="192"/>
      <c r="Q255" s="192"/>
      <c r="S255" s="192"/>
      <c r="T255" s="192"/>
      <c r="U255" s="192"/>
      <c r="V255" s="192"/>
      <c r="W255" s="192"/>
      <c r="X255" s="192"/>
      <c r="Y255" s="192"/>
      <c r="Z255" s="192"/>
      <c r="AB255" s="192"/>
      <c r="AC255" s="192"/>
      <c r="AD255" s="192"/>
      <c r="AE255" s="192"/>
    </row>
    <row r="256" hidden="1">
      <c r="A256" s="192"/>
      <c r="B256" s="192"/>
      <c r="C256" s="192"/>
      <c r="D256" s="192"/>
      <c r="E256" s="192"/>
      <c r="F256" s="192"/>
      <c r="G256" s="192"/>
      <c r="H256" s="192"/>
      <c r="I256" s="192"/>
      <c r="J256" s="192"/>
      <c r="K256" s="192"/>
      <c r="L256" s="192"/>
      <c r="M256" s="192"/>
      <c r="N256" s="192"/>
      <c r="O256" s="192"/>
      <c r="P256" s="192"/>
      <c r="Q256" s="192"/>
      <c r="S256" s="192"/>
      <c r="T256" s="192"/>
      <c r="U256" s="192"/>
      <c r="V256" s="192"/>
      <c r="W256" s="192"/>
      <c r="X256" s="192"/>
      <c r="Y256" s="192"/>
      <c r="Z256" s="192"/>
      <c r="AB256" s="192"/>
      <c r="AC256" s="192"/>
      <c r="AD256" s="192"/>
      <c r="AE256" s="192"/>
    </row>
    <row r="257" hidden="1">
      <c r="A257" s="192"/>
      <c r="B257" s="192"/>
      <c r="C257" s="192"/>
      <c r="D257" s="192"/>
      <c r="E257" s="192"/>
      <c r="F257" s="192"/>
      <c r="G257" s="192"/>
      <c r="H257" s="192"/>
      <c r="I257" s="192"/>
      <c r="J257" s="192"/>
      <c r="K257" s="192"/>
      <c r="L257" s="192"/>
      <c r="M257" s="192"/>
      <c r="N257" s="192"/>
      <c r="O257" s="192"/>
      <c r="P257" s="192"/>
      <c r="Q257" s="192"/>
      <c r="R257" s="192"/>
      <c r="S257" s="192"/>
      <c r="T257" s="192"/>
      <c r="U257" s="192"/>
      <c r="V257" s="192"/>
      <c r="W257" s="192"/>
      <c r="X257" s="192"/>
      <c r="Y257" s="192"/>
      <c r="Z257" s="192"/>
      <c r="AA257" s="192"/>
      <c r="AB257" s="192"/>
      <c r="AC257" s="192"/>
      <c r="AD257" s="192"/>
      <c r="AE257" s="192"/>
    </row>
    <row r="258" hidden="1">
      <c r="A258" s="192"/>
      <c r="B258" s="192"/>
      <c r="C258" s="192"/>
      <c r="D258" s="192"/>
      <c r="E258" s="192"/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  <c r="P258" s="192"/>
      <c r="Q258" s="192"/>
      <c r="R258" s="192"/>
      <c r="S258" s="192"/>
      <c r="T258" s="192"/>
      <c r="U258" s="192"/>
      <c r="V258" s="192"/>
      <c r="W258" s="192"/>
      <c r="X258" s="192"/>
      <c r="Y258" s="192"/>
      <c r="Z258" s="192"/>
      <c r="AA258" s="192"/>
      <c r="AB258" s="192"/>
      <c r="AC258" s="192"/>
      <c r="AD258" s="192"/>
      <c r="AE258" s="192"/>
    </row>
    <row r="259" hidden="1">
      <c r="A259" s="192"/>
      <c r="B259" s="192"/>
      <c r="C259" s="192"/>
      <c r="D259" s="192"/>
      <c r="E259" s="192"/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  <c r="P259" s="192"/>
      <c r="Q259" s="192"/>
      <c r="R259" s="192"/>
      <c r="S259" s="192"/>
      <c r="T259" s="192"/>
      <c r="U259" s="192"/>
      <c r="V259" s="192"/>
      <c r="W259" s="192"/>
      <c r="X259" s="192"/>
      <c r="Y259" s="192"/>
      <c r="Z259" s="192"/>
      <c r="AA259" s="192"/>
      <c r="AB259" s="192"/>
      <c r="AC259" s="192"/>
      <c r="AD259" s="192"/>
      <c r="AE259" s="192"/>
    </row>
    <row r="260" hidden="1">
      <c r="A260" s="192"/>
      <c r="B260" s="192"/>
      <c r="C260" s="192"/>
      <c r="D260" s="192"/>
      <c r="E260" s="192"/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  <c r="P260" s="192"/>
      <c r="Q260" s="192"/>
      <c r="R260" s="192"/>
      <c r="S260" s="192"/>
      <c r="T260" s="192"/>
      <c r="U260" s="192"/>
      <c r="V260" s="192"/>
      <c r="W260" s="192"/>
      <c r="X260" s="192"/>
      <c r="Y260" s="192"/>
      <c r="Z260" s="192"/>
      <c r="AA260" s="192"/>
      <c r="AB260" s="192"/>
      <c r="AC260" s="192"/>
      <c r="AD260" s="192"/>
      <c r="AE260" s="192"/>
    </row>
    <row r="261" hidden="1">
      <c r="A261" s="192"/>
      <c r="B261" s="192"/>
      <c r="C261" s="192"/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2"/>
      <c r="P261" s="192"/>
      <c r="Q261" s="192"/>
      <c r="R261" s="192"/>
      <c r="S261" s="192"/>
      <c r="T261" s="192"/>
      <c r="U261" s="192"/>
      <c r="V261" s="192"/>
      <c r="W261" s="192"/>
      <c r="X261" s="192"/>
      <c r="Y261" s="192"/>
      <c r="Z261" s="192"/>
      <c r="AA261" s="192"/>
      <c r="AB261" s="192"/>
      <c r="AC261" s="192"/>
      <c r="AD261" s="192"/>
      <c r="AE261" s="192"/>
    </row>
    <row r="262" hidden="1">
      <c r="A262" s="192"/>
      <c r="B262" s="192"/>
      <c r="C262" s="192"/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2"/>
      <c r="P262" s="192"/>
      <c r="Q262" s="192"/>
      <c r="R262" s="192"/>
      <c r="S262" s="192"/>
      <c r="T262" s="192"/>
      <c r="U262" s="192"/>
      <c r="V262" s="192"/>
      <c r="W262" s="192"/>
      <c r="X262" s="192"/>
      <c r="Y262" s="192"/>
      <c r="Z262" s="192"/>
      <c r="AA262" s="192"/>
      <c r="AB262" s="192"/>
      <c r="AC262" s="192"/>
      <c r="AD262" s="192"/>
      <c r="AE262" s="192"/>
    </row>
    <row r="263" hidden="1">
      <c r="A263" s="192"/>
      <c r="B263" s="192"/>
      <c r="C263" s="192"/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2"/>
      <c r="P263" s="192"/>
      <c r="Q263" s="192"/>
      <c r="R263" s="192"/>
      <c r="S263" s="192"/>
      <c r="T263" s="192"/>
      <c r="U263" s="192"/>
      <c r="V263" s="192"/>
      <c r="W263" s="192"/>
      <c r="X263" s="192"/>
      <c r="Y263" s="192"/>
      <c r="Z263" s="192"/>
      <c r="AA263" s="192"/>
      <c r="AB263" s="192"/>
      <c r="AC263" s="192"/>
      <c r="AD263" s="192"/>
      <c r="AE263" s="192"/>
    </row>
    <row r="264" hidden="1">
      <c r="A264" s="192"/>
      <c r="B264" s="192"/>
      <c r="C264" s="192"/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2"/>
      <c r="P264" s="192"/>
      <c r="Q264" s="192"/>
      <c r="R264" s="192"/>
      <c r="S264" s="192"/>
      <c r="T264" s="192"/>
      <c r="U264" s="192"/>
      <c r="V264" s="192"/>
      <c r="W264" s="192"/>
      <c r="X264" s="192"/>
      <c r="Y264" s="192"/>
      <c r="Z264" s="192"/>
      <c r="AA264" s="192"/>
      <c r="AB264" s="192"/>
      <c r="AC264" s="192"/>
      <c r="AD264" s="192"/>
      <c r="AE264" s="192"/>
    </row>
    <row r="265" hidden="1">
      <c r="A265" s="192"/>
      <c r="B265" s="192"/>
      <c r="C265" s="192"/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2"/>
      <c r="P265" s="192"/>
      <c r="Q265" s="192"/>
      <c r="R265" s="192"/>
      <c r="S265" s="192"/>
      <c r="T265" s="192"/>
      <c r="U265" s="192"/>
      <c r="V265" s="192"/>
      <c r="W265" s="192"/>
      <c r="X265" s="192"/>
      <c r="Y265" s="192"/>
      <c r="Z265" s="192"/>
      <c r="AA265" s="192"/>
      <c r="AB265" s="192"/>
      <c r="AC265" s="192"/>
      <c r="AD265" s="192"/>
      <c r="AE265" s="192"/>
    </row>
    <row r="266" hidden="1">
      <c r="A266" s="192"/>
      <c r="B266" s="192"/>
      <c r="C266" s="192"/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2"/>
      <c r="P266" s="192"/>
      <c r="Q266" s="192"/>
      <c r="R266" s="192"/>
      <c r="S266" s="192"/>
      <c r="T266" s="192"/>
      <c r="U266" s="192"/>
      <c r="V266" s="192"/>
      <c r="W266" s="192"/>
      <c r="X266" s="192"/>
      <c r="Y266" s="192"/>
      <c r="Z266" s="192"/>
      <c r="AA266" s="192"/>
      <c r="AB266" s="192"/>
      <c r="AC266" s="192"/>
      <c r="AD266" s="192"/>
      <c r="AE266" s="192"/>
    </row>
    <row r="267" hidden="1">
      <c r="A267" s="192"/>
      <c r="B267" s="194"/>
      <c r="C267" s="192"/>
      <c r="D267" s="192"/>
      <c r="E267" s="192"/>
      <c r="F267" s="192"/>
      <c r="G267" s="192"/>
      <c r="H267" s="192"/>
      <c r="I267" s="192"/>
      <c r="J267" s="192"/>
      <c r="K267" s="192"/>
      <c r="L267" s="192"/>
      <c r="M267" s="192"/>
      <c r="N267" s="192"/>
      <c r="O267" s="192"/>
      <c r="P267" s="192"/>
      <c r="Q267" s="192"/>
      <c r="S267" s="192"/>
      <c r="T267" s="192"/>
      <c r="U267" s="192"/>
      <c r="V267" s="192"/>
      <c r="W267" s="192"/>
      <c r="X267" s="192"/>
      <c r="Y267" s="192"/>
      <c r="Z267" s="192"/>
      <c r="AB267" s="192"/>
      <c r="AC267" s="192"/>
      <c r="AD267" s="192"/>
      <c r="AE267" s="192"/>
    </row>
    <row r="268" hidden="1">
      <c r="A268" s="192"/>
      <c r="B268" s="192"/>
      <c r="C268" s="192"/>
      <c r="D268" s="192"/>
      <c r="E268" s="192"/>
      <c r="F268" s="192"/>
      <c r="G268" s="192"/>
      <c r="H268" s="192"/>
      <c r="I268" s="192"/>
      <c r="J268" s="192"/>
      <c r="K268" s="192"/>
      <c r="L268" s="192"/>
      <c r="M268" s="192"/>
      <c r="N268" s="192"/>
      <c r="O268" s="192"/>
      <c r="P268" s="192"/>
      <c r="Q268" s="192"/>
      <c r="R268" s="192"/>
      <c r="S268" s="192"/>
      <c r="T268" s="192"/>
      <c r="U268" s="192"/>
      <c r="V268" s="192"/>
      <c r="W268" s="192"/>
      <c r="X268" s="192"/>
      <c r="Y268" s="192"/>
      <c r="Z268" s="192"/>
      <c r="AA268" s="192"/>
      <c r="AB268" s="192"/>
      <c r="AC268" s="192"/>
      <c r="AD268" s="192"/>
      <c r="AE268" s="192"/>
    </row>
    <row r="269" hidden="1">
      <c r="A269" s="192"/>
      <c r="B269" s="192"/>
      <c r="C269" s="192"/>
      <c r="D269" s="192"/>
      <c r="E269" s="192"/>
      <c r="F269" s="192"/>
      <c r="G269" s="192"/>
      <c r="H269" s="192"/>
      <c r="I269" s="192"/>
      <c r="J269" s="192"/>
      <c r="K269" s="192"/>
      <c r="L269" s="192"/>
      <c r="M269" s="192"/>
      <c r="N269" s="192"/>
      <c r="O269" s="192"/>
      <c r="P269" s="192"/>
      <c r="Q269" s="192"/>
      <c r="R269" s="192"/>
      <c r="S269" s="192"/>
      <c r="T269" s="192"/>
      <c r="U269" s="192"/>
      <c r="V269" s="192"/>
      <c r="W269" s="192"/>
      <c r="X269" s="192"/>
      <c r="Y269" s="192"/>
      <c r="Z269" s="192"/>
      <c r="AA269" s="192"/>
      <c r="AB269" s="192"/>
      <c r="AC269" s="192"/>
      <c r="AD269" s="192"/>
      <c r="AE269" s="192"/>
    </row>
    <row r="270" hidden="1">
      <c r="A270" s="192"/>
      <c r="B270" s="192"/>
      <c r="C270" s="192"/>
      <c r="D270" s="192"/>
      <c r="E270" s="192"/>
      <c r="F270" s="192"/>
      <c r="G270" s="192"/>
      <c r="H270" s="192"/>
      <c r="I270" s="192"/>
      <c r="J270" s="192"/>
      <c r="K270" s="192"/>
      <c r="L270" s="192"/>
      <c r="M270" s="192"/>
      <c r="N270" s="192"/>
      <c r="O270" s="192"/>
      <c r="P270" s="192"/>
      <c r="Q270" s="192"/>
      <c r="R270" s="192"/>
      <c r="S270" s="192"/>
      <c r="T270" s="192"/>
      <c r="U270" s="192"/>
      <c r="V270" s="192"/>
      <c r="W270" s="192"/>
      <c r="X270" s="192"/>
      <c r="Y270" s="192"/>
      <c r="Z270" s="192"/>
      <c r="AA270" s="192"/>
      <c r="AB270" s="192"/>
      <c r="AC270" s="192"/>
      <c r="AD270" s="192"/>
      <c r="AE270" s="192"/>
    </row>
    <row r="271" hidden="1">
      <c r="A271" s="192"/>
      <c r="B271" s="192"/>
      <c r="C271" s="192"/>
      <c r="D271" s="192"/>
      <c r="E271" s="192"/>
      <c r="F271" s="192"/>
      <c r="G271" s="192"/>
      <c r="H271" s="192"/>
      <c r="I271" s="192"/>
      <c r="J271" s="192"/>
      <c r="K271" s="192"/>
      <c r="L271" s="192"/>
      <c r="M271" s="192"/>
      <c r="N271" s="192"/>
      <c r="O271" s="192"/>
      <c r="P271" s="192"/>
      <c r="Q271" s="192"/>
      <c r="R271" s="192"/>
      <c r="S271" s="192"/>
      <c r="T271" s="192"/>
      <c r="U271" s="192"/>
      <c r="V271" s="192"/>
      <c r="W271" s="192"/>
      <c r="X271" s="192"/>
      <c r="Y271" s="192"/>
      <c r="Z271" s="192"/>
      <c r="AA271" s="192"/>
      <c r="AB271" s="192"/>
      <c r="AC271" s="192"/>
      <c r="AD271" s="192"/>
      <c r="AE271" s="192"/>
    </row>
    <row r="272" hidden="1">
      <c r="A272" s="192"/>
      <c r="B272" s="192"/>
      <c r="C272" s="192"/>
      <c r="D272" s="192"/>
      <c r="E272" s="192"/>
      <c r="F272" s="192"/>
      <c r="G272" s="192"/>
      <c r="H272" s="192"/>
      <c r="I272" s="192"/>
      <c r="J272" s="192"/>
      <c r="K272" s="192"/>
      <c r="L272" s="192"/>
      <c r="M272" s="192"/>
      <c r="N272" s="192"/>
      <c r="O272" s="192"/>
      <c r="P272" s="192"/>
      <c r="Q272" s="192"/>
      <c r="R272" s="192"/>
      <c r="S272" s="192"/>
      <c r="T272" s="192"/>
      <c r="U272" s="192"/>
      <c r="V272" s="192"/>
      <c r="W272" s="192"/>
      <c r="X272" s="192"/>
      <c r="Y272" s="192"/>
      <c r="Z272" s="192"/>
      <c r="AA272" s="192"/>
      <c r="AB272" s="192"/>
      <c r="AC272" s="192"/>
      <c r="AD272" s="192"/>
      <c r="AE272" s="192"/>
    </row>
    <row r="273" hidden="1">
      <c r="A273" s="192"/>
      <c r="B273" s="192"/>
      <c r="C273" s="192"/>
      <c r="D273" s="192"/>
      <c r="E273" s="192"/>
      <c r="F273" s="192"/>
      <c r="G273" s="192"/>
      <c r="H273" s="192"/>
      <c r="I273" s="192"/>
      <c r="J273" s="192"/>
      <c r="K273" s="192"/>
      <c r="L273" s="192"/>
      <c r="M273" s="192"/>
      <c r="N273" s="192"/>
      <c r="O273" s="192"/>
      <c r="P273" s="192"/>
      <c r="Q273" s="192"/>
      <c r="S273" s="192"/>
      <c r="T273" s="192"/>
      <c r="U273" s="192"/>
      <c r="V273" s="192"/>
      <c r="W273" s="192"/>
      <c r="X273" s="192"/>
      <c r="Y273" s="192"/>
      <c r="Z273" s="192"/>
      <c r="AB273" s="192"/>
      <c r="AC273" s="192"/>
      <c r="AD273" s="192"/>
      <c r="AE273" s="192"/>
    </row>
    <row r="274" hidden="1">
      <c r="A274" s="192"/>
      <c r="B274" s="192"/>
      <c r="C274" s="192"/>
      <c r="D274" s="192"/>
      <c r="E274" s="192"/>
      <c r="F274" s="192"/>
      <c r="G274" s="192"/>
      <c r="H274" s="192"/>
      <c r="I274" s="192"/>
      <c r="J274" s="192"/>
      <c r="K274" s="192"/>
      <c r="L274" s="192"/>
      <c r="M274" s="192"/>
      <c r="N274" s="192"/>
      <c r="O274" s="192"/>
      <c r="P274" s="192"/>
      <c r="Q274" s="192"/>
      <c r="R274" s="192"/>
      <c r="S274" s="192"/>
      <c r="T274" s="192"/>
      <c r="U274" s="192"/>
      <c r="V274" s="192"/>
      <c r="W274" s="192"/>
      <c r="X274" s="192"/>
      <c r="Y274" s="192"/>
      <c r="Z274" s="192"/>
      <c r="AA274" s="192"/>
      <c r="AB274" s="192"/>
      <c r="AC274" s="192"/>
      <c r="AD274" s="192"/>
      <c r="AE274" s="192"/>
    </row>
    <row r="275" hidden="1">
      <c r="A275" s="192"/>
      <c r="B275" s="192"/>
      <c r="C275" s="192"/>
      <c r="D275" s="192"/>
      <c r="E275" s="192"/>
      <c r="F275" s="192"/>
      <c r="G275" s="192"/>
      <c r="H275" s="192"/>
      <c r="I275" s="192"/>
      <c r="J275" s="192"/>
      <c r="K275" s="192"/>
      <c r="L275" s="192"/>
      <c r="M275" s="192"/>
      <c r="N275" s="192"/>
      <c r="O275" s="192"/>
      <c r="P275" s="192"/>
      <c r="Q275" s="192"/>
      <c r="R275" s="192"/>
      <c r="S275" s="192"/>
      <c r="T275" s="192"/>
      <c r="U275" s="192"/>
      <c r="V275" s="192"/>
      <c r="W275" s="192"/>
      <c r="X275" s="192"/>
      <c r="Y275" s="192"/>
      <c r="Z275" s="192"/>
      <c r="AA275" s="192"/>
      <c r="AB275" s="192"/>
      <c r="AC275" s="192"/>
      <c r="AD275" s="192"/>
      <c r="AE275" s="192"/>
    </row>
    <row r="276" hidden="1">
      <c r="A276" s="192"/>
      <c r="B276" s="192"/>
      <c r="C276" s="192"/>
      <c r="D276" s="192"/>
      <c r="E276" s="192"/>
      <c r="F276" s="192"/>
      <c r="G276" s="192"/>
      <c r="H276" s="192"/>
      <c r="I276" s="192"/>
      <c r="J276" s="192"/>
      <c r="K276" s="192"/>
      <c r="L276" s="192"/>
      <c r="M276" s="192"/>
      <c r="N276" s="192"/>
      <c r="O276" s="192"/>
      <c r="P276" s="192"/>
      <c r="Q276" s="192"/>
      <c r="S276" s="192"/>
      <c r="T276" s="192"/>
      <c r="U276" s="192"/>
      <c r="V276" s="192"/>
      <c r="W276" s="192"/>
      <c r="X276" s="192"/>
      <c r="Y276" s="192"/>
      <c r="Z276" s="192"/>
      <c r="AB276" s="192"/>
      <c r="AC276" s="192"/>
      <c r="AD276" s="192"/>
      <c r="AE276" s="192"/>
    </row>
    <row r="277" hidden="1">
      <c r="A277" s="192"/>
      <c r="B277" s="192"/>
      <c r="C277" s="192"/>
      <c r="D277" s="192"/>
      <c r="E277" s="192"/>
      <c r="F277" s="192"/>
      <c r="G277" s="192"/>
      <c r="H277" s="192"/>
      <c r="I277" s="192"/>
      <c r="J277" s="192"/>
      <c r="K277" s="192"/>
      <c r="L277" s="192"/>
      <c r="M277" s="192"/>
      <c r="N277" s="192"/>
      <c r="O277" s="192"/>
      <c r="P277" s="192"/>
      <c r="Q277" s="192"/>
      <c r="S277" s="192"/>
      <c r="T277" s="192"/>
      <c r="U277" s="192"/>
      <c r="V277" s="192"/>
      <c r="W277" s="192"/>
      <c r="X277" s="192"/>
      <c r="Y277" s="192"/>
      <c r="Z277" s="192"/>
      <c r="AB277" s="192"/>
      <c r="AC277" s="192"/>
      <c r="AD277" s="192"/>
      <c r="AE277" s="192"/>
    </row>
    <row r="278" hidden="1">
      <c r="A278" s="192"/>
      <c r="B278" s="192"/>
      <c r="C278" s="192"/>
      <c r="D278" s="192"/>
      <c r="E278" s="192"/>
      <c r="F278" s="192"/>
      <c r="G278" s="192"/>
      <c r="H278" s="192"/>
      <c r="I278" s="192"/>
      <c r="J278" s="192"/>
      <c r="K278" s="192"/>
      <c r="L278" s="192"/>
      <c r="M278" s="192"/>
      <c r="N278" s="192"/>
      <c r="O278" s="192"/>
      <c r="P278" s="192"/>
      <c r="Q278" s="192"/>
      <c r="R278" s="192"/>
      <c r="S278" s="192"/>
      <c r="T278" s="192"/>
      <c r="U278" s="192"/>
      <c r="V278" s="192"/>
      <c r="W278" s="192"/>
      <c r="X278" s="192"/>
      <c r="Y278" s="192"/>
      <c r="Z278" s="192"/>
      <c r="AA278" s="192"/>
      <c r="AB278" s="192"/>
      <c r="AC278" s="192"/>
      <c r="AD278" s="192"/>
      <c r="AE278" s="192"/>
    </row>
    <row r="279" hidden="1">
      <c r="A279" s="192"/>
      <c r="B279" s="192"/>
      <c r="C279" s="192"/>
      <c r="D279" s="192"/>
      <c r="E279" s="192"/>
      <c r="F279" s="192"/>
      <c r="G279" s="192"/>
      <c r="H279" s="192"/>
      <c r="I279" s="192"/>
      <c r="J279" s="192"/>
      <c r="K279" s="192"/>
      <c r="L279" s="192"/>
      <c r="M279" s="192"/>
      <c r="N279" s="192"/>
      <c r="O279" s="192"/>
      <c r="P279" s="192"/>
      <c r="Q279" s="192"/>
      <c r="S279" s="192"/>
      <c r="T279" s="192"/>
      <c r="U279" s="192"/>
      <c r="V279" s="192"/>
      <c r="W279" s="192"/>
      <c r="X279" s="192"/>
      <c r="Y279" s="192"/>
      <c r="Z279" s="192"/>
      <c r="AB279" s="192"/>
      <c r="AC279" s="192"/>
      <c r="AD279" s="192"/>
      <c r="AE279" s="192"/>
    </row>
    <row r="280" hidden="1">
      <c r="A280" s="192"/>
      <c r="B280" s="192"/>
      <c r="C280" s="192"/>
      <c r="D280" s="192"/>
      <c r="E280" s="192"/>
      <c r="F280" s="192"/>
      <c r="G280" s="192"/>
      <c r="H280" s="192"/>
      <c r="I280" s="192"/>
      <c r="J280" s="192"/>
      <c r="K280" s="192"/>
      <c r="L280" s="192"/>
      <c r="M280" s="192"/>
      <c r="N280" s="192"/>
      <c r="O280" s="192"/>
      <c r="P280" s="192"/>
      <c r="Q280" s="192"/>
      <c r="R280" s="192"/>
      <c r="S280" s="192"/>
      <c r="T280" s="192"/>
      <c r="U280" s="192"/>
      <c r="V280" s="192"/>
      <c r="W280" s="192"/>
      <c r="X280" s="192"/>
      <c r="Y280" s="192"/>
      <c r="Z280" s="192"/>
      <c r="AA280" s="192"/>
      <c r="AB280" s="192"/>
      <c r="AC280" s="192"/>
      <c r="AD280" s="192"/>
      <c r="AE280" s="192"/>
    </row>
    <row r="281" hidden="1">
      <c r="A281" s="192"/>
      <c r="B281" s="192"/>
      <c r="C281" s="192"/>
      <c r="D281" s="192"/>
      <c r="E281" s="192"/>
      <c r="F281" s="192"/>
      <c r="G281" s="192"/>
      <c r="H281" s="192"/>
      <c r="I281" s="192"/>
      <c r="J281" s="192"/>
      <c r="K281" s="192"/>
      <c r="L281" s="192"/>
      <c r="M281" s="192"/>
      <c r="N281" s="192"/>
      <c r="O281" s="192"/>
      <c r="P281" s="192"/>
      <c r="Q281" s="192"/>
      <c r="R281" s="192"/>
      <c r="S281" s="192"/>
      <c r="T281" s="192"/>
      <c r="U281" s="192"/>
      <c r="V281" s="192"/>
      <c r="W281" s="192"/>
      <c r="X281" s="192"/>
      <c r="Y281" s="192"/>
      <c r="Z281" s="192"/>
      <c r="AA281" s="192"/>
      <c r="AB281" s="192"/>
      <c r="AC281" s="192"/>
      <c r="AD281" s="192"/>
      <c r="AE281" s="192"/>
    </row>
    <row r="282" hidden="1">
      <c r="A282" s="192"/>
      <c r="B282" s="192"/>
      <c r="C282" s="192"/>
      <c r="D282" s="192"/>
      <c r="E282" s="192"/>
      <c r="F282" s="192"/>
      <c r="G282" s="192"/>
      <c r="H282" s="192"/>
      <c r="I282" s="192"/>
      <c r="J282" s="192"/>
      <c r="K282" s="192"/>
      <c r="L282" s="192"/>
      <c r="M282" s="192"/>
      <c r="N282" s="192"/>
      <c r="O282" s="192"/>
      <c r="P282" s="192"/>
      <c r="Q282" s="192"/>
      <c r="S282" s="192"/>
      <c r="T282" s="192"/>
      <c r="U282" s="192"/>
      <c r="V282" s="192"/>
      <c r="W282" s="192"/>
      <c r="X282" s="192"/>
      <c r="Y282" s="192"/>
      <c r="Z282" s="192"/>
      <c r="AB282" s="192"/>
      <c r="AC282" s="192"/>
      <c r="AD282" s="192"/>
      <c r="AE282" s="192"/>
    </row>
    <row r="283" hidden="1">
      <c r="A283" s="192"/>
      <c r="B283" s="192"/>
      <c r="C283" s="192"/>
      <c r="D283" s="192"/>
      <c r="E283" s="192"/>
      <c r="F283" s="192"/>
      <c r="G283" s="192"/>
      <c r="H283" s="192"/>
      <c r="I283" s="192"/>
      <c r="J283" s="192"/>
      <c r="K283" s="192"/>
      <c r="L283" s="192"/>
      <c r="M283" s="192"/>
      <c r="N283" s="192"/>
      <c r="O283" s="192"/>
      <c r="P283" s="192"/>
      <c r="Q283" s="192"/>
      <c r="S283" s="192"/>
      <c r="T283" s="192"/>
      <c r="U283" s="192"/>
      <c r="V283" s="192"/>
      <c r="W283" s="192"/>
      <c r="X283" s="192"/>
      <c r="Y283" s="192"/>
      <c r="Z283" s="192"/>
      <c r="AB283" s="192"/>
      <c r="AC283" s="192"/>
      <c r="AD283" s="192"/>
      <c r="AE283" s="192"/>
    </row>
    <row r="284" hidden="1">
      <c r="A284" s="192"/>
      <c r="B284" s="192"/>
      <c r="C284" s="192"/>
      <c r="D284" s="192"/>
      <c r="E284" s="192"/>
      <c r="F284" s="192"/>
      <c r="G284" s="192"/>
      <c r="H284" s="192"/>
      <c r="I284" s="192"/>
      <c r="J284" s="192"/>
      <c r="K284" s="192"/>
      <c r="L284" s="192"/>
      <c r="M284" s="192"/>
      <c r="N284" s="192"/>
      <c r="O284" s="192"/>
      <c r="P284" s="192"/>
      <c r="Q284" s="192"/>
      <c r="R284" s="192"/>
      <c r="S284" s="192"/>
      <c r="T284" s="192"/>
      <c r="U284" s="192"/>
      <c r="V284" s="192"/>
      <c r="W284" s="192"/>
      <c r="X284" s="192"/>
      <c r="Y284" s="192"/>
      <c r="Z284" s="192"/>
      <c r="AA284" s="192"/>
      <c r="AB284" s="192"/>
      <c r="AC284" s="192"/>
      <c r="AD284" s="192"/>
      <c r="AE284" s="192"/>
    </row>
    <row r="285" hidden="1">
      <c r="A285" s="192"/>
      <c r="B285" s="192"/>
      <c r="C285" s="192"/>
      <c r="D285" s="192"/>
      <c r="E285" s="192"/>
      <c r="F285" s="192"/>
      <c r="G285" s="192"/>
      <c r="H285" s="192"/>
      <c r="I285" s="192"/>
      <c r="J285" s="192"/>
      <c r="K285" s="192"/>
      <c r="L285" s="192"/>
      <c r="M285" s="192"/>
      <c r="N285" s="192"/>
      <c r="O285" s="192"/>
      <c r="P285" s="192"/>
      <c r="Q285" s="192"/>
      <c r="R285" s="192"/>
      <c r="S285" s="192"/>
      <c r="T285" s="192"/>
      <c r="U285" s="192"/>
      <c r="V285" s="192"/>
      <c r="W285" s="192"/>
      <c r="X285" s="192"/>
      <c r="Y285" s="192"/>
      <c r="Z285" s="192"/>
      <c r="AA285" s="192"/>
      <c r="AB285" s="192"/>
      <c r="AC285" s="192"/>
      <c r="AD285" s="192"/>
      <c r="AE285" s="192"/>
    </row>
    <row r="286" hidden="1">
      <c r="A286" s="192"/>
      <c r="B286" s="192"/>
      <c r="C286" s="192"/>
      <c r="D286" s="192"/>
      <c r="E286" s="192"/>
      <c r="F286" s="192"/>
      <c r="G286" s="192"/>
      <c r="H286" s="192"/>
      <c r="I286" s="192"/>
      <c r="J286" s="192"/>
      <c r="K286" s="192"/>
      <c r="L286" s="192"/>
      <c r="M286" s="192"/>
      <c r="N286" s="192"/>
      <c r="O286" s="192"/>
      <c r="P286" s="192"/>
      <c r="Q286" s="192"/>
      <c r="S286" s="192"/>
      <c r="T286" s="192"/>
      <c r="U286" s="192"/>
      <c r="V286" s="192"/>
      <c r="W286" s="192"/>
      <c r="X286" s="192"/>
      <c r="Y286" s="192"/>
      <c r="Z286" s="192"/>
      <c r="AB286" s="192"/>
      <c r="AC286" s="192"/>
      <c r="AD286" s="192"/>
      <c r="AE286" s="192"/>
    </row>
    <row r="287" hidden="1">
      <c r="A287" s="192"/>
      <c r="B287" s="192"/>
      <c r="C287" s="194"/>
      <c r="D287" s="192"/>
      <c r="E287" s="192"/>
      <c r="F287" s="192"/>
      <c r="G287" s="192"/>
      <c r="H287" s="192"/>
      <c r="I287" s="192"/>
      <c r="J287" s="192"/>
      <c r="K287" s="192"/>
      <c r="L287" s="192"/>
      <c r="M287" s="192"/>
      <c r="N287" s="192"/>
      <c r="O287" s="192"/>
      <c r="P287" s="192"/>
      <c r="Q287" s="192"/>
      <c r="S287" s="192"/>
      <c r="T287" s="192"/>
      <c r="U287" s="192"/>
      <c r="V287" s="192"/>
      <c r="W287" s="192"/>
      <c r="X287" s="192"/>
      <c r="Y287" s="192"/>
      <c r="Z287" s="192"/>
      <c r="AB287" s="192"/>
      <c r="AC287" s="192"/>
      <c r="AD287" s="192"/>
      <c r="AE287" s="192"/>
    </row>
    <row r="288" hidden="1">
      <c r="A288" s="192"/>
      <c r="B288" s="192"/>
      <c r="C288" s="192"/>
      <c r="D288" s="192"/>
      <c r="E288" s="192"/>
      <c r="F288" s="192"/>
      <c r="G288" s="192"/>
      <c r="H288" s="192"/>
      <c r="I288" s="192"/>
      <c r="J288" s="192"/>
      <c r="K288" s="192"/>
      <c r="L288" s="192"/>
      <c r="M288" s="192"/>
      <c r="N288" s="192"/>
      <c r="O288" s="192"/>
      <c r="P288" s="192"/>
      <c r="Q288" s="192"/>
      <c r="S288" s="192"/>
      <c r="T288" s="192"/>
      <c r="U288" s="192"/>
      <c r="V288" s="192"/>
      <c r="W288" s="192"/>
      <c r="X288" s="192"/>
      <c r="Y288" s="192"/>
      <c r="Z288" s="192"/>
      <c r="AB288" s="192"/>
      <c r="AC288" s="192"/>
      <c r="AD288" s="192"/>
      <c r="AE288" s="192"/>
    </row>
    <row r="289" hidden="1">
      <c r="A289" s="192"/>
      <c r="B289" s="192"/>
      <c r="C289" s="192"/>
      <c r="D289" s="192"/>
      <c r="E289" s="192"/>
      <c r="F289" s="192"/>
      <c r="G289" s="192"/>
      <c r="H289" s="192"/>
      <c r="I289" s="192"/>
      <c r="J289" s="192"/>
      <c r="K289" s="192"/>
      <c r="L289" s="192"/>
      <c r="M289" s="192"/>
      <c r="N289" s="192"/>
      <c r="O289" s="192"/>
      <c r="P289" s="192"/>
      <c r="Q289" s="192"/>
      <c r="R289" s="192"/>
      <c r="S289" s="192"/>
      <c r="T289" s="192"/>
      <c r="U289" s="192"/>
      <c r="V289" s="192"/>
      <c r="W289" s="192"/>
      <c r="X289" s="192"/>
      <c r="Y289" s="192"/>
      <c r="Z289" s="192"/>
      <c r="AA289" s="192"/>
      <c r="AB289" s="192"/>
      <c r="AC289" s="192"/>
      <c r="AD289" s="192"/>
      <c r="AE289" s="192"/>
    </row>
    <row r="290" hidden="1">
      <c r="A290" s="192"/>
      <c r="B290" s="192"/>
      <c r="C290" s="192"/>
      <c r="D290" s="192"/>
      <c r="E290" s="192"/>
      <c r="F290" s="192"/>
      <c r="G290" s="192"/>
      <c r="H290" s="192"/>
      <c r="I290" s="192"/>
      <c r="J290" s="192"/>
      <c r="K290" s="192"/>
      <c r="L290" s="192"/>
      <c r="M290" s="192"/>
      <c r="N290" s="192"/>
      <c r="O290" s="192"/>
      <c r="P290" s="192"/>
      <c r="Q290" s="192"/>
      <c r="R290" s="192"/>
      <c r="S290" s="192"/>
      <c r="T290" s="192"/>
      <c r="U290" s="192"/>
      <c r="V290" s="192"/>
      <c r="W290" s="192"/>
      <c r="X290" s="192"/>
      <c r="Y290" s="192"/>
      <c r="Z290" s="192"/>
      <c r="AA290" s="192"/>
      <c r="AB290" s="192"/>
      <c r="AC290" s="192"/>
      <c r="AD290" s="192"/>
      <c r="AE290" s="192"/>
    </row>
    <row r="291" hidden="1">
      <c r="A291" s="192"/>
      <c r="B291" s="192"/>
      <c r="C291" s="192"/>
      <c r="D291" s="192"/>
      <c r="E291" s="192"/>
      <c r="F291" s="192"/>
      <c r="G291" s="192"/>
      <c r="H291" s="192"/>
      <c r="I291" s="192"/>
      <c r="J291" s="192"/>
      <c r="K291" s="192"/>
      <c r="L291" s="192"/>
      <c r="M291" s="192"/>
      <c r="N291" s="192"/>
      <c r="O291" s="192"/>
      <c r="P291" s="192"/>
      <c r="Q291" s="192"/>
      <c r="S291" s="192"/>
      <c r="T291" s="192"/>
      <c r="U291" s="192"/>
      <c r="V291" s="192"/>
      <c r="W291" s="192"/>
      <c r="X291" s="192"/>
      <c r="Y291" s="192"/>
      <c r="Z291" s="192"/>
      <c r="AB291" s="192"/>
      <c r="AC291" s="192"/>
      <c r="AD291" s="192"/>
      <c r="AE291" s="192"/>
    </row>
    <row r="292" hidden="1">
      <c r="A292" s="192"/>
      <c r="B292" s="192"/>
      <c r="C292" s="192"/>
      <c r="D292" s="192"/>
      <c r="E292" s="192"/>
      <c r="F292" s="192"/>
      <c r="G292" s="192"/>
      <c r="H292" s="192"/>
      <c r="I292" s="192"/>
      <c r="J292" s="192"/>
      <c r="K292" s="192"/>
      <c r="L292" s="192"/>
      <c r="M292" s="192"/>
      <c r="N292" s="192"/>
      <c r="O292" s="192"/>
      <c r="P292" s="192"/>
      <c r="Q292" s="192"/>
      <c r="R292" s="192"/>
      <c r="S292" s="192"/>
      <c r="T292" s="192"/>
      <c r="U292" s="192"/>
      <c r="V292" s="192"/>
      <c r="W292" s="192"/>
      <c r="X292" s="192"/>
      <c r="Y292" s="192"/>
      <c r="Z292" s="192"/>
      <c r="AA292" s="192"/>
      <c r="AB292" s="192"/>
      <c r="AC292" s="192"/>
      <c r="AD292" s="192"/>
      <c r="AE292" s="192"/>
    </row>
    <row r="293" hidden="1">
      <c r="A293" s="192"/>
      <c r="B293" s="192"/>
      <c r="C293" s="192"/>
      <c r="D293" s="192"/>
      <c r="E293" s="192"/>
      <c r="F293" s="192"/>
      <c r="G293" s="192"/>
      <c r="H293" s="192"/>
      <c r="I293" s="192"/>
      <c r="J293" s="192"/>
      <c r="K293" s="192"/>
      <c r="L293" s="192"/>
      <c r="M293" s="192"/>
      <c r="N293" s="192"/>
      <c r="O293" s="192"/>
      <c r="P293" s="192"/>
      <c r="Q293" s="192"/>
      <c r="R293" s="192"/>
      <c r="S293" s="192"/>
      <c r="T293" s="192"/>
      <c r="U293" s="192"/>
      <c r="V293" s="192"/>
      <c r="W293" s="192"/>
      <c r="X293" s="192"/>
      <c r="Y293" s="192"/>
      <c r="Z293" s="192"/>
      <c r="AA293" s="192"/>
      <c r="AB293" s="192"/>
      <c r="AC293" s="192"/>
      <c r="AD293" s="192"/>
      <c r="AE293" s="192"/>
    </row>
    <row r="294" hidden="1">
      <c r="A294" s="192"/>
      <c r="B294" s="192"/>
      <c r="C294" s="192"/>
      <c r="D294" s="192"/>
      <c r="E294" s="192"/>
      <c r="F294" s="192"/>
      <c r="G294" s="192"/>
      <c r="H294" s="192"/>
      <c r="I294" s="192"/>
      <c r="J294" s="192"/>
      <c r="K294" s="192"/>
      <c r="L294" s="192"/>
      <c r="M294" s="192"/>
      <c r="N294" s="192"/>
      <c r="O294" s="192"/>
      <c r="P294" s="192"/>
      <c r="Q294" s="192"/>
      <c r="R294" s="192"/>
      <c r="S294" s="192"/>
      <c r="T294" s="192"/>
      <c r="U294" s="192"/>
      <c r="V294" s="192"/>
      <c r="W294" s="192"/>
      <c r="X294" s="192"/>
      <c r="Y294" s="192"/>
      <c r="Z294" s="192"/>
      <c r="AA294" s="192"/>
      <c r="AB294" s="192"/>
      <c r="AC294" s="192"/>
      <c r="AD294" s="192"/>
      <c r="AE294" s="192"/>
    </row>
    <row r="295" hidden="1">
      <c r="A295" s="192"/>
      <c r="B295" s="192"/>
      <c r="C295" s="192"/>
      <c r="D295" s="192"/>
      <c r="E295" s="192"/>
      <c r="F295" s="192"/>
      <c r="G295" s="192"/>
      <c r="H295" s="192"/>
      <c r="I295" s="192"/>
      <c r="J295" s="192"/>
      <c r="K295" s="192"/>
      <c r="L295" s="192"/>
      <c r="M295" s="192"/>
      <c r="N295" s="192"/>
      <c r="O295" s="192"/>
      <c r="P295" s="192"/>
      <c r="Q295" s="192"/>
      <c r="S295" s="192"/>
      <c r="T295" s="192"/>
      <c r="U295" s="192"/>
      <c r="V295" s="192"/>
      <c r="W295" s="192"/>
      <c r="X295" s="192"/>
      <c r="Y295" s="192"/>
      <c r="Z295" s="192"/>
      <c r="AB295" s="192"/>
      <c r="AC295" s="192"/>
      <c r="AD295" s="192"/>
      <c r="AE295" s="192"/>
    </row>
    <row r="296" hidden="1">
      <c r="A296" s="192"/>
      <c r="B296" s="192"/>
      <c r="C296" s="192"/>
      <c r="D296" s="192"/>
      <c r="E296" s="192"/>
      <c r="F296" s="192"/>
      <c r="G296" s="192"/>
      <c r="H296" s="192"/>
      <c r="I296" s="192"/>
      <c r="J296" s="192"/>
      <c r="K296" s="192"/>
      <c r="L296" s="192"/>
      <c r="M296" s="192"/>
      <c r="O296" s="192"/>
      <c r="P296" s="192"/>
      <c r="Q296" s="192"/>
      <c r="S296" s="192"/>
      <c r="T296" s="192"/>
      <c r="U296" s="192"/>
      <c r="V296" s="192"/>
      <c r="W296" s="192"/>
      <c r="X296" s="192"/>
      <c r="Y296" s="192"/>
      <c r="Z296" s="192"/>
      <c r="AB296" s="192"/>
      <c r="AC296" s="192"/>
      <c r="AD296" s="192"/>
      <c r="AE296" s="192"/>
    </row>
    <row r="297" hidden="1">
      <c r="A297" s="192"/>
      <c r="B297" s="192"/>
      <c r="C297" s="192"/>
      <c r="D297" s="192"/>
      <c r="E297" s="192"/>
      <c r="F297" s="192"/>
      <c r="G297" s="192"/>
      <c r="H297" s="192"/>
      <c r="I297" s="192"/>
      <c r="J297" s="192"/>
      <c r="K297" s="192"/>
      <c r="L297" s="192"/>
      <c r="M297" s="192"/>
      <c r="N297" s="192"/>
      <c r="O297" s="192"/>
      <c r="P297" s="192"/>
      <c r="Q297" s="192"/>
      <c r="S297" s="192"/>
      <c r="T297" s="192"/>
      <c r="U297" s="192"/>
      <c r="V297" s="192"/>
      <c r="W297" s="192"/>
      <c r="X297" s="192"/>
      <c r="Y297" s="192"/>
      <c r="Z297" s="192"/>
      <c r="AB297" s="192"/>
      <c r="AC297" s="192"/>
      <c r="AD297" s="192"/>
      <c r="AE297" s="192"/>
    </row>
    <row r="298" hidden="1">
      <c r="A298" s="192"/>
      <c r="B298" s="192"/>
      <c r="C298" s="192"/>
      <c r="D298" s="192"/>
      <c r="E298" s="192"/>
      <c r="F298" s="192"/>
      <c r="G298" s="192"/>
      <c r="H298" s="192"/>
      <c r="I298" s="192"/>
      <c r="J298" s="192"/>
      <c r="K298" s="192"/>
      <c r="L298" s="192"/>
      <c r="M298" s="192"/>
      <c r="N298" s="192"/>
      <c r="O298" s="192"/>
      <c r="P298" s="192"/>
      <c r="Q298" s="192"/>
      <c r="S298" s="192"/>
      <c r="T298" s="192"/>
      <c r="U298" s="192"/>
      <c r="V298" s="192"/>
      <c r="W298" s="192"/>
      <c r="X298" s="192"/>
      <c r="Y298" s="192"/>
      <c r="Z298" s="192"/>
      <c r="AB298" s="192"/>
      <c r="AC298" s="192"/>
      <c r="AD298" s="192"/>
      <c r="AE298" s="192"/>
    </row>
    <row r="299" hidden="1">
      <c r="A299" s="192"/>
      <c r="B299" s="192"/>
      <c r="C299" s="192"/>
      <c r="D299" s="192"/>
      <c r="E299" s="192"/>
      <c r="F299" s="192"/>
      <c r="G299" s="192"/>
      <c r="H299" s="192"/>
      <c r="I299" s="192"/>
      <c r="J299" s="192"/>
      <c r="K299" s="192"/>
      <c r="L299" s="192"/>
      <c r="M299" s="192"/>
      <c r="N299" s="192"/>
      <c r="O299" s="192"/>
      <c r="P299" s="192"/>
      <c r="Q299" s="192"/>
      <c r="S299" s="192"/>
      <c r="T299" s="192"/>
      <c r="U299" s="192"/>
      <c r="V299" s="192"/>
      <c r="W299" s="192"/>
      <c r="X299" s="192"/>
      <c r="Y299" s="192"/>
      <c r="Z299" s="192"/>
      <c r="AB299" s="192"/>
      <c r="AC299" s="192"/>
      <c r="AD299" s="192"/>
      <c r="AE299" s="192"/>
    </row>
    <row r="300" hidden="1">
      <c r="A300" s="192"/>
      <c r="B300" s="192"/>
      <c r="C300" s="192"/>
      <c r="D300" s="192"/>
      <c r="E300" s="192"/>
      <c r="F300" s="192"/>
      <c r="G300" s="192"/>
      <c r="H300" s="192"/>
      <c r="I300" s="192"/>
      <c r="J300" s="192"/>
      <c r="K300" s="192"/>
      <c r="L300" s="192"/>
      <c r="M300" s="192"/>
      <c r="N300" s="192"/>
      <c r="O300" s="192"/>
      <c r="P300" s="192"/>
      <c r="Q300" s="192"/>
      <c r="R300" s="192"/>
      <c r="S300" s="192"/>
      <c r="T300" s="192"/>
      <c r="U300" s="192"/>
      <c r="V300" s="192"/>
      <c r="W300" s="192"/>
      <c r="X300" s="192"/>
      <c r="Y300" s="192"/>
      <c r="Z300" s="192"/>
      <c r="AA300" s="192"/>
      <c r="AB300" s="192"/>
      <c r="AC300" s="192"/>
      <c r="AD300" s="192"/>
      <c r="AE300" s="192"/>
    </row>
    <row r="301" hidden="1">
      <c r="A301" s="192"/>
      <c r="B301" s="192"/>
      <c r="C301" s="192"/>
      <c r="D301" s="192"/>
      <c r="E301" s="192"/>
      <c r="F301" s="192"/>
      <c r="G301" s="192"/>
      <c r="H301" s="192"/>
      <c r="I301" s="192"/>
      <c r="J301" s="192"/>
      <c r="K301" s="192"/>
      <c r="L301" s="192"/>
      <c r="M301" s="192"/>
      <c r="N301" s="192"/>
      <c r="O301" s="192"/>
      <c r="P301" s="192"/>
      <c r="Q301" s="192"/>
      <c r="T301" s="192"/>
      <c r="U301" s="192"/>
      <c r="V301" s="192"/>
      <c r="W301" s="192"/>
      <c r="X301" s="192"/>
      <c r="Y301" s="192"/>
      <c r="Z301" s="192"/>
      <c r="AB301" s="192"/>
      <c r="AC301" s="192"/>
      <c r="AD301" s="192"/>
      <c r="AE301" s="192"/>
    </row>
    <row r="302" hidden="1">
      <c r="A302" s="192"/>
      <c r="B302" s="192"/>
      <c r="C302" s="192"/>
      <c r="D302" s="192"/>
      <c r="E302" s="192"/>
      <c r="F302" s="192"/>
      <c r="G302" s="192"/>
      <c r="H302" s="192"/>
      <c r="I302" s="192"/>
      <c r="J302" s="192"/>
      <c r="K302" s="192"/>
      <c r="L302" s="192"/>
      <c r="M302" s="192"/>
      <c r="N302" s="192"/>
      <c r="O302" s="192"/>
      <c r="P302" s="192"/>
      <c r="Q302" s="192"/>
      <c r="S302" s="192"/>
      <c r="T302" s="192"/>
      <c r="U302" s="192"/>
      <c r="V302" s="192"/>
      <c r="W302" s="192"/>
      <c r="X302" s="192"/>
      <c r="Y302" s="192"/>
      <c r="Z302" s="192"/>
      <c r="AB302" s="192"/>
      <c r="AC302" s="192"/>
      <c r="AD302" s="192"/>
      <c r="AE302" s="192"/>
    </row>
    <row r="303" hidden="1">
      <c r="A303" s="192"/>
      <c r="B303" s="192"/>
      <c r="C303" s="192"/>
      <c r="D303" s="192"/>
      <c r="E303" s="192"/>
      <c r="F303" s="192"/>
      <c r="G303" s="192"/>
      <c r="H303" s="192"/>
      <c r="I303" s="192"/>
      <c r="J303" s="192"/>
      <c r="K303" s="192"/>
      <c r="L303" s="192"/>
      <c r="M303" s="192"/>
      <c r="N303" s="192"/>
      <c r="O303" s="192"/>
      <c r="P303" s="192"/>
      <c r="Q303" s="192"/>
      <c r="S303" s="192"/>
      <c r="T303" s="192"/>
      <c r="U303" s="192"/>
      <c r="V303" s="192"/>
      <c r="W303" s="192"/>
      <c r="X303" s="192"/>
      <c r="Y303" s="192"/>
      <c r="Z303" s="192"/>
      <c r="AB303" s="192"/>
      <c r="AC303" s="192"/>
      <c r="AD303" s="192"/>
      <c r="AE303" s="192"/>
    </row>
    <row r="304" hidden="1">
      <c r="A304" s="192"/>
      <c r="B304" s="192"/>
      <c r="C304" s="192"/>
      <c r="D304" s="192"/>
      <c r="E304" s="192"/>
      <c r="F304" s="192"/>
      <c r="G304" s="192"/>
      <c r="H304" s="192"/>
      <c r="I304" s="192"/>
      <c r="J304" s="192"/>
      <c r="K304" s="192"/>
      <c r="L304" s="192"/>
      <c r="M304" s="192"/>
      <c r="N304" s="192"/>
      <c r="O304" s="192"/>
      <c r="P304" s="192"/>
      <c r="Q304" s="192"/>
      <c r="S304" s="192"/>
      <c r="T304" s="192"/>
      <c r="U304" s="192"/>
      <c r="V304" s="192"/>
      <c r="W304" s="192"/>
      <c r="X304" s="192"/>
      <c r="Y304" s="192"/>
      <c r="Z304" s="192"/>
      <c r="AB304" s="192"/>
      <c r="AC304" s="192"/>
      <c r="AD304" s="192"/>
      <c r="AE304" s="192"/>
    </row>
    <row r="305" hidden="1">
      <c r="A305" s="192"/>
      <c r="B305" s="192"/>
      <c r="C305" s="192"/>
      <c r="D305" s="192"/>
      <c r="E305" s="192"/>
      <c r="F305" s="192"/>
      <c r="G305" s="192"/>
      <c r="H305" s="192"/>
      <c r="I305" s="192"/>
      <c r="J305" s="192"/>
      <c r="K305" s="192"/>
      <c r="L305" s="192"/>
      <c r="M305" s="192"/>
      <c r="N305" s="192"/>
      <c r="O305" s="192"/>
      <c r="P305" s="192"/>
      <c r="Q305" s="192"/>
      <c r="S305" s="192"/>
      <c r="T305" s="192"/>
      <c r="U305" s="192"/>
      <c r="V305" s="192"/>
      <c r="W305" s="192"/>
      <c r="X305" s="192"/>
      <c r="Y305" s="192"/>
      <c r="Z305" s="192"/>
      <c r="AB305" s="192"/>
      <c r="AC305" s="192"/>
      <c r="AD305" s="192"/>
      <c r="AE305" s="192"/>
    </row>
    <row r="306" hidden="1">
      <c r="A306" s="192"/>
      <c r="B306" s="192"/>
      <c r="C306" s="192"/>
      <c r="D306" s="192"/>
      <c r="E306" s="192"/>
      <c r="F306" s="192"/>
      <c r="G306" s="192"/>
      <c r="H306" s="192"/>
      <c r="I306" s="192"/>
      <c r="J306" s="192"/>
      <c r="K306" s="192"/>
      <c r="L306" s="192"/>
      <c r="M306" s="192"/>
      <c r="N306" s="192"/>
      <c r="O306" s="192"/>
      <c r="P306" s="192"/>
      <c r="Q306" s="192"/>
      <c r="S306" s="192"/>
      <c r="T306" s="192"/>
      <c r="U306" s="192"/>
      <c r="V306" s="192"/>
      <c r="W306" s="192"/>
      <c r="X306" s="192"/>
      <c r="Y306" s="192"/>
      <c r="Z306" s="192"/>
      <c r="AB306" s="192"/>
      <c r="AC306" s="192"/>
      <c r="AD306" s="192"/>
      <c r="AE306" s="192"/>
    </row>
    <row r="307" hidden="1">
      <c r="A307" s="192"/>
      <c r="B307" s="192"/>
      <c r="C307" s="192"/>
      <c r="D307" s="192"/>
      <c r="E307" s="192"/>
      <c r="F307" s="192"/>
      <c r="G307" s="192"/>
      <c r="H307" s="192"/>
      <c r="I307" s="192"/>
      <c r="J307" s="192"/>
      <c r="K307" s="192"/>
      <c r="L307" s="192"/>
      <c r="M307" s="192"/>
      <c r="O307" s="192"/>
      <c r="P307" s="192"/>
      <c r="Q307" s="192"/>
      <c r="S307" s="192"/>
      <c r="T307" s="192"/>
      <c r="U307" s="192"/>
      <c r="V307" s="192"/>
      <c r="W307" s="192"/>
      <c r="X307" s="192"/>
      <c r="Y307" s="192"/>
      <c r="Z307" s="192"/>
      <c r="AB307" s="192"/>
      <c r="AC307" s="192"/>
      <c r="AD307" s="192"/>
      <c r="AE307" s="192"/>
    </row>
    <row r="308" hidden="1">
      <c r="A308" s="192"/>
      <c r="B308" s="192"/>
      <c r="C308" s="192"/>
      <c r="D308" s="192"/>
      <c r="E308" s="192"/>
      <c r="F308" s="192"/>
      <c r="G308" s="192"/>
      <c r="H308" s="192"/>
      <c r="I308" s="192"/>
      <c r="J308" s="192"/>
      <c r="K308" s="192"/>
      <c r="L308" s="192"/>
      <c r="M308" s="192"/>
      <c r="O308" s="192"/>
      <c r="P308" s="192"/>
      <c r="Q308" s="192"/>
      <c r="S308" s="192"/>
      <c r="T308" s="192"/>
      <c r="U308" s="192"/>
      <c r="V308" s="192"/>
      <c r="W308" s="192"/>
      <c r="X308" s="192"/>
      <c r="Y308" s="192"/>
      <c r="Z308" s="192"/>
      <c r="AB308" s="192"/>
      <c r="AC308" s="192"/>
      <c r="AD308" s="192"/>
      <c r="AE308" s="192"/>
    </row>
    <row r="309" hidden="1">
      <c r="A309" s="192"/>
      <c r="B309" s="192"/>
      <c r="C309" s="192"/>
      <c r="D309" s="192"/>
      <c r="E309" s="192"/>
      <c r="F309" s="192"/>
      <c r="G309" s="192"/>
      <c r="H309" s="192"/>
      <c r="I309" s="192"/>
      <c r="J309" s="192"/>
      <c r="K309" s="192"/>
      <c r="L309" s="192"/>
      <c r="M309" s="192"/>
      <c r="N309" s="192"/>
      <c r="O309" s="192"/>
      <c r="P309" s="192"/>
      <c r="Q309" s="192"/>
      <c r="R309" s="192"/>
      <c r="S309" s="192"/>
      <c r="T309" s="192"/>
      <c r="U309" s="192"/>
      <c r="V309" s="192"/>
      <c r="W309" s="192"/>
      <c r="X309" s="192"/>
      <c r="Y309" s="192"/>
      <c r="Z309" s="192"/>
      <c r="AA309" s="192"/>
      <c r="AB309" s="192"/>
      <c r="AC309" s="192"/>
      <c r="AD309" s="192"/>
      <c r="AE309" s="192"/>
    </row>
    <row r="310" hidden="1">
      <c r="A310" s="192"/>
      <c r="B310" s="192"/>
      <c r="C310" s="192"/>
      <c r="D310" s="192"/>
      <c r="E310" s="192"/>
      <c r="F310" s="192"/>
      <c r="G310" s="192"/>
      <c r="H310" s="192"/>
      <c r="I310" s="192"/>
      <c r="J310" s="192"/>
      <c r="K310" s="192"/>
      <c r="L310" s="192"/>
      <c r="M310" s="192"/>
      <c r="N310" s="192"/>
      <c r="O310" s="192"/>
      <c r="P310" s="192"/>
      <c r="Q310" s="192"/>
      <c r="R310" s="192"/>
      <c r="S310" s="192"/>
      <c r="T310" s="192"/>
      <c r="U310" s="192"/>
      <c r="V310" s="192"/>
      <c r="W310" s="192"/>
      <c r="X310" s="192"/>
      <c r="Y310" s="192"/>
      <c r="Z310" s="192"/>
      <c r="AA310" s="192"/>
      <c r="AB310" s="192"/>
      <c r="AC310" s="192"/>
      <c r="AD310" s="192"/>
      <c r="AE310" s="192"/>
    </row>
    <row r="311" hidden="1">
      <c r="A311" s="192"/>
      <c r="B311" s="192"/>
      <c r="C311" s="192"/>
      <c r="D311" s="192"/>
      <c r="E311" s="192"/>
      <c r="F311" s="192"/>
      <c r="G311" s="192"/>
      <c r="H311" s="192"/>
      <c r="I311" s="192"/>
      <c r="J311" s="192"/>
      <c r="K311" s="192"/>
      <c r="L311" s="192"/>
      <c r="M311" s="192"/>
      <c r="O311" s="192"/>
      <c r="P311" s="192"/>
      <c r="Q311" s="192"/>
      <c r="S311" s="192"/>
      <c r="T311" s="192"/>
      <c r="U311" s="192"/>
      <c r="V311" s="192"/>
      <c r="W311" s="192"/>
      <c r="X311" s="192"/>
      <c r="Y311" s="192"/>
      <c r="Z311" s="192"/>
      <c r="AB311" s="192"/>
      <c r="AC311" s="192"/>
      <c r="AD311" s="192"/>
      <c r="AE311" s="192"/>
    </row>
    <row r="312" hidden="1">
      <c r="A312" s="192"/>
      <c r="B312" s="192"/>
      <c r="C312" s="192"/>
      <c r="D312" s="192"/>
      <c r="E312" s="192"/>
      <c r="F312" s="192"/>
      <c r="G312" s="192"/>
      <c r="H312" s="192"/>
      <c r="I312" s="192"/>
      <c r="J312" s="192"/>
      <c r="K312" s="192"/>
      <c r="L312" s="192"/>
      <c r="M312" s="192"/>
      <c r="O312" s="192"/>
      <c r="P312" s="192"/>
      <c r="Q312" s="192"/>
      <c r="S312" s="192"/>
      <c r="T312" s="192"/>
      <c r="U312" s="192"/>
      <c r="V312" s="192"/>
      <c r="W312" s="192"/>
      <c r="X312" s="192"/>
      <c r="Y312" s="192"/>
      <c r="Z312" s="192"/>
      <c r="AB312" s="192"/>
      <c r="AC312" s="192"/>
      <c r="AD312" s="192"/>
      <c r="AE312" s="192"/>
    </row>
    <row r="313" hidden="1">
      <c r="A313" s="192"/>
      <c r="B313" s="192"/>
      <c r="C313" s="192"/>
      <c r="D313" s="192"/>
      <c r="E313" s="192"/>
      <c r="F313" s="192"/>
      <c r="G313" s="192"/>
      <c r="H313" s="192"/>
      <c r="I313" s="192"/>
      <c r="J313" s="192"/>
      <c r="K313" s="192"/>
      <c r="L313" s="192"/>
      <c r="M313" s="192"/>
      <c r="N313" s="192"/>
      <c r="O313" s="192"/>
      <c r="P313" s="192"/>
      <c r="Q313" s="192"/>
      <c r="S313" s="192"/>
      <c r="T313" s="192"/>
      <c r="U313" s="192"/>
      <c r="V313" s="192"/>
      <c r="W313" s="192"/>
      <c r="X313" s="192"/>
      <c r="Y313" s="192"/>
      <c r="Z313" s="192"/>
      <c r="AB313" s="192"/>
      <c r="AC313" s="192"/>
      <c r="AD313" s="192"/>
      <c r="AE313" s="192"/>
    </row>
    <row r="314" hidden="1">
      <c r="A314" s="192"/>
      <c r="B314" s="192"/>
      <c r="C314" s="192"/>
      <c r="D314" s="192"/>
      <c r="E314" s="192"/>
      <c r="F314" s="192"/>
      <c r="G314" s="192"/>
      <c r="H314" s="192"/>
      <c r="I314" s="192"/>
      <c r="J314" s="192"/>
      <c r="K314" s="192"/>
      <c r="L314" s="192"/>
      <c r="M314" s="192"/>
      <c r="N314" s="192"/>
      <c r="O314" s="192"/>
      <c r="P314" s="192"/>
      <c r="Q314" s="192"/>
      <c r="S314" s="192"/>
      <c r="T314" s="192"/>
      <c r="U314" s="192"/>
      <c r="V314" s="192"/>
      <c r="W314" s="192"/>
      <c r="X314" s="192"/>
      <c r="Y314" s="192"/>
      <c r="Z314" s="192"/>
      <c r="AB314" s="192"/>
      <c r="AC314" s="192"/>
      <c r="AD314" s="192"/>
      <c r="AE314" s="192"/>
    </row>
    <row r="315" hidden="1">
      <c r="A315" s="192"/>
      <c r="B315" s="192"/>
      <c r="C315" s="192"/>
      <c r="D315" s="192"/>
      <c r="E315" s="192"/>
      <c r="F315" s="192"/>
      <c r="G315" s="192"/>
      <c r="H315" s="192"/>
      <c r="I315" s="192"/>
      <c r="J315" s="192"/>
      <c r="K315" s="192"/>
      <c r="L315" s="192"/>
      <c r="M315" s="192"/>
      <c r="N315" s="192"/>
      <c r="O315" s="192"/>
      <c r="P315" s="192"/>
      <c r="Q315" s="192"/>
      <c r="S315" s="192"/>
      <c r="T315" s="192"/>
      <c r="U315" s="192"/>
      <c r="V315" s="192"/>
      <c r="W315" s="192"/>
      <c r="X315" s="192"/>
      <c r="Y315" s="192"/>
      <c r="Z315" s="192"/>
      <c r="AB315" s="192"/>
      <c r="AC315" s="192"/>
      <c r="AD315" s="192"/>
      <c r="AE315" s="192"/>
    </row>
    <row r="316" hidden="1">
      <c r="A316" s="192"/>
      <c r="B316" s="192"/>
      <c r="C316" s="192"/>
      <c r="D316" s="192"/>
      <c r="E316" s="192"/>
      <c r="F316" s="192"/>
      <c r="G316" s="192"/>
      <c r="H316" s="192"/>
      <c r="I316" s="192"/>
      <c r="J316" s="192"/>
      <c r="K316" s="192"/>
      <c r="L316" s="192"/>
      <c r="M316" s="192"/>
      <c r="N316" s="192"/>
      <c r="O316" s="192"/>
      <c r="P316" s="192"/>
      <c r="Q316" s="192"/>
      <c r="R316" s="192"/>
      <c r="S316" s="192"/>
      <c r="T316" s="192"/>
      <c r="U316" s="192"/>
      <c r="V316" s="192"/>
      <c r="W316" s="192"/>
      <c r="X316" s="192"/>
      <c r="Y316" s="192"/>
      <c r="Z316" s="192"/>
      <c r="AA316" s="192"/>
      <c r="AB316" s="192"/>
      <c r="AC316" s="192"/>
      <c r="AD316" s="192"/>
      <c r="AE316" s="192"/>
    </row>
    <row r="317" hidden="1">
      <c r="A317" s="192"/>
      <c r="B317" s="192"/>
      <c r="C317" s="192"/>
      <c r="D317" s="192"/>
      <c r="E317" s="192"/>
      <c r="F317" s="192"/>
      <c r="G317" s="192"/>
      <c r="H317" s="192"/>
      <c r="I317" s="192"/>
      <c r="J317" s="192"/>
      <c r="K317" s="192"/>
      <c r="L317" s="192"/>
      <c r="M317" s="192"/>
      <c r="O317" s="192"/>
      <c r="P317" s="192"/>
      <c r="Q317" s="192"/>
      <c r="S317" s="192"/>
      <c r="T317" s="192"/>
      <c r="U317" s="192"/>
      <c r="V317" s="192"/>
      <c r="W317" s="192"/>
      <c r="X317" s="192"/>
      <c r="Y317" s="192"/>
      <c r="Z317" s="192"/>
      <c r="AB317" s="192"/>
      <c r="AC317" s="192"/>
      <c r="AD317" s="192"/>
      <c r="AE317" s="192"/>
    </row>
    <row r="318" hidden="1">
      <c r="A318" s="192"/>
      <c r="B318" s="192"/>
      <c r="C318" s="192"/>
      <c r="D318" s="192"/>
      <c r="E318" s="192"/>
      <c r="F318" s="192"/>
      <c r="G318" s="192"/>
      <c r="H318" s="192"/>
      <c r="I318" s="192"/>
      <c r="J318" s="192"/>
      <c r="K318" s="192"/>
      <c r="L318" s="192"/>
      <c r="M318" s="192"/>
      <c r="N318" s="192"/>
      <c r="O318" s="192"/>
      <c r="P318" s="192"/>
      <c r="Q318" s="192"/>
      <c r="S318" s="192"/>
      <c r="T318" s="192"/>
      <c r="U318" s="192"/>
      <c r="V318" s="192"/>
      <c r="W318" s="192"/>
      <c r="X318" s="192"/>
      <c r="Y318" s="192"/>
      <c r="Z318" s="192"/>
      <c r="AB318" s="192"/>
      <c r="AC318" s="192"/>
      <c r="AD318" s="192"/>
      <c r="AE318" s="192"/>
    </row>
    <row r="319" hidden="1">
      <c r="A319" s="192"/>
      <c r="B319" s="192"/>
      <c r="C319" s="192"/>
      <c r="D319" s="192"/>
      <c r="E319" s="192"/>
      <c r="F319" s="192"/>
      <c r="G319" s="192"/>
      <c r="H319" s="192"/>
      <c r="I319" s="192"/>
      <c r="J319" s="192"/>
      <c r="K319" s="192"/>
      <c r="L319" s="192"/>
      <c r="M319" s="192"/>
      <c r="N319" s="192"/>
      <c r="O319" s="192"/>
      <c r="P319" s="192"/>
      <c r="Q319" s="192"/>
      <c r="S319" s="192"/>
      <c r="T319" s="192"/>
      <c r="U319" s="192"/>
      <c r="V319" s="192"/>
      <c r="W319" s="192"/>
      <c r="X319" s="192"/>
      <c r="Y319" s="192"/>
      <c r="Z319" s="192"/>
      <c r="AB319" s="192"/>
      <c r="AC319" s="192"/>
      <c r="AD319" s="192"/>
      <c r="AE319" s="192"/>
    </row>
    <row r="320" hidden="1">
      <c r="A320" s="192"/>
      <c r="B320" s="192"/>
      <c r="C320" s="192"/>
      <c r="D320" s="192"/>
      <c r="E320" s="192"/>
      <c r="F320" s="192"/>
      <c r="G320" s="192"/>
      <c r="H320" s="192"/>
      <c r="I320" s="192"/>
      <c r="J320" s="192"/>
      <c r="K320" s="192"/>
      <c r="L320" s="192"/>
      <c r="M320" s="192"/>
      <c r="N320" s="192"/>
      <c r="O320" s="192"/>
      <c r="P320" s="192"/>
      <c r="Q320" s="192"/>
      <c r="S320" s="192"/>
      <c r="T320" s="192"/>
      <c r="U320" s="192"/>
      <c r="V320" s="192"/>
      <c r="W320" s="192"/>
      <c r="X320" s="192"/>
      <c r="Y320" s="192"/>
      <c r="Z320" s="192"/>
      <c r="AB320" s="192"/>
      <c r="AC320" s="192"/>
      <c r="AD320" s="192"/>
      <c r="AE320" s="192"/>
    </row>
    <row r="321" hidden="1">
      <c r="A321" s="192"/>
      <c r="B321" s="192"/>
      <c r="C321" s="192"/>
      <c r="D321" s="192"/>
      <c r="E321" s="192"/>
      <c r="F321" s="192"/>
      <c r="G321" s="192"/>
      <c r="H321" s="192"/>
      <c r="I321" s="192"/>
      <c r="J321" s="192"/>
      <c r="K321" s="192"/>
      <c r="L321" s="192"/>
      <c r="M321" s="192"/>
      <c r="N321" s="192"/>
      <c r="O321" s="192"/>
      <c r="P321" s="192"/>
      <c r="Q321" s="192"/>
      <c r="S321" s="192"/>
      <c r="T321" s="192"/>
      <c r="U321" s="192"/>
      <c r="V321" s="192"/>
      <c r="W321" s="192"/>
      <c r="X321" s="192"/>
      <c r="Y321" s="192"/>
      <c r="Z321" s="192"/>
      <c r="AB321" s="192"/>
      <c r="AC321" s="192"/>
      <c r="AD321" s="192"/>
      <c r="AE321" s="192"/>
    </row>
    <row r="322" hidden="1">
      <c r="A322" s="192"/>
      <c r="B322" s="192"/>
      <c r="C322" s="192"/>
      <c r="D322" s="192"/>
      <c r="E322" s="192"/>
      <c r="F322" s="192"/>
      <c r="G322" s="192"/>
      <c r="H322" s="192"/>
      <c r="I322" s="192"/>
      <c r="J322" s="192"/>
      <c r="K322" s="192"/>
      <c r="L322" s="192"/>
      <c r="M322" s="192"/>
      <c r="N322" s="192"/>
      <c r="O322" s="192"/>
      <c r="P322" s="192"/>
      <c r="Q322" s="192"/>
      <c r="R322" s="192"/>
      <c r="S322" s="192"/>
      <c r="T322" s="192"/>
      <c r="U322" s="192"/>
      <c r="V322" s="192"/>
      <c r="W322" s="192"/>
      <c r="X322" s="192"/>
      <c r="Y322" s="192"/>
      <c r="Z322" s="192"/>
      <c r="AA322" s="192"/>
      <c r="AB322" s="192"/>
      <c r="AC322" s="192"/>
      <c r="AD322" s="192"/>
      <c r="AE322" s="192"/>
    </row>
    <row r="323" hidden="1">
      <c r="A323" s="192"/>
      <c r="B323" s="192"/>
      <c r="C323" s="192"/>
      <c r="D323" s="192"/>
      <c r="E323" s="192"/>
      <c r="F323" s="192"/>
      <c r="G323" s="192"/>
      <c r="H323" s="192"/>
      <c r="I323" s="192"/>
      <c r="J323" s="192"/>
      <c r="K323" s="192"/>
      <c r="L323" s="192"/>
      <c r="M323" s="192"/>
      <c r="O323" s="192"/>
      <c r="P323" s="192"/>
      <c r="Q323" s="192"/>
      <c r="S323" s="192"/>
      <c r="T323" s="192"/>
      <c r="U323" s="192"/>
      <c r="V323" s="192"/>
      <c r="W323" s="192"/>
      <c r="X323" s="192"/>
      <c r="Y323" s="192"/>
      <c r="Z323" s="192"/>
      <c r="AB323" s="192"/>
      <c r="AC323" s="192"/>
      <c r="AD323" s="192"/>
      <c r="AE323" s="192"/>
    </row>
    <row r="324" hidden="1">
      <c r="A324" s="192"/>
      <c r="B324" s="192"/>
      <c r="C324" s="192"/>
      <c r="D324" s="192"/>
      <c r="E324" s="192"/>
      <c r="F324" s="192"/>
      <c r="G324" s="192"/>
      <c r="H324" s="192"/>
      <c r="I324" s="192"/>
      <c r="J324" s="192"/>
      <c r="K324" s="192"/>
      <c r="L324" s="192"/>
      <c r="M324" s="192"/>
      <c r="N324" s="192"/>
      <c r="O324" s="192"/>
      <c r="P324" s="192"/>
      <c r="Q324" s="192"/>
      <c r="S324" s="192"/>
      <c r="T324" s="192"/>
      <c r="U324" s="192"/>
      <c r="V324" s="192"/>
      <c r="W324" s="192"/>
      <c r="X324" s="192"/>
      <c r="Y324" s="192"/>
      <c r="Z324" s="192"/>
      <c r="AB324" s="192"/>
      <c r="AC324" s="192"/>
      <c r="AD324" s="192"/>
      <c r="AE324" s="192"/>
    </row>
    <row r="325" hidden="1">
      <c r="A325" s="192"/>
      <c r="B325" s="192"/>
      <c r="C325" s="192"/>
      <c r="D325" s="192"/>
      <c r="E325" s="192"/>
      <c r="F325" s="192"/>
      <c r="G325" s="192"/>
      <c r="H325" s="192"/>
      <c r="I325" s="192"/>
      <c r="J325" s="192"/>
      <c r="K325" s="192"/>
      <c r="L325" s="192"/>
      <c r="M325" s="192"/>
      <c r="N325" s="192"/>
      <c r="O325" s="192"/>
      <c r="P325" s="192"/>
      <c r="Q325" s="192"/>
      <c r="S325" s="192"/>
      <c r="T325" s="192"/>
      <c r="U325" s="192"/>
      <c r="V325" s="192"/>
      <c r="W325" s="192"/>
      <c r="X325" s="192"/>
      <c r="Y325" s="192"/>
      <c r="Z325" s="192"/>
      <c r="AB325" s="192"/>
      <c r="AC325" s="192"/>
      <c r="AD325" s="192"/>
      <c r="AE325" s="192"/>
    </row>
    <row r="326" hidden="1">
      <c r="A326" s="192"/>
      <c r="B326" s="192"/>
      <c r="C326" s="192"/>
      <c r="D326" s="192"/>
      <c r="E326" s="192"/>
      <c r="F326" s="192"/>
      <c r="G326" s="192"/>
      <c r="H326" s="192"/>
      <c r="I326" s="192"/>
      <c r="J326" s="192"/>
      <c r="K326" s="192"/>
      <c r="L326" s="192"/>
      <c r="M326" s="192"/>
      <c r="N326" s="192"/>
      <c r="O326" s="192"/>
      <c r="P326" s="192"/>
      <c r="Q326" s="192"/>
      <c r="R326" s="192"/>
      <c r="S326" s="192"/>
      <c r="T326" s="192"/>
      <c r="U326" s="192"/>
      <c r="V326" s="192"/>
      <c r="W326" s="192"/>
      <c r="X326" s="192"/>
      <c r="Y326" s="192"/>
      <c r="Z326" s="192"/>
      <c r="AA326" s="192"/>
      <c r="AB326" s="192"/>
      <c r="AC326" s="192"/>
      <c r="AD326" s="192"/>
      <c r="AE326" s="192"/>
    </row>
    <row r="327" hidden="1">
      <c r="A327" s="192"/>
      <c r="B327" s="192"/>
      <c r="C327" s="192"/>
      <c r="D327" s="192"/>
      <c r="E327" s="192"/>
      <c r="F327" s="192"/>
      <c r="G327" s="192"/>
      <c r="H327" s="192"/>
      <c r="I327" s="192"/>
      <c r="J327" s="192"/>
      <c r="K327" s="192"/>
      <c r="L327" s="192"/>
      <c r="M327" s="192"/>
      <c r="N327" s="192"/>
      <c r="O327" s="192"/>
      <c r="P327" s="192"/>
      <c r="Q327" s="192"/>
      <c r="R327" s="192"/>
      <c r="S327" s="192"/>
      <c r="T327" s="192"/>
      <c r="U327" s="192"/>
      <c r="V327" s="192"/>
      <c r="W327" s="192"/>
      <c r="X327" s="192"/>
      <c r="Y327" s="192"/>
      <c r="Z327" s="192"/>
      <c r="AA327" s="192"/>
      <c r="AB327" s="192"/>
      <c r="AC327" s="192"/>
      <c r="AD327" s="192"/>
      <c r="AE327" s="192"/>
    </row>
    <row r="328" hidden="1">
      <c r="A328" s="192"/>
      <c r="B328" s="192"/>
      <c r="C328" s="192"/>
      <c r="D328" s="192"/>
      <c r="E328" s="192"/>
      <c r="F328" s="192"/>
      <c r="G328" s="192"/>
      <c r="H328" s="192"/>
      <c r="I328" s="192"/>
      <c r="J328" s="192"/>
      <c r="K328" s="192"/>
      <c r="L328" s="192"/>
      <c r="M328" s="192"/>
      <c r="O328" s="192"/>
      <c r="P328" s="192"/>
      <c r="Q328" s="192"/>
      <c r="S328" s="192"/>
      <c r="T328" s="192"/>
      <c r="U328" s="192"/>
      <c r="V328" s="192"/>
      <c r="W328" s="192"/>
      <c r="X328" s="192"/>
      <c r="Y328" s="192"/>
      <c r="Z328" s="192"/>
      <c r="AB328" s="192"/>
      <c r="AC328" s="192"/>
      <c r="AD328" s="192"/>
      <c r="AE328" s="192"/>
    </row>
    <row r="329" hidden="1">
      <c r="A329" s="192"/>
      <c r="B329" s="192"/>
      <c r="C329" s="192"/>
      <c r="D329" s="192"/>
      <c r="E329" s="192"/>
      <c r="F329" s="192"/>
      <c r="G329" s="192"/>
      <c r="H329" s="192"/>
      <c r="I329" s="192"/>
      <c r="J329" s="192"/>
      <c r="K329" s="192"/>
      <c r="L329" s="192"/>
      <c r="M329" s="192"/>
      <c r="N329" s="192"/>
      <c r="O329" s="192"/>
      <c r="P329" s="192"/>
      <c r="Q329" s="192"/>
      <c r="R329" s="192"/>
      <c r="S329" s="192"/>
      <c r="T329" s="192"/>
      <c r="U329" s="192"/>
      <c r="V329" s="192"/>
      <c r="W329" s="192"/>
      <c r="X329" s="192"/>
      <c r="Y329" s="192"/>
      <c r="Z329" s="192"/>
      <c r="AA329" s="192"/>
      <c r="AB329" s="192"/>
      <c r="AC329" s="192"/>
      <c r="AD329" s="192"/>
      <c r="AE329" s="192"/>
    </row>
    <row r="330" hidden="1">
      <c r="A330" s="192"/>
      <c r="B330" s="192"/>
      <c r="C330" s="192"/>
      <c r="D330" s="192"/>
      <c r="E330" s="192"/>
      <c r="F330" s="192"/>
      <c r="G330" s="192"/>
      <c r="H330" s="192"/>
      <c r="I330" s="192"/>
      <c r="J330" s="192"/>
      <c r="K330" s="192"/>
      <c r="L330" s="192"/>
      <c r="M330" s="192"/>
      <c r="N330" s="192"/>
      <c r="O330" s="192"/>
      <c r="P330" s="192"/>
      <c r="Q330" s="192"/>
      <c r="S330" s="192"/>
      <c r="T330" s="192"/>
      <c r="U330" s="192"/>
      <c r="V330" s="192"/>
      <c r="W330" s="192"/>
      <c r="X330" s="192"/>
      <c r="Y330" s="192"/>
      <c r="Z330" s="192"/>
      <c r="AB330" s="192"/>
      <c r="AC330" s="192"/>
      <c r="AD330" s="192"/>
      <c r="AE330" s="192"/>
    </row>
    <row r="331" hidden="1">
      <c r="A331" s="192"/>
      <c r="B331" s="192"/>
      <c r="C331" s="192"/>
      <c r="D331" s="192"/>
      <c r="E331" s="192"/>
      <c r="F331" s="192"/>
      <c r="G331" s="192"/>
      <c r="H331" s="192"/>
      <c r="I331" s="192"/>
      <c r="J331" s="192"/>
      <c r="K331" s="192"/>
      <c r="L331" s="192"/>
      <c r="M331" s="192"/>
      <c r="N331" s="192"/>
      <c r="O331" s="192"/>
      <c r="P331" s="192"/>
      <c r="Q331" s="192"/>
      <c r="T331" s="192"/>
      <c r="U331" s="192"/>
      <c r="V331" s="192"/>
      <c r="W331" s="192"/>
      <c r="X331" s="192"/>
      <c r="Y331" s="192"/>
      <c r="Z331" s="192"/>
      <c r="AB331" s="192"/>
      <c r="AC331" s="192"/>
      <c r="AD331" s="192"/>
      <c r="AE331" s="192"/>
    </row>
    <row r="332" hidden="1">
      <c r="A332" s="192"/>
      <c r="B332" s="192"/>
      <c r="C332" s="192"/>
      <c r="D332" s="192"/>
      <c r="E332" s="192"/>
      <c r="F332" s="192"/>
      <c r="G332" s="192"/>
      <c r="H332" s="192"/>
      <c r="I332" s="192"/>
      <c r="J332" s="192"/>
      <c r="K332" s="192"/>
      <c r="L332" s="192"/>
      <c r="M332" s="192"/>
      <c r="O332" s="192"/>
      <c r="P332" s="192"/>
      <c r="Q332" s="192"/>
      <c r="S332" s="192"/>
      <c r="T332" s="192"/>
      <c r="U332" s="192"/>
      <c r="V332" s="192"/>
      <c r="W332" s="192"/>
      <c r="X332" s="192"/>
      <c r="Y332" s="192"/>
      <c r="Z332" s="192"/>
      <c r="AB332" s="192"/>
      <c r="AC332" s="192"/>
      <c r="AD332" s="192"/>
      <c r="AE332" s="192"/>
    </row>
    <row r="333" hidden="1">
      <c r="A333" s="192"/>
      <c r="B333" s="192"/>
      <c r="C333" s="192"/>
      <c r="D333" s="192"/>
      <c r="E333" s="192"/>
      <c r="F333" s="192"/>
      <c r="G333" s="192"/>
      <c r="H333" s="192"/>
      <c r="I333" s="192"/>
      <c r="J333" s="192"/>
      <c r="K333" s="192"/>
      <c r="L333" s="192"/>
      <c r="M333" s="192"/>
      <c r="N333" s="192"/>
      <c r="O333" s="192"/>
      <c r="P333" s="192"/>
      <c r="Q333" s="192"/>
      <c r="S333" s="192"/>
      <c r="T333" s="192"/>
      <c r="U333" s="192"/>
      <c r="V333" s="192"/>
      <c r="W333" s="192"/>
      <c r="X333" s="192"/>
      <c r="Y333" s="192"/>
      <c r="Z333" s="192"/>
      <c r="AB333" s="192"/>
      <c r="AC333" s="192"/>
      <c r="AD333" s="192"/>
      <c r="AE333" s="192"/>
    </row>
    <row r="334" hidden="1">
      <c r="A334" s="192"/>
      <c r="B334" s="192"/>
      <c r="C334" s="192"/>
      <c r="D334" s="192"/>
      <c r="E334" s="192"/>
      <c r="F334" s="192"/>
      <c r="G334" s="192"/>
      <c r="H334" s="192"/>
      <c r="I334" s="192"/>
      <c r="J334" s="192"/>
      <c r="K334" s="192"/>
      <c r="L334" s="192"/>
      <c r="M334" s="192"/>
      <c r="N334" s="192"/>
      <c r="O334" s="192"/>
      <c r="P334" s="192"/>
      <c r="Q334" s="192"/>
      <c r="S334" s="192"/>
      <c r="T334" s="192"/>
      <c r="U334" s="192"/>
      <c r="V334" s="192"/>
      <c r="W334" s="192"/>
      <c r="X334" s="192"/>
      <c r="Y334" s="192"/>
      <c r="Z334" s="192"/>
      <c r="AB334" s="192"/>
      <c r="AC334" s="192"/>
      <c r="AD334" s="192"/>
      <c r="AE334" s="192"/>
    </row>
    <row r="335" hidden="1">
      <c r="A335" s="192"/>
      <c r="B335" s="192"/>
      <c r="C335" s="192"/>
      <c r="D335" s="192"/>
      <c r="E335" s="192"/>
      <c r="F335" s="192"/>
      <c r="G335" s="192"/>
      <c r="H335" s="192"/>
      <c r="I335" s="192"/>
      <c r="J335" s="192"/>
      <c r="K335" s="192"/>
      <c r="L335" s="192"/>
      <c r="M335" s="192"/>
      <c r="O335" s="192"/>
      <c r="P335" s="192"/>
      <c r="Q335" s="192"/>
      <c r="S335" s="192"/>
      <c r="T335" s="192"/>
      <c r="U335" s="192"/>
      <c r="V335" s="192"/>
      <c r="W335" s="192"/>
      <c r="X335" s="192"/>
      <c r="Y335" s="192"/>
      <c r="Z335" s="192"/>
      <c r="AB335" s="192"/>
      <c r="AC335" s="192"/>
      <c r="AD335" s="192"/>
      <c r="AE335" s="192"/>
    </row>
    <row r="336" hidden="1">
      <c r="A336" s="192"/>
      <c r="B336" s="192"/>
      <c r="C336" s="192"/>
      <c r="D336" s="192"/>
      <c r="E336" s="192"/>
      <c r="F336" s="192"/>
      <c r="G336" s="192"/>
      <c r="H336" s="192"/>
      <c r="I336" s="192"/>
      <c r="J336" s="192"/>
      <c r="K336" s="192"/>
      <c r="L336" s="192"/>
      <c r="M336" s="192"/>
      <c r="N336" s="192"/>
      <c r="O336" s="192"/>
      <c r="P336" s="192"/>
      <c r="Q336" s="192"/>
      <c r="R336" s="192"/>
      <c r="S336" s="192"/>
      <c r="T336" s="192"/>
      <c r="U336" s="192"/>
      <c r="V336" s="192"/>
      <c r="W336" s="192"/>
      <c r="X336" s="192"/>
      <c r="Y336" s="192"/>
      <c r="Z336" s="192"/>
      <c r="AA336" s="192"/>
      <c r="AB336" s="192"/>
      <c r="AC336" s="192"/>
      <c r="AD336" s="192"/>
      <c r="AE336" s="192"/>
    </row>
    <row r="337" hidden="1">
      <c r="A337" s="192"/>
      <c r="B337" s="192"/>
      <c r="C337" s="192"/>
      <c r="D337" s="192"/>
      <c r="E337" s="192"/>
      <c r="F337" s="192"/>
      <c r="G337" s="192"/>
      <c r="H337" s="192"/>
      <c r="I337" s="192"/>
      <c r="J337" s="192"/>
      <c r="K337" s="192"/>
      <c r="L337" s="192"/>
      <c r="M337" s="192"/>
      <c r="N337" s="192"/>
      <c r="O337" s="192"/>
      <c r="P337" s="192"/>
      <c r="Q337" s="192"/>
      <c r="T337" s="192"/>
      <c r="U337" s="192"/>
      <c r="V337" s="192"/>
      <c r="W337" s="192"/>
      <c r="X337" s="192"/>
      <c r="Y337" s="192"/>
      <c r="Z337" s="192"/>
      <c r="AB337" s="192"/>
      <c r="AC337" s="192"/>
      <c r="AD337" s="192"/>
      <c r="AE337" s="192"/>
    </row>
    <row r="338" hidden="1">
      <c r="A338" s="192"/>
      <c r="B338" s="192"/>
      <c r="C338" s="192"/>
      <c r="D338" s="192"/>
      <c r="E338" s="192"/>
      <c r="F338" s="192"/>
      <c r="G338" s="192"/>
      <c r="H338" s="192"/>
      <c r="I338" s="192"/>
      <c r="J338" s="192"/>
      <c r="K338" s="192"/>
      <c r="L338" s="192"/>
      <c r="M338" s="192"/>
      <c r="N338" s="192"/>
      <c r="O338" s="192"/>
      <c r="P338" s="192"/>
      <c r="Q338" s="192"/>
      <c r="R338" s="192"/>
      <c r="S338" s="192"/>
      <c r="T338" s="192"/>
      <c r="U338" s="192"/>
      <c r="V338" s="192"/>
      <c r="W338" s="192"/>
      <c r="X338" s="192"/>
      <c r="Y338" s="192"/>
      <c r="Z338" s="192"/>
      <c r="AA338" s="192"/>
      <c r="AB338" s="192"/>
      <c r="AC338" s="192"/>
      <c r="AD338" s="192"/>
      <c r="AE338" s="192"/>
    </row>
    <row r="339" hidden="1">
      <c r="A339" s="192"/>
      <c r="B339" s="192"/>
      <c r="C339" s="192"/>
      <c r="D339" s="192"/>
      <c r="E339" s="192"/>
      <c r="F339" s="192"/>
      <c r="G339" s="192"/>
      <c r="H339" s="192"/>
      <c r="I339" s="192"/>
      <c r="J339" s="192"/>
      <c r="K339" s="192"/>
      <c r="L339" s="192"/>
      <c r="M339" s="192"/>
      <c r="N339" s="192"/>
      <c r="O339" s="192"/>
      <c r="P339" s="192"/>
      <c r="Q339" s="192"/>
      <c r="S339" s="192"/>
      <c r="T339" s="192"/>
      <c r="U339" s="192"/>
      <c r="V339" s="192"/>
      <c r="W339" s="192"/>
      <c r="X339" s="192"/>
      <c r="Y339" s="192"/>
      <c r="Z339" s="192"/>
      <c r="AB339" s="192"/>
      <c r="AC339" s="192"/>
      <c r="AD339" s="192"/>
      <c r="AE339" s="192"/>
    </row>
    <row r="340" hidden="1">
      <c r="A340" s="192"/>
      <c r="B340" s="192"/>
      <c r="C340" s="192"/>
      <c r="D340" s="192"/>
      <c r="E340" s="192"/>
      <c r="F340" s="192"/>
      <c r="G340" s="192"/>
      <c r="H340" s="192"/>
      <c r="I340" s="192"/>
      <c r="J340" s="192"/>
      <c r="K340" s="192"/>
      <c r="L340" s="192"/>
      <c r="M340" s="192"/>
      <c r="N340" s="192"/>
      <c r="O340" s="192"/>
      <c r="P340" s="192"/>
      <c r="Q340" s="192"/>
      <c r="S340" s="192"/>
      <c r="T340" s="192"/>
      <c r="U340" s="192"/>
      <c r="V340" s="192"/>
      <c r="W340" s="192"/>
      <c r="X340" s="192"/>
      <c r="Y340" s="192"/>
      <c r="Z340" s="192"/>
      <c r="AB340" s="192"/>
      <c r="AC340" s="192"/>
      <c r="AD340" s="192"/>
      <c r="AE340" s="192"/>
    </row>
    <row r="341" hidden="1">
      <c r="A341" s="192"/>
      <c r="B341" s="192"/>
      <c r="C341" s="192"/>
      <c r="D341" s="192"/>
      <c r="E341" s="192"/>
      <c r="F341" s="192"/>
      <c r="G341" s="192"/>
      <c r="H341" s="192"/>
      <c r="I341" s="192"/>
      <c r="J341" s="192"/>
      <c r="K341" s="192"/>
      <c r="L341" s="192"/>
      <c r="M341" s="192"/>
      <c r="N341" s="192"/>
      <c r="O341" s="192"/>
      <c r="P341" s="192"/>
      <c r="Q341" s="192"/>
      <c r="S341" s="192"/>
      <c r="T341" s="192"/>
      <c r="U341" s="192"/>
      <c r="V341" s="192"/>
      <c r="W341" s="192"/>
      <c r="X341" s="192"/>
      <c r="Y341" s="192"/>
      <c r="Z341" s="192"/>
      <c r="AB341" s="192"/>
      <c r="AC341" s="192"/>
      <c r="AD341" s="192"/>
      <c r="AE341" s="192"/>
    </row>
    <row r="342" hidden="1">
      <c r="A342" s="192"/>
      <c r="B342" s="192"/>
      <c r="C342" s="192"/>
      <c r="D342" s="192"/>
      <c r="E342" s="192"/>
      <c r="F342" s="192"/>
      <c r="G342" s="192"/>
      <c r="H342" s="192"/>
      <c r="I342" s="192"/>
      <c r="J342" s="192"/>
      <c r="K342" s="192"/>
      <c r="L342" s="192"/>
      <c r="M342" s="192"/>
      <c r="N342" s="192"/>
      <c r="O342" s="192"/>
      <c r="P342" s="192"/>
      <c r="Q342" s="192"/>
      <c r="R342" s="192"/>
      <c r="S342" s="192"/>
      <c r="T342" s="192"/>
      <c r="U342" s="192"/>
      <c r="V342" s="192"/>
      <c r="W342" s="192"/>
      <c r="X342" s="192"/>
      <c r="Y342" s="192"/>
      <c r="Z342" s="192"/>
      <c r="AA342" s="192"/>
      <c r="AB342" s="192"/>
      <c r="AC342" s="192"/>
      <c r="AD342" s="192"/>
      <c r="AE342" s="192"/>
    </row>
    <row r="343" hidden="1">
      <c r="A343" s="192"/>
      <c r="B343" s="192"/>
      <c r="C343" s="192"/>
      <c r="D343" s="192"/>
      <c r="E343" s="192"/>
      <c r="F343" s="192"/>
      <c r="G343" s="192"/>
      <c r="H343" s="192"/>
      <c r="I343" s="192"/>
      <c r="J343" s="192"/>
      <c r="K343" s="192"/>
      <c r="L343" s="192"/>
      <c r="M343" s="192"/>
      <c r="N343" s="192"/>
      <c r="O343" s="192"/>
      <c r="P343" s="192"/>
      <c r="Q343" s="192"/>
      <c r="R343" s="192"/>
      <c r="S343" s="192"/>
      <c r="T343" s="192"/>
      <c r="U343" s="192"/>
      <c r="V343" s="192"/>
      <c r="W343" s="192"/>
      <c r="X343" s="192"/>
      <c r="Y343" s="192"/>
      <c r="Z343" s="192"/>
      <c r="AA343" s="192"/>
      <c r="AB343" s="192"/>
      <c r="AC343" s="192"/>
      <c r="AD343" s="192"/>
      <c r="AE343" s="192"/>
    </row>
    <row r="344" hidden="1">
      <c r="A344" s="192"/>
      <c r="B344" s="192"/>
      <c r="C344" s="192"/>
      <c r="D344" s="192"/>
      <c r="E344" s="192"/>
      <c r="F344" s="192"/>
      <c r="G344" s="192"/>
      <c r="H344" s="192"/>
      <c r="I344" s="192"/>
      <c r="J344" s="192"/>
      <c r="K344" s="192"/>
      <c r="L344" s="192"/>
      <c r="M344" s="192"/>
      <c r="O344" s="192"/>
      <c r="P344" s="192"/>
      <c r="Q344" s="192"/>
      <c r="S344" s="192"/>
      <c r="T344" s="192"/>
      <c r="U344" s="192"/>
      <c r="V344" s="192"/>
      <c r="W344" s="192"/>
      <c r="X344" s="192"/>
      <c r="Y344" s="192"/>
      <c r="Z344" s="192"/>
      <c r="AB344" s="192"/>
      <c r="AC344" s="192"/>
      <c r="AD344" s="192"/>
      <c r="AE344" s="192"/>
    </row>
    <row r="345" hidden="1">
      <c r="A345" s="192"/>
      <c r="B345" s="192"/>
      <c r="C345" s="192"/>
      <c r="D345" s="192"/>
      <c r="E345" s="192"/>
      <c r="F345" s="192"/>
      <c r="G345" s="192"/>
      <c r="H345" s="192"/>
      <c r="I345" s="192"/>
      <c r="J345" s="192"/>
      <c r="K345" s="192"/>
      <c r="L345" s="192"/>
      <c r="M345" s="192"/>
      <c r="N345" s="192"/>
      <c r="O345" s="192"/>
      <c r="P345" s="192"/>
      <c r="Q345" s="192"/>
      <c r="S345" s="192"/>
      <c r="T345" s="192"/>
      <c r="U345" s="192"/>
      <c r="V345" s="192"/>
      <c r="W345" s="192"/>
      <c r="X345" s="192"/>
      <c r="Y345" s="192"/>
      <c r="Z345" s="192"/>
      <c r="AB345" s="192"/>
      <c r="AC345" s="192"/>
      <c r="AD345" s="192"/>
      <c r="AE345" s="192"/>
    </row>
    <row r="346" hidden="1">
      <c r="A346" s="192"/>
      <c r="B346" s="192"/>
      <c r="C346" s="192"/>
      <c r="D346" s="192"/>
      <c r="E346" s="192"/>
      <c r="F346" s="192"/>
      <c r="G346" s="192"/>
      <c r="H346" s="192"/>
      <c r="I346" s="192"/>
      <c r="J346" s="192"/>
      <c r="K346" s="192"/>
      <c r="L346" s="192"/>
      <c r="M346" s="192"/>
      <c r="N346" s="192"/>
      <c r="O346" s="192"/>
      <c r="P346" s="192"/>
      <c r="Q346" s="192"/>
      <c r="S346" s="192"/>
      <c r="T346" s="192"/>
      <c r="U346" s="192"/>
      <c r="V346" s="192"/>
      <c r="W346" s="192"/>
      <c r="X346" s="192"/>
      <c r="Y346" s="192"/>
      <c r="Z346" s="192"/>
      <c r="AB346" s="192"/>
      <c r="AC346" s="192"/>
      <c r="AD346" s="192"/>
      <c r="AE346" s="192"/>
    </row>
    <row r="347" hidden="1">
      <c r="A347" s="192"/>
      <c r="B347" s="192"/>
      <c r="C347" s="192"/>
      <c r="D347" s="192"/>
      <c r="E347" s="192"/>
      <c r="F347" s="192"/>
      <c r="G347" s="192"/>
      <c r="H347" s="192"/>
      <c r="I347" s="192"/>
      <c r="J347" s="192"/>
      <c r="K347" s="192"/>
      <c r="L347" s="192"/>
      <c r="M347" s="192"/>
      <c r="N347" s="192"/>
      <c r="O347" s="192"/>
      <c r="P347" s="192"/>
      <c r="Q347" s="192"/>
      <c r="T347" s="192"/>
      <c r="U347" s="192"/>
      <c r="V347" s="192"/>
      <c r="W347" s="192"/>
      <c r="X347" s="192"/>
      <c r="Y347" s="192"/>
      <c r="Z347" s="192"/>
      <c r="AB347" s="192"/>
      <c r="AC347" s="192"/>
      <c r="AD347" s="192"/>
      <c r="AE347" s="192"/>
    </row>
    <row r="348" hidden="1">
      <c r="A348" s="192"/>
      <c r="B348" s="192"/>
      <c r="C348" s="192"/>
      <c r="D348" s="192"/>
      <c r="E348" s="192"/>
      <c r="F348" s="192"/>
      <c r="G348" s="192"/>
      <c r="H348" s="192"/>
      <c r="I348" s="192"/>
      <c r="J348" s="192"/>
      <c r="K348" s="192"/>
      <c r="L348" s="192"/>
      <c r="M348" s="192"/>
      <c r="O348" s="192"/>
      <c r="P348" s="192"/>
      <c r="Q348" s="192"/>
      <c r="S348" s="192"/>
      <c r="T348" s="192"/>
      <c r="U348" s="192"/>
      <c r="V348" s="192"/>
      <c r="W348" s="192"/>
      <c r="X348" s="192"/>
      <c r="Y348" s="192"/>
      <c r="Z348" s="192"/>
      <c r="AB348" s="192"/>
      <c r="AC348" s="192"/>
      <c r="AD348" s="192"/>
      <c r="AE348" s="192"/>
    </row>
    <row r="349" hidden="1">
      <c r="A349" s="192"/>
      <c r="B349" s="192"/>
      <c r="C349" s="192"/>
      <c r="D349" s="192"/>
      <c r="E349" s="192"/>
      <c r="F349" s="192"/>
      <c r="G349" s="192"/>
      <c r="H349" s="192"/>
      <c r="I349" s="192"/>
      <c r="J349" s="192"/>
      <c r="K349" s="192"/>
      <c r="L349" s="192"/>
      <c r="M349" s="192"/>
      <c r="O349" s="192"/>
      <c r="P349" s="192"/>
      <c r="Q349" s="192"/>
      <c r="S349" s="192"/>
      <c r="T349" s="192"/>
      <c r="U349" s="192"/>
      <c r="V349" s="192"/>
      <c r="W349" s="192"/>
      <c r="X349" s="192"/>
      <c r="Y349" s="192"/>
      <c r="Z349" s="192"/>
      <c r="AB349" s="192"/>
      <c r="AC349" s="192"/>
      <c r="AD349" s="192"/>
      <c r="AE349" s="192"/>
    </row>
    <row r="350" hidden="1">
      <c r="A350" s="192"/>
      <c r="B350" s="192"/>
      <c r="C350" s="192"/>
      <c r="D350" s="192"/>
      <c r="E350" s="192"/>
      <c r="F350" s="192"/>
      <c r="G350" s="192"/>
      <c r="H350" s="192"/>
      <c r="I350" s="192"/>
      <c r="J350" s="192"/>
      <c r="K350" s="192"/>
      <c r="L350" s="192"/>
      <c r="M350" s="192"/>
      <c r="O350" s="192"/>
      <c r="P350" s="192"/>
      <c r="Q350" s="192"/>
      <c r="S350" s="192"/>
      <c r="T350" s="192"/>
      <c r="U350" s="192"/>
      <c r="V350" s="192"/>
      <c r="W350" s="192"/>
      <c r="X350" s="192"/>
      <c r="Y350" s="192"/>
      <c r="Z350" s="192"/>
      <c r="AB350" s="192"/>
      <c r="AC350" s="192"/>
      <c r="AD350" s="192"/>
      <c r="AE350" s="192"/>
    </row>
    <row r="351" hidden="1">
      <c r="A351" s="192"/>
      <c r="B351" s="192"/>
      <c r="C351" s="192"/>
      <c r="D351" s="192"/>
      <c r="E351" s="192"/>
      <c r="F351" s="192"/>
      <c r="G351" s="192"/>
      <c r="H351" s="192"/>
      <c r="I351" s="192"/>
      <c r="J351" s="192"/>
      <c r="K351" s="192"/>
      <c r="L351" s="192"/>
      <c r="M351" s="192"/>
      <c r="N351" s="192"/>
      <c r="O351" s="192"/>
      <c r="P351" s="192"/>
      <c r="Q351" s="192"/>
      <c r="R351" s="192"/>
      <c r="S351" s="192"/>
      <c r="T351" s="192"/>
      <c r="U351" s="192"/>
      <c r="V351" s="192"/>
      <c r="W351" s="192"/>
      <c r="X351" s="192"/>
      <c r="Y351" s="192"/>
      <c r="Z351" s="192"/>
      <c r="AA351" s="192"/>
      <c r="AB351" s="192"/>
      <c r="AC351" s="192"/>
      <c r="AD351" s="192"/>
      <c r="AE351" s="192"/>
    </row>
    <row r="352" hidden="1">
      <c r="A352" s="192"/>
      <c r="B352" s="192"/>
      <c r="C352" s="192"/>
      <c r="D352" s="192"/>
      <c r="E352" s="192"/>
      <c r="F352" s="192"/>
      <c r="G352" s="192"/>
      <c r="H352" s="192"/>
      <c r="I352" s="192"/>
      <c r="J352" s="192"/>
      <c r="K352" s="192"/>
      <c r="L352" s="192"/>
      <c r="M352" s="192"/>
      <c r="O352" s="192"/>
      <c r="P352" s="192"/>
      <c r="Q352" s="192"/>
      <c r="S352" s="192"/>
      <c r="T352" s="192"/>
      <c r="U352" s="192"/>
      <c r="V352" s="192"/>
      <c r="W352" s="192"/>
      <c r="X352" s="192"/>
      <c r="Y352" s="192"/>
      <c r="Z352" s="192"/>
      <c r="AB352" s="192"/>
      <c r="AC352" s="192"/>
      <c r="AD352" s="192"/>
      <c r="AE352" s="192"/>
    </row>
    <row r="353" hidden="1">
      <c r="A353" s="192"/>
      <c r="B353" s="192"/>
      <c r="C353" s="192"/>
      <c r="D353" s="192"/>
      <c r="E353" s="192"/>
      <c r="F353" s="192"/>
      <c r="G353" s="192"/>
      <c r="H353" s="192"/>
      <c r="I353" s="192"/>
      <c r="J353" s="192"/>
      <c r="K353" s="192"/>
      <c r="L353" s="192"/>
      <c r="M353" s="192"/>
      <c r="N353" s="192"/>
      <c r="O353" s="192"/>
      <c r="P353" s="192"/>
      <c r="Q353" s="192"/>
      <c r="T353" s="192"/>
      <c r="U353" s="192"/>
      <c r="V353" s="192"/>
      <c r="W353" s="192"/>
      <c r="X353" s="192"/>
      <c r="Y353" s="192"/>
      <c r="Z353" s="192"/>
      <c r="AB353" s="192"/>
      <c r="AC353" s="192"/>
      <c r="AD353" s="192"/>
      <c r="AE353" s="192"/>
    </row>
    <row r="354" hidden="1">
      <c r="A354" s="192"/>
      <c r="B354" s="192"/>
      <c r="C354" s="192"/>
      <c r="D354" s="192"/>
      <c r="E354" s="192"/>
      <c r="F354" s="192"/>
      <c r="G354" s="192"/>
      <c r="H354" s="192"/>
      <c r="I354" s="192"/>
      <c r="J354" s="192"/>
      <c r="K354" s="192"/>
      <c r="L354" s="192"/>
      <c r="M354" s="192"/>
      <c r="N354" s="192"/>
      <c r="O354" s="192"/>
      <c r="P354" s="192"/>
      <c r="Q354" s="192"/>
      <c r="T354" s="192"/>
      <c r="U354" s="192"/>
      <c r="V354" s="192"/>
      <c r="W354" s="192"/>
      <c r="X354" s="192"/>
      <c r="Y354" s="192"/>
      <c r="Z354" s="192"/>
      <c r="AB354" s="192"/>
      <c r="AC354" s="192"/>
      <c r="AD354" s="192"/>
      <c r="AE354" s="192"/>
    </row>
    <row r="355" hidden="1">
      <c r="A355" s="192"/>
      <c r="B355" s="192"/>
      <c r="C355" s="192"/>
      <c r="D355" s="192"/>
      <c r="E355" s="192"/>
      <c r="F355" s="192"/>
      <c r="G355" s="192"/>
      <c r="H355" s="192"/>
      <c r="I355" s="192"/>
      <c r="J355" s="192"/>
      <c r="K355" s="192"/>
      <c r="L355" s="192"/>
      <c r="M355" s="192"/>
      <c r="O355" s="192"/>
      <c r="P355" s="192"/>
      <c r="Q355" s="192"/>
      <c r="S355" s="192"/>
      <c r="T355" s="192"/>
      <c r="U355" s="192"/>
      <c r="V355" s="192"/>
      <c r="W355" s="192"/>
      <c r="X355" s="192"/>
      <c r="Y355" s="192"/>
      <c r="Z355" s="192"/>
      <c r="AB355" s="192"/>
      <c r="AC355" s="192"/>
      <c r="AD355" s="192"/>
      <c r="AE355" s="192"/>
    </row>
    <row r="356" hidden="1">
      <c r="A356" s="192"/>
      <c r="B356" s="192"/>
      <c r="C356" s="192"/>
      <c r="D356" s="192"/>
      <c r="E356" s="192"/>
      <c r="F356" s="192"/>
      <c r="G356" s="192"/>
      <c r="H356" s="192"/>
      <c r="I356" s="192"/>
      <c r="J356" s="192"/>
      <c r="K356" s="192"/>
      <c r="L356" s="192"/>
      <c r="M356" s="192"/>
      <c r="O356" s="192"/>
      <c r="P356" s="192"/>
      <c r="Q356" s="192"/>
      <c r="S356" s="192"/>
      <c r="T356" s="192"/>
      <c r="U356" s="192"/>
      <c r="V356" s="192"/>
      <c r="W356" s="192"/>
      <c r="X356" s="192"/>
      <c r="Y356" s="192"/>
      <c r="Z356" s="192"/>
      <c r="AB356" s="192"/>
      <c r="AC356" s="192"/>
      <c r="AD356" s="192"/>
      <c r="AE356" s="192"/>
    </row>
    <row r="357" hidden="1">
      <c r="A357" s="192"/>
      <c r="B357" s="192"/>
      <c r="C357" s="192"/>
      <c r="D357" s="192"/>
      <c r="E357" s="192"/>
      <c r="F357" s="192"/>
      <c r="G357" s="192"/>
      <c r="H357" s="192"/>
      <c r="I357" s="192"/>
      <c r="J357" s="192"/>
      <c r="K357" s="192"/>
      <c r="L357" s="192"/>
      <c r="M357" s="192"/>
      <c r="N357" s="192"/>
      <c r="O357" s="192"/>
      <c r="P357" s="192"/>
      <c r="Q357" s="192"/>
      <c r="R357" s="192"/>
      <c r="S357" s="192"/>
      <c r="T357" s="192"/>
      <c r="U357" s="192"/>
      <c r="V357" s="192"/>
      <c r="W357" s="192"/>
      <c r="X357" s="192"/>
      <c r="Y357" s="192"/>
      <c r="Z357" s="192"/>
      <c r="AA357" s="192"/>
      <c r="AB357" s="192"/>
      <c r="AC357" s="192"/>
      <c r="AD357" s="192"/>
      <c r="AE357" s="192"/>
    </row>
    <row r="358" hidden="1">
      <c r="A358" s="192"/>
      <c r="B358" s="192"/>
      <c r="C358" s="192"/>
      <c r="D358" s="192"/>
      <c r="E358" s="192"/>
      <c r="F358" s="192"/>
      <c r="G358" s="192"/>
      <c r="H358" s="192"/>
      <c r="I358" s="192"/>
      <c r="J358" s="192"/>
      <c r="K358" s="192"/>
      <c r="L358" s="192"/>
      <c r="M358" s="192"/>
      <c r="N358" s="192"/>
      <c r="O358" s="192"/>
      <c r="P358" s="192"/>
      <c r="Q358" s="192"/>
      <c r="S358" s="192"/>
      <c r="T358" s="192"/>
      <c r="U358" s="192"/>
      <c r="V358" s="192"/>
      <c r="W358" s="192"/>
      <c r="X358" s="192"/>
      <c r="Y358" s="192"/>
      <c r="Z358" s="192"/>
      <c r="AB358" s="192"/>
      <c r="AC358" s="192"/>
      <c r="AD358" s="192"/>
      <c r="AE358" s="192"/>
    </row>
    <row r="359" hidden="1">
      <c r="A359" s="192"/>
      <c r="B359" s="192"/>
      <c r="C359" s="192"/>
      <c r="D359" s="192"/>
      <c r="E359" s="192"/>
      <c r="F359" s="192"/>
      <c r="G359" s="192"/>
      <c r="H359" s="192"/>
      <c r="I359" s="192"/>
      <c r="J359" s="192"/>
      <c r="K359" s="192"/>
      <c r="L359" s="192"/>
      <c r="M359" s="192"/>
      <c r="N359" s="192"/>
      <c r="O359" s="192"/>
      <c r="P359" s="192"/>
      <c r="Q359" s="192"/>
      <c r="S359" s="192"/>
      <c r="T359" s="192"/>
      <c r="U359" s="192"/>
      <c r="V359" s="192"/>
      <c r="W359" s="192"/>
      <c r="X359" s="192"/>
      <c r="Y359" s="192"/>
      <c r="Z359" s="192"/>
      <c r="AB359" s="192"/>
      <c r="AC359" s="192"/>
      <c r="AD359" s="192"/>
      <c r="AE359" s="192"/>
    </row>
    <row r="360" hidden="1">
      <c r="A360" s="192"/>
      <c r="B360" s="192"/>
      <c r="C360" s="192"/>
      <c r="D360" s="192"/>
      <c r="E360" s="192"/>
      <c r="F360" s="192"/>
      <c r="G360" s="192"/>
      <c r="H360" s="192"/>
      <c r="I360" s="192"/>
      <c r="J360" s="192"/>
      <c r="K360" s="192"/>
      <c r="L360" s="192"/>
      <c r="M360" s="192"/>
      <c r="O360" s="192"/>
      <c r="P360" s="192"/>
      <c r="Q360" s="192"/>
      <c r="S360" s="192"/>
      <c r="T360" s="192"/>
      <c r="U360" s="192"/>
      <c r="V360" s="192"/>
      <c r="W360" s="192"/>
      <c r="X360" s="192"/>
      <c r="Y360" s="192"/>
      <c r="Z360" s="192"/>
      <c r="AB360" s="192"/>
      <c r="AC360" s="192"/>
      <c r="AD360" s="192"/>
      <c r="AE360" s="192"/>
    </row>
    <row r="361" hidden="1">
      <c r="A361" s="192"/>
      <c r="B361" s="192"/>
      <c r="C361" s="192"/>
      <c r="D361" s="192"/>
      <c r="E361" s="192"/>
      <c r="F361" s="192"/>
      <c r="G361" s="192"/>
      <c r="H361" s="192"/>
      <c r="I361" s="192"/>
      <c r="J361" s="192"/>
      <c r="K361" s="192"/>
      <c r="L361" s="192"/>
      <c r="M361" s="192"/>
      <c r="N361" s="192"/>
      <c r="O361" s="192"/>
      <c r="P361" s="192"/>
      <c r="Q361" s="192"/>
      <c r="T361" s="192"/>
      <c r="U361" s="192"/>
      <c r="V361" s="192"/>
      <c r="W361" s="192"/>
      <c r="X361" s="192"/>
      <c r="Y361" s="192"/>
      <c r="Z361" s="192"/>
      <c r="AB361" s="192"/>
      <c r="AC361" s="192"/>
      <c r="AD361" s="192"/>
      <c r="AE361" s="192"/>
    </row>
    <row r="362" hidden="1">
      <c r="A362" s="192"/>
      <c r="B362" s="192"/>
      <c r="C362" s="192"/>
      <c r="D362" s="192"/>
      <c r="E362" s="192"/>
      <c r="F362" s="192"/>
      <c r="G362" s="192"/>
      <c r="H362" s="192"/>
      <c r="I362" s="192"/>
      <c r="J362" s="192"/>
      <c r="K362" s="192"/>
      <c r="L362" s="192"/>
      <c r="M362" s="192"/>
      <c r="O362" s="192"/>
      <c r="P362" s="192"/>
      <c r="Q362" s="192"/>
      <c r="S362" s="192"/>
      <c r="T362" s="192"/>
      <c r="U362" s="192"/>
      <c r="V362" s="192"/>
      <c r="W362" s="192"/>
      <c r="X362" s="192"/>
      <c r="Y362" s="192"/>
      <c r="Z362" s="192"/>
      <c r="AB362" s="192"/>
      <c r="AC362" s="192"/>
      <c r="AD362" s="192"/>
      <c r="AE362" s="192"/>
    </row>
    <row r="363" hidden="1">
      <c r="A363" s="192"/>
      <c r="B363" s="192"/>
      <c r="C363" s="192"/>
      <c r="D363" s="192"/>
      <c r="E363" s="192"/>
      <c r="F363" s="192"/>
      <c r="G363" s="192"/>
      <c r="H363" s="192"/>
      <c r="I363" s="192"/>
      <c r="J363" s="192"/>
      <c r="K363" s="192"/>
      <c r="L363" s="192"/>
      <c r="M363" s="192"/>
      <c r="O363" s="192"/>
      <c r="P363" s="192"/>
      <c r="Q363" s="192"/>
      <c r="S363" s="192"/>
      <c r="T363" s="192"/>
      <c r="U363" s="192"/>
      <c r="V363" s="192"/>
      <c r="W363" s="192"/>
      <c r="X363" s="192"/>
      <c r="Y363" s="192"/>
      <c r="Z363" s="192"/>
      <c r="AB363" s="192"/>
      <c r="AC363" s="192"/>
      <c r="AD363" s="192"/>
      <c r="AE363" s="192"/>
    </row>
    <row r="364" hidden="1">
      <c r="A364" s="192"/>
      <c r="B364" s="192"/>
      <c r="C364" s="192"/>
      <c r="D364" s="192"/>
      <c r="E364" s="192"/>
      <c r="F364" s="192"/>
      <c r="G364" s="192"/>
      <c r="H364" s="192"/>
      <c r="I364" s="192"/>
      <c r="J364" s="192"/>
      <c r="K364" s="192"/>
      <c r="L364" s="192"/>
      <c r="M364" s="192"/>
      <c r="O364" s="192"/>
      <c r="P364" s="192"/>
      <c r="Q364" s="192"/>
      <c r="S364" s="192"/>
      <c r="T364" s="192"/>
      <c r="U364" s="192"/>
      <c r="V364" s="192"/>
      <c r="W364" s="192"/>
      <c r="X364" s="192"/>
      <c r="Y364" s="192"/>
      <c r="Z364" s="192"/>
      <c r="AB364" s="192"/>
      <c r="AC364" s="192"/>
      <c r="AD364" s="192"/>
      <c r="AE364" s="192"/>
    </row>
    <row r="365" hidden="1">
      <c r="A365" s="192"/>
      <c r="B365" s="192"/>
      <c r="C365" s="192"/>
      <c r="D365" s="192"/>
      <c r="E365" s="192"/>
      <c r="F365" s="192"/>
      <c r="G365" s="192"/>
      <c r="H365" s="192"/>
      <c r="I365" s="192"/>
      <c r="J365" s="192"/>
      <c r="K365" s="192"/>
      <c r="L365" s="192"/>
      <c r="M365" s="192"/>
      <c r="N365" s="192"/>
      <c r="O365" s="192"/>
      <c r="P365" s="192"/>
      <c r="Q365" s="192"/>
      <c r="R365" s="192"/>
      <c r="S365" s="192"/>
      <c r="T365" s="192"/>
      <c r="U365" s="192"/>
      <c r="V365" s="192"/>
      <c r="W365" s="192"/>
      <c r="X365" s="192"/>
      <c r="Y365" s="192"/>
      <c r="Z365" s="192"/>
      <c r="AA365" s="192"/>
      <c r="AB365" s="192"/>
      <c r="AC365" s="192"/>
      <c r="AD365" s="192"/>
      <c r="AE365" s="192"/>
    </row>
    <row r="366" hidden="1">
      <c r="A366" s="192"/>
      <c r="B366" s="192"/>
      <c r="C366" s="192"/>
      <c r="D366" s="192"/>
      <c r="E366" s="192"/>
      <c r="F366" s="192"/>
      <c r="G366" s="192"/>
      <c r="H366" s="192"/>
      <c r="I366" s="192"/>
      <c r="J366" s="192"/>
      <c r="K366" s="192"/>
      <c r="L366" s="192"/>
      <c r="M366" s="192"/>
      <c r="O366" s="192"/>
      <c r="P366" s="192"/>
      <c r="Q366" s="192"/>
      <c r="S366" s="192"/>
      <c r="T366" s="192"/>
      <c r="U366" s="192"/>
      <c r="V366" s="192"/>
      <c r="W366" s="192"/>
      <c r="X366" s="192"/>
      <c r="Y366" s="192"/>
      <c r="Z366" s="192"/>
      <c r="AB366" s="192"/>
      <c r="AC366" s="192"/>
      <c r="AD366" s="192"/>
      <c r="AE366" s="192"/>
    </row>
    <row r="367" hidden="1">
      <c r="A367" s="192"/>
      <c r="B367" s="192"/>
      <c r="C367" s="192"/>
      <c r="D367" s="192"/>
      <c r="E367" s="192"/>
      <c r="F367" s="192"/>
      <c r="G367" s="192"/>
      <c r="H367" s="192"/>
      <c r="I367" s="192"/>
      <c r="J367" s="192"/>
      <c r="K367" s="192"/>
      <c r="L367" s="192"/>
      <c r="M367" s="192"/>
      <c r="O367" s="192"/>
      <c r="P367" s="192"/>
      <c r="Q367" s="192"/>
      <c r="S367" s="192"/>
      <c r="T367" s="192"/>
      <c r="U367" s="192"/>
      <c r="V367" s="192"/>
      <c r="W367" s="192"/>
      <c r="X367" s="192"/>
      <c r="Y367" s="192"/>
      <c r="Z367" s="192"/>
      <c r="AB367" s="192"/>
      <c r="AC367" s="192"/>
      <c r="AD367" s="192"/>
      <c r="AE367" s="192"/>
    </row>
    <row r="368" hidden="1">
      <c r="A368" s="192"/>
      <c r="B368" s="192"/>
      <c r="C368" s="192"/>
      <c r="D368" s="192"/>
      <c r="E368" s="192"/>
      <c r="F368" s="192"/>
      <c r="G368" s="192"/>
      <c r="H368" s="192"/>
      <c r="I368" s="192"/>
      <c r="J368" s="192"/>
      <c r="K368" s="192"/>
      <c r="L368" s="192"/>
      <c r="M368" s="192"/>
      <c r="N368" s="192"/>
      <c r="O368" s="192"/>
      <c r="P368" s="192"/>
      <c r="Q368" s="192"/>
      <c r="T368" s="192"/>
      <c r="U368" s="192"/>
      <c r="V368" s="192"/>
      <c r="W368" s="192"/>
      <c r="X368" s="192"/>
      <c r="Y368" s="192"/>
      <c r="Z368" s="192"/>
      <c r="AB368" s="192"/>
      <c r="AC368" s="192"/>
      <c r="AD368" s="192"/>
      <c r="AE368" s="192"/>
    </row>
    <row r="369" hidden="1">
      <c r="A369" s="192"/>
      <c r="B369" s="192"/>
      <c r="C369" s="192"/>
      <c r="D369" s="192"/>
      <c r="E369" s="192"/>
      <c r="F369" s="192"/>
      <c r="G369" s="192"/>
      <c r="H369" s="192"/>
      <c r="I369" s="192"/>
      <c r="J369" s="192"/>
      <c r="K369" s="192"/>
      <c r="L369" s="192"/>
      <c r="M369" s="192"/>
      <c r="N369" s="192"/>
      <c r="O369" s="192"/>
      <c r="P369" s="192"/>
      <c r="Q369" s="192"/>
      <c r="T369" s="192"/>
      <c r="U369" s="192"/>
      <c r="V369" s="192"/>
      <c r="W369" s="192"/>
      <c r="X369" s="192"/>
      <c r="Y369" s="192"/>
      <c r="Z369" s="192"/>
      <c r="AB369" s="192"/>
      <c r="AC369" s="192"/>
      <c r="AD369" s="192"/>
      <c r="AE369" s="192"/>
    </row>
    <row r="370" hidden="1">
      <c r="A370" s="192"/>
      <c r="B370" s="192"/>
      <c r="C370" s="192"/>
      <c r="D370" s="192"/>
      <c r="E370" s="192"/>
      <c r="F370" s="192"/>
      <c r="G370" s="192"/>
      <c r="H370" s="192"/>
      <c r="I370" s="192"/>
      <c r="J370" s="192"/>
      <c r="K370" s="192"/>
      <c r="L370" s="192"/>
      <c r="M370" s="192"/>
      <c r="O370" s="192"/>
      <c r="P370" s="192"/>
      <c r="Q370" s="192"/>
      <c r="S370" s="192"/>
      <c r="T370" s="192"/>
      <c r="U370" s="192"/>
      <c r="V370" s="192"/>
      <c r="W370" s="192"/>
      <c r="X370" s="192"/>
      <c r="Y370" s="192"/>
      <c r="Z370" s="192"/>
      <c r="AB370" s="192"/>
      <c r="AC370" s="192"/>
      <c r="AD370" s="192"/>
      <c r="AE370" s="192"/>
    </row>
    <row r="371" hidden="1">
      <c r="A371" s="192"/>
      <c r="B371" s="192"/>
      <c r="C371" s="192"/>
      <c r="D371" s="192"/>
      <c r="E371" s="192"/>
      <c r="F371" s="192"/>
      <c r="G371" s="192"/>
      <c r="H371" s="192"/>
      <c r="I371" s="192"/>
      <c r="J371" s="192"/>
      <c r="K371" s="192"/>
      <c r="L371" s="192"/>
      <c r="M371" s="192"/>
      <c r="N371" s="192"/>
      <c r="O371" s="192"/>
      <c r="P371" s="192"/>
      <c r="Q371" s="192"/>
      <c r="S371" s="192"/>
      <c r="T371" s="192"/>
      <c r="U371" s="192"/>
      <c r="V371" s="192"/>
      <c r="W371" s="192"/>
      <c r="X371" s="192"/>
      <c r="Y371" s="192"/>
      <c r="Z371" s="192"/>
      <c r="AB371" s="192"/>
      <c r="AC371" s="192"/>
      <c r="AD371" s="192"/>
      <c r="AE371" s="192"/>
    </row>
    <row r="372" hidden="1">
      <c r="A372" s="192"/>
      <c r="B372" s="192"/>
      <c r="C372" s="192"/>
      <c r="D372" s="192"/>
      <c r="E372" s="192"/>
      <c r="F372" s="192"/>
      <c r="G372" s="192"/>
      <c r="H372" s="192"/>
      <c r="I372" s="192"/>
      <c r="J372" s="192"/>
      <c r="K372" s="192"/>
      <c r="L372" s="192"/>
      <c r="M372" s="192"/>
      <c r="N372" s="192"/>
      <c r="O372" s="192"/>
      <c r="P372" s="192"/>
      <c r="Q372" s="192"/>
      <c r="T372" s="192"/>
      <c r="U372" s="192"/>
      <c r="V372" s="192"/>
      <c r="W372" s="192"/>
      <c r="X372" s="192"/>
      <c r="Y372" s="192"/>
      <c r="Z372" s="192"/>
      <c r="AB372" s="192"/>
      <c r="AC372" s="192"/>
      <c r="AD372" s="192"/>
      <c r="AE372" s="192"/>
    </row>
    <row r="373" hidden="1">
      <c r="A373" s="192"/>
      <c r="B373" s="192"/>
      <c r="C373" s="192"/>
      <c r="D373" s="192"/>
      <c r="E373" s="192"/>
      <c r="F373" s="192"/>
      <c r="G373" s="192"/>
      <c r="H373" s="192"/>
      <c r="I373" s="192"/>
      <c r="J373" s="192"/>
      <c r="K373" s="192"/>
      <c r="L373" s="192"/>
      <c r="M373" s="192"/>
      <c r="N373" s="192"/>
      <c r="O373" s="192"/>
      <c r="P373" s="192"/>
      <c r="Q373" s="192"/>
      <c r="S373" s="192"/>
      <c r="T373" s="192"/>
      <c r="U373" s="192"/>
      <c r="V373" s="192"/>
      <c r="W373" s="192"/>
      <c r="X373" s="192"/>
      <c r="Y373" s="192"/>
      <c r="Z373" s="192"/>
      <c r="AB373" s="192"/>
      <c r="AC373" s="192"/>
      <c r="AD373" s="192"/>
      <c r="AE373" s="192"/>
    </row>
    <row r="374" hidden="1">
      <c r="A374" s="192"/>
      <c r="B374" s="192"/>
      <c r="C374" s="192"/>
      <c r="D374" s="192"/>
      <c r="E374" s="192"/>
      <c r="F374" s="192"/>
      <c r="G374" s="192"/>
      <c r="H374" s="192"/>
      <c r="I374" s="192"/>
      <c r="J374" s="192"/>
      <c r="K374" s="192"/>
      <c r="L374" s="192"/>
      <c r="M374" s="192"/>
      <c r="O374" s="192"/>
      <c r="P374" s="192"/>
      <c r="Q374" s="192"/>
      <c r="S374" s="192"/>
      <c r="T374" s="192"/>
      <c r="U374" s="192"/>
      <c r="V374" s="192"/>
      <c r="W374" s="192"/>
      <c r="X374" s="192"/>
      <c r="Y374" s="192"/>
      <c r="Z374" s="192"/>
      <c r="AB374" s="192"/>
      <c r="AC374" s="192"/>
      <c r="AD374" s="192"/>
      <c r="AE374" s="192"/>
    </row>
    <row r="375" hidden="1">
      <c r="A375" s="192"/>
      <c r="B375" s="192"/>
      <c r="C375" s="192"/>
      <c r="D375" s="192"/>
      <c r="E375" s="192"/>
      <c r="F375" s="192"/>
      <c r="G375" s="192"/>
      <c r="H375" s="192"/>
      <c r="I375" s="192"/>
      <c r="J375" s="192"/>
      <c r="K375" s="192"/>
      <c r="L375" s="192"/>
      <c r="M375" s="192"/>
      <c r="O375" s="192"/>
      <c r="P375" s="192"/>
      <c r="Q375" s="192"/>
      <c r="S375" s="192"/>
      <c r="T375" s="192"/>
      <c r="U375" s="192"/>
      <c r="V375" s="192"/>
      <c r="W375" s="192"/>
      <c r="X375" s="192"/>
      <c r="Y375" s="192"/>
      <c r="Z375" s="192"/>
      <c r="AB375" s="192"/>
      <c r="AC375" s="192"/>
      <c r="AD375" s="192"/>
      <c r="AE375" s="192"/>
    </row>
    <row r="376" hidden="1">
      <c r="A376" s="192"/>
      <c r="B376" s="192"/>
      <c r="C376" s="192"/>
      <c r="D376" s="192"/>
      <c r="E376" s="192"/>
      <c r="F376" s="192"/>
      <c r="G376" s="192"/>
      <c r="H376" s="192"/>
      <c r="I376" s="192"/>
      <c r="J376" s="192"/>
      <c r="K376" s="192"/>
      <c r="L376" s="192"/>
      <c r="M376" s="192"/>
      <c r="N376" s="192"/>
      <c r="O376" s="192"/>
      <c r="P376" s="192"/>
      <c r="Q376" s="192"/>
      <c r="R376" s="192"/>
      <c r="S376" s="192"/>
      <c r="T376" s="192"/>
      <c r="U376" s="192"/>
      <c r="V376" s="192"/>
      <c r="W376" s="192"/>
      <c r="X376" s="192"/>
      <c r="Y376" s="192"/>
      <c r="Z376" s="192"/>
      <c r="AA376" s="192"/>
      <c r="AB376" s="192"/>
      <c r="AC376" s="192"/>
      <c r="AD376" s="192"/>
      <c r="AE376" s="192"/>
    </row>
    <row r="377" hidden="1">
      <c r="A377" s="192"/>
      <c r="B377" s="192"/>
      <c r="C377" s="192"/>
      <c r="D377" s="192"/>
      <c r="E377" s="192"/>
      <c r="F377" s="192"/>
      <c r="G377" s="192"/>
      <c r="H377" s="192"/>
      <c r="I377" s="192"/>
      <c r="J377" s="192"/>
      <c r="K377" s="192"/>
      <c r="L377" s="192"/>
      <c r="M377" s="192"/>
      <c r="O377" s="192"/>
      <c r="P377" s="192"/>
      <c r="Q377" s="192"/>
      <c r="S377" s="192"/>
      <c r="T377" s="192"/>
      <c r="U377" s="192"/>
      <c r="V377" s="192"/>
      <c r="W377" s="192"/>
      <c r="X377" s="192"/>
      <c r="Y377" s="192"/>
      <c r="Z377" s="192"/>
      <c r="AB377" s="192"/>
      <c r="AC377" s="192"/>
      <c r="AD377" s="192"/>
      <c r="AE377" s="192"/>
    </row>
    <row r="378" hidden="1">
      <c r="A378" s="192"/>
      <c r="B378" s="192"/>
      <c r="C378" s="192"/>
      <c r="D378" s="192"/>
      <c r="E378" s="192"/>
      <c r="F378" s="192"/>
      <c r="G378" s="192"/>
      <c r="H378" s="192"/>
      <c r="I378" s="192"/>
      <c r="J378" s="192"/>
      <c r="K378" s="192"/>
      <c r="L378" s="192"/>
      <c r="M378" s="192"/>
      <c r="O378" s="192"/>
      <c r="P378" s="192"/>
      <c r="Q378" s="192"/>
      <c r="S378" s="192"/>
      <c r="T378" s="192"/>
      <c r="U378" s="192"/>
      <c r="V378" s="192"/>
      <c r="W378" s="192"/>
      <c r="X378" s="192"/>
      <c r="Y378" s="192"/>
      <c r="Z378" s="192"/>
      <c r="AB378" s="192"/>
      <c r="AC378" s="192"/>
      <c r="AD378" s="192"/>
      <c r="AE378" s="192"/>
    </row>
    <row r="379" hidden="1">
      <c r="A379" s="192"/>
      <c r="B379" s="192"/>
      <c r="C379" s="192"/>
      <c r="D379" s="192"/>
      <c r="E379" s="192"/>
      <c r="F379" s="192"/>
      <c r="G379" s="192"/>
      <c r="H379" s="192"/>
      <c r="I379" s="192"/>
      <c r="J379" s="192"/>
      <c r="K379" s="192"/>
      <c r="L379" s="192"/>
      <c r="M379" s="192"/>
      <c r="N379" s="192"/>
      <c r="O379" s="192"/>
      <c r="P379" s="192"/>
      <c r="Q379" s="192"/>
      <c r="R379" s="192"/>
      <c r="S379" s="192"/>
      <c r="T379" s="192"/>
      <c r="U379" s="192"/>
      <c r="V379" s="192"/>
      <c r="W379" s="192"/>
      <c r="X379" s="192"/>
      <c r="Y379" s="192"/>
      <c r="Z379" s="192"/>
      <c r="AA379" s="192"/>
      <c r="AB379" s="192"/>
      <c r="AC379" s="192"/>
      <c r="AD379" s="192"/>
      <c r="AE379" s="192"/>
    </row>
    <row r="380" hidden="1">
      <c r="A380" s="192"/>
      <c r="B380" s="192"/>
      <c r="C380" s="192"/>
      <c r="D380" s="192"/>
      <c r="E380" s="192"/>
      <c r="F380" s="192"/>
      <c r="G380" s="192"/>
      <c r="H380" s="192"/>
      <c r="I380" s="192"/>
      <c r="J380" s="192"/>
      <c r="K380" s="192"/>
      <c r="L380" s="192"/>
      <c r="M380" s="192"/>
      <c r="N380" s="192"/>
      <c r="O380" s="192"/>
      <c r="P380" s="192"/>
      <c r="Q380" s="192"/>
      <c r="R380" s="192"/>
      <c r="S380" s="192"/>
      <c r="T380" s="192"/>
      <c r="U380" s="192"/>
      <c r="V380" s="192"/>
      <c r="W380" s="192"/>
      <c r="X380" s="192"/>
      <c r="Y380" s="192"/>
      <c r="Z380" s="192"/>
      <c r="AA380" s="192"/>
      <c r="AB380" s="192"/>
      <c r="AC380" s="192"/>
      <c r="AD380" s="192"/>
      <c r="AE380" s="192"/>
    </row>
    <row r="381" hidden="1">
      <c r="A381" s="192"/>
      <c r="B381" s="192"/>
      <c r="C381" s="192"/>
      <c r="D381" s="192"/>
      <c r="E381" s="192"/>
      <c r="F381" s="192"/>
      <c r="G381" s="192"/>
      <c r="H381" s="192"/>
      <c r="I381" s="192"/>
      <c r="J381" s="192"/>
      <c r="K381" s="192"/>
      <c r="L381" s="192"/>
      <c r="M381" s="192"/>
      <c r="O381" s="192"/>
      <c r="P381" s="192"/>
      <c r="Q381" s="192"/>
      <c r="S381" s="192"/>
      <c r="T381" s="192"/>
      <c r="U381" s="192"/>
      <c r="V381" s="192"/>
      <c r="W381" s="192"/>
      <c r="X381" s="192"/>
      <c r="Y381" s="192"/>
      <c r="Z381" s="192"/>
      <c r="AB381" s="192"/>
      <c r="AC381" s="192"/>
      <c r="AD381" s="192"/>
      <c r="AE381" s="192"/>
    </row>
    <row r="382" hidden="1">
      <c r="A382" s="192"/>
      <c r="B382" s="192"/>
      <c r="C382" s="192"/>
      <c r="D382" s="192"/>
      <c r="E382" s="192"/>
      <c r="F382" s="192"/>
      <c r="G382" s="192"/>
      <c r="H382" s="192"/>
      <c r="I382" s="192"/>
      <c r="J382" s="192"/>
      <c r="K382" s="192"/>
      <c r="L382" s="192"/>
      <c r="M382" s="192"/>
      <c r="N382" s="192"/>
      <c r="O382" s="192"/>
      <c r="P382" s="192"/>
      <c r="Q382" s="192"/>
      <c r="R382" s="192"/>
      <c r="S382" s="192"/>
      <c r="T382" s="192"/>
      <c r="U382" s="192"/>
      <c r="V382" s="192"/>
      <c r="W382" s="192"/>
      <c r="X382" s="192"/>
      <c r="Y382" s="192"/>
      <c r="Z382" s="192"/>
      <c r="AA382" s="192"/>
      <c r="AB382" s="192"/>
      <c r="AC382" s="192"/>
      <c r="AD382" s="192"/>
      <c r="AE382" s="192"/>
    </row>
    <row r="383" hidden="1">
      <c r="A383" s="192"/>
      <c r="B383" s="192"/>
      <c r="C383" s="192"/>
      <c r="D383" s="192"/>
      <c r="E383" s="192"/>
      <c r="F383" s="192"/>
      <c r="G383" s="192"/>
      <c r="H383" s="192"/>
      <c r="I383" s="192"/>
      <c r="J383" s="192"/>
      <c r="K383" s="192"/>
      <c r="L383" s="192"/>
      <c r="M383" s="192"/>
      <c r="O383" s="192"/>
      <c r="P383" s="192"/>
      <c r="Q383" s="192"/>
      <c r="S383" s="192"/>
      <c r="T383" s="192"/>
      <c r="U383" s="192"/>
      <c r="V383" s="192"/>
      <c r="W383" s="192"/>
      <c r="X383" s="192"/>
      <c r="Y383" s="192"/>
      <c r="Z383" s="192"/>
      <c r="AB383" s="192"/>
      <c r="AC383" s="192"/>
      <c r="AD383" s="192"/>
      <c r="AE383" s="192"/>
    </row>
    <row r="384" hidden="1">
      <c r="A384" s="192"/>
      <c r="B384" s="192"/>
      <c r="C384" s="192"/>
      <c r="D384" s="192"/>
      <c r="E384" s="192"/>
      <c r="F384" s="192"/>
      <c r="G384" s="192"/>
      <c r="H384" s="192"/>
      <c r="I384" s="192"/>
      <c r="J384" s="192"/>
      <c r="K384" s="192"/>
      <c r="L384" s="192"/>
      <c r="M384" s="192"/>
      <c r="O384" s="192"/>
      <c r="P384" s="192"/>
      <c r="Q384" s="192"/>
      <c r="S384" s="192"/>
      <c r="T384" s="192"/>
      <c r="U384" s="192"/>
      <c r="V384" s="192"/>
      <c r="W384" s="192"/>
      <c r="X384" s="192"/>
      <c r="Y384" s="192"/>
      <c r="Z384" s="192"/>
      <c r="AB384" s="192"/>
      <c r="AC384" s="192"/>
      <c r="AD384" s="192"/>
      <c r="AE384" s="192"/>
    </row>
    <row r="385" hidden="1">
      <c r="A385" s="192"/>
      <c r="B385" s="192"/>
      <c r="C385" s="192"/>
      <c r="D385" s="192"/>
      <c r="E385" s="192"/>
      <c r="F385" s="192"/>
      <c r="G385" s="192"/>
      <c r="H385" s="192"/>
      <c r="I385" s="192"/>
      <c r="J385" s="192"/>
      <c r="K385" s="192"/>
      <c r="L385" s="192"/>
      <c r="M385" s="192"/>
      <c r="O385" s="192"/>
      <c r="P385" s="192"/>
      <c r="Q385" s="192"/>
      <c r="S385" s="192"/>
      <c r="T385" s="192"/>
      <c r="U385" s="192"/>
      <c r="V385" s="192"/>
      <c r="W385" s="192"/>
      <c r="X385" s="192"/>
      <c r="Y385" s="192"/>
      <c r="Z385" s="192"/>
      <c r="AB385" s="192"/>
      <c r="AC385" s="192"/>
      <c r="AD385" s="192"/>
      <c r="AE385" s="192"/>
    </row>
    <row r="386" hidden="1">
      <c r="A386" s="192"/>
      <c r="B386" s="192"/>
      <c r="C386" s="192"/>
      <c r="D386" s="192"/>
      <c r="E386" s="192"/>
      <c r="F386" s="192"/>
      <c r="G386" s="192"/>
      <c r="H386" s="192"/>
      <c r="I386" s="192"/>
      <c r="J386" s="192"/>
      <c r="K386" s="192"/>
      <c r="L386" s="192"/>
      <c r="M386" s="192"/>
      <c r="O386" s="192"/>
      <c r="P386" s="192"/>
      <c r="Q386" s="192"/>
      <c r="S386" s="192"/>
      <c r="T386" s="192"/>
      <c r="U386" s="192"/>
      <c r="V386" s="192"/>
      <c r="W386" s="192"/>
      <c r="X386" s="192"/>
      <c r="Y386" s="192"/>
      <c r="Z386" s="192"/>
      <c r="AB386" s="192"/>
      <c r="AC386" s="192"/>
      <c r="AD386" s="192"/>
      <c r="AE386" s="192"/>
    </row>
    <row r="387" hidden="1">
      <c r="A387" s="192"/>
      <c r="B387" s="192"/>
      <c r="C387" s="192"/>
      <c r="D387" s="192"/>
      <c r="E387" s="192"/>
      <c r="F387" s="192"/>
      <c r="G387" s="192"/>
      <c r="H387" s="192"/>
      <c r="I387" s="192"/>
      <c r="J387" s="192"/>
      <c r="K387" s="192"/>
      <c r="L387" s="192"/>
      <c r="M387" s="192"/>
      <c r="N387" s="192"/>
      <c r="O387" s="192"/>
      <c r="P387" s="192"/>
      <c r="Q387" s="192"/>
      <c r="T387" s="192"/>
      <c r="U387" s="192"/>
      <c r="V387" s="192"/>
      <c r="W387" s="192"/>
      <c r="X387" s="192"/>
      <c r="Y387" s="192"/>
      <c r="Z387" s="192"/>
      <c r="AB387" s="192"/>
      <c r="AC387" s="192"/>
      <c r="AD387" s="192"/>
      <c r="AE387" s="192"/>
    </row>
    <row r="388" hidden="1">
      <c r="A388" s="192"/>
      <c r="B388" s="192"/>
      <c r="C388" s="192"/>
      <c r="D388" s="192"/>
      <c r="E388" s="192"/>
      <c r="F388" s="192"/>
      <c r="G388" s="192"/>
      <c r="H388" s="192"/>
      <c r="I388" s="192"/>
      <c r="J388" s="192"/>
      <c r="K388" s="192"/>
      <c r="L388" s="192"/>
      <c r="M388" s="192"/>
      <c r="N388" s="192"/>
      <c r="O388" s="192"/>
      <c r="P388" s="192"/>
      <c r="Q388" s="192"/>
      <c r="T388" s="192"/>
      <c r="U388" s="192"/>
      <c r="V388" s="192"/>
      <c r="W388" s="192"/>
      <c r="X388" s="192"/>
      <c r="Y388" s="192"/>
      <c r="Z388" s="192"/>
      <c r="AB388" s="192"/>
      <c r="AC388" s="192"/>
      <c r="AD388" s="192"/>
      <c r="AE388" s="192"/>
    </row>
    <row r="389" hidden="1">
      <c r="A389" s="192"/>
      <c r="B389" s="192"/>
      <c r="C389" s="192"/>
      <c r="D389" s="192"/>
      <c r="E389" s="192"/>
      <c r="F389" s="192"/>
      <c r="G389" s="192"/>
      <c r="H389" s="192"/>
      <c r="I389" s="192"/>
      <c r="J389" s="192"/>
      <c r="K389" s="192"/>
      <c r="L389" s="192"/>
      <c r="M389" s="192"/>
      <c r="O389" s="192"/>
      <c r="P389" s="192"/>
      <c r="Q389" s="192"/>
      <c r="S389" s="192"/>
      <c r="T389" s="192"/>
      <c r="U389" s="192"/>
      <c r="V389" s="192"/>
      <c r="W389" s="192"/>
      <c r="X389" s="192"/>
      <c r="Y389" s="192"/>
      <c r="Z389" s="192"/>
      <c r="AB389" s="192"/>
      <c r="AC389" s="192"/>
      <c r="AD389" s="192"/>
      <c r="AE389" s="192"/>
    </row>
    <row r="390" hidden="1">
      <c r="A390" s="192"/>
      <c r="B390" s="192"/>
      <c r="C390" s="192"/>
      <c r="D390" s="192"/>
      <c r="E390" s="192"/>
      <c r="F390" s="192"/>
      <c r="G390" s="192"/>
      <c r="H390" s="192"/>
      <c r="I390" s="192"/>
      <c r="J390" s="192"/>
      <c r="K390" s="192"/>
      <c r="L390" s="192"/>
      <c r="M390" s="192"/>
      <c r="O390" s="192"/>
      <c r="P390" s="192"/>
      <c r="Q390" s="192"/>
      <c r="S390" s="192"/>
      <c r="T390" s="192"/>
      <c r="U390" s="192"/>
      <c r="V390" s="192"/>
      <c r="W390" s="192"/>
      <c r="X390" s="192"/>
      <c r="Y390" s="192"/>
      <c r="Z390" s="192"/>
      <c r="AB390" s="192"/>
      <c r="AC390" s="192"/>
      <c r="AD390" s="192"/>
      <c r="AE390" s="192"/>
    </row>
    <row r="391" hidden="1">
      <c r="A391" s="192"/>
      <c r="B391" s="192"/>
      <c r="C391" s="192"/>
      <c r="D391" s="192"/>
      <c r="E391" s="192"/>
      <c r="F391" s="192"/>
      <c r="G391" s="192"/>
      <c r="H391" s="192"/>
      <c r="I391" s="192"/>
      <c r="J391" s="192"/>
      <c r="K391" s="192"/>
      <c r="L391" s="192"/>
      <c r="M391" s="192"/>
      <c r="O391" s="192"/>
      <c r="P391" s="192"/>
      <c r="Q391" s="192"/>
      <c r="S391" s="192"/>
      <c r="T391" s="192"/>
      <c r="U391" s="192"/>
      <c r="V391" s="192"/>
      <c r="W391" s="192"/>
      <c r="X391" s="192"/>
      <c r="Y391" s="192"/>
      <c r="Z391" s="192"/>
      <c r="AB391" s="192"/>
      <c r="AC391" s="192"/>
      <c r="AD391" s="192"/>
      <c r="AE391" s="192"/>
    </row>
    <row r="392" hidden="1">
      <c r="A392" s="192"/>
      <c r="B392" s="192"/>
      <c r="C392" s="192"/>
      <c r="D392" s="192"/>
      <c r="E392" s="192"/>
      <c r="F392" s="192"/>
      <c r="G392" s="192"/>
      <c r="H392" s="192"/>
      <c r="I392" s="192"/>
      <c r="J392" s="192"/>
      <c r="K392" s="192"/>
      <c r="L392" s="192"/>
      <c r="M392" s="192"/>
      <c r="O392" s="192"/>
      <c r="P392" s="192"/>
      <c r="Q392" s="192"/>
      <c r="S392" s="192"/>
      <c r="T392" s="192"/>
      <c r="U392" s="192"/>
      <c r="V392" s="192"/>
      <c r="W392" s="192"/>
      <c r="X392" s="192"/>
      <c r="Y392" s="192"/>
      <c r="Z392" s="192"/>
      <c r="AB392" s="192"/>
      <c r="AC392" s="192"/>
      <c r="AD392" s="192"/>
      <c r="AE392" s="192"/>
    </row>
    <row r="393" hidden="1">
      <c r="A393" s="192"/>
      <c r="B393" s="192"/>
      <c r="C393" s="192"/>
      <c r="D393" s="192"/>
      <c r="E393" s="192"/>
      <c r="F393" s="192"/>
      <c r="G393" s="192"/>
      <c r="H393" s="192"/>
      <c r="I393" s="192"/>
      <c r="J393" s="192"/>
      <c r="K393" s="192"/>
      <c r="L393" s="192"/>
      <c r="M393" s="192"/>
      <c r="O393" s="192"/>
      <c r="P393" s="192"/>
      <c r="Q393" s="192"/>
      <c r="S393" s="192"/>
      <c r="T393" s="192"/>
      <c r="U393" s="192"/>
      <c r="V393" s="192"/>
      <c r="W393" s="192"/>
      <c r="X393" s="192"/>
      <c r="Y393" s="192"/>
      <c r="Z393" s="192"/>
      <c r="AB393" s="192"/>
      <c r="AC393" s="192"/>
      <c r="AD393" s="192"/>
      <c r="AE393" s="192"/>
    </row>
    <row r="394" hidden="1">
      <c r="A394" s="192"/>
      <c r="B394" s="192"/>
      <c r="C394" s="192"/>
      <c r="D394" s="192"/>
      <c r="E394" s="192"/>
      <c r="F394" s="192"/>
      <c r="G394" s="192"/>
      <c r="H394" s="192"/>
      <c r="I394" s="192"/>
      <c r="J394" s="192"/>
      <c r="K394" s="192"/>
      <c r="L394" s="192"/>
      <c r="M394" s="192"/>
      <c r="N394" s="192"/>
      <c r="O394" s="192"/>
      <c r="P394" s="192"/>
      <c r="Q394" s="192"/>
      <c r="S394" s="192"/>
      <c r="T394" s="192"/>
      <c r="U394" s="192"/>
      <c r="V394" s="192"/>
      <c r="W394" s="192"/>
      <c r="X394" s="192"/>
      <c r="Y394" s="192"/>
      <c r="Z394" s="192"/>
      <c r="AB394" s="192"/>
      <c r="AC394" s="192"/>
      <c r="AD394" s="192"/>
      <c r="AE394" s="192"/>
    </row>
    <row r="395" hidden="1">
      <c r="A395" s="192"/>
      <c r="B395" s="192"/>
      <c r="C395" s="192"/>
      <c r="D395" s="192"/>
      <c r="E395" s="192"/>
      <c r="F395" s="192"/>
      <c r="G395" s="192"/>
      <c r="H395" s="192"/>
      <c r="I395" s="192"/>
      <c r="J395" s="192"/>
      <c r="K395" s="192"/>
      <c r="L395" s="192"/>
      <c r="M395" s="192"/>
      <c r="N395" s="192"/>
      <c r="O395" s="192"/>
      <c r="P395" s="192"/>
      <c r="Q395" s="192"/>
      <c r="R395" s="192"/>
      <c r="S395" s="192"/>
      <c r="T395" s="192"/>
      <c r="U395" s="192"/>
      <c r="V395" s="192"/>
      <c r="W395" s="192"/>
      <c r="X395" s="192"/>
      <c r="Y395" s="192"/>
      <c r="Z395" s="192"/>
      <c r="AA395" s="192"/>
      <c r="AB395" s="192"/>
      <c r="AC395" s="192"/>
      <c r="AD395" s="192"/>
      <c r="AE395" s="192"/>
    </row>
    <row r="396" hidden="1">
      <c r="A396" s="192"/>
      <c r="B396" s="192"/>
      <c r="C396" s="192"/>
      <c r="D396" s="192"/>
      <c r="E396" s="192"/>
      <c r="F396" s="192"/>
      <c r="G396" s="192"/>
      <c r="H396" s="192"/>
      <c r="I396" s="192"/>
      <c r="J396" s="192"/>
      <c r="K396" s="192"/>
      <c r="L396" s="192"/>
      <c r="M396" s="192"/>
      <c r="N396" s="192"/>
      <c r="O396" s="192"/>
      <c r="P396" s="192"/>
      <c r="Q396" s="192"/>
      <c r="T396" s="192"/>
      <c r="U396" s="192"/>
      <c r="V396" s="192"/>
      <c r="W396" s="192"/>
      <c r="X396" s="192"/>
      <c r="Y396" s="192"/>
      <c r="Z396" s="192"/>
      <c r="AB396" s="192"/>
      <c r="AC396" s="192"/>
      <c r="AD396" s="192"/>
      <c r="AE396" s="192"/>
    </row>
    <row r="397" hidden="1">
      <c r="A397" s="192"/>
      <c r="B397" s="192"/>
      <c r="C397" s="192"/>
      <c r="D397" s="192"/>
      <c r="E397" s="192"/>
      <c r="F397" s="192"/>
      <c r="G397" s="192"/>
      <c r="H397" s="192"/>
      <c r="I397" s="192"/>
      <c r="J397" s="192"/>
      <c r="K397" s="192"/>
      <c r="L397" s="192"/>
      <c r="M397" s="192"/>
      <c r="O397" s="192"/>
      <c r="P397" s="192"/>
      <c r="Q397" s="192"/>
      <c r="S397" s="192"/>
      <c r="T397" s="192"/>
      <c r="U397" s="192"/>
      <c r="V397" s="192"/>
      <c r="W397" s="192"/>
      <c r="X397" s="192"/>
      <c r="Y397" s="192"/>
      <c r="Z397" s="192"/>
      <c r="AB397" s="192"/>
      <c r="AC397" s="192"/>
      <c r="AD397" s="192"/>
      <c r="AE397" s="192"/>
    </row>
    <row r="398" hidden="1">
      <c r="A398" s="192"/>
      <c r="B398" s="192"/>
      <c r="C398" s="192"/>
      <c r="D398" s="192"/>
      <c r="E398" s="192"/>
      <c r="F398" s="192"/>
      <c r="G398" s="192"/>
      <c r="H398" s="192"/>
      <c r="I398" s="192"/>
      <c r="J398" s="192"/>
      <c r="K398" s="192"/>
      <c r="L398" s="192"/>
      <c r="M398" s="192"/>
      <c r="N398" s="192"/>
      <c r="O398" s="192"/>
      <c r="P398" s="192"/>
      <c r="Q398" s="192"/>
      <c r="R398" s="192"/>
      <c r="S398" s="192"/>
      <c r="T398" s="192"/>
      <c r="U398" s="192"/>
      <c r="V398" s="192"/>
      <c r="W398" s="192"/>
      <c r="X398" s="192"/>
      <c r="Y398" s="192"/>
      <c r="Z398" s="192"/>
      <c r="AA398" s="192"/>
      <c r="AB398" s="192"/>
      <c r="AC398" s="192"/>
      <c r="AD398" s="192"/>
      <c r="AE398" s="192"/>
    </row>
    <row r="399" hidden="1">
      <c r="A399" s="192"/>
      <c r="B399" s="192"/>
      <c r="C399" s="192"/>
      <c r="D399" s="192"/>
      <c r="E399" s="192"/>
      <c r="F399" s="192"/>
      <c r="G399" s="192"/>
      <c r="H399" s="192"/>
      <c r="I399" s="192"/>
      <c r="J399" s="192"/>
      <c r="K399" s="192"/>
      <c r="L399" s="192"/>
      <c r="M399" s="192"/>
      <c r="N399" s="192"/>
      <c r="O399" s="192"/>
      <c r="P399" s="192"/>
      <c r="Q399" s="192"/>
      <c r="R399" s="192"/>
      <c r="S399" s="192"/>
      <c r="T399" s="192"/>
      <c r="U399" s="192"/>
      <c r="V399" s="192"/>
      <c r="W399" s="192"/>
      <c r="X399" s="192"/>
      <c r="Y399" s="192"/>
      <c r="Z399" s="192"/>
      <c r="AA399" s="192"/>
      <c r="AB399" s="192"/>
      <c r="AC399" s="192"/>
      <c r="AD399" s="192"/>
      <c r="AE399" s="192"/>
    </row>
    <row r="400" hidden="1">
      <c r="A400" s="192"/>
      <c r="B400" s="192"/>
      <c r="C400" s="192"/>
      <c r="D400" s="192"/>
      <c r="E400" s="192"/>
      <c r="F400" s="192"/>
      <c r="G400" s="192"/>
      <c r="H400" s="192"/>
      <c r="I400" s="192"/>
      <c r="J400" s="192"/>
      <c r="K400" s="192"/>
      <c r="L400" s="192"/>
      <c r="M400" s="192"/>
      <c r="O400" s="192"/>
      <c r="P400" s="192"/>
      <c r="Q400" s="192"/>
      <c r="S400" s="192"/>
      <c r="T400" s="192"/>
      <c r="U400" s="192"/>
      <c r="V400" s="192"/>
      <c r="W400" s="192"/>
      <c r="X400" s="192"/>
      <c r="Y400" s="192"/>
      <c r="Z400" s="192"/>
      <c r="AB400" s="192"/>
      <c r="AC400" s="192"/>
      <c r="AD400" s="192"/>
      <c r="AE400" s="192"/>
    </row>
    <row r="401" hidden="1">
      <c r="A401" s="192"/>
      <c r="B401" s="192"/>
      <c r="C401" s="192"/>
      <c r="D401" s="192"/>
      <c r="E401" s="192"/>
      <c r="F401" s="192"/>
      <c r="G401" s="192"/>
      <c r="H401" s="192"/>
      <c r="I401" s="192"/>
      <c r="J401" s="192"/>
      <c r="K401" s="192"/>
      <c r="L401" s="192"/>
      <c r="M401" s="192"/>
      <c r="O401" s="192"/>
      <c r="P401" s="192"/>
      <c r="Q401" s="192"/>
      <c r="S401" s="192"/>
      <c r="T401" s="192"/>
      <c r="U401" s="192"/>
      <c r="V401" s="192"/>
      <c r="W401" s="192"/>
      <c r="X401" s="192"/>
      <c r="Y401" s="192"/>
      <c r="Z401" s="192"/>
      <c r="AB401" s="192"/>
      <c r="AC401" s="192"/>
      <c r="AD401" s="192"/>
      <c r="AE401" s="192"/>
    </row>
    <row r="402" hidden="1">
      <c r="A402" s="192"/>
      <c r="B402" s="192"/>
      <c r="C402" s="192"/>
      <c r="D402" s="192"/>
      <c r="E402" s="192"/>
      <c r="F402" s="192"/>
      <c r="G402" s="192"/>
      <c r="H402" s="192"/>
      <c r="I402" s="192"/>
      <c r="J402" s="192"/>
      <c r="K402" s="192"/>
      <c r="L402" s="192"/>
      <c r="M402" s="192"/>
      <c r="N402" s="192"/>
      <c r="O402" s="192"/>
      <c r="P402" s="192"/>
      <c r="Q402" s="192"/>
      <c r="T402" s="192"/>
      <c r="U402" s="192"/>
      <c r="V402" s="192"/>
      <c r="W402" s="192"/>
      <c r="X402" s="192"/>
      <c r="Y402" s="192"/>
      <c r="Z402" s="192"/>
      <c r="AB402" s="192"/>
      <c r="AC402" s="192"/>
      <c r="AD402" s="192"/>
      <c r="AE402" s="192"/>
    </row>
    <row r="403" hidden="1">
      <c r="A403" s="192"/>
      <c r="B403" s="192"/>
      <c r="C403" s="192"/>
      <c r="D403" s="192"/>
      <c r="E403" s="192"/>
      <c r="F403" s="192"/>
      <c r="G403" s="192"/>
      <c r="H403" s="192"/>
      <c r="I403" s="192"/>
      <c r="J403" s="192"/>
      <c r="K403" s="192"/>
      <c r="L403" s="192"/>
      <c r="M403" s="192"/>
      <c r="N403" s="192"/>
      <c r="O403" s="192"/>
      <c r="P403" s="192"/>
      <c r="Q403" s="192"/>
      <c r="R403" s="192"/>
      <c r="S403" s="192"/>
      <c r="T403" s="192"/>
      <c r="U403" s="192"/>
      <c r="V403" s="192"/>
      <c r="W403" s="192"/>
      <c r="X403" s="192"/>
      <c r="Y403" s="192"/>
      <c r="Z403" s="192"/>
      <c r="AA403" s="192"/>
      <c r="AB403" s="192"/>
      <c r="AC403" s="192"/>
      <c r="AD403" s="192"/>
      <c r="AE403" s="192"/>
    </row>
    <row r="404" hidden="1">
      <c r="A404" s="192"/>
      <c r="B404" s="192"/>
      <c r="C404" s="192"/>
      <c r="D404" s="192"/>
      <c r="E404" s="192"/>
      <c r="F404" s="192"/>
      <c r="G404" s="192"/>
      <c r="H404" s="192"/>
      <c r="I404" s="192"/>
      <c r="J404" s="192"/>
      <c r="K404" s="192"/>
      <c r="L404" s="192"/>
      <c r="M404" s="192"/>
      <c r="N404" s="192"/>
      <c r="O404" s="192"/>
      <c r="P404" s="192"/>
      <c r="Q404" s="192"/>
      <c r="T404" s="192"/>
      <c r="U404" s="192"/>
      <c r="V404" s="192"/>
      <c r="W404" s="192"/>
      <c r="X404" s="192"/>
      <c r="Y404" s="192"/>
      <c r="Z404" s="192"/>
      <c r="AB404" s="192"/>
      <c r="AC404" s="192"/>
      <c r="AD404" s="192"/>
      <c r="AE404" s="192"/>
    </row>
    <row r="405" hidden="1">
      <c r="A405" s="192"/>
      <c r="B405" s="192"/>
      <c r="C405" s="192"/>
      <c r="D405" s="192"/>
      <c r="E405" s="192"/>
      <c r="F405" s="192"/>
      <c r="G405" s="192"/>
      <c r="H405" s="192"/>
      <c r="I405" s="192"/>
      <c r="J405" s="192"/>
      <c r="K405" s="192"/>
      <c r="L405" s="192"/>
      <c r="M405" s="192"/>
      <c r="N405" s="192"/>
      <c r="O405" s="192"/>
      <c r="P405" s="192"/>
      <c r="Q405" s="192"/>
      <c r="T405" s="192"/>
      <c r="U405" s="192"/>
      <c r="V405" s="192"/>
      <c r="W405" s="192"/>
      <c r="X405" s="192"/>
      <c r="Y405" s="192"/>
      <c r="Z405" s="192"/>
      <c r="AB405" s="192"/>
      <c r="AC405" s="192"/>
      <c r="AD405" s="192"/>
      <c r="AE405" s="192"/>
    </row>
    <row r="406" hidden="1">
      <c r="A406" s="192"/>
      <c r="B406" s="192"/>
      <c r="C406" s="192"/>
      <c r="D406" s="192"/>
      <c r="E406" s="192"/>
      <c r="F406" s="192"/>
      <c r="G406" s="192"/>
      <c r="H406" s="192"/>
      <c r="I406" s="192"/>
      <c r="J406" s="192"/>
      <c r="K406" s="192"/>
      <c r="L406" s="192"/>
      <c r="M406" s="192"/>
      <c r="O406" s="192"/>
      <c r="P406" s="192"/>
      <c r="Q406" s="192"/>
      <c r="S406" s="192"/>
      <c r="T406" s="192"/>
      <c r="U406" s="192"/>
      <c r="V406" s="192"/>
      <c r="W406" s="192"/>
      <c r="X406" s="192"/>
      <c r="Y406" s="192"/>
      <c r="Z406" s="192"/>
      <c r="AB406" s="192"/>
      <c r="AC406" s="192"/>
      <c r="AD406" s="192"/>
      <c r="AE406" s="192"/>
    </row>
    <row r="407" hidden="1">
      <c r="A407" s="192"/>
      <c r="B407" s="192"/>
      <c r="C407" s="192"/>
      <c r="D407" s="192"/>
      <c r="E407" s="192"/>
      <c r="F407" s="192"/>
      <c r="G407" s="192"/>
      <c r="H407" s="192"/>
      <c r="I407" s="192"/>
      <c r="J407" s="192"/>
      <c r="K407" s="192"/>
      <c r="L407" s="192"/>
      <c r="M407" s="192"/>
      <c r="N407" s="192"/>
      <c r="O407" s="192"/>
      <c r="P407" s="192"/>
      <c r="Q407" s="192"/>
      <c r="R407" s="192"/>
      <c r="S407" s="192"/>
      <c r="T407" s="192"/>
      <c r="U407" s="192"/>
      <c r="V407" s="192"/>
      <c r="W407" s="192"/>
      <c r="X407" s="192"/>
      <c r="Y407" s="192"/>
      <c r="Z407" s="192"/>
      <c r="AA407" s="192"/>
      <c r="AB407" s="192"/>
      <c r="AC407" s="192"/>
      <c r="AD407" s="192"/>
      <c r="AE407" s="192"/>
    </row>
    <row r="408" hidden="1">
      <c r="A408" s="192"/>
      <c r="B408" s="192"/>
      <c r="C408" s="192"/>
      <c r="D408" s="192"/>
      <c r="E408" s="192"/>
      <c r="F408" s="192"/>
      <c r="G408" s="192"/>
      <c r="H408" s="192"/>
      <c r="I408" s="192"/>
      <c r="J408" s="192"/>
      <c r="K408" s="192"/>
      <c r="L408" s="192"/>
      <c r="M408" s="192"/>
      <c r="N408" s="192"/>
      <c r="O408" s="192"/>
      <c r="P408" s="192"/>
      <c r="Q408" s="192"/>
      <c r="T408" s="192"/>
      <c r="U408" s="192"/>
      <c r="V408" s="192"/>
      <c r="W408" s="192"/>
      <c r="X408" s="192"/>
      <c r="Y408" s="192"/>
      <c r="Z408" s="192"/>
      <c r="AB408" s="192"/>
      <c r="AC408" s="192"/>
      <c r="AD408" s="192"/>
      <c r="AE408" s="192"/>
    </row>
    <row r="409" hidden="1">
      <c r="A409" s="192"/>
      <c r="B409" s="192"/>
      <c r="C409" s="192"/>
      <c r="D409" s="192"/>
      <c r="E409" s="192"/>
      <c r="F409" s="192"/>
      <c r="G409" s="192"/>
      <c r="H409" s="192"/>
      <c r="I409" s="192"/>
      <c r="J409" s="192"/>
      <c r="K409" s="192"/>
      <c r="L409" s="192"/>
      <c r="M409" s="192"/>
      <c r="O409" s="192"/>
      <c r="P409" s="192"/>
      <c r="Q409" s="192"/>
      <c r="S409" s="192"/>
      <c r="T409" s="192"/>
      <c r="U409" s="192"/>
      <c r="V409" s="192"/>
      <c r="W409" s="192"/>
      <c r="X409" s="192"/>
      <c r="Y409" s="192"/>
      <c r="Z409" s="192"/>
      <c r="AB409" s="192"/>
      <c r="AC409" s="192"/>
      <c r="AD409" s="192"/>
      <c r="AE409" s="192"/>
    </row>
    <row r="410" hidden="1">
      <c r="A410" s="192"/>
      <c r="B410" s="192"/>
      <c r="C410" s="192"/>
      <c r="D410" s="192"/>
      <c r="E410" s="192"/>
      <c r="F410" s="192"/>
      <c r="G410" s="192"/>
      <c r="H410" s="192"/>
      <c r="I410" s="192"/>
      <c r="J410" s="192"/>
      <c r="K410" s="192"/>
      <c r="L410" s="192"/>
      <c r="M410" s="192"/>
      <c r="N410" s="192"/>
      <c r="O410" s="192"/>
      <c r="P410" s="192"/>
      <c r="Q410" s="192"/>
      <c r="T410" s="192"/>
      <c r="U410" s="192"/>
      <c r="V410" s="192"/>
      <c r="W410" s="192"/>
      <c r="X410" s="192"/>
      <c r="Y410" s="192"/>
      <c r="Z410" s="192"/>
      <c r="AB410" s="192"/>
      <c r="AC410" s="192"/>
      <c r="AD410" s="192"/>
      <c r="AE410" s="192"/>
    </row>
    <row r="411" hidden="1">
      <c r="A411" s="192"/>
      <c r="B411" s="192"/>
      <c r="C411" s="192"/>
      <c r="D411" s="192"/>
      <c r="E411" s="192"/>
      <c r="F411" s="192"/>
      <c r="G411" s="192"/>
      <c r="H411" s="192"/>
      <c r="I411" s="192"/>
      <c r="J411" s="192"/>
      <c r="K411" s="192"/>
      <c r="L411" s="192"/>
      <c r="M411" s="192"/>
      <c r="O411" s="192"/>
      <c r="P411" s="192"/>
      <c r="Q411" s="192"/>
      <c r="S411" s="192"/>
      <c r="T411" s="192"/>
      <c r="U411" s="192"/>
      <c r="V411" s="192"/>
      <c r="W411" s="192"/>
      <c r="X411" s="192"/>
      <c r="Y411" s="192"/>
      <c r="Z411" s="192"/>
      <c r="AB411" s="192"/>
      <c r="AC411" s="192"/>
      <c r="AD411" s="192"/>
      <c r="AE411" s="192"/>
    </row>
    <row r="412" hidden="1">
      <c r="A412" s="192"/>
      <c r="B412" s="192"/>
      <c r="C412" s="192"/>
      <c r="D412" s="192"/>
      <c r="E412" s="192"/>
      <c r="F412" s="192"/>
      <c r="G412" s="192"/>
      <c r="H412" s="192"/>
      <c r="I412" s="192"/>
      <c r="J412" s="192"/>
      <c r="K412" s="192"/>
      <c r="L412" s="192"/>
      <c r="M412" s="192"/>
      <c r="O412" s="192"/>
      <c r="P412" s="192"/>
      <c r="Q412" s="192"/>
      <c r="S412" s="192"/>
      <c r="T412" s="192"/>
      <c r="U412" s="192"/>
      <c r="V412" s="192"/>
      <c r="W412" s="192"/>
      <c r="X412" s="192"/>
      <c r="Y412" s="192"/>
      <c r="Z412" s="192"/>
      <c r="AB412" s="192"/>
      <c r="AC412" s="192"/>
      <c r="AD412" s="192"/>
      <c r="AE412" s="192"/>
    </row>
    <row r="413" hidden="1">
      <c r="A413" s="192"/>
      <c r="B413" s="192"/>
      <c r="C413" s="192"/>
      <c r="D413" s="192"/>
      <c r="E413" s="192"/>
      <c r="F413" s="192"/>
      <c r="G413" s="192"/>
      <c r="H413" s="192"/>
      <c r="I413" s="192"/>
      <c r="J413" s="192"/>
      <c r="K413" s="192"/>
      <c r="L413" s="192"/>
      <c r="M413" s="192"/>
      <c r="O413" s="192"/>
      <c r="P413" s="192"/>
      <c r="Q413" s="192"/>
      <c r="S413" s="192"/>
      <c r="T413" s="192"/>
      <c r="U413" s="192"/>
      <c r="V413" s="192"/>
      <c r="W413" s="192"/>
      <c r="X413" s="192"/>
      <c r="Y413" s="192"/>
      <c r="Z413" s="192"/>
      <c r="AB413" s="192"/>
      <c r="AC413" s="192"/>
      <c r="AD413" s="192"/>
      <c r="AE413" s="192"/>
    </row>
    <row r="414" hidden="1">
      <c r="A414" s="192"/>
      <c r="B414" s="192"/>
      <c r="C414" s="194"/>
      <c r="D414" s="192"/>
      <c r="E414" s="192"/>
      <c r="F414" s="192"/>
      <c r="G414" s="192"/>
      <c r="H414" s="192"/>
      <c r="I414" s="192"/>
      <c r="J414" s="192"/>
      <c r="K414" s="192"/>
      <c r="L414" s="192"/>
      <c r="M414" s="192"/>
      <c r="O414" s="192"/>
      <c r="P414" s="192"/>
      <c r="Q414" s="192"/>
      <c r="S414" s="192"/>
      <c r="T414" s="192"/>
      <c r="U414" s="192"/>
      <c r="V414" s="192"/>
      <c r="W414" s="192"/>
      <c r="X414" s="192"/>
      <c r="Y414" s="192"/>
      <c r="Z414" s="192"/>
      <c r="AB414" s="192"/>
      <c r="AC414" s="192"/>
      <c r="AD414" s="192"/>
      <c r="AE414" s="192"/>
    </row>
    <row r="415" hidden="1">
      <c r="A415" s="192"/>
      <c r="B415" s="192"/>
      <c r="C415" s="192"/>
      <c r="D415" s="192"/>
      <c r="E415" s="192"/>
      <c r="F415" s="192"/>
      <c r="G415" s="192"/>
      <c r="H415" s="192"/>
      <c r="I415" s="192"/>
      <c r="J415" s="192"/>
      <c r="K415" s="192"/>
      <c r="L415" s="192"/>
      <c r="M415" s="192"/>
      <c r="O415" s="192"/>
      <c r="P415" s="192"/>
      <c r="Q415" s="192"/>
      <c r="S415" s="192"/>
      <c r="T415" s="192"/>
      <c r="U415" s="192"/>
      <c r="V415" s="192"/>
      <c r="W415" s="192"/>
      <c r="X415" s="192"/>
      <c r="Y415" s="192"/>
      <c r="Z415" s="192"/>
      <c r="AB415" s="192"/>
      <c r="AC415" s="192"/>
      <c r="AD415" s="192"/>
      <c r="AE415" s="192"/>
    </row>
    <row r="416" hidden="1">
      <c r="A416" s="192"/>
      <c r="B416" s="192"/>
      <c r="C416" s="192"/>
      <c r="D416" s="192"/>
      <c r="E416" s="192"/>
      <c r="F416" s="192"/>
      <c r="G416" s="192"/>
      <c r="H416" s="192"/>
      <c r="I416" s="192"/>
      <c r="J416" s="192"/>
      <c r="K416" s="192"/>
      <c r="L416" s="192"/>
      <c r="M416" s="192"/>
      <c r="N416" s="192"/>
      <c r="O416" s="192"/>
      <c r="P416" s="192"/>
      <c r="Q416" s="192"/>
      <c r="S416" s="192"/>
      <c r="T416" s="192"/>
      <c r="U416" s="192"/>
      <c r="V416" s="192"/>
      <c r="W416" s="192"/>
      <c r="X416" s="192"/>
      <c r="Y416" s="192"/>
      <c r="Z416" s="192"/>
      <c r="AB416" s="192"/>
      <c r="AC416" s="192"/>
      <c r="AD416" s="192"/>
      <c r="AE416" s="192"/>
    </row>
    <row r="417" hidden="1">
      <c r="A417" s="192"/>
      <c r="B417" s="192"/>
      <c r="C417" s="192"/>
      <c r="D417" s="192"/>
      <c r="E417" s="192"/>
      <c r="F417" s="192"/>
      <c r="G417" s="192"/>
      <c r="H417" s="192"/>
      <c r="I417" s="192"/>
      <c r="J417" s="192"/>
      <c r="K417" s="192"/>
      <c r="L417" s="192"/>
      <c r="M417" s="192"/>
      <c r="O417" s="192"/>
      <c r="P417" s="192"/>
      <c r="Q417" s="192"/>
      <c r="S417" s="192"/>
      <c r="T417" s="192"/>
      <c r="U417" s="192"/>
      <c r="V417" s="192"/>
      <c r="W417" s="192"/>
      <c r="X417" s="192"/>
      <c r="Y417" s="192"/>
      <c r="Z417" s="192"/>
      <c r="AB417" s="192"/>
      <c r="AC417" s="192"/>
      <c r="AD417" s="192"/>
      <c r="AE417" s="192"/>
    </row>
    <row r="418" hidden="1">
      <c r="A418" s="192"/>
      <c r="B418" s="192"/>
      <c r="C418" s="192"/>
      <c r="D418" s="192"/>
      <c r="E418" s="192"/>
      <c r="F418" s="192"/>
      <c r="G418" s="192"/>
      <c r="H418" s="192"/>
      <c r="I418" s="192"/>
      <c r="J418" s="192"/>
      <c r="K418" s="192"/>
      <c r="L418" s="192"/>
      <c r="M418" s="192"/>
      <c r="N418" s="192"/>
      <c r="O418" s="192"/>
      <c r="P418" s="192"/>
      <c r="Q418" s="192"/>
      <c r="R418" s="192"/>
      <c r="S418" s="192"/>
      <c r="T418" s="192"/>
      <c r="U418" s="192"/>
      <c r="V418" s="192"/>
      <c r="W418" s="192"/>
      <c r="X418" s="192"/>
      <c r="Y418" s="192"/>
      <c r="Z418" s="192"/>
      <c r="AA418" s="192"/>
      <c r="AB418" s="192"/>
      <c r="AC418" s="192"/>
      <c r="AD418" s="192"/>
      <c r="AE418" s="192"/>
    </row>
  </sheetData>
  <autoFilter ref="$A$1:$M$418">
    <filterColumn colId="1">
      <filters/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/>
      <c r="B1" s="195"/>
      <c r="C1" s="196" t="str">
        <f>IFERROR(__xludf.DUMMYFUNCTION("IMPORTRANGE(""1TpIiNTfR1pnpn85VWQTTdvQ2Xcr0GStmWJ2UvfKxG_A"", ""Mzdy!A1:F200"")"),"#REF!")</f>
        <v>#REF!</v>
      </c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7" t="str">
        <f>IFERROR(__xludf.DUMMYFUNCTION("IMPORTRANGE(""1TpIiNTfR1pnpn85VWQTTdvQ2Xcr0GStmWJ2UvfKxG_A"", ""Mzdy!ac1:ad200"")"),"#REF!")</f>
        <v>#REF!</v>
      </c>
      <c r="W1" s="198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</row>
    <row r="2">
      <c r="A2" s="195"/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8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</row>
    <row r="3">
      <c r="A3" s="195"/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8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</row>
    <row r="4">
      <c r="A4" s="199" t="s">
        <v>1991</v>
      </c>
      <c r="B4" s="199" t="s">
        <v>1992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5"/>
      <c r="U4" s="195"/>
      <c r="V4" s="195"/>
      <c r="W4" s="198"/>
      <c r="X4" s="195"/>
      <c r="Y4" s="195"/>
      <c r="Z4" s="195"/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</row>
    <row r="5">
      <c r="A5" s="195" t="str">
        <f>IF(AND(B5&lt;&gt;"", C5=TRUE, E5=Report!$B$1), B5, "")</f>
        <v/>
      </c>
      <c r="B5" s="200" t="str">
        <f>IF(OR(E5=Report!$B$1, F5=Report!$B$1, G5=Report!$B$1, H5=Report!$B$1), D5, "")</f>
        <v/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8"/>
      <c r="X5" s="195"/>
      <c r="Y5" s="195"/>
      <c r="Z5" s="195"/>
      <c r="AA5" s="195"/>
      <c r="AB5" s="195"/>
      <c r="AC5" s="195"/>
      <c r="AD5" s="195"/>
      <c r="AE5" s="195"/>
      <c r="AF5" s="195"/>
      <c r="AG5" s="195"/>
      <c r="AH5" s="195"/>
      <c r="AI5" s="195"/>
      <c r="AJ5" s="195"/>
      <c r="AK5" s="195"/>
    </row>
    <row r="6">
      <c r="A6" s="195" t="str">
        <f>IF(AND(B6&lt;&gt;"", C6=TRUE, E6=Report!$B$1), B6, "")</f>
        <v/>
      </c>
      <c r="B6" s="200" t="str">
        <f>IF(OR(E6=Report!$B$1, F6=Report!$B$1, G6=Report!$B$1, H6=Report!$B$1), D6, "")</f>
        <v/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8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5"/>
      <c r="AJ6" s="195"/>
      <c r="AK6" s="195"/>
    </row>
    <row r="7">
      <c r="A7" s="195" t="str">
        <f>IF(AND(B7&lt;&gt;"", C7=TRUE, E7=Report!$B$1), B7, "")</f>
        <v/>
      </c>
      <c r="B7" s="200" t="str">
        <f>IF(OR(E7=Report!$B$1, F7=Report!$B$1, G7=Report!$B$1, H7=Report!$B$1), D7, "")</f>
        <v/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  <c r="Q7" s="195"/>
      <c r="R7" s="195"/>
      <c r="S7" s="195"/>
      <c r="T7" s="195"/>
      <c r="U7" s="195"/>
      <c r="V7" s="195"/>
      <c r="W7" s="198"/>
      <c r="X7" s="195"/>
      <c r="Y7" s="195"/>
      <c r="Z7" s="195"/>
      <c r="AA7" s="195"/>
      <c r="AB7" s="195"/>
      <c r="AC7" s="195"/>
      <c r="AD7" s="195"/>
      <c r="AE7" s="195"/>
      <c r="AF7" s="195"/>
      <c r="AG7" s="195"/>
      <c r="AH7" s="195"/>
      <c r="AI7" s="195"/>
      <c r="AJ7" s="195"/>
      <c r="AK7" s="195"/>
    </row>
    <row r="8">
      <c r="A8" s="195" t="str">
        <f>IF(AND(B8&lt;&gt;"", C8=TRUE, E8=Report!$B$1), B8, "")</f>
        <v/>
      </c>
      <c r="B8" s="200" t="str">
        <f>IF(OR(E8=Report!$B$1, F8=Report!$B$1, G8=Report!$B$1, H8=Report!$B$1), D8, "")</f>
        <v/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  <c r="U8" s="195"/>
      <c r="V8" s="195"/>
      <c r="W8" s="198"/>
      <c r="X8" s="195"/>
      <c r="Y8" s="195"/>
      <c r="Z8" s="195"/>
      <c r="AA8" s="195"/>
      <c r="AB8" s="195"/>
      <c r="AC8" s="195"/>
      <c r="AD8" s="195"/>
      <c r="AE8" s="195"/>
      <c r="AF8" s="195"/>
      <c r="AG8" s="195"/>
      <c r="AH8" s="195"/>
      <c r="AI8" s="195"/>
      <c r="AJ8" s="195"/>
      <c r="AK8" s="195"/>
    </row>
    <row r="9">
      <c r="A9" s="195" t="str">
        <f>IF(AND(B9&lt;&gt;"", C9=TRUE, E9=Report!$B$1), B9, "")</f>
        <v/>
      </c>
      <c r="B9" s="200" t="str">
        <f>IF(OR(E9=Report!$B$1, F9=Report!$B$1, G9=Report!$B$1, H9=Report!$B$1), D9, "")</f>
        <v/>
      </c>
      <c r="C9" s="195"/>
      <c r="D9" s="195"/>
      <c r="E9" s="195"/>
      <c r="F9" s="195"/>
      <c r="G9" s="195"/>
      <c r="H9" s="195"/>
      <c r="I9" s="195"/>
      <c r="J9" s="195"/>
      <c r="K9" s="195"/>
      <c r="L9" s="195"/>
      <c r="M9" s="195"/>
      <c r="N9" s="195"/>
      <c r="O9" s="195"/>
      <c r="P9" s="195"/>
      <c r="Q9" s="195"/>
      <c r="R9" s="195"/>
      <c r="S9" s="195"/>
      <c r="T9" s="195"/>
      <c r="U9" s="195"/>
      <c r="V9" s="195"/>
      <c r="W9" s="198"/>
      <c r="X9" s="195"/>
      <c r="Y9" s="195"/>
      <c r="Z9" s="195"/>
      <c r="AA9" s="195"/>
      <c r="AB9" s="195"/>
      <c r="AC9" s="195"/>
      <c r="AD9" s="195"/>
      <c r="AE9" s="195"/>
      <c r="AF9" s="195"/>
      <c r="AG9" s="195"/>
      <c r="AH9" s="195"/>
      <c r="AI9" s="195"/>
      <c r="AJ9" s="195"/>
      <c r="AK9" s="195"/>
    </row>
    <row r="10">
      <c r="A10" s="195" t="str">
        <f>IF(AND(B10&lt;&gt;"", C10=TRUE, E10=Report!$B$1), B10, "")</f>
        <v/>
      </c>
      <c r="B10" s="200" t="str">
        <f>IF(OR(E10=Report!$B$1, F10=Report!$B$1, G10=Report!$B$1, H10=Report!$B$1), D10, "")</f>
        <v/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  <c r="Q10" s="195"/>
      <c r="R10" s="195"/>
      <c r="S10" s="195"/>
      <c r="T10" s="195"/>
      <c r="U10" s="195"/>
      <c r="V10" s="195"/>
      <c r="W10" s="198"/>
      <c r="X10" s="195"/>
      <c r="Y10" s="195"/>
      <c r="Z10" s="195"/>
      <c r="AA10" s="195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</row>
    <row r="11">
      <c r="A11" s="195" t="str">
        <f>IF(AND(B11&lt;&gt;"", C11=TRUE, E11=Report!$B$1), B11, "")</f>
        <v/>
      </c>
      <c r="B11" s="200" t="str">
        <f>IF(OR(E11=Report!$B$1, F11=Report!$B$1, G11=Report!$B$1, H11=Report!$B$1), D11, "")</f>
        <v/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  <c r="Q11" s="195"/>
      <c r="R11" s="195"/>
      <c r="S11" s="195"/>
      <c r="T11" s="195"/>
      <c r="U11" s="195"/>
      <c r="V11" s="195"/>
      <c r="W11" s="198"/>
      <c r="X11" s="195"/>
      <c r="Y11" s="195"/>
      <c r="Z11" s="195"/>
      <c r="AA11" s="195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</row>
    <row r="12">
      <c r="A12" s="195" t="str">
        <f>IF(AND(B12&lt;&gt;"", C12=TRUE, E12=Report!$B$1), B12, "")</f>
        <v/>
      </c>
      <c r="B12" s="200" t="str">
        <f>IF(OR(E12=Report!$B$1, F12=Report!$B$1, G12=Report!$B$1, H12=Report!$B$1), D12, "")</f>
        <v/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8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</row>
    <row r="13">
      <c r="A13" s="195" t="str">
        <f>IF(AND(B13&lt;&gt;"", C13=TRUE, E13=Report!$B$1), B13, "")</f>
        <v/>
      </c>
      <c r="B13" s="200" t="str">
        <f>IF(OR(E13=Report!$B$1, F13=Report!$B$1, G13=Report!$B$1, H13=Report!$B$1), D13, "")</f>
        <v/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/>
      <c r="N13" s="195"/>
      <c r="O13" s="195"/>
      <c r="P13" s="195"/>
      <c r="Q13" s="195"/>
      <c r="R13" s="195"/>
      <c r="S13" s="195"/>
      <c r="T13" s="195"/>
      <c r="U13" s="195"/>
      <c r="V13" s="195"/>
      <c r="W13" s="198"/>
      <c r="X13" s="195"/>
      <c r="Y13" s="195"/>
      <c r="Z13" s="195"/>
      <c r="AA13" s="195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</row>
    <row r="14">
      <c r="A14" s="195" t="str">
        <f>IF(AND(B14&lt;&gt;"", C14=TRUE, E14=Report!$B$1), B14, "")</f>
        <v/>
      </c>
      <c r="B14" s="200" t="str">
        <f>IF(OR(E14=Report!$B$1, F14=Report!$B$1, G14=Report!$B$1, H14=Report!$B$1), D14, "")</f>
        <v/>
      </c>
      <c r="C14" s="195"/>
      <c r="D14" s="195"/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5"/>
      <c r="P14" s="195"/>
      <c r="Q14" s="195"/>
      <c r="R14" s="195"/>
      <c r="S14" s="195"/>
      <c r="T14" s="195"/>
      <c r="U14" s="195"/>
      <c r="V14" s="195"/>
      <c r="W14" s="198"/>
      <c r="X14" s="195"/>
      <c r="Y14" s="195"/>
      <c r="Z14" s="195"/>
      <c r="AA14" s="195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</row>
    <row r="15">
      <c r="A15" s="195" t="str">
        <f>IF(AND(B15&lt;&gt;"", C15=TRUE, E15=Report!$B$1), B15, "")</f>
        <v/>
      </c>
      <c r="B15" s="200" t="str">
        <f>IF(OR(E15=Report!$B$1, F15=Report!$B$1, G15=Report!$B$1, H15=Report!$B$1), D15, "")</f>
        <v/>
      </c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  <c r="U15" s="195"/>
      <c r="V15" s="195"/>
      <c r="W15" s="198"/>
      <c r="X15" s="195"/>
      <c r="Y15" s="195"/>
      <c r="Z15" s="195"/>
      <c r="AA15" s="195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</row>
    <row r="16">
      <c r="A16" s="195" t="str">
        <f>IF(AND(B16&lt;&gt;"", C16=TRUE, E16=Report!$B$1), B16, "")</f>
        <v/>
      </c>
      <c r="B16" s="200" t="str">
        <f>IF(OR(E16=Report!$B$1, F16=Report!$B$1, G16=Report!$B$1, H16=Report!$B$1), D16, "")</f>
        <v/>
      </c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8"/>
      <c r="X16" s="195"/>
      <c r="Y16" s="195"/>
      <c r="Z16" s="195"/>
      <c r="AA16" s="195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</row>
    <row r="17">
      <c r="A17" s="195" t="str">
        <f>IF(AND(B17&lt;&gt;"", C17=TRUE, E17=Report!$B$1), B17, "")</f>
        <v/>
      </c>
      <c r="B17" s="200" t="str">
        <f>IF(OR(E17=Report!$B$1, F17=Report!$B$1, G17=Report!$B$1, H17=Report!$B$1), D17, "")</f>
        <v/>
      </c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5"/>
      <c r="O17" s="195"/>
      <c r="P17" s="195"/>
      <c r="Q17" s="195"/>
      <c r="R17" s="195"/>
      <c r="S17" s="195"/>
      <c r="T17" s="195"/>
      <c r="U17" s="195"/>
      <c r="V17" s="195"/>
      <c r="W17" s="198"/>
      <c r="X17" s="195"/>
      <c r="Y17" s="195"/>
      <c r="Z17" s="195"/>
      <c r="AA17" s="195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</row>
    <row r="18">
      <c r="A18" s="195" t="str">
        <f>IF(AND(B18&lt;&gt;"", C18=TRUE, E18=Report!$B$1), B18, "")</f>
        <v/>
      </c>
      <c r="B18" s="200" t="str">
        <f>IF(OR(E18=Report!$B$1, F18=Report!$B$1, G18=Report!$B$1, H18=Report!$B$1), D18, "")</f>
        <v/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5"/>
      <c r="P18" s="195"/>
      <c r="Q18" s="195"/>
      <c r="R18" s="195"/>
      <c r="S18" s="195"/>
      <c r="T18" s="195"/>
      <c r="U18" s="195"/>
      <c r="V18" s="195"/>
      <c r="W18" s="198"/>
      <c r="X18" s="195"/>
      <c r="Y18" s="195"/>
      <c r="Z18" s="195"/>
      <c r="AA18" s="195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</row>
    <row r="19">
      <c r="A19" s="195" t="str">
        <f>IF(AND(B19&lt;&gt;"", C19=TRUE, E19=Report!$B$1), B19, "")</f>
        <v/>
      </c>
      <c r="B19" s="200" t="str">
        <f>IF(OR(E19=Report!$B$1, F19=Report!$B$1, G19=Report!$B$1, H19=Report!$B$1), D19, "")</f>
        <v/>
      </c>
      <c r="C19" s="195"/>
      <c r="D19" s="195"/>
      <c r="E19" s="195"/>
      <c r="F19" s="195"/>
      <c r="G19" s="195"/>
      <c r="H19" s="195"/>
      <c r="I19" s="195"/>
      <c r="J19" s="195"/>
      <c r="K19" s="195"/>
      <c r="L19" s="195"/>
      <c r="M19" s="195"/>
      <c r="N19" s="195"/>
      <c r="O19" s="195"/>
      <c r="P19" s="195"/>
      <c r="Q19" s="195"/>
      <c r="R19" s="195"/>
      <c r="S19" s="195"/>
      <c r="T19" s="195"/>
      <c r="U19" s="195"/>
      <c r="V19" s="195"/>
      <c r="W19" s="198"/>
      <c r="X19" s="195"/>
      <c r="Y19" s="195"/>
      <c r="Z19" s="195"/>
      <c r="AA19" s="195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</row>
    <row r="20">
      <c r="A20" s="195" t="str">
        <f>IF(AND(B20&lt;&gt;"", C20=TRUE, E20=Report!$B$1), B20, "")</f>
        <v/>
      </c>
      <c r="B20" s="200" t="str">
        <f>IF(OR(E20=Report!$B$1, F20=Report!$B$1, G20=Report!$B$1, H20=Report!$B$1), D20, "")</f>
        <v/>
      </c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8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</row>
    <row r="21">
      <c r="A21" s="195" t="str">
        <f>IF(AND(B21&lt;&gt;"", C21=TRUE, E21=Report!$B$1), B21, "")</f>
        <v/>
      </c>
      <c r="B21" s="200" t="str">
        <f>IF(OR(E21=Report!$B$1, F21=Report!$B$1, G21=Report!$B$1, H21=Report!$B$1), D21, "")</f>
        <v/>
      </c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8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</row>
    <row r="22">
      <c r="A22" s="195" t="str">
        <f>IF(AND(B22&lt;&gt;"", C22=TRUE, E22=Report!$B$1), B22, "")</f>
        <v/>
      </c>
      <c r="B22" s="200" t="str">
        <f>IF(OR(E22=Report!$B$1, F22=Report!$B$1, G22=Report!$B$1, H22=Report!$B$1), D22, "")</f>
        <v/>
      </c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8"/>
      <c r="X22" s="195"/>
      <c r="Y22" s="195"/>
      <c r="Z22" s="195"/>
      <c r="AA22" s="195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</row>
    <row r="23">
      <c r="A23" s="195" t="str">
        <f>IF(AND(B23&lt;&gt;"", C23=TRUE, E23=Report!$B$1), B23, "")</f>
        <v/>
      </c>
      <c r="B23" s="200" t="str">
        <f>IF(OR(E23=Report!$B$1, F23=Report!$B$1, G23=Report!$B$1, H23=Report!$B$1), D23, "")</f>
        <v/>
      </c>
      <c r="C23" s="195"/>
      <c r="D23" s="195"/>
      <c r="E23" s="195"/>
      <c r="F23" s="195"/>
      <c r="G23" s="195"/>
      <c r="H23" s="195"/>
      <c r="I23" s="195"/>
      <c r="J23" s="195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8"/>
      <c r="X23" s="195"/>
      <c r="Y23" s="195"/>
      <c r="Z23" s="195"/>
      <c r="AA23" s="195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</row>
    <row r="24">
      <c r="A24" s="195" t="str">
        <f>IF(AND(B24&lt;&gt;"", C24=TRUE, E24=Report!$B$1), B24, "")</f>
        <v/>
      </c>
      <c r="B24" s="200" t="str">
        <f>IF(OR(E24=Report!$B$1, F24=Report!$B$1, G24=Report!$B$1, H24=Report!$B$1), D24, "")</f>
        <v/>
      </c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8"/>
      <c r="X24" s="195"/>
      <c r="Y24" s="195"/>
      <c r="Z24" s="195"/>
      <c r="AA24" s="195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</row>
    <row r="25">
      <c r="A25" s="195" t="str">
        <f>IF(AND(B25&lt;&gt;"", C25=TRUE, E25=Report!$B$1), B25, "")</f>
        <v/>
      </c>
      <c r="B25" s="200" t="str">
        <f>IF(OR(E25=Report!$B$1, F25=Report!$B$1, G25=Report!$B$1, H25=Report!$B$1), D25, "")</f>
        <v/>
      </c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5"/>
      <c r="S25" s="195"/>
      <c r="T25" s="195"/>
      <c r="U25" s="195"/>
      <c r="V25" s="195"/>
      <c r="W25" s="198"/>
      <c r="X25" s="195"/>
      <c r="Y25" s="195"/>
      <c r="Z25" s="195"/>
      <c r="AA25" s="195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</row>
    <row r="26">
      <c r="A26" s="195" t="str">
        <f>IF(AND(B26&lt;&gt;"", C26=TRUE, E26=Report!$B$1), B26, "")</f>
        <v/>
      </c>
      <c r="B26" s="200" t="str">
        <f>IF(OR(E26=Report!$B$1, F26=Report!$B$1, G26=Report!$B$1, H26=Report!$B$1), D26, "")</f>
        <v/>
      </c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  <c r="O26" s="195"/>
      <c r="P26" s="195"/>
      <c r="Q26" s="195"/>
      <c r="R26" s="195"/>
      <c r="S26" s="195"/>
      <c r="T26" s="195"/>
      <c r="U26" s="195"/>
      <c r="V26" s="195"/>
      <c r="W26" s="198"/>
      <c r="X26" s="195"/>
      <c r="Y26" s="195"/>
      <c r="Z26" s="195"/>
      <c r="AA26" s="195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</row>
    <row r="27">
      <c r="A27" s="195" t="str">
        <f>IF(AND(B27&lt;&gt;"", C27=TRUE, E27=Report!$B$1), B27, "")</f>
        <v/>
      </c>
      <c r="B27" s="200" t="str">
        <f>IF(OR(E27=Report!$B$1, F27=Report!$B$1, G27=Report!$B$1, H27=Report!$B$1), D27, "")</f>
        <v/>
      </c>
      <c r="C27" s="195"/>
      <c r="D27" s="195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5"/>
      <c r="S27" s="195"/>
      <c r="T27" s="195"/>
      <c r="U27" s="195"/>
      <c r="V27" s="195"/>
      <c r="W27" s="198"/>
      <c r="X27" s="195"/>
      <c r="Y27" s="195"/>
      <c r="Z27" s="195"/>
      <c r="AA27" s="195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</row>
    <row r="28">
      <c r="A28" s="195" t="str">
        <f>IF(AND(B28&lt;&gt;"", C28=TRUE, E28=Report!$B$1), B28, "")</f>
        <v/>
      </c>
      <c r="B28" s="200" t="str">
        <f>IF(OR(E28=Report!$B$1, F28=Report!$B$1, G28=Report!$B$1, H28=Report!$B$1), D28, "")</f>
        <v/>
      </c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5"/>
      <c r="N28" s="195"/>
      <c r="O28" s="195"/>
      <c r="P28" s="195"/>
      <c r="Q28" s="195"/>
      <c r="R28" s="195"/>
      <c r="S28" s="195"/>
      <c r="T28" s="195"/>
      <c r="U28" s="195"/>
      <c r="V28" s="195"/>
      <c r="W28" s="198"/>
      <c r="X28" s="195"/>
      <c r="Y28" s="195"/>
      <c r="Z28" s="195"/>
      <c r="AA28" s="195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</row>
    <row r="29">
      <c r="A29" s="195" t="str">
        <f>IF(AND(B29&lt;&gt;"", C29=TRUE, E29=Report!$B$1), B29, "")</f>
        <v/>
      </c>
      <c r="B29" s="200" t="str">
        <f>IF(OR(E29=Report!$B$1, F29=Report!$B$1, G29=Report!$B$1, H29=Report!$B$1), D29, "")</f>
        <v/>
      </c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8"/>
      <c r="X29" s="195"/>
      <c r="Y29" s="195"/>
      <c r="Z29" s="195"/>
      <c r="AA29" s="195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</row>
    <row r="30">
      <c r="A30" s="195" t="str">
        <f>IF(AND(B30&lt;&gt;"", C30=TRUE, E30=Report!$B$1), B30, "")</f>
        <v/>
      </c>
      <c r="B30" s="200" t="str">
        <f>IF(OR(E30=Report!$B$1, F30=Report!$B$1, G30=Report!$B$1, H30=Report!$B$1), D30, "")</f>
        <v/>
      </c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8"/>
      <c r="X30" s="195"/>
      <c r="Y30" s="195"/>
      <c r="Z30" s="195"/>
      <c r="AA30" s="195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</row>
    <row r="31">
      <c r="A31" s="195" t="str">
        <f>IF(AND(B31&lt;&gt;"", C31=TRUE, E31=Report!$B$1), B31, "")</f>
        <v/>
      </c>
      <c r="B31" s="200" t="str">
        <f>IF(OR(E31=Report!$B$1, F31=Report!$B$1, G31=Report!$B$1, H31=Report!$B$1), D31, "")</f>
        <v/>
      </c>
      <c r="C31" s="195"/>
      <c r="D31" s="195"/>
      <c r="E31" s="195"/>
      <c r="F31" s="195"/>
      <c r="G31" s="195"/>
      <c r="H31" s="195"/>
      <c r="I31" s="195"/>
      <c r="J31" s="195"/>
      <c r="K31" s="195"/>
      <c r="L31" s="195"/>
      <c r="M31" s="195"/>
      <c r="N31" s="195"/>
      <c r="O31" s="195"/>
      <c r="P31" s="195"/>
      <c r="Q31" s="195"/>
      <c r="R31" s="195"/>
      <c r="S31" s="195"/>
      <c r="T31" s="195"/>
      <c r="U31" s="195"/>
      <c r="V31" s="195"/>
      <c r="W31" s="198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</row>
    <row r="32">
      <c r="A32" s="195" t="str">
        <f>IF(AND(B32&lt;&gt;"", C32=TRUE, E32=Report!$B$1), B32, "")</f>
        <v/>
      </c>
      <c r="B32" s="200" t="str">
        <f>IF(OR(E32=Report!$B$1, F32=Report!$B$1, G32=Report!$B$1, H32=Report!$B$1), D32, "")</f>
        <v/>
      </c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  <c r="T32" s="195"/>
      <c r="U32" s="195"/>
      <c r="V32" s="195"/>
      <c r="W32" s="198"/>
      <c r="X32" s="195"/>
      <c r="Y32" s="195"/>
      <c r="Z32" s="195"/>
      <c r="AA32" s="195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</row>
    <row r="33">
      <c r="A33" s="195" t="str">
        <f>IF(AND(B33&lt;&gt;"", C33=TRUE, E33=Report!$B$1), B33, "")</f>
        <v/>
      </c>
      <c r="B33" s="200" t="str">
        <f>IF(OR(E33=Report!$B$1, F33=Report!$B$1, G33=Report!$B$1, H33=Report!$B$1), D33, "")</f>
        <v/>
      </c>
      <c r="C33" s="195"/>
      <c r="D33" s="195"/>
      <c r="E33" s="195"/>
      <c r="F33" s="195"/>
      <c r="G33" s="195"/>
      <c r="H33" s="195"/>
      <c r="I33" s="195"/>
      <c r="J33" s="195"/>
      <c r="K33" s="195"/>
      <c r="L33" s="195"/>
      <c r="M33" s="195"/>
      <c r="N33" s="195"/>
      <c r="O33" s="195"/>
      <c r="P33" s="195"/>
      <c r="Q33" s="195"/>
      <c r="R33" s="195"/>
      <c r="S33" s="195"/>
      <c r="T33" s="195"/>
      <c r="U33" s="195"/>
      <c r="V33" s="195"/>
      <c r="W33" s="198"/>
      <c r="X33" s="195"/>
      <c r="Y33" s="195"/>
      <c r="Z33" s="195"/>
      <c r="AA33" s="195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</row>
    <row r="34">
      <c r="A34" s="195" t="str">
        <f>IF(AND(B34&lt;&gt;"", C34=TRUE, E34=Report!$B$1), B34, "")</f>
        <v/>
      </c>
      <c r="B34" s="200" t="str">
        <f>IF(OR(E34=Report!$B$1, F34=Report!$B$1, G34=Report!$B$1, H34=Report!$B$1), D34, "")</f>
        <v/>
      </c>
      <c r="C34" s="195"/>
      <c r="D34" s="195"/>
      <c r="E34" s="195"/>
      <c r="F34" s="195"/>
      <c r="G34" s="195"/>
      <c r="H34" s="195"/>
      <c r="I34" s="195"/>
      <c r="J34" s="195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8"/>
      <c r="X34" s="195"/>
      <c r="Y34" s="195"/>
      <c r="Z34" s="195"/>
      <c r="AA34" s="195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</row>
    <row r="35">
      <c r="A35" s="195" t="str">
        <f>IF(AND(B35&lt;&gt;"", C35=TRUE, E35=Report!$B$1), B35, "")</f>
        <v/>
      </c>
      <c r="B35" s="200" t="str">
        <f>IF(OR(E35=Report!$B$1, F35=Report!$B$1, G35=Report!$B$1, H35=Report!$B$1), D35, "")</f>
        <v/>
      </c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8"/>
      <c r="X35" s="195"/>
      <c r="Y35" s="195"/>
      <c r="Z35" s="195"/>
      <c r="AA35" s="195"/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</row>
    <row r="36">
      <c r="A36" s="195" t="str">
        <f>IF(AND(B36&lt;&gt;"", C36=TRUE, E36=Report!$B$1), B36, "")</f>
        <v/>
      </c>
      <c r="B36" s="200" t="str">
        <f>IF(OR(E36=Report!$B$1, F36=Report!$B$1, G36=Report!$B$1, H36=Report!$B$1), D36, "")</f>
        <v/>
      </c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8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</row>
    <row r="37">
      <c r="A37" s="195" t="str">
        <f>IF(AND(B37&lt;&gt;"", C37=TRUE, E37=Report!$B$1), B37, "")</f>
        <v/>
      </c>
      <c r="B37" s="200" t="str">
        <f>IF(OR(E37=Report!$B$1, F37=Report!$B$1, G37=Report!$B$1, H37=Report!$B$1), D37, "")</f>
        <v/>
      </c>
      <c r="C37" s="195"/>
      <c r="D37" s="195"/>
      <c r="E37" s="195"/>
      <c r="F37" s="195"/>
      <c r="G37" s="195"/>
      <c r="H37" s="195"/>
      <c r="I37" s="195"/>
      <c r="J37" s="195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8"/>
      <c r="X37" s="195"/>
      <c r="Y37" s="195"/>
      <c r="Z37" s="195"/>
      <c r="AA37" s="195"/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</row>
    <row r="38">
      <c r="A38" s="195" t="str">
        <f>IF(AND(B38&lt;&gt;"", C38=TRUE, E38=Report!$B$1), B38, "")</f>
        <v/>
      </c>
      <c r="B38" s="200" t="str">
        <f>IF(OR(E38=Report!$B$1, F38=Report!$B$1, G38=Report!$B$1, H38=Report!$B$1), D38, "")</f>
        <v/>
      </c>
      <c r="C38" s="195"/>
      <c r="D38" s="195"/>
      <c r="E38" s="195"/>
      <c r="F38" s="195"/>
      <c r="G38" s="195"/>
      <c r="H38" s="195"/>
      <c r="I38" s="195"/>
      <c r="J38" s="195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8"/>
      <c r="X38" s="195"/>
      <c r="Y38" s="195"/>
      <c r="Z38" s="195"/>
      <c r="AA38" s="195"/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</row>
    <row r="39">
      <c r="A39" s="195" t="str">
        <f>IF(AND(B39&lt;&gt;"", C39=TRUE, E39=Report!$B$1), B39, "")</f>
        <v/>
      </c>
      <c r="B39" s="200" t="str">
        <f>IF(OR(E39=Report!$B$1, F39=Report!$B$1, G39=Report!$B$1, H39=Report!$B$1), D39, "")</f>
        <v/>
      </c>
      <c r="C39" s="195"/>
      <c r="D39" s="195"/>
      <c r="E39" s="195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8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</row>
    <row r="40">
      <c r="A40" s="195" t="str">
        <f>IF(AND(B40&lt;&gt;"", C40=TRUE, E40=Report!$B$1), B40, "")</f>
        <v/>
      </c>
      <c r="B40" s="200" t="str">
        <f>IF(OR(E40=Report!$B$1, F40=Report!$B$1, G40=Report!$B$1, H40=Report!$B$1), D40, "")</f>
        <v/>
      </c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8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</row>
    <row r="41">
      <c r="A41" s="195" t="str">
        <f>IF(AND(B41&lt;&gt;"", C41=TRUE, E41=Report!$B$1), B41, "")</f>
        <v/>
      </c>
      <c r="B41" s="200" t="str">
        <f>IF(OR(E41=Report!$B$1, F41=Report!$B$1, G41=Report!$B$1, H41=Report!$B$1), D41, "")</f>
        <v/>
      </c>
      <c r="C41" s="195"/>
      <c r="D41" s="195"/>
      <c r="E41" s="195"/>
      <c r="F41" s="195"/>
      <c r="G41" s="195"/>
      <c r="H41" s="195"/>
      <c r="I41" s="195"/>
      <c r="J41" s="195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8"/>
      <c r="X41" s="195"/>
      <c r="Y41" s="195"/>
      <c r="Z41" s="195"/>
      <c r="AA41" s="195"/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</row>
    <row r="42">
      <c r="A42" s="195" t="str">
        <f>IF(AND(B42&lt;&gt;"", C42=TRUE, E42=Report!$B$1), B42, "")</f>
        <v/>
      </c>
      <c r="B42" s="200" t="str">
        <f>IF(OR(E42=Report!$B$1, F42=Report!$B$1, G42=Report!$B$1, H42=Report!$B$1), D42, "")</f>
        <v/>
      </c>
      <c r="C42" s="195"/>
      <c r="D42" s="195"/>
      <c r="E42" s="195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8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</row>
    <row r="43">
      <c r="A43" s="195" t="str">
        <f>IF(AND(B43&lt;&gt;"", C43=TRUE, E43=Report!$B$1), B43, "")</f>
        <v/>
      </c>
      <c r="B43" s="200" t="str">
        <f>IF(OR(E43=Report!$B$1, F43=Report!$B$1, G43=Report!$B$1, H43=Report!$B$1), D43, "")</f>
        <v/>
      </c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8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</row>
    <row r="44">
      <c r="A44" s="195"/>
      <c r="B44" s="201" t="str">
        <f>IF(OR(E44=Report!$B$1, F44=Report!$B$1, G44=Report!$B$1, H44=Report!$B$1), D44, "")</f>
        <v/>
      </c>
      <c r="C44" s="195"/>
      <c r="D44" s="195"/>
      <c r="E44" s="195"/>
      <c r="F44" s="195"/>
      <c r="G44" s="195"/>
      <c r="H44" s="195"/>
      <c r="I44" s="195"/>
      <c r="J44" s="195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8"/>
      <c r="X44" s="195"/>
      <c r="Y44" s="195"/>
      <c r="Z44" s="195"/>
      <c r="AA44" s="195"/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</row>
    <row r="45">
      <c r="A45" s="195"/>
      <c r="B45" s="201" t="str">
        <f>IF(OR(E45=Report!$B$1, F45=Report!$B$1, G45=Report!$B$1, H45=Report!$B$1), D45, "")</f>
        <v/>
      </c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8"/>
      <c r="X45" s="195"/>
      <c r="Y45" s="195"/>
      <c r="Z45" s="195"/>
      <c r="AA45" s="195"/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</row>
    <row r="46">
      <c r="A46" s="195"/>
      <c r="B46" s="201" t="str">
        <f>IF(OR(E46=Report!$B$1, F46=Report!$B$1, G46=Report!$B$1, H46=Report!$B$1), D46, "")</f>
        <v/>
      </c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8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</row>
    <row r="47">
      <c r="A47" s="195"/>
      <c r="B47" s="201" t="str">
        <f>IF(OR(E47=Report!$B$1, F47=Report!$B$1, G47=Report!$B$1, H47=Report!$B$1), D47, "")</f>
        <v/>
      </c>
      <c r="C47" s="195"/>
      <c r="D47" s="195"/>
      <c r="E47" s="195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8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</row>
    <row r="48">
      <c r="A48" s="195"/>
      <c r="B48" s="201" t="str">
        <f>IF(OR(E48=Report!$B$1, F48=Report!$B$1, G48=Report!$B$1, H48=Report!$B$1), D48, "")</f>
        <v/>
      </c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8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</row>
    <row r="49">
      <c r="A49" s="195"/>
      <c r="B49" s="201" t="str">
        <f>IF(OR(E49=Report!$B$1, F49=Report!$B$1, G49=Report!$B$1, H49=Report!$B$1), D49, "")</f>
        <v/>
      </c>
      <c r="C49" s="195"/>
      <c r="D49" s="195"/>
      <c r="E49" s="195"/>
      <c r="F49" s="195"/>
      <c r="G49" s="195"/>
      <c r="H49" s="195"/>
      <c r="I49" s="195"/>
      <c r="J49" s="195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8"/>
      <c r="X49" s="195"/>
      <c r="Y49" s="195"/>
      <c r="Z49" s="195"/>
      <c r="AA49" s="195"/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</row>
    <row r="50">
      <c r="A50" s="195"/>
      <c r="B50" s="201" t="str">
        <f>IF(OR(E50=Report!$B$1, F50=Report!$B$1, G50=Report!$B$1, H50=Report!$B$1), D50, "")</f>
        <v/>
      </c>
      <c r="C50" s="195"/>
      <c r="D50" s="195"/>
      <c r="E50" s="195"/>
      <c r="F50" s="195"/>
      <c r="G50" s="195"/>
      <c r="H50" s="195"/>
      <c r="I50" s="195"/>
      <c r="J50" s="195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8"/>
      <c r="X50" s="195"/>
      <c r="Y50" s="195"/>
      <c r="Z50" s="195"/>
      <c r="AA50" s="195"/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</row>
    <row r="51">
      <c r="A51" s="195"/>
      <c r="B51" s="201" t="str">
        <f>IF(OR(E51=Report!$B$1, F51=Report!$B$1, G51=Report!$B$1, H51=Report!$B$1), D51, "")</f>
        <v/>
      </c>
      <c r="C51" s="195"/>
      <c r="D51" s="195"/>
      <c r="E51" s="195"/>
      <c r="F51" s="195"/>
      <c r="G51" s="195"/>
      <c r="H51" s="195"/>
      <c r="I51" s="195"/>
      <c r="J51" s="195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8"/>
      <c r="X51" s="195"/>
      <c r="Y51" s="195"/>
      <c r="Z51" s="195"/>
      <c r="AA51" s="195"/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</row>
    <row r="52">
      <c r="A52" s="195"/>
      <c r="B52" s="201" t="str">
        <f>IF(OR(E52=Report!$B$1, F52=Report!$B$1, G52=Report!$B$1, H52=Report!$B$1), D52, "")</f>
        <v/>
      </c>
      <c r="C52" s="195"/>
      <c r="D52" s="195"/>
      <c r="E52" s="195"/>
      <c r="F52" s="195"/>
      <c r="G52" s="195"/>
      <c r="H52" s="195"/>
      <c r="I52" s="195"/>
      <c r="J52" s="195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8"/>
      <c r="X52" s="195"/>
      <c r="Y52" s="195"/>
      <c r="Z52" s="195"/>
      <c r="AA52" s="195"/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</row>
    <row r="53">
      <c r="A53" s="195"/>
      <c r="B53" s="201" t="str">
        <f>IF(OR(E53=Report!$B$1, F53=Report!$B$1, G53=Report!$B$1, H53=Report!$B$1), D53, "")</f>
        <v/>
      </c>
      <c r="C53" s="195"/>
      <c r="D53" s="195"/>
      <c r="E53" s="195"/>
      <c r="F53" s="195"/>
      <c r="G53" s="195"/>
      <c r="H53" s="195"/>
      <c r="I53" s="195"/>
      <c r="J53" s="195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8"/>
      <c r="X53" s="195"/>
      <c r="Y53" s="195"/>
      <c r="Z53" s="195"/>
      <c r="AA53" s="195"/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</row>
    <row r="54">
      <c r="A54" s="195"/>
      <c r="B54" s="201" t="str">
        <f>IF(OR(E54=Report!$B$1, F54=Report!$B$1, G54=Report!$B$1, H54=Report!$B$1), D54, "")</f>
        <v/>
      </c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8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</row>
    <row r="55">
      <c r="A55" s="195"/>
      <c r="B55" s="201" t="str">
        <f>IF(OR(E55=Report!$B$1, F55=Report!$B$1, G55=Report!$B$1, H55=Report!$B$1), D55, "")</f>
        <v/>
      </c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8"/>
      <c r="X55" s="195"/>
      <c r="Y55" s="195"/>
      <c r="Z55" s="195"/>
      <c r="AA55" s="195"/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</row>
    <row r="56">
      <c r="A56" s="195"/>
      <c r="B56" s="201" t="str">
        <f>IF(OR(E56=Report!$B$1, F56=Report!$B$1, G56=Report!$B$1, H56=Report!$B$1), D56, "")</f>
        <v/>
      </c>
      <c r="C56" s="195"/>
      <c r="D56" s="195"/>
      <c r="E56" s="195"/>
      <c r="F56" s="195"/>
      <c r="G56" s="195"/>
      <c r="H56" s="195"/>
      <c r="I56" s="195"/>
      <c r="J56" s="195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8"/>
      <c r="X56" s="195"/>
      <c r="Y56" s="195"/>
      <c r="Z56" s="195"/>
      <c r="AA56" s="195"/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</row>
    <row r="57">
      <c r="A57" s="195"/>
      <c r="B57" s="201" t="str">
        <f>IF(OR(E57=Report!$B$1, F57=Report!$B$1, G57=Report!$B$1, H57=Report!$B$1), D57, "")</f>
        <v/>
      </c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8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</row>
    <row r="58">
      <c r="A58" s="195"/>
      <c r="B58" s="201" t="str">
        <f>IF(OR(E58=Report!$B$1, F58=Report!$B$1, G58=Report!$B$1, H58=Report!$B$1), D58, "")</f>
        <v/>
      </c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8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</row>
    <row r="59">
      <c r="A59" s="195"/>
      <c r="B59" s="201" t="str">
        <f>IF(OR(E59=Report!$B$1, F59=Report!$B$1, G59=Report!$B$1, H59=Report!$B$1), D59, "")</f>
        <v/>
      </c>
      <c r="C59" s="195"/>
      <c r="D59" s="195"/>
      <c r="E59" s="195"/>
      <c r="F59" s="195"/>
      <c r="G59" s="195"/>
      <c r="H59" s="195"/>
      <c r="I59" s="195"/>
      <c r="J59" s="195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8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</row>
    <row r="60">
      <c r="A60" s="195"/>
      <c r="B60" s="201" t="str">
        <f>IF(OR(E60=Report!$B$1, F60=Report!$B$1, G60=Report!$B$1, H60=Report!$B$1), D60, "")</f>
        <v/>
      </c>
      <c r="C60" s="195"/>
      <c r="D60" s="195"/>
      <c r="E60" s="195"/>
      <c r="F60" s="195"/>
      <c r="G60" s="195"/>
      <c r="H60" s="195"/>
      <c r="I60" s="195"/>
      <c r="J60" s="195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8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</row>
    <row r="61">
      <c r="A61" s="195"/>
      <c r="B61" s="200" t="str">
        <f>IF(OR(E61=Report!$B$1, F61=Report!$B$1, G61=Report!$B$1, H61=Report!$B$1), D61, "")</f>
        <v/>
      </c>
      <c r="C61" s="195"/>
      <c r="D61" s="195"/>
      <c r="E61" s="195"/>
      <c r="F61" s="195"/>
      <c r="G61" s="195"/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8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</row>
    <row r="62">
      <c r="A62" s="195"/>
      <c r="B62" s="200" t="str">
        <f>IF(OR(E62=Report!$B$1, F62=Report!$B$1, G62=Report!$B$1, H62=Report!$B$1), D62, "")</f>
        <v/>
      </c>
      <c r="C62" s="195"/>
      <c r="D62" s="195"/>
      <c r="E62" s="195"/>
      <c r="F62" s="195"/>
      <c r="G62" s="195"/>
      <c r="H62" s="195"/>
      <c r="I62" s="195"/>
      <c r="J62" s="195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8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</row>
    <row r="63">
      <c r="A63" s="195"/>
      <c r="B63" s="200" t="str">
        <f>IF(OR(E63=Report!$B$1, F63=Report!$B$1, G63=Report!$B$1, H63=Report!$B$1), D63, "")</f>
        <v/>
      </c>
      <c r="C63" s="195"/>
      <c r="D63" s="195"/>
      <c r="E63" s="195"/>
      <c r="F63" s="195"/>
      <c r="G63" s="195"/>
      <c r="H63" s="195"/>
      <c r="I63" s="195"/>
      <c r="J63" s="195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8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</row>
    <row r="64">
      <c r="A64" s="195"/>
      <c r="B64" s="200" t="str">
        <f>IF(OR(E64=Report!$B$1, F64=Report!$B$1, G64=Report!$B$1, H64=Report!$B$1), D64, "")</f>
        <v/>
      </c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8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</row>
    <row r="65">
      <c r="A65" s="195"/>
      <c r="B65" s="200" t="str">
        <f>IF(OR(E65=Report!$B$1, F65=Report!$B$1, G65=Report!$B$1, H65=Report!$B$1), D65, "")</f>
        <v/>
      </c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8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</row>
    <row r="66">
      <c r="A66" s="195"/>
      <c r="B66" s="200" t="str">
        <f>IF(OR(E66=Report!$B$1, F66=Report!$B$1, G66=Report!$B$1, H66=Report!$B$1), D66, "")</f>
        <v/>
      </c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8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</row>
    <row r="67">
      <c r="A67" s="195"/>
      <c r="B67" s="200" t="str">
        <f>IF(OR(E67=Report!$B$1, F67=Report!$B$1, G67=Report!$B$1, H67=Report!$B$1), D67, "")</f>
        <v/>
      </c>
      <c r="C67" s="195"/>
      <c r="D67" s="195"/>
      <c r="E67" s="195"/>
      <c r="F67" s="195"/>
      <c r="G67" s="195"/>
      <c r="H67" s="195"/>
      <c r="I67" s="195"/>
      <c r="J67" s="195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8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</row>
    <row r="68">
      <c r="A68" s="195"/>
      <c r="B68" s="200" t="str">
        <f>IF(OR(E68=Report!$B$1, F68=Report!$B$1, G68=Report!$B$1, H68=Report!$B$1), D68, "")</f>
        <v/>
      </c>
      <c r="C68" s="195"/>
      <c r="D68" s="195"/>
      <c r="E68" s="195"/>
      <c r="F68" s="195"/>
      <c r="G68" s="195"/>
      <c r="H68" s="195"/>
      <c r="I68" s="195"/>
      <c r="J68" s="195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8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</row>
    <row r="69">
      <c r="A69" s="195"/>
      <c r="B69" s="200" t="str">
        <f>IF(OR(E69=Report!$B$1, F69=Report!$B$1, G69=Report!$B$1, H69=Report!$B$1), D69, "")</f>
        <v/>
      </c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8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</row>
    <row r="70">
      <c r="A70" s="195"/>
      <c r="B70" s="200" t="str">
        <f>IF(OR(E70=Report!$B$1, F70=Report!$B$1, G70=Report!$B$1, H70=Report!$B$1), D70, "")</f>
        <v/>
      </c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8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</row>
    <row r="71">
      <c r="A71" s="195"/>
      <c r="B71" s="200" t="str">
        <f>IF(OR(E71=Report!$B$1, F71=Report!$B$1, G71=Report!$B$1, H71=Report!$B$1), D71, "")</f>
        <v/>
      </c>
      <c r="C71" s="195"/>
      <c r="D71" s="195"/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8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</row>
    <row r="72">
      <c r="A72" s="195"/>
      <c r="B72" s="200" t="str">
        <f>IF(OR(E72=Report!$B$1, F72=Report!$B$1, G72=Report!$B$1, H72=Report!$B$1), D72, "")</f>
        <v/>
      </c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8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</row>
    <row r="73">
      <c r="A73" s="195"/>
      <c r="B73" s="200" t="str">
        <f>IF(OR(E73=Report!$B$1, F73=Report!$B$1, G73=Report!$B$1, H73=Report!$B$1), D73, "")</f>
        <v/>
      </c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8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</row>
    <row r="74">
      <c r="A74" s="195"/>
      <c r="B74" s="200" t="str">
        <f>IF(OR(E74=Report!$B$1, F74=Report!$B$1, G74=Report!$B$1, H74=Report!$B$1), D74, "")</f>
        <v/>
      </c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8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</row>
    <row r="75">
      <c r="A75" s="195"/>
      <c r="B75" s="200" t="str">
        <f>IF(OR(E75=Report!$B$1, F75=Report!$B$1, G75=Report!$B$1, H75=Report!$B$1), D75, "")</f>
        <v/>
      </c>
      <c r="C75" s="195"/>
      <c r="D75" s="195"/>
      <c r="E75" s="195"/>
      <c r="F75" s="195"/>
      <c r="G75" s="195"/>
      <c r="H75" s="195"/>
      <c r="I75" s="195"/>
      <c r="J75" s="195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8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</row>
    <row r="76">
      <c r="A76" s="195"/>
      <c r="B76" s="200" t="str">
        <f>IF(OR(E76=Report!$B$1, F76=Report!$B$1, G76=Report!$B$1, H76=Report!$B$1), D76, "")</f>
        <v/>
      </c>
      <c r="C76" s="195"/>
      <c r="D76" s="195"/>
      <c r="E76" s="195"/>
      <c r="F76" s="195"/>
      <c r="G76" s="195"/>
      <c r="H76" s="195"/>
      <c r="I76" s="195"/>
      <c r="J76" s="195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8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</row>
    <row r="77">
      <c r="A77" s="195"/>
      <c r="B77" s="200" t="str">
        <f>IF(OR(E77=Report!$B$1, F77=Report!$B$1, G77=Report!$B$1, H77=Report!$B$1), D77, "")</f>
        <v/>
      </c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8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</row>
    <row r="78">
      <c r="A78" s="195"/>
      <c r="B78" s="200" t="str">
        <f>IF(OR(E78=Report!$B$1, F78=Report!$B$1, G78=Report!$B$1, H78=Report!$B$1), D78, "")</f>
        <v/>
      </c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8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</row>
    <row r="79">
      <c r="A79" s="195"/>
      <c r="B79" s="200" t="str">
        <f>IF(OR(E79=Report!$B$1, F79=Report!$B$1, G79=Report!$B$1, H79=Report!$B$1), D79, "")</f>
        <v/>
      </c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8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</row>
    <row r="80">
      <c r="A80" s="195"/>
      <c r="B80" s="200" t="str">
        <f>IF(OR(E80=Report!$B$1, F80=Report!$B$1, G80=Report!$B$1, H80=Report!$B$1), D80, "")</f>
        <v/>
      </c>
      <c r="C80" s="195"/>
      <c r="D80" s="195"/>
      <c r="E80" s="195"/>
      <c r="F80" s="195"/>
      <c r="G80" s="195"/>
      <c r="H80" s="195"/>
      <c r="I80" s="195"/>
      <c r="J80" s="195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8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</row>
    <row r="81">
      <c r="A81" s="195"/>
      <c r="B81" s="200" t="str">
        <f>IF(OR(E81=Report!$B$1, F81=Report!$B$1, G81=Report!$B$1, H81=Report!$B$1), D81, "")</f>
        <v/>
      </c>
      <c r="C81" s="195"/>
      <c r="D81" s="195"/>
      <c r="E81" s="195"/>
      <c r="F81" s="195"/>
      <c r="G81" s="195"/>
      <c r="H81" s="195"/>
      <c r="I81" s="195"/>
      <c r="J81" s="195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8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</row>
    <row r="82">
      <c r="A82" s="195"/>
      <c r="B82" s="200" t="str">
        <f>IF(OR(E82=Report!$B$1, F82=Report!$B$1, G82=Report!$B$1, H82=Report!$B$1), D82, "")</f>
        <v/>
      </c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8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</row>
    <row r="83">
      <c r="A83" s="195"/>
      <c r="B83" s="200" t="str">
        <f>IF(OR(E83=Report!$B$1, F83=Report!$B$1, G83=Report!$B$1, H83=Report!$B$1), D83, "")</f>
        <v/>
      </c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8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</row>
    <row r="84">
      <c r="A84" s="195"/>
      <c r="B84" s="200" t="str">
        <f>IF(OR(E84=Report!$B$1, F84=Report!$B$1, G84=Report!$B$1, H84=Report!$B$1), D84, "")</f>
        <v/>
      </c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8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</row>
    <row r="85">
      <c r="A85" s="195"/>
      <c r="B85" s="200" t="str">
        <f>IF(OR(E85=Report!$B$1, F85=Report!$B$1, G85=Report!$B$1, H85=Report!$B$1), D85, "")</f>
        <v/>
      </c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8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</row>
    <row r="86">
      <c r="A86" s="195"/>
      <c r="B86" s="200" t="str">
        <f>IF(OR(E86=Report!$B$1, F86=Report!$B$1, G86=Report!$B$1, H86=Report!$B$1), D86, "")</f>
        <v/>
      </c>
      <c r="C86" s="195"/>
      <c r="D86" s="195"/>
      <c r="E86" s="195"/>
      <c r="F86" s="195"/>
      <c r="G86" s="195"/>
      <c r="H86" s="195"/>
      <c r="I86" s="195"/>
      <c r="J86" s="195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8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</row>
    <row r="87">
      <c r="A87" s="195"/>
      <c r="B87" s="200" t="str">
        <f>IF(OR(E87=Report!$B$1, F87=Report!$B$1, G87=Report!$B$1, H87=Report!$B$1), D87, "")</f>
        <v/>
      </c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8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</row>
    <row r="88">
      <c r="A88" s="195"/>
      <c r="B88" s="200" t="str">
        <f>IF(OR(E88=Report!$B$1, F88=Report!$B$1, G88=Report!$B$1, H88=Report!$B$1), D88, "")</f>
        <v/>
      </c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8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</row>
    <row r="89">
      <c r="A89" s="195"/>
      <c r="B89" s="200" t="str">
        <f>IF(OR(E89=Report!$B$1, F89=Report!$B$1, G89=Report!$B$1, H89=Report!$B$1), D89, "")</f>
        <v/>
      </c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8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</row>
    <row r="90">
      <c r="A90" s="195"/>
      <c r="B90" s="200" t="str">
        <f>IF(OR(E90=Report!$B$1, F90=Report!$B$1, G90=Report!$B$1, H90=Report!$B$1), D90, "")</f>
        <v/>
      </c>
      <c r="C90" s="195"/>
      <c r="D90" s="195"/>
      <c r="E90" s="195"/>
      <c r="F90" s="195"/>
      <c r="G90" s="195"/>
      <c r="H90" s="195"/>
      <c r="I90" s="195"/>
      <c r="J90" s="195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8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</row>
    <row r="91">
      <c r="A91" s="195"/>
      <c r="B91" s="200" t="str">
        <f>IF(OR(E91=Report!$B$1, F91=Report!$B$1, G91=Report!$B$1, H91=Report!$B$1), D91, "")</f>
        <v/>
      </c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8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</row>
    <row r="92">
      <c r="A92" s="195"/>
      <c r="B92" s="200" t="str">
        <f>IF(OR(E92=Report!$B$1, F92=Report!$B$1, G92=Report!$B$1, H92=Report!$B$1), D92, "")</f>
        <v/>
      </c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8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</row>
    <row r="93">
      <c r="A93" s="195"/>
      <c r="B93" s="200" t="str">
        <f>IF(OR(E93=Report!$B$1, F93=Report!$B$1, G93=Report!$B$1, H93=Report!$B$1), D93, "")</f>
        <v/>
      </c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8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</row>
    <row r="94">
      <c r="A94" s="195"/>
      <c r="B94" s="200" t="str">
        <f>IF(OR(E94=Report!$B$1, F94=Report!$B$1, G94=Report!$B$1, H94=Report!$B$1), D94, "")</f>
        <v/>
      </c>
      <c r="C94" s="195"/>
      <c r="D94" s="195"/>
      <c r="E94" s="195"/>
      <c r="F94" s="195"/>
      <c r="G94" s="195"/>
      <c r="H94" s="195"/>
      <c r="I94" s="195"/>
      <c r="J94" s="195"/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8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</row>
    <row r="95">
      <c r="A95" s="195"/>
      <c r="B95" s="200" t="str">
        <f>IF(OR(E95=Report!$B$1, F95=Report!$B$1, G95=Report!$B$1, H95=Report!$B$1), D95, "")</f>
        <v/>
      </c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8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</row>
    <row r="96">
      <c r="A96" s="195"/>
      <c r="B96" s="200" t="str">
        <f>IF(OR(E96=Report!$B$1, F96=Report!$B$1, G96=Report!$B$1, H96=Report!$B$1), D96, "")</f>
        <v/>
      </c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8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</row>
    <row r="97">
      <c r="A97" s="195"/>
      <c r="B97" s="200" t="str">
        <f>IF(OR(E97=Report!$B$1, F97=Report!$B$1, G97=Report!$B$1, H97=Report!$B$1), D97, "")</f>
        <v/>
      </c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8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</row>
    <row r="98">
      <c r="A98" s="195"/>
      <c r="B98" s="200" t="str">
        <f>IF(OR(E98=Report!$B$1, F98=Report!$B$1, G98=Report!$B$1, H98=Report!$B$1), D98, "")</f>
        <v/>
      </c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8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</row>
    <row r="99">
      <c r="A99" s="195"/>
      <c r="B99" s="200" t="str">
        <f>IF(OR(E99=Report!$B$1, F99=Report!$B$1, G99=Report!$B$1, H99=Report!$B$1), D99, "")</f>
        <v/>
      </c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8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</row>
    <row r="100">
      <c r="A100" s="195"/>
      <c r="B100" s="200" t="str">
        <f>IF(OR(E100=Report!$B$1, F100=Report!$B$1, G100=Report!$B$1, H100=Report!$B$1), D100, "")</f>
        <v/>
      </c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8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</row>
    <row r="101">
      <c r="A101" s="195"/>
      <c r="B101" s="200" t="str">
        <f>IF(OR(E101=Report!$B$1, F101=Report!$B$1, G101=Report!$B$1, H101=Report!$B$1), D101, "")</f>
        <v/>
      </c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8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</row>
    <row r="102">
      <c r="A102" s="195"/>
      <c r="B102" s="200" t="str">
        <f>IF(OR(E102=Report!$B$1, F102=Report!$B$1, G102=Report!$B$1, H102=Report!$B$1), D102, "")</f>
        <v/>
      </c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8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</row>
    <row r="103">
      <c r="A103" s="195"/>
      <c r="B103" s="200" t="str">
        <f>IF(OR(E103=Report!$B$1, F103=Report!$B$1, G103=Report!$B$1, H103=Report!$B$1), D103, "")</f>
        <v/>
      </c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8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</row>
    <row r="104">
      <c r="A104" s="195"/>
      <c r="B104" s="200" t="str">
        <f>IF(OR(E104=Report!$B$1, F104=Report!$B$1, G104=Report!$B$1, H104=Report!$B$1), D104, "")</f>
        <v/>
      </c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8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</row>
    <row r="105">
      <c r="A105" s="195"/>
      <c r="B105" s="200" t="str">
        <f>IF(OR(E105=Report!$B$1, F105=Report!$B$1, G105=Report!$B$1, H105=Report!$B$1), D105, "")</f>
        <v/>
      </c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8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</row>
    <row r="106">
      <c r="A106" s="195"/>
      <c r="B106" s="200" t="str">
        <f>IF(OR(E106=Report!$B$1, F106=Report!$B$1, G106=Report!$B$1, H106=Report!$B$1), D106, "")</f>
        <v/>
      </c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8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</row>
    <row r="107">
      <c r="A107" s="195"/>
      <c r="B107" s="200" t="str">
        <f>IF(OR(E107=Report!$B$1, F107=Report!$B$1, G107=Report!$B$1, H107=Report!$B$1), D107, "")</f>
        <v/>
      </c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8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</row>
    <row r="108">
      <c r="A108" s="195"/>
      <c r="B108" s="200" t="str">
        <f>IF(OR(E108=Report!$B$1, F108=Report!$B$1, G108=Report!$B$1, H108=Report!$B$1), D108, "")</f>
        <v/>
      </c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8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</row>
    <row r="109">
      <c r="A109" s="195"/>
      <c r="B109" s="200" t="str">
        <f>IF(OR(E109=Report!$B$1, F109=Report!$B$1, G109=Report!$B$1, H109=Report!$B$1), D109, "")</f>
        <v/>
      </c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8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</row>
    <row r="110">
      <c r="A110" s="195"/>
      <c r="B110" s="200" t="str">
        <f>IF(OR(E110=Report!$B$1, F110=Report!$B$1, G110=Report!$B$1, H110=Report!$B$1), D110, "")</f>
        <v/>
      </c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8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</row>
    <row r="111">
      <c r="A111" s="195"/>
      <c r="B111" s="200" t="str">
        <f>IF(OR(E111=Report!$B$1, F111=Report!$B$1, G111=Report!$B$1, H111=Report!$B$1), D111, "")</f>
        <v/>
      </c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8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</row>
    <row r="112">
      <c r="A112" s="195"/>
      <c r="B112" s="200" t="str">
        <f>IF(OR(E112=Report!$B$1, F112=Report!$B$1, G112=Report!$B$1, H112=Report!$B$1), D112, "")</f>
        <v/>
      </c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8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</row>
    <row r="113">
      <c r="A113" s="195"/>
      <c r="B113" s="200" t="str">
        <f>IF(OR(E113=Report!$B$1, F113=Report!$B$1, G113=Report!$B$1, H113=Report!$B$1), D113, "")</f>
        <v/>
      </c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8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</row>
    <row r="114">
      <c r="A114" s="195"/>
      <c r="B114" s="200" t="str">
        <f>IF(OR(E114=Report!$B$1, F114=Report!$B$1, G114=Report!$B$1, H114=Report!$B$1), D114, "")</f>
        <v/>
      </c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8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</row>
    <row r="115">
      <c r="A115" s="195"/>
      <c r="B115" s="200" t="str">
        <f>IF(OR(E115=Report!$B$1, F115=Report!$B$1, G115=Report!$B$1, H115=Report!$B$1), D115, "")</f>
        <v/>
      </c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8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</row>
    <row r="116">
      <c r="A116" s="195"/>
      <c r="B116" s="200" t="str">
        <f>IF(OR(E116=Report!$B$1, F116=Report!$B$1, G116=Report!$B$1, H116=Report!$B$1), D116, "")</f>
        <v/>
      </c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8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</row>
    <row r="117">
      <c r="A117" s="195"/>
      <c r="B117" s="200" t="str">
        <f>IF(OR(E117=Report!$B$1, F117=Report!$B$1, G117=Report!$B$1, H117=Report!$B$1), D117, "")</f>
        <v/>
      </c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8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</row>
    <row r="118">
      <c r="A118" s="195"/>
      <c r="B118" s="200" t="str">
        <f>IF(OR(E118=Report!$B$1, F118=Report!$B$1, G118=Report!$B$1, H118=Report!$B$1), D118, "")</f>
        <v/>
      </c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8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</row>
    <row r="119">
      <c r="A119" s="195"/>
      <c r="B119" s="200" t="str">
        <f>IF(OR(E119=Report!$B$1, F119=Report!$B$1, G119=Report!$B$1, H119=Report!$B$1), D119, "")</f>
        <v/>
      </c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8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</row>
    <row r="120">
      <c r="A120" s="195"/>
      <c r="B120" s="200" t="str">
        <f>IF(OR(E120=Report!$B$1, F120=Report!$B$1, G120=Report!$B$1, H120=Report!$B$1), D120, "")</f>
        <v/>
      </c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8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</row>
    <row r="121">
      <c r="A121" s="195"/>
      <c r="B121" s="200" t="str">
        <f>IF(OR(E121=Report!$B$1, F121=Report!$B$1, G121=Report!$B$1, H121=Report!$B$1), D121, "")</f>
        <v/>
      </c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8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</row>
    <row r="122">
      <c r="A122" s="195"/>
      <c r="B122" s="200" t="str">
        <f>IF(OR(E122=Report!$B$1, F122=Report!$B$1, G122=Report!$B$1, H122=Report!$B$1), D122, "")</f>
        <v/>
      </c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8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</row>
    <row r="123">
      <c r="A123" s="195"/>
      <c r="B123" s="200" t="str">
        <f>IF(OR(E123=Report!$B$1, F123=Report!$B$1, G123=Report!$B$1, H123=Report!$B$1), D123, "")</f>
        <v/>
      </c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8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</row>
    <row r="124">
      <c r="A124" s="195"/>
      <c r="B124" s="200" t="str">
        <f>IF(OR(E124=Report!$B$1, F124=Report!$B$1, G124=Report!$B$1, H124=Report!$B$1), D124, "")</f>
        <v/>
      </c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8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</row>
    <row r="125">
      <c r="A125" s="195"/>
      <c r="B125" s="200" t="str">
        <f>IF(OR(E125=Report!$B$1, F125=Report!$B$1, G125=Report!$B$1, H125=Report!$B$1), D125, "")</f>
        <v/>
      </c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8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</row>
    <row r="126">
      <c r="A126" s="195"/>
      <c r="B126" s="200" t="str">
        <f>IF(OR(E126=Report!$B$1, F126=Report!$B$1, G126=Report!$B$1, H126=Report!$B$1), D126, "")</f>
        <v/>
      </c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8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</row>
    <row r="127">
      <c r="A127" s="195"/>
      <c r="B127" s="200" t="str">
        <f>IF(OR(E127=Report!$B$1, F127=Report!$B$1, G127=Report!$B$1, H127=Report!$B$1), D127, "")</f>
        <v/>
      </c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8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</row>
    <row r="128">
      <c r="A128" s="195"/>
      <c r="B128" s="200" t="str">
        <f>IF(OR(E128=Report!$B$1, F128=Report!$B$1, G128=Report!$B$1, H128=Report!$B$1), D128, "")</f>
        <v/>
      </c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8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</row>
    <row r="129">
      <c r="A129" s="195"/>
      <c r="B129" s="200" t="str">
        <f>IF(OR(E129=Report!$B$1, F129=Report!$B$1, G129=Report!$B$1, H129=Report!$B$1), D129, "")</f>
        <v/>
      </c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8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</row>
    <row r="130">
      <c r="A130" s="195"/>
      <c r="B130" s="200" t="str">
        <f>IF(OR(E130=Report!$B$1, F130=Report!$B$1, G130=Report!$B$1, H130=Report!$B$1), D130, "")</f>
        <v/>
      </c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8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</row>
    <row r="131">
      <c r="A131" s="195"/>
      <c r="B131" s="200" t="str">
        <f>IF(OR(E131=Report!$B$1, F131=Report!$B$1, G131=Report!$B$1, H131=Report!$B$1), D131, "")</f>
        <v/>
      </c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8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</row>
    <row r="132">
      <c r="A132" s="195"/>
      <c r="B132" s="200" t="str">
        <f>IF(OR(E132=Report!$B$1, F132=Report!$B$1, G132=Report!$B$1, H132=Report!$B$1), D132, "")</f>
        <v/>
      </c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8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</row>
    <row r="133">
      <c r="A133" s="195"/>
      <c r="B133" s="200" t="str">
        <f>IF(OR(E133=Report!$B$1, F133=Report!$B$1, G133=Report!$B$1, H133=Report!$B$1), D133, "")</f>
        <v/>
      </c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8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</row>
    <row r="134">
      <c r="A134" s="195"/>
      <c r="B134" s="200" t="str">
        <f>IF(OR(E134=Report!$B$1, F134=Report!$B$1, G134=Report!$B$1, H134=Report!$B$1), D134, "")</f>
        <v/>
      </c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8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</row>
    <row r="135">
      <c r="A135" s="195"/>
      <c r="B135" s="200" t="str">
        <f>IF(OR(E135=Report!$B$1, F135=Report!$B$1, G135=Report!$B$1, H135=Report!$B$1), D135, "")</f>
        <v/>
      </c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8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</row>
    <row r="136">
      <c r="A136" s="195"/>
      <c r="B136" s="200" t="str">
        <f>IF(OR(E136=Report!$B$1, F136=Report!$B$1, G136=Report!$B$1, H136=Report!$B$1), D136, "")</f>
        <v/>
      </c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8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</row>
    <row r="137">
      <c r="A137" s="195"/>
      <c r="B137" s="200" t="str">
        <f>IF(OR(E137=Report!$B$1, F137=Report!$B$1, G137=Report!$B$1, H137=Report!$B$1), D137, "")</f>
        <v/>
      </c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8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</row>
    <row r="138">
      <c r="A138" s="195"/>
      <c r="B138" s="200" t="str">
        <f>IF(OR(E138=Report!$B$1, F138=Report!$B$1, G138=Report!$B$1, H138=Report!$B$1), D138, "")</f>
        <v/>
      </c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8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</row>
    <row r="139">
      <c r="A139" s="195"/>
      <c r="B139" s="200" t="str">
        <f>IF(OR(E139=Report!$B$1, F139=Report!$B$1, G139=Report!$B$1, H139=Report!$B$1), D139, "")</f>
        <v/>
      </c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8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</row>
    <row r="140">
      <c r="A140" s="195"/>
      <c r="B140" s="200" t="str">
        <f>IF(OR(E140=Report!$B$1, F140=Report!$B$1, G140=Report!$B$1, H140=Report!$B$1), D140, "")</f>
        <v/>
      </c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8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</row>
    <row r="141">
      <c r="A141" s="195"/>
      <c r="B141" s="200" t="str">
        <f>IF(OR(E141=Report!$B$1, F141=Report!$B$1, G141=Report!$B$1, H141=Report!$B$1), D141, "")</f>
        <v/>
      </c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8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</row>
    <row r="142">
      <c r="A142" s="195"/>
      <c r="B142" s="200" t="str">
        <f>IF(OR(E142=Report!$B$1, F142=Report!$B$1, G142=Report!$B$1, H142=Report!$B$1), D142, "")</f>
        <v/>
      </c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8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</row>
    <row r="143">
      <c r="A143" s="195"/>
      <c r="B143" s="200" t="str">
        <f>IF(OR(E143=Report!$B$1, F143=Report!$B$1, G143=Report!$B$1, H143=Report!$B$1), D143, "")</f>
        <v/>
      </c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8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</row>
    <row r="144">
      <c r="A144" s="195"/>
      <c r="B144" s="200" t="str">
        <f>IF(OR(E144=Report!$B$1, F144=Report!$B$1, G144=Report!$B$1, H144=Report!$B$1), D144, "")</f>
        <v/>
      </c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8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</row>
    <row r="145">
      <c r="A145" s="195"/>
      <c r="B145" s="200" t="str">
        <f>IF(OR(E145=Report!$B$1, F145=Report!$B$1, G145=Report!$B$1, H145=Report!$B$1), D145, "")</f>
        <v/>
      </c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8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</row>
    <row r="146">
      <c r="A146" s="195"/>
      <c r="B146" s="200" t="str">
        <f>IF(OR(E146=Report!$B$1, F146=Report!$B$1, G146=Report!$B$1, H146=Report!$B$1), D146, "")</f>
        <v/>
      </c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8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</row>
    <row r="147">
      <c r="A147" s="195"/>
      <c r="B147" s="200" t="str">
        <f>IF(OR(E147=Report!$B$1, F147=Report!$B$1, G147=Report!$B$1, H147=Report!$B$1), D147, "")</f>
        <v/>
      </c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8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</row>
    <row r="148">
      <c r="A148" s="195"/>
      <c r="B148" s="200" t="str">
        <f>IF(OR(E148=Report!$B$1, F148=Report!$B$1, G148=Report!$B$1, H148=Report!$B$1), D148, "")</f>
        <v/>
      </c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8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</row>
    <row r="149">
      <c r="A149" s="195"/>
      <c r="B149" s="200" t="str">
        <f>IF(OR(E149=Report!$B$1, F149=Report!$B$1, G149=Report!$B$1, H149=Report!$B$1), D149, "")</f>
        <v/>
      </c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8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</row>
    <row r="150">
      <c r="A150" s="195"/>
      <c r="B150" s="200" t="str">
        <f>IF(OR(E150=Report!$B$1, F150=Report!$B$1, G150=Report!$B$1, H150=Report!$B$1), D150, "")</f>
        <v/>
      </c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8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</row>
    <row r="151">
      <c r="A151" s="195"/>
      <c r="B151" s="200" t="str">
        <f>IF(OR(E151=Report!$B$1, F151=Report!$B$1, G151=Report!$B$1, H151=Report!$B$1), D151, "")</f>
        <v/>
      </c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8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</row>
    <row r="152">
      <c r="A152" s="195"/>
      <c r="B152" s="200" t="str">
        <f>IF(OR(E152=Report!$B$1, F152=Report!$B$1, G152=Report!$B$1, H152=Report!$B$1), D152, "")</f>
        <v/>
      </c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8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</row>
    <row r="153">
      <c r="A153" s="195"/>
      <c r="B153" s="200" t="str">
        <f>IF(OR(E153=Report!$B$1, F153=Report!$B$1, G153=Report!$B$1, H153=Report!$B$1), D153, "")</f>
        <v/>
      </c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8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</row>
    <row r="154">
      <c r="A154" s="195"/>
      <c r="B154" s="200" t="str">
        <f>IF(OR(E154=Report!$B$1, F154=Report!$B$1, G154=Report!$B$1, H154=Report!$B$1), D154, "")</f>
        <v/>
      </c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8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</row>
    <row r="155">
      <c r="A155" s="195"/>
      <c r="B155" s="200" t="str">
        <f>IF(OR(E155=Report!$B$1, F155=Report!$B$1, G155=Report!$B$1, H155=Report!$B$1), D155, "")</f>
        <v/>
      </c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8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</row>
    <row r="156">
      <c r="A156" s="195"/>
      <c r="B156" s="200" t="str">
        <f>IF(OR(E156=Report!$B$1, F156=Report!$B$1, G156=Report!$B$1, H156=Report!$B$1), D156, "")</f>
        <v/>
      </c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8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</row>
    <row r="157">
      <c r="A157" s="195"/>
      <c r="B157" s="200" t="str">
        <f>IF(OR(E157=Report!$B$1, F157=Report!$B$1, G157=Report!$B$1, H157=Report!$B$1), D157, "")</f>
        <v/>
      </c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8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</row>
    <row r="158">
      <c r="A158" s="195"/>
      <c r="B158" s="200" t="str">
        <f>IF(OR(E158=Report!$B$1, F158=Report!$B$1, G158=Report!$B$1, H158=Report!$B$1), D158, "")</f>
        <v/>
      </c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8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</row>
    <row r="159">
      <c r="A159" s="195"/>
      <c r="B159" s="200" t="str">
        <f>IF(OR(E159=Report!$B$1, F159=Report!$B$1, G159=Report!$B$1, H159=Report!$B$1), D159, "")</f>
        <v/>
      </c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8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</row>
    <row r="160">
      <c r="A160" s="195"/>
      <c r="B160" s="200" t="str">
        <f>IF(OR(E160=Report!$B$1, F160=Report!$B$1, G160=Report!$B$1, H160=Report!$B$1), D160, "")</f>
        <v/>
      </c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8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</row>
    <row r="161">
      <c r="A161" s="195"/>
      <c r="B161" s="200" t="str">
        <f>IF(OR(E161=Report!$B$1, F161=Report!$B$1, G161=Report!$B$1, H161=Report!$B$1), D161, "")</f>
        <v/>
      </c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8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</row>
    <row r="162">
      <c r="A162" s="195"/>
      <c r="B162" s="200" t="str">
        <f>IF(OR(E162=Report!$B$1, F162=Report!$B$1, G162=Report!$B$1, H162=Report!$B$1), D162, "")</f>
        <v/>
      </c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8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</row>
    <row r="163">
      <c r="A163" s="195"/>
      <c r="B163" s="200" t="str">
        <f>IF(OR(E163=Report!$B$1, F163=Report!$B$1, G163=Report!$B$1, H163=Report!$B$1), D163, "")</f>
        <v/>
      </c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8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</row>
    <row r="164">
      <c r="A164" s="195"/>
      <c r="B164" s="200" t="str">
        <f>IF(OR(E164=Report!$B$1, F164=Report!$B$1, G164=Report!$B$1, H164=Report!$B$1), D164, "")</f>
        <v/>
      </c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8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</row>
    <row r="165">
      <c r="A165" s="195"/>
      <c r="B165" s="200" t="str">
        <f>IF(OR(E165=Report!$B$1, F165=Report!$B$1, G165=Report!$B$1, H165=Report!$B$1), D165, "")</f>
        <v/>
      </c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8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</row>
    <row r="166">
      <c r="A166" s="195"/>
      <c r="B166" s="200" t="str">
        <f>IF(OR(E166=Report!$B$1, F166=Report!$B$1, G166=Report!$B$1, H166=Report!$B$1), D166, "")</f>
        <v/>
      </c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8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</row>
    <row r="167">
      <c r="A167" s="195"/>
      <c r="B167" s="200" t="str">
        <f>IF(OR(E167=Report!$B$1, F167=Report!$B$1, G167=Report!$B$1, H167=Report!$B$1), D167, "")</f>
        <v/>
      </c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8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</row>
    <row r="168">
      <c r="A168" s="195"/>
      <c r="B168" s="200" t="str">
        <f>IF(OR(E168=Report!$B$1, F168=Report!$B$1, G168=Report!$B$1, H168=Report!$B$1), D168, "")</f>
        <v/>
      </c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8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</row>
    <row r="169">
      <c r="A169" s="195"/>
      <c r="B169" s="200" t="str">
        <f>IF(OR(E169=Report!$B$1, F169=Report!$B$1, G169=Report!$B$1, H169=Report!$B$1), D169, "")</f>
        <v/>
      </c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8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</row>
    <row r="170">
      <c r="A170" s="195"/>
      <c r="B170" s="200" t="str">
        <f>IF(OR(E170=Report!$B$1, F170=Report!$B$1, G170=Report!$B$1, H170=Report!$B$1), D170, "")</f>
        <v/>
      </c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8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</row>
    <row r="171">
      <c r="A171" s="195"/>
      <c r="B171" s="200" t="str">
        <f>IF(OR(E171=Report!$B$1, F171=Report!$B$1, G171=Report!$B$1, H171=Report!$B$1), D171, "")</f>
        <v/>
      </c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8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</row>
    <row r="172">
      <c r="A172" s="195"/>
      <c r="B172" s="200" t="str">
        <f>IF(OR(E172=Report!$B$1, F172=Report!$B$1, G172=Report!$B$1, H172=Report!$B$1), D172, "")</f>
        <v/>
      </c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8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</row>
    <row r="173">
      <c r="A173" s="195"/>
      <c r="B173" s="200" t="str">
        <f>IF(OR(E173=Report!$B$1, F173=Report!$B$1, G173=Report!$B$1, H173=Report!$B$1), D173, "")</f>
        <v/>
      </c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8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</row>
    <row r="174">
      <c r="A174" s="195"/>
      <c r="B174" s="200" t="str">
        <f>IF(OR(E174=Report!$B$1, F174=Report!$B$1, G174=Report!$B$1, H174=Report!$B$1), D174, "")</f>
        <v/>
      </c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8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</row>
    <row r="175">
      <c r="A175" s="195"/>
      <c r="B175" s="200" t="str">
        <f>IF(OR(E175=Report!$B$1, F175=Report!$B$1, G175=Report!$B$1, H175=Report!$B$1), D175, "")</f>
        <v/>
      </c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8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</row>
    <row r="176">
      <c r="A176" s="195"/>
      <c r="B176" s="200" t="str">
        <f>IF(OR(E176=Report!$B$1, F176=Report!$B$1, G176=Report!$B$1, H176=Report!$B$1), D176, "")</f>
        <v/>
      </c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8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</row>
    <row r="177">
      <c r="A177" s="195"/>
      <c r="B177" s="200" t="str">
        <f>IF(OR(E177=Report!$B$1, F177=Report!$B$1, G177=Report!$B$1, H177=Report!$B$1), D177, "")</f>
        <v/>
      </c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8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</row>
    <row r="178">
      <c r="A178" s="195"/>
      <c r="B178" s="200" t="str">
        <f>IF(OR(E178=Report!$B$1, F178=Report!$B$1, G178=Report!$B$1, H178=Report!$B$1), D178, "")</f>
        <v/>
      </c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8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</row>
    <row r="179">
      <c r="A179" s="195"/>
      <c r="B179" s="200" t="str">
        <f>IF(OR(E179=Report!$B$1, F179=Report!$B$1, G179=Report!$B$1, H179=Report!$B$1), D179, "")</f>
        <v/>
      </c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8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</row>
    <row r="180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8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</row>
    <row r="18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8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</row>
    <row r="182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8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</row>
    <row r="183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8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</row>
    <row r="184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8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</row>
    <row r="185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8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</row>
    <row r="18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8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</row>
    <row r="187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8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</row>
    <row r="188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8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</row>
    <row r="189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8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</row>
    <row r="190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8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</row>
    <row r="19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8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</row>
    <row r="192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8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</row>
    <row r="193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8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</row>
    <row r="194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8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</row>
    <row r="195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8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</row>
    <row r="19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8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</row>
    <row r="197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8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</row>
    <row r="198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8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</row>
    <row r="199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8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</row>
    <row r="200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8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</row>
    <row r="20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195"/>
      <c r="Q201" s="195"/>
      <c r="R201" s="195"/>
      <c r="S201" s="195"/>
      <c r="T201" s="195"/>
      <c r="U201" s="195"/>
      <c r="V201" s="195"/>
      <c r="W201" s="198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</row>
    <row r="202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195"/>
      <c r="Q202" s="195"/>
      <c r="R202" s="195"/>
      <c r="S202" s="195"/>
      <c r="T202" s="195"/>
      <c r="U202" s="195"/>
      <c r="V202" s="195"/>
      <c r="W202" s="198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</row>
    <row r="203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195"/>
      <c r="Q203" s="195"/>
      <c r="R203" s="195"/>
      <c r="S203" s="195"/>
      <c r="T203" s="195"/>
      <c r="U203" s="195"/>
      <c r="V203" s="195"/>
      <c r="W203" s="198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</row>
    <row r="204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195"/>
      <c r="Q204" s="195"/>
      <c r="R204" s="195"/>
      <c r="S204" s="195"/>
      <c r="T204" s="195"/>
      <c r="U204" s="195"/>
      <c r="V204" s="195"/>
      <c r="W204" s="198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</row>
    <row r="205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195"/>
      <c r="Q205" s="195"/>
      <c r="R205" s="195"/>
      <c r="S205" s="195"/>
      <c r="T205" s="195"/>
      <c r="U205" s="195"/>
      <c r="V205" s="195"/>
      <c r="W205" s="198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</row>
    <row r="206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195"/>
      <c r="Q206" s="195"/>
      <c r="R206" s="195"/>
      <c r="S206" s="195"/>
      <c r="T206" s="195"/>
      <c r="U206" s="195"/>
      <c r="V206" s="195"/>
      <c r="W206" s="198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</row>
    <row r="207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8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</row>
    <row r="208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195"/>
      <c r="Q208" s="195"/>
      <c r="R208" s="195"/>
      <c r="S208" s="195"/>
      <c r="T208" s="195"/>
      <c r="U208" s="195"/>
      <c r="V208" s="195"/>
      <c r="W208" s="198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</row>
    <row r="209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195"/>
      <c r="Q209" s="195"/>
      <c r="R209" s="195"/>
      <c r="S209" s="195"/>
      <c r="T209" s="195"/>
      <c r="U209" s="195"/>
      <c r="V209" s="195"/>
      <c r="W209" s="198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</row>
    <row r="210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195"/>
      <c r="Q210" s="195"/>
      <c r="R210" s="195"/>
      <c r="S210" s="195"/>
      <c r="T210" s="195"/>
      <c r="U210" s="195"/>
      <c r="V210" s="195"/>
      <c r="W210" s="198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</row>
    <row r="21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195"/>
      <c r="Q211" s="195"/>
      <c r="R211" s="195"/>
      <c r="S211" s="195"/>
      <c r="T211" s="195"/>
      <c r="U211" s="195"/>
      <c r="V211" s="195"/>
      <c r="W211" s="198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</row>
    <row r="212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195"/>
      <c r="Q212" s="195"/>
      <c r="R212" s="195"/>
      <c r="S212" s="195"/>
      <c r="T212" s="195"/>
      <c r="U212" s="195"/>
      <c r="V212" s="195"/>
      <c r="W212" s="198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</row>
    <row r="213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195"/>
      <c r="Q213" s="195"/>
      <c r="R213" s="195"/>
      <c r="S213" s="195"/>
      <c r="T213" s="195"/>
      <c r="U213" s="195"/>
      <c r="V213" s="195"/>
      <c r="W213" s="198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</row>
    <row r="214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195"/>
      <c r="Q214" s="195"/>
      <c r="R214" s="195"/>
      <c r="S214" s="195"/>
      <c r="T214" s="195"/>
      <c r="U214" s="195"/>
      <c r="V214" s="195"/>
      <c r="W214" s="198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</row>
    <row r="215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195"/>
      <c r="Q215" s="195"/>
      <c r="R215" s="195"/>
      <c r="S215" s="195"/>
      <c r="T215" s="195"/>
      <c r="U215" s="195"/>
      <c r="V215" s="195"/>
      <c r="W215" s="198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</row>
    <row r="216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195"/>
      <c r="Q216" s="195"/>
      <c r="R216" s="195"/>
      <c r="S216" s="195"/>
      <c r="T216" s="195"/>
      <c r="U216" s="195"/>
      <c r="V216" s="195"/>
      <c r="W216" s="198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</row>
    <row r="217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195"/>
      <c r="Q217" s="195"/>
      <c r="R217" s="195"/>
      <c r="S217" s="195"/>
      <c r="T217" s="195"/>
      <c r="U217" s="195"/>
      <c r="V217" s="195"/>
      <c r="W217" s="198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</row>
    <row r="218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195"/>
      <c r="Q218" s="195"/>
      <c r="R218" s="195"/>
      <c r="S218" s="195"/>
      <c r="T218" s="195"/>
      <c r="U218" s="195"/>
      <c r="V218" s="195"/>
      <c r="W218" s="198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</row>
    <row r="219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195"/>
      <c r="Q219" s="195"/>
      <c r="R219" s="195"/>
      <c r="S219" s="195"/>
      <c r="T219" s="195"/>
      <c r="U219" s="195"/>
      <c r="V219" s="195"/>
      <c r="W219" s="198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</row>
    <row r="220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195"/>
      <c r="Q220" s="195"/>
      <c r="R220" s="195"/>
      <c r="S220" s="195"/>
      <c r="T220" s="195"/>
      <c r="U220" s="195"/>
      <c r="V220" s="195"/>
      <c r="W220" s="198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</row>
    <row r="22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195"/>
      <c r="Q221" s="195"/>
      <c r="R221" s="195"/>
      <c r="S221" s="195"/>
      <c r="T221" s="195"/>
      <c r="U221" s="195"/>
      <c r="V221" s="195"/>
      <c r="W221" s="198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</row>
    <row r="222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195"/>
      <c r="Q222" s="195"/>
      <c r="R222" s="195"/>
      <c r="S222" s="195"/>
      <c r="T222" s="195"/>
      <c r="U222" s="195"/>
      <c r="V222" s="195"/>
      <c r="W222" s="198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</row>
    <row r="223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195"/>
      <c r="Q223" s="195"/>
      <c r="R223" s="195"/>
      <c r="S223" s="195"/>
      <c r="T223" s="195"/>
      <c r="U223" s="195"/>
      <c r="V223" s="195"/>
      <c r="W223" s="198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</row>
    <row r="224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195"/>
      <c r="Q224" s="195"/>
      <c r="R224" s="195"/>
      <c r="S224" s="195"/>
      <c r="T224" s="195"/>
      <c r="U224" s="195"/>
      <c r="V224" s="195"/>
      <c r="W224" s="198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</row>
    <row r="225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195"/>
      <c r="Q225" s="195"/>
      <c r="R225" s="195"/>
      <c r="S225" s="195"/>
      <c r="T225" s="195"/>
      <c r="U225" s="195"/>
      <c r="V225" s="195"/>
      <c r="W225" s="198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</row>
    <row r="226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195"/>
      <c r="Q226" s="195"/>
      <c r="R226" s="195"/>
      <c r="S226" s="195"/>
      <c r="T226" s="195"/>
      <c r="U226" s="195"/>
      <c r="V226" s="195"/>
      <c r="W226" s="198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</row>
    <row r="227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195"/>
      <c r="Q227" s="195"/>
      <c r="R227" s="195"/>
      <c r="S227" s="195"/>
      <c r="T227" s="195"/>
      <c r="U227" s="195"/>
      <c r="V227" s="195"/>
      <c r="W227" s="198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</row>
    <row r="228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195"/>
      <c r="Q228" s="195"/>
      <c r="R228" s="195"/>
      <c r="S228" s="195"/>
      <c r="T228" s="195"/>
      <c r="U228" s="195"/>
      <c r="V228" s="195"/>
      <c r="W228" s="198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</row>
    <row r="229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195"/>
      <c r="Q229" s="195"/>
      <c r="R229" s="195"/>
      <c r="S229" s="195"/>
      <c r="T229" s="195"/>
      <c r="U229" s="195"/>
      <c r="V229" s="195"/>
      <c r="W229" s="198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</row>
    <row r="230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195"/>
      <c r="Q230" s="195"/>
      <c r="R230" s="195"/>
      <c r="S230" s="195"/>
      <c r="T230" s="195"/>
      <c r="U230" s="195"/>
      <c r="V230" s="195"/>
      <c r="W230" s="198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</row>
    <row r="23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195"/>
      <c r="Q231" s="195"/>
      <c r="R231" s="195"/>
      <c r="S231" s="195"/>
      <c r="T231" s="195"/>
      <c r="U231" s="195"/>
      <c r="V231" s="195"/>
      <c r="W231" s="198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</row>
    <row r="232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195"/>
      <c r="Q232" s="195"/>
      <c r="R232" s="195"/>
      <c r="S232" s="195"/>
      <c r="T232" s="195"/>
      <c r="U232" s="195"/>
      <c r="V232" s="195"/>
      <c r="W232" s="198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</row>
    <row r="233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195"/>
      <c r="Q233" s="195"/>
      <c r="R233" s="195"/>
      <c r="S233" s="195"/>
      <c r="T233" s="195"/>
      <c r="U233" s="195"/>
      <c r="V233" s="195"/>
      <c r="W233" s="198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</row>
    <row r="234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195"/>
      <c r="Q234" s="195"/>
      <c r="R234" s="195"/>
      <c r="S234" s="195"/>
      <c r="T234" s="195"/>
      <c r="U234" s="195"/>
      <c r="V234" s="195"/>
      <c r="W234" s="198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</row>
    <row r="235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195"/>
      <c r="Q235" s="195"/>
      <c r="R235" s="195"/>
      <c r="S235" s="195"/>
      <c r="T235" s="195"/>
      <c r="U235" s="195"/>
      <c r="V235" s="195"/>
      <c r="W235" s="198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</row>
    <row r="236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195"/>
      <c r="Q236" s="195"/>
      <c r="R236" s="195"/>
      <c r="S236" s="195"/>
      <c r="T236" s="195"/>
      <c r="U236" s="195"/>
      <c r="V236" s="195"/>
      <c r="W236" s="198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</row>
    <row r="237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195"/>
      <c r="Q237" s="195"/>
      <c r="R237" s="195"/>
      <c r="S237" s="195"/>
      <c r="T237" s="195"/>
      <c r="U237" s="195"/>
      <c r="V237" s="195"/>
      <c r="W237" s="198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</row>
    <row r="238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195"/>
      <c r="Q238" s="195"/>
      <c r="R238" s="195"/>
      <c r="S238" s="195"/>
      <c r="T238" s="195"/>
      <c r="U238" s="195"/>
      <c r="V238" s="195"/>
      <c r="W238" s="198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</row>
    <row r="239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195"/>
      <c r="Q239" s="195"/>
      <c r="R239" s="195"/>
      <c r="S239" s="195"/>
      <c r="T239" s="195"/>
      <c r="U239" s="195"/>
      <c r="V239" s="195"/>
      <c r="W239" s="198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</row>
    <row r="240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195"/>
      <c r="Q240" s="195"/>
      <c r="R240" s="195"/>
      <c r="S240" s="195"/>
      <c r="T240" s="195"/>
      <c r="U240" s="195"/>
      <c r="V240" s="195"/>
      <c r="W240" s="198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</row>
    <row r="24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195"/>
      <c r="Q241" s="195"/>
      <c r="R241" s="195"/>
      <c r="S241" s="195"/>
      <c r="T241" s="195"/>
      <c r="U241" s="195"/>
      <c r="V241" s="195"/>
      <c r="W241" s="198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</row>
    <row r="242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195"/>
      <c r="Q242" s="195"/>
      <c r="R242" s="195"/>
      <c r="S242" s="195"/>
      <c r="T242" s="195"/>
      <c r="U242" s="195"/>
      <c r="V242" s="195"/>
      <c r="W242" s="198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</row>
    <row r="243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195"/>
      <c r="Q243" s="195"/>
      <c r="R243" s="195"/>
      <c r="S243" s="195"/>
      <c r="T243" s="195"/>
      <c r="U243" s="195"/>
      <c r="V243" s="195"/>
      <c r="W243" s="198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</row>
    <row r="244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195"/>
      <c r="Q244" s="195"/>
      <c r="R244" s="195"/>
      <c r="S244" s="195"/>
      <c r="T244" s="195"/>
      <c r="U244" s="195"/>
      <c r="V244" s="195"/>
      <c r="W244" s="198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</row>
    <row r="245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195"/>
      <c r="Q245" s="195"/>
      <c r="R245" s="195"/>
      <c r="S245" s="195"/>
      <c r="T245" s="195"/>
      <c r="U245" s="195"/>
      <c r="V245" s="195"/>
      <c r="W245" s="198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</row>
    <row r="246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195"/>
      <c r="Q246" s="195"/>
      <c r="R246" s="195"/>
      <c r="S246" s="195"/>
      <c r="T246" s="195"/>
      <c r="U246" s="195"/>
      <c r="V246" s="195"/>
      <c r="W246" s="198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</row>
    <row r="247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195"/>
      <c r="Q247" s="195"/>
      <c r="R247" s="195"/>
      <c r="S247" s="195"/>
      <c r="T247" s="195"/>
      <c r="U247" s="195"/>
      <c r="V247" s="195"/>
      <c r="W247" s="198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</row>
    <row r="248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195"/>
      <c r="Q248" s="195"/>
      <c r="R248" s="195"/>
      <c r="S248" s="195"/>
      <c r="T248" s="195"/>
      <c r="U248" s="195"/>
      <c r="V248" s="195"/>
      <c r="W248" s="198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</row>
    <row r="249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195"/>
      <c r="Q249" s="195"/>
      <c r="R249" s="195"/>
      <c r="S249" s="195"/>
      <c r="T249" s="195"/>
      <c r="U249" s="195"/>
      <c r="V249" s="195"/>
      <c r="W249" s="198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</row>
    <row r="250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195"/>
      <c r="Q250" s="195"/>
      <c r="R250" s="195"/>
      <c r="S250" s="195"/>
      <c r="T250" s="195"/>
      <c r="U250" s="195"/>
      <c r="V250" s="195"/>
      <c r="W250" s="198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</row>
    <row r="25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195"/>
      <c r="Q251" s="195"/>
      <c r="R251" s="195"/>
      <c r="S251" s="195"/>
      <c r="T251" s="195"/>
      <c r="U251" s="195"/>
      <c r="V251" s="195"/>
      <c r="W251" s="198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</row>
    <row r="252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195"/>
      <c r="Q252" s="195"/>
      <c r="R252" s="195"/>
      <c r="S252" s="195"/>
      <c r="T252" s="195"/>
      <c r="U252" s="195"/>
      <c r="V252" s="195"/>
      <c r="W252" s="198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</row>
    <row r="253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195"/>
      <c r="Q253" s="195"/>
      <c r="R253" s="195"/>
      <c r="S253" s="195"/>
      <c r="T253" s="195"/>
      <c r="U253" s="195"/>
      <c r="V253" s="195"/>
      <c r="W253" s="198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</row>
    <row r="254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195"/>
      <c r="Q254" s="195"/>
      <c r="R254" s="195"/>
      <c r="S254" s="195"/>
      <c r="T254" s="195"/>
      <c r="U254" s="195"/>
      <c r="V254" s="195"/>
      <c r="W254" s="198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</row>
    <row r="255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195"/>
      <c r="Q255" s="195"/>
      <c r="R255" s="195"/>
      <c r="S255" s="195"/>
      <c r="T255" s="195"/>
      <c r="U255" s="195"/>
      <c r="V255" s="195"/>
      <c r="W255" s="198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</row>
    <row r="256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195"/>
      <c r="Q256" s="195"/>
      <c r="R256" s="195"/>
      <c r="S256" s="195"/>
      <c r="T256" s="195"/>
      <c r="U256" s="195"/>
      <c r="V256" s="195"/>
      <c r="W256" s="198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</row>
    <row r="257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195"/>
      <c r="Q257" s="195"/>
      <c r="R257" s="195"/>
      <c r="S257" s="195"/>
      <c r="T257" s="195"/>
      <c r="U257" s="195"/>
      <c r="V257" s="195"/>
      <c r="W257" s="198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</row>
    <row r="258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195"/>
      <c r="Q258" s="195"/>
      <c r="R258" s="195"/>
      <c r="S258" s="195"/>
      <c r="T258" s="195"/>
      <c r="U258" s="195"/>
      <c r="V258" s="195"/>
      <c r="W258" s="198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</row>
    <row r="259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195"/>
      <c r="Q259" s="195"/>
      <c r="R259" s="195"/>
      <c r="S259" s="195"/>
      <c r="T259" s="195"/>
      <c r="U259" s="195"/>
      <c r="V259" s="195"/>
      <c r="W259" s="198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</row>
    <row r="260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195"/>
      <c r="Q260" s="195"/>
      <c r="R260" s="195"/>
      <c r="S260" s="195"/>
      <c r="T260" s="195"/>
      <c r="U260" s="195"/>
      <c r="V260" s="195"/>
      <c r="W260" s="198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</row>
    <row r="26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195"/>
      <c r="Q261" s="195"/>
      <c r="R261" s="195"/>
      <c r="S261" s="195"/>
      <c r="T261" s="195"/>
      <c r="U261" s="195"/>
      <c r="V261" s="195"/>
      <c r="W261" s="198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</row>
    <row r="262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195"/>
      <c r="Q262" s="195"/>
      <c r="R262" s="195"/>
      <c r="S262" s="195"/>
      <c r="T262" s="195"/>
      <c r="U262" s="195"/>
      <c r="V262" s="195"/>
      <c r="W262" s="198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</row>
    <row r="263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195"/>
      <c r="Q263" s="195"/>
      <c r="R263" s="195"/>
      <c r="S263" s="195"/>
      <c r="T263" s="195"/>
      <c r="U263" s="195"/>
      <c r="V263" s="195"/>
      <c r="W263" s="198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</row>
    <row r="264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195"/>
      <c r="Q264" s="195"/>
      <c r="R264" s="195"/>
      <c r="S264" s="195"/>
      <c r="T264" s="195"/>
      <c r="U264" s="195"/>
      <c r="V264" s="195"/>
      <c r="W264" s="198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</row>
    <row r="265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195"/>
      <c r="Q265" s="195"/>
      <c r="R265" s="195"/>
      <c r="S265" s="195"/>
      <c r="T265" s="195"/>
      <c r="U265" s="195"/>
      <c r="V265" s="195"/>
      <c r="W265" s="198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</row>
    <row r="266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195"/>
      <c r="Q266" s="195"/>
      <c r="R266" s="195"/>
      <c r="S266" s="195"/>
      <c r="T266" s="195"/>
      <c r="U266" s="195"/>
      <c r="V266" s="195"/>
      <c r="W266" s="198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</row>
    <row r="267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195"/>
      <c r="Q267" s="195"/>
      <c r="R267" s="195"/>
      <c r="S267" s="195"/>
      <c r="T267" s="195"/>
      <c r="U267" s="195"/>
      <c r="V267" s="195"/>
      <c r="W267" s="198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</row>
    <row r="268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195"/>
      <c r="Q268" s="195"/>
      <c r="R268" s="195"/>
      <c r="S268" s="195"/>
      <c r="T268" s="195"/>
      <c r="U268" s="195"/>
      <c r="V268" s="195"/>
      <c r="W268" s="198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</row>
    <row r="269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195"/>
      <c r="Q269" s="195"/>
      <c r="R269" s="195"/>
      <c r="S269" s="195"/>
      <c r="T269" s="195"/>
      <c r="U269" s="195"/>
      <c r="V269" s="195"/>
      <c r="W269" s="198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</row>
    <row r="270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195"/>
      <c r="Q270" s="195"/>
      <c r="R270" s="195"/>
      <c r="S270" s="195"/>
      <c r="T270" s="195"/>
      <c r="U270" s="195"/>
      <c r="V270" s="195"/>
      <c r="W270" s="198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</row>
    <row r="27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195"/>
      <c r="Q271" s="195"/>
      <c r="R271" s="195"/>
      <c r="S271" s="195"/>
      <c r="T271" s="195"/>
      <c r="U271" s="195"/>
      <c r="V271" s="195"/>
      <c r="W271" s="198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</row>
    <row r="272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195"/>
      <c r="Q272" s="195"/>
      <c r="R272" s="195"/>
      <c r="S272" s="195"/>
      <c r="T272" s="195"/>
      <c r="U272" s="195"/>
      <c r="V272" s="195"/>
      <c r="W272" s="198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</row>
    <row r="273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195"/>
      <c r="Q273" s="195"/>
      <c r="R273" s="195"/>
      <c r="S273" s="195"/>
      <c r="T273" s="195"/>
      <c r="U273" s="195"/>
      <c r="V273" s="195"/>
      <c r="W273" s="198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</row>
    <row r="274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195"/>
      <c r="Q274" s="195"/>
      <c r="R274" s="195"/>
      <c r="S274" s="195"/>
      <c r="T274" s="195"/>
      <c r="U274" s="195"/>
      <c r="V274" s="195"/>
      <c r="W274" s="198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</row>
    <row r="275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195"/>
      <c r="Q275" s="195"/>
      <c r="R275" s="195"/>
      <c r="S275" s="195"/>
      <c r="T275" s="195"/>
      <c r="U275" s="195"/>
      <c r="V275" s="195"/>
      <c r="W275" s="198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</row>
    <row r="276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195"/>
      <c r="Q276" s="195"/>
      <c r="R276" s="195"/>
      <c r="S276" s="195"/>
      <c r="T276" s="195"/>
      <c r="U276" s="195"/>
      <c r="V276" s="195"/>
      <c r="W276" s="198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</row>
    <row r="277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195"/>
      <c r="Q277" s="195"/>
      <c r="R277" s="195"/>
      <c r="S277" s="195"/>
      <c r="T277" s="195"/>
      <c r="U277" s="195"/>
      <c r="V277" s="195"/>
      <c r="W277" s="198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</row>
    <row r="278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195"/>
      <c r="Q278" s="195"/>
      <c r="R278" s="195"/>
      <c r="S278" s="195"/>
      <c r="T278" s="195"/>
      <c r="U278" s="195"/>
      <c r="V278" s="195"/>
      <c r="W278" s="198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</row>
    <row r="279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195"/>
      <c r="Q279" s="195"/>
      <c r="R279" s="195"/>
      <c r="S279" s="195"/>
      <c r="T279" s="195"/>
      <c r="U279" s="195"/>
      <c r="V279" s="195"/>
      <c r="W279" s="198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</row>
    <row r="280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195"/>
      <c r="Q280" s="195"/>
      <c r="R280" s="195"/>
      <c r="S280" s="195"/>
      <c r="T280" s="195"/>
      <c r="U280" s="195"/>
      <c r="V280" s="195"/>
      <c r="W280" s="198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</row>
    <row r="28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195"/>
      <c r="Q281" s="195"/>
      <c r="R281" s="195"/>
      <c r="S281" s="195"/>
      <c r="T281" s="195"/>
      <c r="U281" s="195"/>
      <c r="V281" s="195"/>
      <c r="W281" s="198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</row>
    <row r="282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195"/>
      <c r="Q282" s="195"/>
      <c r="R282" s="195"/>
      <c r="S282" s="195"/>
      <c r="T282" s="195"/>
      <c r="U282" s="195"/>
      <c r="V282" s="195"/>
      <c r="W282" s="198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</row>
    <row r="283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195"/>
      <c r="Q283" s="195"/>
      <c r="R283" s="195"/>
      <c r="S283" s="195"/>
      <c r="T283" s="195"/>
      <c r="U283" s="195"/>
      <c r="V283" s="195"/>
      <c r="W283" s="198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</row>
    <row r="284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195"/>
      <c r="Q284" s="195"/>
      <c r="R284" s="195"/>
      <c r="S284" s="195"/>
      <c r="T284" s="195"/>
      <c r="U284" s="195"/>
      <c r="V284" s="195"/>
      <c r="W284" s="198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</row>
    <row r="285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195"/>
      <c r="Q285" s="195"/>
      <c r="R285" s="195"/>
      <c r="S285" s="195"/>
      <c r="T285" s="195"/>
      <c r="U285" s="195"/>
      <c r="V285" s="195"/>
      <c r="W285" s="198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</row>
    <row r="286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195"/>
      <c r="Q286" s="195"/>
      <c r="R286" s="195"/>
      <c r="S286" s="195"/>
      <c r="T286" s="195"/>
      <c r="U286" s="195"/>
      <c r="V286" s="195"/>
      <c r="W286" s="198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</row>
    <row r="287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195"/>
      <c r="Q287" s="195"/>
      <c r="R287" s="195"/>
      <c r="S287" s="195"/>
      <c r="T287" s="195"/>
      <c r="U287" s="195"/>
      <c r="V287" s="195"/>
      <c r="W287" s="198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</row>
    <row r="288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195"/>
      <c r="Q288" s="195"/>
      <c r="R288" s="195"/>
      <c r="S288" s="195"/>
      <c r="T288" s="195"/>
      <c r="U288" s="195"/>
      <c r="V288" s="195"/>
      <c r="W288" s="198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</row>
    <row r="289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195"/>
      <c r="Q289" s="195"/>
      <c r="R289" s="195"/>
      <c r="S289" s="195"/>
      <c r="T289" s="195"/>
      <c r="U289" s="195"/>
      <c r="V289" s="195"/>
      <c r="W289" s="198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</row>
    <row r="290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195"/>
      <c r="Q290" s="195"/>
      <c r="R290" s="195"/>
      <c r="S290" s="195"/>
      <c r="T290" s="195"/>
      <c r="U290" s="195"/>
      <c r="V290" s="195"/>
      <c r="W290" s="198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</row>
    <row r="29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195"/>
      <c r="Q291" s="195"/>
      <c r="R291" s="195"/>
      <c r="S291" s="195"/>
      <c r="T291" s="195"/>
      <c r="U291" s="195"/>
      <c r="V291" s="195"/>
      <c r="W291" s="198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</row>
    <row r="292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195"/>
      <c r="Q292" s="195"/>
      <c r="R292" s="195"/>
      <c r="S292" s="195"/>
      <c r="T292" s="195"/>
      <c r="U292" s="195"/>
      <c r="V292" s="195"/>
      <c r="W292" s="198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</row>
    <row r="293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195"/>
      <c r="Q293" s="195"/>
      <c r="R293" s="195"/>
      <c r="S293" s="195"/>
      <c r="T293" s="195"/>
      <c r="U293" s="195"/>
      <c r="V293" s="195"/>
      <c r="W293" s="198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</row>
    <row r="294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195"/>
      <c r="Q294" s="195"/>
      <c r="R294" s="195"/>
      <c r="S294" s="195"/>
      <c r="T294" s="195"/>
      <c r="U294" s="195"/>
      <c r="V294" s="195"/>
      <c r="W294" s="198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</row>
    <row r="295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195"/>
      <c r="Q295" s="195"/>
      <c r="R295" s="195"/>
      <c r="S295" s="195"/>
      <c r="T295" s="195"/>
      <c r="U295" s="195"/>
      <c r="V295" s="195"/>
      <c r="W295" s="198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</row>
    <row r="296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8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</row>
    <row r="297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195"/>
      <c r="Q297" s="195"/>
      <c r="R297" s="195"/>
      <c r="S297" s="195"/>
      <c r="T297" s="195"/>
      <c r="U297" s="195"/>
      <c r="V297" s="195"/>
      <c r="W297" s="198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</row>
    <row r="298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195"/>
      <c r="Q298" s="195"/>
      <c r="R298" s="195"/>
      <c r="S298" s="195"/>
      <c r="T298" s="195"/>
      <c r="U298" s="195"/>
      <c r="V298" s="195"/>
      <c r="W298" s="198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</row>
    <row r="299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195"/>
      <c r="Q299" s="195"/>
      <c r="R299" s="195"/>
      <c r="S299" s="195"/>
      <c r="T299" s="195"/>
      <c r="U299" s="195"/>
      <c r="V299" s="195"/>
      <c r="W299" s="198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</row>
    <row r="300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195"/>
      <c r="Q300" s="195"/>
      <c r="R300" s="195"/>
      <c r="S300" s="195"/>
      <c r="T300" s="195"/>
      <c r="U300" s="195"/>
      <c r="V300" s="195"/>
      <c r="W300" s="198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</row>
    <row r="30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195"/>
      <c r="Q301" s="195"/>
      <c r="R301" s="195"/>
      <c r="S301" s="195"/>
      <c r="T301" s="195"/>
      <c r="U301" s="195"/>
      <c r="V301" s="195"/>
      <c r="W301" s="198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</row>
    <row r="302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195"/>
      <c r="Q302" s="195"/>
      <c r="R302" s="195"/>
      <c r="S302" s="195"/>
      <c r="T302" s="195"/>
      <c r="U302" s="195"/>
      <c r="V302" s="195"/>
      <c r="W302" s="198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</row>
    <row r="303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195"/>
      <c r="Q303" s="195"/>
      <c r="R303" s="195"/>
      <c r="S303" s="195"/>
      <c r="T303" s="195"/>
      <c r="U303" s="195"/>
      <c r="V303" s="195"/>
      <c r="W303" s="198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</row>
    <row r="304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195"/>
      <c r="Q304" s="195"/>
      <c r="R304" s="195"/>
      <c r="S304" s="195"/>
      <c r="T304" s="195"/>
      <c r="U304" s="195"/>
      <c r="V304" s="195"/>
      <c r="W304" s="198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</row>
    <row r="305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195"/>
      <c r="Q305" s="195"/>
      <c r="R305" s="195"/>
      <c r="S305" s="195"/>
      <c r="T305" s="195"/>
      <c r="U305" s="195"/>
      <c r="V305" s="195"/>
      <c r="W305" s="198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</row>
    <row r="306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195"/>
      <c r="Q306" s="195"/>
      <c r="R306" s="195"/>
      <c r="S306" s="195"/>
      <c r="T306" s="195"/>
      <c r="U306" s="195"/>
      <c r="V306" s="195"/>
      <c r="W306" s="198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</row>
    <row r="307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195"/>
      <c r="Q307" s="195"/>
      <c r="R307" s="195"/>
      <c r="S307" s="195"/>
      <c r="T307" s="195"/>
      <c r="U307" s="195"/>
      <c r="V307" s="195"/>
      <c r="W307" s="198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</row>
    <row r="308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195"/>
      <c r="Q308" s="195"/>
      <c r="R308" s="195"/>
      <c r="S308" s="195"/>
      <c r="T308" s="195"/>
      <c r="U308" s="195"/>
      <c r="V308" s="195"/>
      <c r="W308" s="198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</row>
    <row r="309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195"/>
      <c r="Q309" s="195"/>
      <c r="R309" s="195"/>
      <c r="S309" s="195"/>
      <c r="T309" s="195"/>
      <c r="U309" s="195"/>
      <c r="V309" s="195"/>
      <c r="W309" s="198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</row>
    <row r="310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195"/>
      <c r="Q310" s="195"/>
      <c r="R310" s="195"/>
      <c r="S310" s="195"/>
      <c r="T310" s="195"/>
      <c r="U310" s="195"/>
      <c r="V310" s="195"/>
      <c r="W310" s="198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</row>
    <row r="31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195"/>
      <c r="Q311" s="195"/>
      <c r="R311" s="195"/>
      <c r="S311" s="195"/>
      <c r="T311" s="195"/>
      <c r="U311" s="195"/>
      <c r="V311" s="195"/>
      <c r="W311" s="198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</row>
    <row r="312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195"/>
      <c r="Q312" s="195"/>
      <c r="R312" s="195"/>
      <c r="S312" s="195"/>
      <c r="T312" s="195"/>
      <c r="U312" s="195"/>
      <c r="V312" s="195"/>
      <c r="W312" s="198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</row>
    <row r="313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195"/>
      <c r="Q313" s="195"/>
      <c r="R313" s="195"/>
      <c r="S313" s="195"/>
      <c r="T313" s="195"/>
      <c r="U313" s="195"/>
      <c r="V313" s="195"/>
      <c r="W313" s="198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</row>
    <row r="314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195"/>
      <c r="Q314" s="195"/>
      <c r="R314" s="195"/>
      <c r="S314" s="195"/>
      <c r="T314" s="195"/>
      <c r="U314" s="195"/>
      <c r="V314" s="195"/>
      <c r="W314" s="198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</row>
    <row r="315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195"/>
      <c r="Q315" s="195"/>
      <c r="R315" s="195"/>
      <c r="S315" s="195"/>
      <c r="T315" s="195"/>
      <c r="U315" s="195"/>
      <c r="V315" s="195"/>
      <c r="W315" s="198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</row>
    <row r="316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195"/>
      <c r="Q316" s="195"/>
      <c r="R316" s="195"/>
      <c r="S316" s="195"/>
      <c r="T316" s="195"/>
      <c r="U316" s="195"/>
      <c r="V316" s="195"/>
      <c r="W316" s="198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</row>
    <row r="317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195"/>
      <c r="Q317" s="195"/>
      <c r="R317" s="195"/>
      <c r="S317" s="195"/>
      <c r="T317" s="195"/>
      <c r="U317" s="195"/>
      <c r="V317" s="195"/>
      <c r="W317" s="198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</row>
    <row r="318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195"/>
      <c r="Q318" s="195"/>
      <c r="R318" s="195"/>
      <c r="S318" s="195"/>
      <c r="T318" s="195"/>
      <c r="U318" s="195"/>
      <c r="V318" s="195"/>
      <c r="W318" s="198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</row>
    <row r="319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195"/>
      <c r="Q319" s="195"/>
      <c r="R319" s="195"/>
      <c r="S319" s="195"/>
      <c r="T319" s="195"/>
      <c r="U319" s="195"/>
      <c r="V319" s="195"/>
      <c r="W319" s="198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</row>
    <row r="320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195"/>
      <c r="Q320" s="195"/>
      <c r="R320" s="195"/>
      <c r="S320" s="195"/>
      <c r="T320" s="195"/>
      <c r="U320" s="195"/>
      <c r="V320" s="195"/>
      <c r="W320" s="198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</row>
    <row r="32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195"/>
      <c r="Q321" s="195"/>
      <c r="R321" s="195"/>
      <c r="S321" s="195"/>
      <c r="T321" s="195"/>
      <c r="U321" s="195"/>
      <c r="V321" s="195"/>
      <c r="W321" s="198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</row>
    <row r="322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195"/>
      <c r="Q322" s="195"/>
      <c r="R322" s="195"/>
      <c r="S322" s="195"/>
      <c r="T322" s="195"/>
      <c r="U322" s="195"/>
      <c r="V322" s="195"/>
      <c r="W322" s="198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</row>
    <row r="323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195"/>
      <c r="Q323" s="195"/>
      <c r="R323" s="195"/>
      <c r="S323" s="195"/>
      <c r="T323" s="195"/>
      <c r="U323" s="195"/>
      <c r="V323" s="195"/>
      <c r="W323" s="198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</row>
    <row r="324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195"/>
      <c r="Q324" s="195"/>
      <c r="R324" s="195"/>
      <c r="S324" s="195"/>
      <c r="T324" s="195"/>
      <c r="U324" s="195"/>
      <c r="V324" s="195"/>
      <c r="W324" s="198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</row>
    <row r="325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195"/>
      <c r="Q325" s="195"/>
      <c r="R325" s="195"/>
      <c r="S325" s="195"/>
      <c r="T325" s="195"/>
      <c r="U325" s="195"/>
      <c r="V325" s="195"/>
      <c r="W325" s="198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</row>
    <row r="326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195"/>
      <c r="Q326" s="195"/>
      <c r="R326" s="195"/>
      <c r="S326" s="195"/>
      <c r="T326" s="195"/>
      <c r="U326" s="195"/>
      <c r="V326" s="195"/>
      <c r="W326" s="198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</row>
    <row r="327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195"/>
      <c r="Q327" s="195"/>
      <c r="R327" s="195"/>
      <c r="S327" s="195"/>
      <c r="T327" s="195"/>
      <c r="U327" s="195"/>
      <c r="V327" s="195"/>
      <c r="W327" s="198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</row>
    <row r="328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195"/>
      <c r="Q328" s="195"/>
      <c r="R328" s="195"/>
      <c r="S328" s="195"/>
      <c r="T328" s="195"/>
      <c r="U328" s="195"/>
      <c r="V328" s="195"/>
      <c r="W328" s="198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</row>
    <row r="329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195"/>
      <c r="Q329" s="195"/>
      <c r="R329" s="195"/>
      <c r="S329" s="195"/>
      <c r="T329" s="195"/>
      <c r="U329" s="195"/>
      <c r="V329" s="195"/>
      <c r="W329" s="198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</row>
    <row r="330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195"/>
      <c r="Q330" s="195"/>
      <c r="R330" s="195"/>
      <c r="S330" s="195"/>
      <c r="T330" s="195"/>
      <c r="U330" s="195"/>
      <c r="V330" s="195"/>
      <c r="W330" s="198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</row>
    <row r="33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195"/>
      <c r="Q331" s="195"/>
      <c r="R331" s="195"/>
      <c r="S331" s="195"/>
      <c r="T331" s="195"/>
      <c r="U331" s="195"/>
      <c r="V331" s="195"/>
      <c r="W331" s="198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</row>
    <row r="332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195"/>
      <c r="Q332" s="195"/>
      <c r="R332" s="195"/>
      <c r="S332" s="195"/>
      <c r="T332" s="195"/>
      <c r="U332" s="195"/>
      <c r="V332" s="195"/>
      <c r="W332" s="198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</row>
    <row r="333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195"/>
      <c r="Q333" s="195"/>
      <c r="R333" s="195"/>
      <c r="S333" s="195"/>
      <c r="T333" s="195"/>
      <c r="U333" s="195"/>
      <c r="V333" s="195"/>
      <c r="W333" s="198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</row>
    <row r="334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195"/>
      <c r="Q334" s="195"/>
      <c r="R334" s="195"/>
      <c r="S334" s="195"/>
      <c r="T334" s="195"/>
      <c r="U334" s="195"/>
      <c r="V334" s="195"/>
      <c r="W334" s="198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</row>
    <row r="335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195"/>
      <c r="Q335" s="195"/>
      <c r="R335" s="195"/>
      <c r="S335" s="195"/>
      <c r="T335" s="195"/>
      <c r="U335" s="195"/>
      <c r="V335" s="195"/>
      <c r="W335" s="198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</row>
    <row r="336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195"/>
      <c r="Q336" s="195"/>
      <c r="R336" s="195"/>
      <c r="S336" s="195"/>
      <c r="T336" s="195"/>
      <c r="U336" s="195"/>
      <c r="V336" s="195"/>
      <c r="W336" s="198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</row>
    <row r="337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195"/>
      <c r="Q337" s="195"/>
      <c r="R337" s="195"/>
      <c r="S337" s="195"/>
      <c r="T337" s="195"/>
      <c r="U337" s="195"/>
      <c r="V337" s="195"/>
      <c r="W337" s="198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</row>
    <row r="338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195"/>
      <c r="Q338" s="195"/>
      <c r="R338" s="195"/>
      <c r="S338" s="195"/>
      <c r="T338" s="195"/>
      <c r="U338" s="195"/>
      <c r="V338" s="195"/>
      <c r="W338" s="198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</row>
    <row r="339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195"/>
      <c r="Q339" s="195"/>
      <c r="R339" s="195"/>
      <c r="S339" s="195"/>
      <c r="T339" s="195"/>
      <c r="U339" s="195"/>
      <c r="V339" s="195"/>
      <c r="W339" s="198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</row>
    <row r="340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195"/>
      <c r="Q340" s="195"/>
      <c r="R340" s="195"/>
      <c r="S340" s="195"/>
      <c r="T340" s="195"/>
      <c r="U340" s="195"/>
      <c r="V340" s="195"/>
      <c r="W340" s="198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</row>
    <row r="34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195"/>
      <c r="Q341" s="195"/>
      <c r="R341" s="195"/>
      <c r="S341" s="195"/>
      <c r="T341" s="195"/>
      <c r="U341" s="195"/>
      <c r="V341" s="195"/>
      <c r="W341" s="198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</row>
    <row r="342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195"/>
      <c r="Q342" s="195"/>
      <c r="R342" s="195"/>
      <c r="S342" s="195"/>
      <c r="T342" s="195"/>
      <c r="U342" s="195"/>
      <c r="V342" s="195"/>
      <c r="W342" s="198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</row>
    <row r="343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195"/>
      <c r="Q343" s="195"/>
      <c r="R343" s="195"/>
      <c r="S343" s="195"/>
      <c r="T343" s="195"/>
      <c r="U343" s="195"/>
      <c r="V343" s="195"/>
      <c r="W343" s="198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</row>
    <row r="344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195"/>
      <c r="Q344" s="195"/>
      <c r="R344" s="195"/>
      <c r="S344" s="195"/>
      <c r="T344" s="195"/>
      <c r="U344" s="195"/>
      <c r="V344" s="195"/>
      <c r="W344" s="198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</row>
    <row r="345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195"/>
      <c r="Q345" s="195"/>
      <c r="R345" s="195"/>
      <c r="S345" s="195"/>
      <c r="T345" s="195"/>
      <c r="U345" s="195"/>
      <c r="V345" s="195"/>
      <c r="W345" s="198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</row>
    <row r="346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195"/>
      <c r="Q346" s="195"/>
      <c r="R346" s="195"/>
      <c r="S346" s="195"/>
      <c r="T346" s="195"/>
      <c r="U346" s="195"/>
      <c r="V346" s="195"/>
      <c r="W346" s="198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</row>
    <row r="347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195"/>
      <c r="Q347" s="195"/>
      <c r="R347" s="195"/>
      <c r="S347" s="195"/>
      <c r="T347" s="195"/>
      <c r="U347" s="195"/>
      <c r="V347" s="195"/>
      <c r="W347" s="198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</row>
    <row r="348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195"/>
      <c r="Q348" s="195"/>
      <c r="R348" s="195"/>
      <c r="S348" s="195"/>
      <c r="T348" s="195"/>
      <c r="U348" s="195"/>
      <c r="V348" s="195"/>
      <c r="W348" s="198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</row>
    <row r="349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195"/>
      <c r="Q349" s="195"/>
      <c r="R349" s="195"/>
      <c r="S349" s="195"/>
      <c r="T349" s="195"/>
      <c r="U349" s="195"/>
      <c r="V349" s="195"/>
      <c r="W349" s="198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</row>
    <row r="350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195"/>
      <c r="Q350" s="195"/>
      <c r="R350" s="195"/>
      <c r="S350" s="195"/>
      <c r="T350" s="195"/>
      <c r="U350" s="195"/>
      <c r="V350" s="195"/>
      <c r="W350" s="198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</row>
    <row r="35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195"/>
      <c r="Q351" s="195"/>
      <c r="R351" s="195"/>
      <c r="S351" s="195"/>
      <c r="T351" s="195"/>
      <c r="U351" s="195"/>
      <c r="V351" s="195"/>
      <c r="W351" s="198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</row>
    <row r="352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195"/>
      <c r="Q352" s="195"/>
      <c r="R352" s="195"/>
      <c r="S352" s="195"/>
      <c r="T352" s="195"/>
      <c r="U352" s="195"/>
      <c r="V352" s="195"/>
      <c r="W352" s="198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</row>
    <row r="353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195"/>
      <c r="Q353" s="195"/>
      <c r="R353" s="195"/>
      <c r="S353" s="195"/>
      <c r="T353" s="195"/>
      <c r="U353" s="195"/>
      <c r="V353" s="195"/>
      <c r="W353" s="198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</row>
    <row r="354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195"/>
      <c r="Q354" s="195"/>
      <c r="R354" s="195"/>
      <c r="S354" s="195"/>
      <c r="T354" s="195"/>
      <c r="U354" s="195"/>
      <c r="V354" s="195"/>
      <c r="W354" s="198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</row>
    <row r="355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195"/>
      <c r="Q355" s="195"/>
      <c r="R355" s="195"/>
      <c r="S355" s="195"/>
      <c r="T355" s="195"/>
      <c r="U355" s="195"/>
      <c r="V355" s="195"/>
      <c r="W355" s="198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</row>
    <row r="356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195"/>
      <c r="Q356" s="195"/>
      <c r="R356" s="195"/>
      <c r="S356" s="195"/>
      <c r="T356" s="195"/>
      <c r="U356" s="195"/>
      <c r="V356" s="195"/>
      <c r="W356" s="198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</row>
    <row r="357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195"/>
      <c r="Q357" s="195"/>
      <c r="R357" s="195"/>
      <c r="S357" s="195"/>
      <c r="T357" s="195"/>
      <c r="U357" s="195"/>
      <c r="V357" s="195"/>
      <c r="W357" s="198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</row>
    <row r="358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195"/>
      <c r="Q358" s="195"/>
      <c r="R358" s="195"/>
      <c r="S358" s="195"/>
      <c r="T358" s="195"/>
      <c r="U358" s="195"/>
      <c r="V358" s="195"/>
      <c r="W358" s="198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</row>
    <row r="359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195"/>
      <c r="Q359" s="195"/>
      <c r="R359" s="195"/>
      <c r="S359" s="195"/>
      <c r="T359" s="195"/>
      <c r="U359" s="195"/>
      <c r="V359" s="195"/>
      <c r="W359" s="198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</row>
    <row r="360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195"/>
      <c r="Q360" s="195"/>
      <c r="R360" s="195"/>
      <c r="S360" s="195"/>
      <c r="T360" s="195"/>
      <c r="U360" s="195"/>
      <c r="V360" s="195"/>
      <c r="W360" s="198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</row>
    <row r="36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195"/>
      <c r="Q361" s="195"/>
      <c r="R361" s="195"/>
      <c r="S361" s="195"/>
      <c r="T361" s="195"/>
      <c r="U361" s="195"/>
      <c r="V361" s="195"/>
      <c r="W361" s="198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</row>
    <row r="362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195"/>
      <c r="Q362" s="195"/>
      <c r="R362" s="195"/>
      <c r="S362" s="195"/>
      <c r="T362" s="195"/>
      <c r="U362" s="195"/>
      <c r="V362" s="195"/>
      <c r="W362" s="198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</row>
    <row r="363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195"/>
      <c r="Q363" s="195"/>
      <c r="R363" s="195"/>
      <c r="S363" s="195"/>
      <c r="T363" s="195"/>
      <c r="U363" s="195"/>
      <c r="V363" s="195"/>
      <c r="W363" s="198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</row>
    <row r="364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195"/>
      <c r="Q364" s="195"/>
      <c r="R364" s="195"/>
      <c r="S364" s="195"/>
      <c r="T364" s="195"/>
      <c r="U364" s="195"/>
      <c r="V364" s="195"/>
      <c r="W364" s="198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</row>
    <row r="365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195"/>
      <c r="Q365" s="195"/>
      <c r="R365" s="195"/>
      <c r="S365" s="195"/>
      <c r="T365" s="195"/>
      <c r="U365" s="195"/>
      <c r="V365" s="195"/>
      <c r="W365" s="198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</row>
    <row r="366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195"/>
      <c r="Q366" s="195"/>
      <c r="R366" s="195"/>
      <c r="S366" s="195"/>
      <c r="T366" s="195"/>
      <c r="U366" s="195"/>
      <c r="V366" s="195"/>
      <c r="W366" s="198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</row>
    <row r="367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195"/>
      <c r="Q367" s="195"/>
      <c r="R367" s="195"/>
      <c r="S367" s="195"/>
      <c r="T367" s="195"/>
      <c r="U367" s="195"/>
      <c r="V367" s="195"/>
      <c r="W367" s="198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</row>
    <row r="368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195"/>
      <c r="Q368" s="195"/>
      <c r="R368" s="195"/>
      <c r="S368" s="195"/>
      <c r="T368" s="195"/>
      <c r="U368" s="195"/>
      <c r="V368" s="195"/>
      <c r="W368" s="198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</row>
    <row r="369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195"/>
      <c r="Q369" s="195"/>
      <c r="R369" s="195"/>
      <c r="S369" s="195"/>
      <c r="T369" s="195"/>
      <c r="U369" s="195"/>
      <c r="V369" s="195"/>
      <c r="W369" s="198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</row>
    <row r="370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195"/>
      <c r="Q370" s="195"/>
      <c r="R370" s="195"/>
      <c r="S370" s="195"/>
      <c r="T370" s="195"/>
      <c r="U370" s="195"/>
      <c r="V370" s="195"/>
      <c r="W370" s="198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</row>
    <row r="37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195"/>
      <c r="Q371" s="195"/>
      <c r="R371" s="195"/>
      <c r="S371" s="195"/>
      <c r="T371" s="195"/>
      <c r="U371" s="195"/>
      <c r="V371" s="195"/>
      <c r="W371" s="198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</row>
    <row r="372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195"/>
      <c r="Q372" s="195"/>
      <c r="R372" s="195"/>
      <c r="S372" s="195"/>
      <c r="T372" s="195"/>
      <c r="U372" s="195"/>
      <c r="V372" s="195"/>
      <c r="W372" s="198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</row>
    <row r="373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195"/>
      <c r="Q373" s="195"/>
      <c r="R373" s="195"/>
      <c r="S373" s="195"/>
      <c r="T373" s="195"/>
      <c r="U373" s="195"/>
      <c r="V373" s="195"/>
      <c r="W373" s="198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</row>
    <row r="374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195"/>
      <c r="Q374" s="195"/>
      <c r="R374" s="195"/>
      <c r="S374" s="195"/>
      <c r="T374" s="195"/>
      <c r="U374" s="195"/>
      <c r="V374" s="195"/>
      <c r="W374" s="198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</row>
    <row r="375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195"/>
      <c r="Q375" s="195"/>
      <c r="R375" s="195"/>
      <c r="S375" s="195"/>
      <c r="T375" s="195"/>
      <c r="U375" s="195"/>
      <c r="V375" s="195"/>
      <c r="W375" s="198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</row>
    <row r="376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195"/>
      <c r="Q376" s="195"/>
      <c r="R376" s="195"/>
      <c r="S376" s="195"/>
      <c r="T376" s="195"/>
      <c r="U376" s="195"/>
      <c r="V376" s="195"/>
      <c r="W376" s="198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</row>
    <row r="377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195"/>
      <c r="Q377" s="195"/>
      <c r="R377" s="195"/>
      <c r="S377" s="195"/>
      <c r="T377" s="195"/>
      <c r="U377" s="195"/>
      <c r="V377" s="195"/>
      <c r="W377" s="198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</row>
    <row r="378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195"/>
      <c r="Q378" s="195"/>
      <c r="R378" s="195"/>
      <c r="S378" s="195"/>
      <c r="T378" s="195"/>
      <c r="U378" s="195"/>
      <c r="V378" s="195"/>
      <c r="W378" s="198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</row>
    <row r="379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195"/>
      <c r="Q379" s="195"/>
      <c r="R379" s="195"/>
      <c r="S379" s="195"/>
      <c r="T379" s="195"/>
      <c r="U379" s="195"/>
      <c r="V379" s="195"/>
      <c r="W379" s="198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</row>
    <row r="380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195"/>
      <c r="Q380" s="195"/>
      <c r="R380" s="195"/>
      <c r="S380" s="195"/>
      <c r="T380" s="195"/>
      <c r="U380" s="195"/>
      <c r="V380" s="195"/>
      <c r="W380" s="198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</row>
    <row r="38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195"/>
      <c r="Q381" s="195"/>
      <c r="R381" s="195"/>
      <c r="S381" s="195"/>
      <c r="T381" s="195"/>
      <c r="U381" s="195"/>
      <c r="V381" s="195"/>
      <c r="W381" s="198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</row>
    <row r="382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195"/>
      <c r="Q382" s="195"/>
      <c r="R382" s="195"/>
      <c r="S382" s="195"/>
      <c r="T382" s="195"/>
      <c r="U382" s="195"/>
      <c r="V382" s="195"/>
      <c r="W382" s="198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</row>
    <row r="383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195"/>
      <c r="Q383" s="195"/>
      <c r="R383" s="195"/>
      <c r="S383" s="195"/>
      <c r="T383" s="195"/>
      <c r="U383" s="195"/>
      <c r="V383" s="195"/>
      <c r="W383" s="198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</row>
    <row r="384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195"/>
      <c r="Q384" s="195"/>
      <c r="R384" s="195"/>
      <c r="S384" s="195"/>
      <c r="T384" s="195"/>
      <c r="U384" s="195"/>
      <c r="V384" s="195"/>
      <c r="W384" s="198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</row>
    <row r="385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195"/>
      <c r="Q385" s="195"/>
      <c r="R385" s="195"/>
      <c r="S385" s="195"/>
      <c r="T385" s="195"/>
      <c r="U385" s="195"/>
      <c r="V385" s="195"/>
      <c r="W385" s="198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</row>
    <row r="386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195"/>
      <c r="Q386" s="195"/>
      <c r="R386" s="195"/>
      <c r="S386" s="195"/>
      <c r="T386" s="195"/>
      <c r="U386" s="195"/>
      <c r="V386" s="195"/>
      <c r="W386" s="198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</row>
    <row r="387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195"/>
      <c r="Q387" s="195"/>
      <c r="R387" s="195"/>
      <c r="S387" s="195"/>
      <c r="T387" s="195"/>
      <c r="U387" s="195"/>
      <c r="V387" s="195"/>
      <c r="W387" s="198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</row>
    <row r="388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195"/>
      <c r="Q388" s="195"/>
      <c r="R388" s="195"/>
      <c r="S388" s="195"/>
      <c r="T388" s="195"/>
      <c r="U388" s="195"/>
      <c r="V388" s="195"/>
      <c r="W388" s="198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</row>
    <row r="389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195"/>
      <c r="Q389" s="195"/>
      <c r="R389" s="195"/>
      <c r="S389" s="195"/>
      <c r="T389" s="195"/>
      <c r="U389" s="195"/>
      <c r="V389" s="195"/>
      <c r="W389" s="198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</row>
    <row r="390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195"/>
      <c r="Q390" s="195"/>
      <c r="R390" s="195"/>
      <c r="S390" s="195"/>
      <c r="T390" s="195"/>
      <c r="U390" s="195"/>
      <c r="V390" s="195"/>
      <c r="W390" s="198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</row>
    <row r="39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195"/>
      <c r="Q391" s="195"/>
      <c r="R391" s="195"/>
      <c r="S391" s="195"/>
      <c r="T391" s="195"/>
      <c r="U391" s="195"/>
      <c r="V391" s="195"/>
      <c r="W391" s="198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</row>
    <row r="392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195"/>
      <c r="Q392" s="195"/>
      <c r="R392" s="195"/>
      <c r="S392" s="195"/>
      <c r="T392" s="195"/>
      <c r="U392" s="195"/>
      <c r="V392" s="195"/>
      <c r="W392" s="198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</row>
    <row r="393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195"/>
      <c r="Q393" s="195"/>
      <c r="R393" s="195"/>
      <c r="S393" s="195"/>
      <c r="T393" s="195"/>
      <c r="U393" s="195"/>
      <c r="V393" s="195"/>
      <c r="W393" s="198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</row>
    <row r="394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195"/>
      <c r="Q394" s="195"/>
      <c r="R394" s="195"/>
      <c r="S394" s="195"/>
      <c r="T394" s="195"/>
      <c r="U394" s="195"/>
      <c r="V394" s="195"/>
      <c r="W394" s="198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</row>
    <row r="395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195"/>
      <c r="Q395" s="195"/>
      <c r="R395" s="195"/>
      <c r="S395" s="195"/>
      <c r="T395" s="195"/>
      <c r="U395" s="195"/>
      <c r="V395" s="195"/>
      <c r="W395" s="198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</row>
    <row r="396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195"/>
      <c r="Q396" s="195"/>
      <c r="R396" s="195"/>
      <c r="S396" s="195"/>
      <c r="T396" s="195"/>
      <c r="U396" s="195"/>
      <c r="V396" s="195"/>
      <c r="W396" s="198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</row>
    <row r="397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195"/>
      <c r="Q397" s="195"/>
      <c r="R397" s="195"/>
      <c r="S397" s="195"/>
      <c r="T397" s="195"/>
      <c r="U397" s="195"/>
      <c r="V397" s="195"/>
      <c r="W397" s="198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</row>
    <row r="398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195"/>
      <c r="Q398" s="195"/>
      <c r="R398" s="195"/>
      <c r="S398" s="195"/>
      <c r="T398" s="195"/>
      <c r="U398" s="195"/>
      <c r="V398" s="195"/>
      <c r="W398" s="198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</row>
    <row r="399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195"/>
      <c r="Q399" s="195"/>
      <c r="R399" s="195"/>
      <c r="S399" s="195"/>
      <c r="T399" s="195"/>
      <c r="U399" s="195"/>
      <c r="V399" s="195"/>
      <c r="W399" s="198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</row>
    <row r="400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195"/>
      <c r="Q400" s="195"/>
      <c r="R400" s="195"/>
      <c r="S400" s="195"/>
      <c r="T400" s="195"/>
      <c r="U400" s="195"/>
      <c r="V400" s="195"/>
      <c r="W400" s="198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</row>
    <row r="40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195"/>
      <c r="Q401" s="195"/>
      <c r="R401" s="195"/>
      <c r="S401" s="195"/>
      <c r="T401" s="195"/>
      <c r="U401" s="195"/>
      <c r="V401" s="195"/>
      <c r="W401" s="198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</row>
    <row r="402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195"/>
      <c r="Q402" s="195"/>
      <c r="R402" s="195"/>
      <c r="S402" s="195"/>
      <c r="T402" s="195"/>
      <c r="U402" s="195"/>
      <c r="V402" s="195"/>
      <c r="W402" s="198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</row>
    <row r="403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195"/>
      <c r="Q403" s="195"/>
      <c r="R403" s="195"/>
      <c r="S403" s="195"/>
      <c r="T403" s="195"/>
      <c r="U403" s="195"/>
      <c r="V403" s="195"/>
      <c r="W403" s="198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</row>
    <row r="404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195"/>
      <c r="Q404" s="195"/>
      <c r="R404" s="195"/>
      <c r="S404" s="195"/>
      <c r="T404" s="195"/>
      <c r="U404" s="195"/>
      <c r="V404" s="195"/>
      <c r="W404" s="198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</row>
    <row r="405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195"/>
      <c r="Q405" s="195"/>
      <c r="R405" s="195"/>
      <c r="S405" s="195"/>
      <c r="T405" s="195"/>
      <c r="U405" s="195"/>
      <c r="V405" s="195"/>
      <c r="W405" s="198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</row>
    <row r="406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195"/>
      <c r="Q406" s="195"/>
      <c r="R406" s="195"/>
      <c r="S406" s="195"/>
      <c r="T406" s="195"/>
      <c r="U406" s="195"/>
      <c r="V406" s="195"/>
      <c r="W406" s="198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</row>
    <row r="407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195"/>
      <c r="Q407" s="195"/>
      <c r="R407" s="195"/>
      <c r="S407" s="195"/>
      <c r="T407" s="195"/>
      <c r="U407" s="195"/>
      <c r="V407" s="195"/>
      <c r="W407" s="198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</row>
    <row r="408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195"/>
      <c r="Q408" s="195"/>
      <c r="R408" s="195"/>
      <c r="S408" s="195"/>
      <c r="T408" s="195"/>
      <c r="U408" s="195"/>
      <c r="V408" s="195"/>
      <c r="W408" s="198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</row>
    <row r="409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195"/>
      <c r="Q409" s="195"/>
      <c r="R409" s="195"/>
      <c r="S409" s="195"/>
      <c r="T409" s="195"/>
      <c r="U409" s="195"/>
      <c r="V409" s="195"/>
      <c r="W409" s="198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</row>
    <row r="410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195"/>
      <c r="Q410" s="195"/>
      <c r="R410" s="195"/>
      <c r="S410" s="195"/>
      <c r="T410" s="195"/>
      <c r="U410" s="195"/>
      <c r="V410" s="195"/>
      <c r="W410" s="198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</row>
    <row r="41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195"/>
      <c r="Q411" s="195"/>
      <c r="R411" s="195"/>
      <c r="S411" s="195"/>
      <c r="T411" s="195"/>
      <c r="U411" s="195"/>
      <c r="V411" s="195"/>
      <c r="W411" s="198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</row>
    <row r="412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195"/>
      <c r="Q412" s="195"/>
      <c r="R412" s="195"/>
      <c r="S412" s="195"/>
      <c r="T412" s="195"/>
      <c r="U412" s="195"/>
      <c r="V412" s="195"/>
      <c r="W412" s="198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</row>
    <row r="413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195"/>
      <c r="Q413" s="195"/>
      <c r="R413" s="195"/>
      <c r="S413" s="195"/>
      <c r="T413" s="195"/>
      <c r="U413" s="195"/>
      <c r="V413" s="195"/>
      <c r="W413" s="198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</row>
    <row r="414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195"/>
      <c r="Q414" s="195"/>
      <c r="R414" s="195"/>
      <c r="S414" s="195"/>
      <c r="T414" s="195"/>
      <c r="U414" s="195"/>
      <c r="V414" s="195"/>
      <c r="W414" s="198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</row>
    <row r="415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195"/>
      <c r="Q415" s="195"/>
      <c r="R415" s="195"/>
      <c r="S415" s="195"/>
      <c r="T415" s="195"/>
      <c r="U415" s="195"/>
      <c r="V415" s="195"/>
      <c r="W415" s="198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</row>
    <row r="416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195"/>
      <c r="Q416" s="195"/>
      <c r="R416" s="195"/>
      <c r="S416" s="195"/>
      <c r="T416" s="195"/>
      <c r="U416" s="195"/>
      <c r="V416" s="195"/>
      <c r="W416" s="198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</row>
    <row r="417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195"/>
      <c r="Q417" s="195"/>
      <c r="R417" s="195"/>
      <c r="S417" s="195"/>
      <c r="T417" s="195"/>
      <c r="U417" s="195"/>
      <c r="V417" s="195"/>
      <c r="W417" s="198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</row>
    <row r="418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195"/>
      <c r="Q418" s="195"/>
      <c r="R418" s="195"/>
      <c r="S418" s="195"/>
      <c r="T418" s="195"/>
      <c r="U418" s="195"/>
      <c r="V418" s="195"/>
      <c r="W418" s="198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</row>
    <row r="419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195"/>
      <c r="Q419" s="195"/>
      <c r="R419" s="195"/>
      <c r="S419" s="195"/>
      <c r="T419" s="195"/>
      <c r="U419" s="195"/>
      <c r="V419" s="195"/>
      <c r="W419" s="198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</row>
    <row r="420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195"/>
      <c r="Q420" s="195"/>
      <c r="R420" s="195"/>
      <c r="S420" s="195"/>
      <c r="T420" s="195"/>
      <c r="U420" s="195"/>
      <c r="V420" s="195"/>
      <c r="W420" s="198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</row>
    <row r="42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195"/>
      <c r="Q421" s="195"/>
      <c r="R421" s="195"/>
      <c r="S421" s="195"/>
      <c r="T421" s="195"/>
      <c r="U421" s="195"/>
      <c r="V421" s="195"/>
      <c r="W421" s="198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</row>
    <row r="422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195"/>
      <c r="Q422" s="195"/>
      <c r="R422" s="195"/>
      <c r="S422" s="195"/>
      <c r="T422" s="195"/>
      <c r="U422" s="195"/>
      <c r="V422" s="195"/>
      <c r="W422" s="198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</row>
    <row r="423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195"/>
      <c r="Q423" s="195"/>
      <c r="R423" s="195"/>
      <c r="S423" s="195"/>
      <c r="T423" s="195"/>
      <c r="U423" s="195"/>
      <c r="V423" s="195"/>
      <c r="W423" s="198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</row>
    <row r="424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195"/>
      <c r="Q424" s="195"/>
      <c r="R424" s="195"/>
      <c r="S424" s="195"/>
      <c r="T424" s="195"/>
      <c r="U424" s="195"/>
      <c r="V424" s="195"/>
      <c r="W424" s="198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</row>
    <row r="425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195"/>
      <c r="Q425" s="195"/>
      <c r="R425" s="195"/>
      <c r="S425" s="195"/>
      <c r="T425" s="195"/>
      <c r="U425" s="195"/>
      <c r="V425" s="195"/>
      <c r="W425" s="198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</row>
    <row r="426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195"/>
      <c r="Q426" s="195"/>
      <c r="R426" s="195"/>
      <c r="S426" s="195"/>
      <c r="T426" s="195"/>
      <c r="U426" s="195"/>
      <c r="V426" s="195"/>
      <c r="W426" s="198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</row>
    <row r="427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195"/>
      <c r="Q427" s="195"/>
      <c r="R427" s="195"/>
      <c r="S427" s="195"/>
      <c r="T427" s="195"/>
      <c r="U427" s="195"/>
      <c r="V427" s="195"/>
      <c r="W427" s="198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</row>
    <row r="428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195"/>
      <c r="Q428" s="195"/>
      <c r="R428" s="195"/>
      <c r="S428" s="195"/>
      <c r="T428" s="195"/>
      <c r="U428" s="195"/>
      <c r="V428" s="195"/>
      <c r="W428" s="198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</row>
    <row r="429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195"/>
      <c r="Q429" s="195"/>
      <c r="R429" s="195"/>
      <c r="S429" s="195"/>
      <c r="T429" s="195"/>
      <c r="U429" s="195"/>
      <c r="V429" s="195"/>
      <c r="W429" s="198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</row>
    <row r="430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195"/>
      <c r="Q430" s="195"/>
      <c r="R430" s="195"/>
      <c r="S430" s="195"/>
      <c r="T430" s="195"/>
      <c r="U430" s="195"/>
      <c r="V430" s="195"/>
      <c r="W430" s="198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</row>
    <row r="43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195"/>
      <c r="Q431" s="195"/>
      <c r="R431" s="195"/>
      <c r="S431" s="195"/>
      <c r="T431" s="195"/>
      <c r="U431" s="195"/>
      <c r="V431" s="195"/>
      <c r="W431" s="198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</row>
    <row r="432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195"/>
      <c r="Q432" s="195"/>
      <c r="R432" s="195"/>
      <c r="S432" s="195"/>
      <c r="T432" s="195"/>
      <c r="U432" s="195"/>
      <c r="V432" s="195"/>
      <c r="W432" s="198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</row>
    <row r="433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195"/>
      <c r="Q433" s="195"/>
      <c r="R433" s="195"/>
      <c r="S433" s="195"/>
      <c r="T433" s="195"/>
      <c r="U433" s="195"/>
      <c r="V433" s="195"/>
      <c r="W433" s="198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</row>
    <row r="434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195"/>
      <c r="Q434" s="195"/>
      <c r="R434" s="195"/>
      <c r="S434" s="195"/>
      <c r="T434" s="195"/>
      <c r="U434" s="195"/>
      <c r="V434" s="195"/>
      <c r="W434" s="198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</row>
    <row r="435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195"/>
      <c r="Q435" s="195"/>
      <c r="R435" s="195"/>
      <c r="S435" s="195"/>
      <c r="T435" s="195"/>
      <c r="U435" s="195"/>
      <c r="V435" s="195"/>
      <c r="W435" s="198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</row>
    <row r="436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195"/>
      <c r="Q436" s="195"/>
      <c r="R436" s="195"/>
      <c r="S436" s="195"/>
      <c r="T436" s="195"/>
      <c r="U436" s="195"/>
      <c r="V436" s="195"/>
      <c r="W436" s="198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</row>
    <row r="437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195"/>
      <c r="Q437" s="195"/>
      <c r="R437" s="195"/>
      <c r="S437" s="195"/>
      <c r="T437" s="195"/>
      <c r="U437" s="195"/>
      <c r="V437" s="195"/>
      <c r="W437" s="198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</row>
    <row r="438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195"/>
      <c r="Q438" s="195"/>
      <c r="R438" s="195"/>
      <c r="S438" s="195"/>
      <c r="T438" s="195"/>
      <c r="U438" s="195"/>
      <c r="V438" s="195"/>
      <c r="W438" s="198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</row>
    <row r="439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195"/>
      <c r="Q439" s="195"/>
      <c r="R439" s="195"/>
      <c r="S439" s="195"/>
      <c r="T439" s="195"/>
      <c r="U439" s="195"/>
      <c r="V439" s="195"/>
      <c r="W439" s="198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</row>
    <row r="440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195"/>
      <c r="Q440" s="195"/>
      <c r="R440" s="195"/>
      <c r="S440" s="195"/>
      <c r="T440" s="195"/>
      <c r="U440" s="195"/>
      <c r="V440" s="195"/>
      <c r="W440" s="198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</row>
    <row r="44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195"/>
      <c r="Q441" s="195"/>
      <c r="R441" s="195"/>
      <c r="S441" s="195"/>
      <c r="T441" s="195"/>
      <c r="U441" s="195"/>
      <c r="V441" s="195"/>
      <c r="W441" s="198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</row>
    <row r="442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195"/>
      <c r="Q442" s="195"/>
      <c r="R442" s="195"/>
      <c r="S442" s="195"/>
      <c r="T442" s="195"/>
      <c r="U442" s="195"/>
      <c r="V442" s="195"/>
      <c r="W442" s="198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</row>
    <row r="443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195"/>
      <c r="Q443" s="195"/>
      <c r="R443" s="195"/>
      <c r="S443" s="195"/>
      <c r="T443" s="195"/>
      <c r="U443" s="195"/>
      <c r="V443" s="195"/>
      <c r="W443" s="198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</row>
    <row r="444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195"/>
      <c r="Q444" s="195"/>
      <c r="R444" s="195"/>
      <c r="S444" s="195"/>
      <c r="T444" s="195"/>
      <c r="U444" s="195"/>
      <c r="V444" s="195"/>
      <c r="W444" s="198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</row>
    <row r="445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195"/>
      <c r="Q445" s="195"/>
      <c r="R445" s="195"/>
      <c r="S445" s="195"/>
      <c r="T445" s="195"/>
      <c r="U445" s="195"/>
      <c r="V445" s="195"/>
      <c r="W445" s="198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</row>
    <row r="446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195"/>
      <c r="Q446" s="195"/>
      <c r="R446" s="195"/>
      <c r="S446" s="195"/>
      <c r="T446" s="195"/>
      <c r="U446" s="195"/>
      <c r="V446" s="195"/>
      <c r="W446" s="198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</row>
    <row r="447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195"/>
      <c r="Q447" s="195"/>
      <c r="R447" s="195"/>
      <c r="S447" s="195"/>
      <c r="T447" s="195"/>
      <c r="U447" s="195"/>
      <c r="V447" s="195"/>
      <c r="W447" s="198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</row>
    <row r="448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195"/>
      <c r="Q448" s="195"/>
      <c r="R448" s="195"/>
      <c r="S448" s="195"/>
      <c r="T448" s="195"/>
      <c r="U448" s="195"/>
      <c r="V448" s="195"/>
      <c r="W448" s="198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</row>
    <row r="449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195"/>
      <c r="Q449" s="195"/>
      <c r="R449" s="195"/>
      <c r="S449" s="195"/>
      <c r="T449" s="195"/>
      <c r="U449" s="195"/>
      <c r="V449" s="195"/>
      <c r="W449" s="198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</row>
    <row r="450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195"/>
      <c r="Q450" s="195"/>
      <c r="R450" s="195"/>
      <c r="S450" s="195"/>
      <c r="T450" s="195"/>
      <c r="U450" s="195"/>
      <c r="V450" s="195"/>
      <c r="W450" s="198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</row>
    <row r="45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195"/>
      <c r="Q451" s="195"/>
      <c r="R451" s="195"/>
      <c r="S451" s="195"/>
      <c r="T451" s="195"/>
      <c r="U451" s="195"/>
      <c r="V451" s="195"/>
      <c r="W451" s="198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</row>
    <row r="452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195"/>
      <c r="Q452" s="195"/>
      <c r="R452" s="195"/>
      <c r="S452" s="195"/>
      <c r="T452" s="195"/>
      <c r="U452" s="195"/>
      <c r="V452" s="195"/>
      <c r="W452" s="198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</row>
    <row r="453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195"/>
      <c r="Q453" s="195"/>
      <c r="R453" s="195"/>
      <c r="S453" s="195"/>
      <c r="T453" s="195"/>
      <c r="U453" s="195"/>
      <c r="V453" s="195"/>
      <c r="W453" s="198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</row>
    <row r="454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195"/>
      <c r="Q454" s="195"/>
      <c r="R454" s="195"/>
      <c r="S454" s="195"/>
      <c r="T454" s="195"/>
      <c r="U454" s="195"/>
      <c r="V454" s="195"/>
      <c r="W454" s="198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</row>
    <row r="455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195"/>
      <c r="Q455" s="195"/>
      <c r="R455" s="195"/>
      <c r="S455" s="195"/>
      <c r="T455" s="195"/>
      <c r="U455" s="195"/>
      <c r="V455" s="195"/>
      <c r="W455" s="198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</row>
    <row r="456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195"/>
      <c r="Q456" s="195"/>
      <c r="R456" s="195"/>
      <c r="S456" s="195"/>
      <c r="T456" s="195"/>
      <c r="U456" s="195"/>
      <c r="V456" s="195"/>
      <c r="W456" s="198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</row>
    <row r="457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195"/>
      <c r="Q457" s="195"/>
      <c r="R457" s="195"/>
      <c r="S457" s="195"/>
      <c r="T457" s="195"/>
      <c r="U457" s="195"/>
      <c r="V457" s="195"/>
      <c r="W457" s="198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</row>
    <row r="458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195"/>
      <c r="Q458" s="195"/>
      <c r="R458" s="195"/>
      <c r="S458" s="195"/>
      <c r="T458" s="195"/>
      <c r="U458" s="195"/>
      <c r="V458" s="195"/>
      <c r="W458" s="198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</row>
    <row r="459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195"/>
      <c r="Q459" s="195"/>
      <c r="R459" s="195"/>
      <c r="S459" s="195"/>
      <c r="T459" s="195"/>
      <c r="U459" s="195"/>
      <c r="V459" s="195"/>
      <c r="W459" s="198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</row>
    <row r="460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195"/>
      <c r="Q460" s="195"/>
      <c r="R460" s="195"/>
      <c r="S460" s="195"/>
      <c r="T460" s="195"/>
      <c r="U460" s="195"/>
      <c r="V460" s="195"/>
      <c r="W460" s="198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</row>
    <row r="46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195"/>
      <c r="Q461" s="195"/>
      <c r="R461" s="195"/>
      <c r="S461" s="195"/>
      <c r="T461" s="195"/>
      <c r="U461" s="195"/>
      <c r="V461" s="195"/>
      <c r="W461" s="198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</row>
    <row r="462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195"/>
      <c r="Q462" s="195"/>
      <c r="R462" s="195"/>
      <c r="S462" s="195"/>
      <c r="T462" s="195"/>
      <c r="U462" s="195"/>
      <c r="V462" s="195"/>
      <c r="W462" s="198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</row>
    <row r="463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195"/>
      <c r="Q463" s="195"/>
      <c r="R463" s="195"/>
      <c r="S463" s="195"/>
      <c r="T463" s="195"/>
      <c r="U463" s="195"/>
      <c r="V463" s="195"/>
      <c r="W463" s="198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</row>
    <row r="464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195"/>
      <c r="Q464" s="195"/>
      <c r="R464" s="195"/>
      <c r="S464" s="195"/>
      <c r="T464" s="195"/>
      <c r="U464" s="195"/>
      <c r="V464" s="195"/>
      <c r="W464" s="198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</row>
    <row r="465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195"/>
      <c r="Q465" s="195"/>
      <c r="R465" s="195"/>
      <c r="S465" s="195"/>
      <c r="T465" s="195"/>
      <c r="U465" s="195"/>
      <c r="V465" s="195"/>
      <c r="W465" s="198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</row>
    <row r="466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195"/>
      <c r="Q466" s="195"/>
      <c r="R466" s="195"/>
      <c r="S466" s="195"/>
      <c r="T466" s="195"/>
      <c r="U466" s="195"/>
      <c r="V466" s="195"/>
      <c r="W466" s="198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</row>
    <row r="467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195"/>
      <c r="Q467" s="195"/>
      <c r="R467" s="195"/>
      <c r="S467" s="195"/>
      <c r="T467" s="195"/>
      <c r="U467" s="195"/>
      <c r="V467" s="195"/>
      <c r="W467" s="198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</row>
    <row r="468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195"/>
      <c r="Q468" s="195"/>
      <c r="R468" s="195"/>
      <c r="S468" s="195"/>
      <c r="T468" s="195"/>
      <c r="U468" s="195"/>
      <c r="V468" s="195"/>
      <c r="W468" s="198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</row>
    <row r="469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195"/>
      <c r="Q469" s="195"/>
      <c r="R469" s="195"/>
      <c r="S469" s="195"/>
      <c r="T469" s="195"/>
      <c r="U469" s="195"/>
      <c r="V469" s="195"/>
      <c r="W469" s="198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</row>
    <row r="470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195"/>
      <c r="Q470" s="195"/>
      <c r="R470" s="195"/>
      <c r="S470" s="195"/>
      <c r="T470" s="195"/>
      <c r="U470" s="195"/>
      <c r="V470" s="195"/>
      <c r="W470" s="198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</row>
    <row r="47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195"/>
      <c r="Q471" s="195"/>
      <c r="R471" s="195"/>
      <c r="S471" s="195"/>
      <c r="T471" s="195"/>
      <c r="U471" s="195"/>
      <c r="V471" s="195"/>
      <c r="W471" s="198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</row>
    <row r="472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195"/>
      <c r="Q472" s="195"/>
      <c r="R472" s="195"/>
      <c r="S472" s="195"/>
      <c r="T472" s="195"/>
      <c r="U472" s="195"/>
      <c r="V472" s="195"/>
      <c r="W472" s="198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</row>
    <row r="473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195"/>
      <c r="Q473" s="195"/>
      <c r="R473" s="195"/>
      <c r="S473" s="195"/>
      <c r="T473" s="195"/>
      <c r="U473" s="195"/>
      <c r="V473" s="195"/>
      <c r="W473" s="198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</row>
    <row r="474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195"/>
      <c r="Q474" s="195"/>
      <c r="R474" s="195"/>
      <c r="S474" s="195"/>
      <c r="T474" s="195"/>
      <c r="U474" s="195"/>
      <c r="V474" s="195"/>
      <c r="W474" s="198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</row>
    <row r="475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195"/>
      <c r="Q475" s="195"/>
      <c r="R475" s="195"/>
      <c r="S475" s="195"/>
      <c r="T475" s="195"/>
      <c r="U475" s="195"/>
      <c r="V475" s="195"/>
      <c r="W475" s="198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</row>
    <row r="476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195"/>
      <c r="Q476" s="195"/>
      <c r="R476" s="195"/>
      <c r="S476" s="195"/>
      <c r="T476" s="195"/>
      <c r="U476" s="195"/>
      <c r="V476" s="195"/>
      <c r="W476" s="198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</row>
    <row r="477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195"/>
      <c r="Q477" s="195"/>
      <c r="R477" s="195"/>
      <c r="S477" s="195"/>
      <c r="T477" s="195"/>
      <c r="U477" s="195"/>
      <c r="V477" s="195"/>
      <c r="W477" s="198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</row>
    <row r="478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195"/>
      <c r="Q478" s="195"/>
      <c r="R478" s="195"/>
      <c r="S478" s="195"/>
      <c r="T478" s="195"/>
      <c r="U478" s="195"/>
      <c r="V478" s="195"/>
      <c r="W478" s="198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</row>
    <row r="479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195"/>
      <c r="Q479" s="195"/>
      <c r="R479" s="195"/>
      <c r="S479" s="195"/>
      <c r="T479" s="195"/>
      <c r="U479" s="195"/>
      <c r="V479" s="195"/>
      <c r="W479" s="198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</row>
    <row r="480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195"/>
      <c r="Q480" s="195"/>
      <c r="R480" s="195"/>
      <c r="S480" s="195"/>
      <c r="T480" s="195"/>
      <c r="U480" s="195"/>
      <c r="V480" s="195"/>
      <c r="W480" s="198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</row>
    <row r="48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195"/>
      <c r="Q481" s="195"/>
      <c r="R481" s="195"/>
      <c r="S481" s="195"/>
      <c r="T481" s="195"/>
      <c r="U481" s="195"/>
      <c r="V481" s="195"/>
      <c r="W481" s="198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</row>
    <row r="482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195"/>
      <c r="Q482" s="195"/>
      <c r="R482" s="195"/>
      <c r="S482" s="195"/>
      <c r="T482" s="195"/>
      <c r="U482" s="195"/>
      <c r="V482" s="195"/>
      <c r="W482" s="198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</row>
    <row r="483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195"/>
      <c r="Q483" s="195"/>
      <c r="R483" s="195"/>
      <c r="S483" s="195"/>
      <c r="T483" s="195"/>
      <c r="U483" s="195"/>
      <c r="V483" s="195"/>
      <c r="W483" s="198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</row>
    <row r="484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195"/>
      <c r="Q484" s="195"/>
      <c r="R484" s="195"/>
      <c r="S484" s="195"/>
      <c r="T484" s="195"/>
      <c r="U484" s="195"/>
      <c r="V484" s="195"/>
      <c r="W484" s="198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</row>
    <row r="485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195"/>
      <c r="Q485" s="195"/>
      <c r="R485" s="195"/>
      <c r="S485" s="195"/>
      <c r="T485" s="195"/>
      <c r="U485" s="195"/>
      <c r="V485" s="195"/>
      <c r="W485" s="198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</row>
    <row r="486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195"/>
      <c r="Q486" s="195"/>
      <c r="R486" s="195"/>
      <c r="S486" s="195"/>
      <c r="T486" s="195"/>
      <c r="U486" s="195"/>
      <c r="V486" s="195"/>
      <c r="W486" s="198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</row>
    <row r="487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195"/>
      <c r="Q487" s="195"/>
      <c r="R487" s="195"/>
      <c r="S487" s="195"/>
      <c r="T487" s="195"/>
      <c r="U487" s="195"/>
      <c r="V487" s="195"/>
      <c r="W487" s="198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</row>
    <row r="488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195"/>
      <c r="Q488" s="195"/>
      <c r="R488" s="195"/>
      <c r="S488" s="195"/>
      <c r="T488" s="195"/>
      <c r="U488" s="195"/>
      <c r="V488" s="195"/>
      <c r="W488" s="198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</row>
    <row r="489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195"/>
      <c r="Q489" s="195"/>
      <c r="R489" s="195"/>
      <c r="S489" s="195"/>
      <c r="T489" s="195"/>
      <c r="U489" s="195"/>
      <c r="V489" s="195"/>
      <c r="W489" s="198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</row>
    <row r="490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195"/>
      <c r="Q490" s="195"/>
      <c r="R490" s="195"/>
      <c r="S490" s="195"/>
      <c r="T490" s="195"/>
      <c r="U490" s="195"/>
      <c r="V490" s="195"/>
      <c r="W490" s="198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</row>
    <row r="49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195"/>
      <c r="Q491" s="195"/>
      <c r="R491" s="195"/>
      <c r="S491" s="195"/>
      <c r="T491" s="195"/>
      <c r="U491" s="195"/>
      <c r="V491" s="195"/>
      <c r="W491" s="198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</row>
    <row r="492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195"/>
      <c r="Q492" s="195"/>
      <c r="R492" s="195"/>
      <c r="S492" s="195"/>
      <c r="T492" s="195"/>
      <c r="U492" s="195"/>
      <c r="V492" s="195"/>
      <c r="W492" s="198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</row>
    <row r="493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195"/>
      <c r="Q493" s="195"/>
      <c r="R493" s="195"/>
      <c r="S493" s="195"/>
      <c r="T493" s="195"/>
      <c r="U493" s="195"/>
      <c r="V493" s="195"/>
      <c r="W493" s="198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</row>
    <row r="494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195"/>
      <c r="Q494" s="195"/>
      <c r="R494" s="195"/>
      <c r="S494" s="195"/>
      <c r="T494" s="195"/>
      <c r="U494" s="195"/>
      <c r="V494" s="195"/>
      <c r="W494" s="198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</row>
    <row r="495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195"/>
      <c r="Q495" s="195"/>
      <c r="R495" s="195"/>
      <c r="S495" s="195"/>
      <c r="T495" s="195"/>
      <c r="U495" s="195"/>
      <c r="V495" s="195"/>
      <c r="W495" s="198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</row>
    <row r="496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195"/>
      <c r="Q496" s="195"/>
      <c r="R496" s="195"/>
      <c r="S496" s="195"/>
      <c r="T496" s="195"/>
      <c r="U496" s="195"/>
      <c r="V496" s="195"/>
      <c r="W496" s="198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</row>
    <row r="497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195"/>
      <c r="Q497" s="195"/>
      <c r="R497" s="195"/>
      <c r="S497" s="195"/>
      <c r="T497" s="195"/>
      <c r="U497" s="195"/>
      <c r="V497" s="195"/>
      <c r="W497" s="198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</row>
    <row r="498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195"/>
      <c r="Q498" s="195"/>
      <c r="R498" s="195"/>
      <c r="S498" s="195"/>
      <c r="T498" s="195"/>
      <c r="U498" s="195"/>
      <c r="V498" s="195"/>
      <c r="W498" s="198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</row>
    <row r="499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195"/>
      <c r="Q499" s="195"/>
      <c r="R499" s="195"/>
      <c r="S499" s="195"/>
      <c r="T499" s="195"/>
      <c r="U499" s="195"/>
      <c r="V499" s="195"/>
      <c r="W499" s="198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</row>
    <row r="500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195"/>
      <c r="Q500" s="195"/>
      <c r="R500" s="195"/>
      <c r="S500" s="195"/>
      <c r="T500" s="195"/>
      <c r="U500" s="195"/>
      <c r="V500" s="195"/>
      <c r="W500" s="198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</row>
    <row r="50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195"/>
      <c r="Q501" s="195"/>
      <c r="R501" s="195"/>
      <c r="S501" s="195"/>
      <c r="T501" s="195"/>
      <c r="U501" s="195"/>
      <c r="V501" s="195"/>
      <c r="W501" s="198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</row>
    <row r="502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195"/>
      <c r="Q502" s="195"/>
      <c r="R502" s="195"/>
      <c r="S502" s="195"/>
      <c r="T502" s="195"/>
      <c r="U502" s="195"/>
      <c r="V502" s="195"/>
      <c r="W502" s="198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</row>
    <row r="503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195"/>
      <c r="Q503" s="195"/>
      <c r="R503" s="195"/>
      <c r="S503" s="195"/>
      <c r="T503" s="195"/>
      <c r="U503" s="195"/>
      <c r="V503" s="195"/>
      <c r="W503" s="198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</row>
    <row r="504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195"/>
      <c r="Q504" s="195"/>
      <c r="R504" s="195"/>
      <c r="S504" s="195"/>
      <c r="T504" s="195"/>
      <c r="U504" s="195"/>
      <c r="V504" s="195"/>
      <c r="W504" s="198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</row>
    <row r="505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195"/>
      <c r="Q505" s="195"/>
      <c r="R505" s="195"/>
      <c r="S505" s="195"/>
      <c r="T505" s="195"/>
      <c r="U505" s="195"/>
      <c r="V505" s="195"/>
      <c r="W505" s="198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</row>
    <row r="506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195"/>
      <c r="Q506" s="195"/>
      <c r="R506" s="195"/>
      <c r="S506" s="195"/>
      <c r="T506" s="195"/>
      <c r="U506" s="195"/>
      <c r="V506" s="195"/>
      <c r="W506" s="198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</row>
    <row r="507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195"/>
      <c r="Q507" s="195"/>
      <c r="R507" s="195"/>
      <c r="S507" s="195"/>
      <c r="T507" s="195"/>
      <c r="U507" s="195"/>
      <c r="V507" s="195"/>
      <c r="W507" s="198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</row>
    <row r="508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195"/>
      <c r="Q508" s="195"/>
      <c r="R508" s="195"/>
      <c r="S508" s="195"/>
      <c r="T508" s="195"/>
      <c r="U508" s="195"/>
      <c r="V508" s="195"/>
      <c r="W508" s="198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</row>
    <row r="509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195"/>
      <c r="Q509" s="195"/>
      <c r="R509" s="195"/>
      <c r="S509" s="195"/>
      <c r="T509" s="195"/>
      <c r="U509" s="195"/>
      <c r="V509" s="195"/>
      <c r="W509" s="198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</row>
    <row r="510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195"/>
      <c r="Q510" s="195"/>
      <c r="R510" s="195"/>
      <c r="S510" s="195"/>
      <c r="T510" s="195"/>
      <c r="U510" s="195"/>
      <c r="V510" s="195"/>
      <c r="W510" s="198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</row>
    <row r="51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195"/>
      <c r="Q511" s="195"/>
      <c r="R511" s="195"/>
      <c r="S511" s="195"/>
      <c r="T511" s="195"/>
      <c r="U511" s="195"/>
      <c r="V511" s="195"/>
      <c r="W511" s="198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</row>
    <row r="512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195"/>
      <c r="Q512" s="195"/>
      <c r="R512" s="195"/>
      <c r="S512" s="195"/>
      <c r="T512" s="195"/>
      <c r="U512" s="195"/>
      <c r="V512" s="195"/>
      <c r="W512" s="198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</row>
    <row r="513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195"/>
      <c r="Q513" s="195"/>
      <c r="R513" s="195"/>
      <c r="S513" s="195"/>
      <c r="T513" s="195"/>
      <c r="U513" s="195"/>
      <c r="V513" s="195"/>
      <c r="W513" s="198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</row>
    <row r="514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195"/>
      <c r="Q514" s="195"/>
      <c r="R514" s="195"/>
      <c r="S514" s="195"/>
      <c r="T514" s="195"/>
      <c r="U514" s="195"/>
      <c r="V514" s="195"/>
      <c r="W514" s="198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</row>
    <row r="515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195"/>
      <c r="Q515" s="195"/>
      <c r="R515" s="195"/>
      <c r="S515" s="195"/>
      <c r="T515" s="195"/>
      <c r="U515" s="195"/>
      <c r="V515" s="195"/>
      <c r="W515" s="198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</row>
    <row r="516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195"/>
      <c r="Q516" s="195"/>
      <c r="R516" s="195"/>
      <c r="S516" s="195"/>
      <c r="T516" s="195"/>
      <c r="U516" s="195"/>
      <c r="V516" s="195"/>
      <c r="W516" s="198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</row>
    <row r="517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195"/>
      <c r="Q517" s="195"/>
      <c r="R517" s="195"/>
      <c r="S517" s="195"/>
      <c r="T517" s="195"/>
      <c r="U517" s="195"/>
      <c r="V517" s="195"/>
      <c r="W517" s="198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</row>
    <row r="518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195"/>
      <c r="Q518" s="195"/>
      <c r="R518" s="195"/>
      <c r="S518" s="195"/>
      <c r="T518" s="195"/>
      <c r="U518" s="195"/>
      <c r="V518" s="195"/>
      <c r="W518" s="198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</row>
    <row r="519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195"/>
      <c r="Q519" s="195"/>
      <c r="R519" s="195"/>
      <c r="S519" s="195"/>
      <c r="T519" s="195"/>
      <c r="U519" s="195"/>
      <c r="V519" s="195"/>
      <c r="W519" s="198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</row>
    <row r="520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195"/>
      <c r="Q520" s="195"/>
      <c r="R520" s="195"/>
      <c r="S520" s="195"/>
      <c r="T520" s="195"/>
      <c r="U520" s="195"/>
      <c r="V520" s="195"/>
      <c r="W520" s="198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</row>
    <row r="52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195"/>
      <c r="Q521" s="195"/>
      <c r="R521" s="195"/>
      <c r="S521" s="195"/>
      <c r="T521" s="195"/>
      <c r="U521" s="195"/>
      <c r="V521" s="195"/>
      <c r="W521" s="198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</row>
    <row r="522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195"/>
      <c r="Q522" s="195"/>
      <c r="R522" s="195"/>
      <c r="S522" s="195"/>
      <c r="T522" s="195"/>
      <c r="U522" s="195"/>
      <c r="V522" s="195"/>
      <c r="W522" s="198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</row>
    <row r="523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195"/>
      <c r="Q523" s="195"/>
      <c r="R523" s="195"/>
      <c r="S523" s="195"/>
      <c r="T523" s="195"/>
      <c r="U523" s="195"/>
      <c r="V523" s="195"/>
      <c r="W523" s="198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</row>
    <row r="524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195"/>
      <c r="Q524" s="195"/>
      <c r="R524" s="195"/>
      <c r="S524" s="195"/>
      <c r="T524" s="195"/>
      <c r="U524" s="195"/>
      <c r="V524" s="195"/>
      <c r="W524" s="198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</row>
    <row r="525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195"/>
      <c r="Q525" s="195"/>
      <c r="R525" s="195"/>
      <c r="S525" s="195"/>
      <c r="T525" s="195"/>
      <c r="U525" s="195"/>
      <c r="V525" s="195"/>
      <c r="W525" s="198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</row>
    <row r="526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195"/>
      <c r="Q526" s="195"/>
      <c r="R526" s="195"/>
      <c r="S526" s="195"/>
      <c r="T526" s="195"/>
      <c r="U526" s="195"/>
      <c r="V526" s="195"/>
      <c r="W526" s="198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</row>
    <row r="527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195"/>
      <c r="Q527" s="195"/>
      <c r="R527" s="195"/>
      <c r="S527" s="195"/>
      <c r="T527" s="195"/>
      <c r="U527" s="195"/>
      <c r="V527" s="195"/>
      <c r="W527" s="198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</row>
    <row r="528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195"/>
      <c r="Q528" s="195"/>
      <c r="R528" s="195"/>
      <c r="S528" s="195"/>
      <c r="T528" s="195"/>
      <c r="U528" s="195"/>
      <c r="V528" s="195"/>
      <c r="W528" s="198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</row>
    <row r="529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195"/>
      <c r="Q529" s="195"/>
      <c r="R529" s="195"/>
      <c r="S529" s="195"/>
      <c r="T529" s="195"/>
      <c r="U529" s="195"/>
      <c r="V529" s="195"/>
      <c r="W529" s="198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</row>
    <row r="530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195"/>
      <c r="Q530" s="195"/>
      <c r="R530" s="195"/>
      <c r="S530" s="195"/>
      <c r="T530" s="195"/>
      <c r="U530" s="195"/>
      <c r="V530" s="195"/>
      <c r="W530" s="198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</row>
    <row r="53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195"/>
      <c r="Q531" s="195"/>
      <c r="R531" s="195"/>
      <c r="S531" s="195"/>
      <c r="T531" s="195"/>
      <c r="U531" s="195"/>
      <c r="V531" s="195"/>
      <c r="W531" s="198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</row>
    <row r="532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195"/>
      <c r="Q532" s="195"/>
      <c r="R532" s="195"/>
      <c r="S532" s="195"/>
      <c r="T532" s="195"/>
      <c r="U532" s="195"/>
      <c r="V532" s="195"/>
      <c r="W532" s="198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</row>
    <row r="533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195"/>
      <c r="Q533" s="195"/>
      <c r="R533" s="195"/>
      <c r="S533" s="195"/>
      <c r="T533" s="195"/>
      <c r="U533" s="195"/>
      <c r="V533" s="195"/>
      <c r="W533" s="198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</row>
    <row r="534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195"/>
      <c r="Q534" s="195"/>
      <c r="R534" s="195"/>
      <c r="S534" s="195"/>
      <c r="T534" s="195"/>
      <c r="U534" s="195"/>
      <c r="V534" s="195"/>
      <c r="W534" s="198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</row>
    <row r="535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195"/>
      <c r="Q535" s="195"/>
      <c r="R535" s="195"/>
      <c r="S535" s="195"/>
      <c r="T535" s="195"/>
      <c r="U535" s="195"/>
      <c r="V535" s="195"/>
      <c r="W535" s="198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</row>
    <row r="536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195"/>
      <c r="Q536" s="195"/>
      <c r="R536" s="195"/>
      <c r="S536" s="195"/>
      <c r="T536" s="195"/>
      <c r="U536" s="195"/>
      <c r="V536" s="195"/>
      <c r="W536" s="198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</row>
    <row r="537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195"/>
      <c r="Q537" s="195"/>
      <c r="R537" s="195"/>
      <c r="S537" s="195"/>
      <c r="T537" s="195"/>
      <c r="U537" s="195"/>
      <c r="V537" s="195"/>
      <c r="W537" s="198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</row>
    <row r="538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195"/>
      <c r="Q538" s="195"/>
      <c r="R538" s="195"/>
      <c r="S538" s="195"/>
      <c r="T538" s="195"/>
      <c r="U538" s="195"/>
      <c r="V538" s="195"/>
      <c r="W538" s="198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</row>
    <row r="539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195"/>
      <c r="Q539" s="195"/>
      <c r="R539" s="195"/>
      <c r="S539" s="195"/>
      <c r="T539" s="195"/>
      <c r="U539" s="195"/>
      <c r="V539" s="195"/>
      <c r="W539" s="198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</row>
    <row r="540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195"/>
      <c r="Q540" s="195"/>
      <c r="R540" s="195"/>
      <c r="S540" s="195"/>
      <c r="T540" s="195"/>
      <c r="U540" s="195"/>
      <c r="V540" s="195"/>
      <c r="W540" s="198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</row>
    <row r="54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195"/>
      <c r="Q541" s="195"/>
      <c r="R541" s="195"/>
      <c r="S541" s="195"/>
      <c r="T541" s="195"/>
      <c r="U541" s="195"/>
      <c r="V541" s="195"/>
      <c r="W541" s="198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</row>
    <row r="542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195"/>
      <c r="Q542" s="195"/>
      <c r="R542" s="195"/>
      <c r="S542" s="195"/>
      <c r="T542" s="195"/>
      <c r="U542" s="195"/>
      <c r="V542" s="195"/>
      <c r="W542" s="198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</row>
    <row r="543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195"/>
      <c r="Q543" s="195"/>
      <c r="R543" s="195"/>
      <c r="S543" s="195"/>
      <c r="T543" s="195"/>
      <c r="U543" s="195"/>
      <c r="V543" s="195"/>
      <c r="W543" s="198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</row>
    <row r="544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195"/>
      <c r="Q544" s="195"/>
      <c r="R544" s="195"/>
      <c r="S544" s="195"/>
      <c r="T544" s="195"/>
      <c r="U544" s="195"/>
      <c r="V544" s="195"/>
      <c r="W544" s="198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</row>
    <row r="545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195"/>
      <c r="Q545" s="195"/>
      <c r="R545" s="195"/>
      <c r="S545" s="195"/>
      <c r="T545" s="195"/>
      <c r="U545" s="195"/>
      <c r="V545" s="195"/>
      <c r="W545" s="198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</row>
    <row r="546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195"/>
      <c r="Q546" s="195"/>
      <c r="R546" s="195"/>
      <c r="S546" s="195"/>
      <c r="T546" s="195"/>
      <c r="U546" s="195"/>
      <c r="V546" s="195"/>
      <c r="W546" s="198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</row>
    <row r="547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195"/>
      <c r="Q547" s="195"/>
      <c r="R547" s="195"/>
      <c r="S547" s="195"/>
      <c r="T547" s="195"/>
      <c r="U547" s="195"/>
      <c r="V547" s="195"/>
      <c r="W547" s="198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</row>
    <row r="548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195"/>
      <c r="Q548" s="195"/>
      <c r="R548" s="195"/>
      <c r="S548" s="195"/>
      <c r="T548" s="195"/>
      <c r="U548" s="195"/>
      <c r="V548" s="195"/>
      <c r="W548" s="198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</row>
    <row r="549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195"/>
      <c r="Q549" s="195"/>
      <c r="R549" s="195"/>
      <c r="S549" s="195"/>
      <c r="T549" s="195"/>
      <c r="U549" s="195"/>
      <c r="V549" s="195"/>
      <c r="W549" s="198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</row>
    <row r="550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195"/>
      <c r="Q550" s="195"/>
      <c r="R550" s="195"/>
      <c r="S550" s="195"/>
      <c r="T550" s="195"/>
      <c r="U550" s="195"/>
      <c r="V550" s="195"/>
      <c r="W550" s="198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</row>
    <row r="55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195"/>
      <c r="Q551" s="195"/>
      <c r="R551" s="195"/>
      <c r="S551" s="195"/>
      <c r="T551" s="195"/>
      <c r="U551" s="195"/>
      <c r="V551" s="195"/>
      <c r="W551" s="198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</row>
    <row r="552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195"/>
      <c r="Q552" s="195"/>
      <c r="R552" s="195"/>
      <c r="S552" s="195"/>
      <c r="T552" s="195"/>
      <c r="U552" s="195"/>
      <c r="V552" s="195"/>
      <c r="W552" s="198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</row>
    <row r="553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195"/>
      <c r="Q553" s="195"/>
      <c r="R553" s="195"/>
      <c r="S553" s="195"/>
      <c r="T553" s="195"/>
      <c r="U553" s="195"/>
      <c r="V553" s="195"/>
      <c r="W553" s="198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</row>
    <row r="554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195"/>
      <c r="Q554" s="195"/>
      <c r="R554" s="195"/>
      <c r="S554" s="195"/>
      <c r="T554" s="195"/>
      <c r="U554" s="195"/>
      <c r="V554" s="195"/>
      <c r="W554" s="198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</row>
    <row r="555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195"/>
      <c r="Q555" s="195"/>
      <c r="R555" s="195"/>
      <c r="S555" s="195"/>
      <c r="T555" s="195"/>
      <c r="U555" s="195"/>
      <c r="V555" s="195"/>
      <c r="W555" s="198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</row>
    <row r="556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195"/>
      <c r="Q556" s="195"/>
      <c r="R556" s="195"/>
      <c r="S556" s="195"/>
      <c r="T556" s="195"/>
      <c r="U556" s="195"/>
      <c r="V556" s="195"/>
      <c r="W556" s="198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</row>
    <row r="557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195"/>
      <c r="Q557" s="195"/>
      <c r="R557" s="195"/>
      <c r="S557" s="195"/>
      <c r="T557" s="195"/>
      <c r="U557" s="195"/>
      <c r="V557" s="195"/>
      <c r="W557" s="198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</row>
    <row r="558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195"/>
      <c r="Q558" s="195"/>
      <c r="R558" s="195"/>
      <c r="S558" s="195"/>
      <c r="T558" s="195"/>
      <c r="U558" s="195"/>
      <c r="V558" s="195"/>
      <c r="W558" s="198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</row>
    <row r="559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195"/>
      <c r="Q559" s="195"/>
      <c r="R559" s="195"/>
      <c r="S559" s="195"/>
      <c r="T559" s="195"/>
      <c r="U559" s="195"/>
      <c r="V559" s="195"/>
      <c r="W559" s="198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</row>
    <row r="560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195"/>
      <c r="Q560" s="195"/>
      <c r="R560" s="195"/>
      <c r="S560" s="195"/>
      <c r="T560" s="195"/>
      <c r="U560" s="195"/>
      <c r="V560" s="195"/>
      <c r="W560" s="198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</row>
    <row r="56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195"/>
      <c r="Q561" s="195"/>
      <c r="R561" s="195"/>
      <c r="S561" s="195"/>
      <c r="T561" s="195"/>
      <c r="U561" s="195"/>
      <c r="V561" s="195"/>
      <c r="W561" s="198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</row>
    <row r="562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195"/>
      <c r="Q562" s="195"/>
      <c r="R562" s="195"/>
      <c r="S562" s="195"/>
      <c r="T562" s="195"/>
      <c r="U562" s="195"/>
      <c r="V562" s="195"/>
      <c r="W562" s="198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</row>
    <row r="563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195"/>
      <c r="Q563" s="195"/>
      <c r="R563" s="195"/>
      <c r="S563" s="195"/>
      <c r="T563" s="195"/>
      <c r="U563" s="195"/>
      <c r="V563" s="195"/>
      <c r="W563" s="198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</row>
    <row r="564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195"/>
      <c r="Q564" s="195"/>
      <c r="R564" s="195"/>
      <c r="S564" s="195"/>
      <c r="T564" s="195"/>
      <c r="U564" s="195"/>
      <c r="V564" s="195"/>
      <c r="W564" s="198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</row>
    <row r="565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195"/>
      <c r="Q565" s="195"/>
      <c r="R565" s="195"/>
      <c r="S565" s="195"/>
      <c r="T565" s="195"/>
      <c r="U565" s="195"/>
      <c r="V565" s="195"/>
      <c r="W565" s="198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</row>
    <row r="566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195"/>
      <c r="Q566" s="195"/>
      <c r="R566" s="195"/>
      <c r="S566" s="195"/>
      <c r="T566" s="195"/>
      <c r="U566" s="195"/>
      <c r="V566" s="195"/>
      <c r="W566" s="198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</row>
    <row r="567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195"/>
      <c r="Q567" s="195"/>
      <c r="R567" s="195"/>
      <c r="S567" s="195"/>
      <c r="T567" s="195"/>
      <c r="U567" s="195"/>
      <c r="V567" s="195"/>
      <c r="W567" s="198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</row>
    <row r="568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195"/>
      <c r="Q568" s="195"/>
      <c r="R568" s="195"/>
      <c r="S568" s="195"/>
      <c r="T568" s="195"/>
      <c r="U568" s="195"/>
      <c r="V568" s="195"/>
      <c r="W568" s="198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</row>
    <row r="569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195"/>
      <c r="Q569" s="195"/>
      <c r="R569" s="195"/>
      <c r="S569" s="195"/>
      <c r="T569" s="195"/>
      <c r="U569" s="195"/>
      <c r="V569" s="195"/>
      <c r="W569" s="198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</row>
    <row r="570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195"/>
      <c r="Q570" s="195"/>
      <c r="R570" s="195"/>
      <c r="S570" s="195"/>
      <c r="T570" s="195"/>
      <c r="U570" s="195"/>
      <c r="V570" s="195"/>
      <c r="W570" s="198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</row>
    <row r="57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195"/>
      <c r="Q571" s="195"/>
      <c r="R571" s="195"/>
      <c r="S571" s="195"/>
      <c r="T571" s="195"/>
      <c r="U571" s="195"/>
      <c r="V571" s="195"/>
      <c r="W571" s="198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</row>
    <row r="572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195"/>
      <c r="Q572" s="195"/>
      <c r="R572" s="195"/>
      <c r="S572" s="195"/>
      <c r="T572" s="195"/>
      <c r="U572" s="195"/>
      <c r="V572" s="195"/>
      <c r="W572" s="198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</row>
    <row r="573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195"/>
      <c r="Q573" s="195"/>
      <c r="R573" s="195"/>
      <c r="S573" s="195"/>
      <c r="T573" s="195"/>
      <c r="U573" s="195"/>
      <c r="V573" s="195"/>
      <c r="W573" s="198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</row>
    <row r="574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195"/>
      <c r="Q574" s="195"/>
      <c r="R574" s="195"/>
      <c r="S574" s="195"/>
      <c r="T574" s="195"/>
      <c r="U574" s="195"/>
      <c r="V574" s="195"/>
      <c r="W574" s="198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</row>
    <row r="575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195"/>
      <c r="Q575" s="195"/>
      <c r="R575" s="195"/>
      <c r="S575" s="195"/>
      <c r="T575" s="195"/>
      <c r="U575" s="195"/>
      <c r="V575" s="195"/>
      <c r="W575" s="198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</row>
    <row r="576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195"/>
      <c r="Q576" s="195"/>
      <c r="R576" s="195"/>
      <c r="S576" s="195"/>
      <c r="T576" s="195"/>
      <c r="U576" s="195"/>
      <c r="V576" s="195"/>
      <c r="W576" s="198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</row>
    <row r="577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195"/>
      <c r="Q577" s="195"/>
      <c r="R577" s="195"/>
      <c r="S577" s="195"/>
      <c r="T577" s="195"/>
      <c r="U577" s="195"/>
      <c r="V577" s="195"/>
      <c r="W577" s="198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</row>
    <row r="578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195"/>
      <c r="Q578" s="195"/>
      <c r="R578" s="195"/>
      <c r="S578" s="195"/>
      <c r="T578" s="195"/>
      <c r="U578" s="195"/>
      <c r="V578" s="195"/>
      <c r="W578" s="198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</row>
    <row r="579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195"/>
      <c r="Q579" s="195"/>
      <c r="R579" s="195"/>
      <c r="S579" s="195"/>
      <c r="T579" s="195"/>
      <c r="U579" s="195"/>
      <c r="V579" s="195"/>
      <c r="W579" s="198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</row>
    <row r="580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195"/>
      <c r="Q580" s="195"/>
      <c r="R580" s="195"/>
      <c r="S580" s="195"/>
      <c r="T580" s="195"/>
      <c r="U580" s="195"/>
      <c r="V580" s="195"/>
      <c r="W580" s="198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</row>
    <row r="58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195"/>
      <c r="Q581" s="195"/>
      <c r="R581" s="195"/>
      <c r="S581" s="195"/>
      <c r="T581" s="195"/>
      <c r="U581" s="195"/>
      <c r="V581" s="195"/>
      <c r="W581" s="198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</row>
    <row r="582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195"/>
      <c r="Q582" s="195"/>
      <c r="R582" s="195"/>
      <c r="S582" s="195"/>
      <c r="T582" s="195"/>
      <c r="U582" s="195"/>
      <c r="V582" s="195"/>
      <c r="W582" s="198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</row>
    <row r="583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195"/>
      <c r="Q583" s="195"/>
      <c r="R583" s="195"/>
      <c r="S583" s="195"/>
      <c r="T583" s="195"/>
      <c r="U583" s="195"/>
      <c r="V583" s="195"/>
      <c r="W583" s="198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</row>
    <row r="584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195"/>
      <c r="Q584" s="195"/>
      <c r="R584" s="195"/>
      <c r="S584" s="195"/>
      <c r="T584" s="195"/>
      <c r="U584" s="195"/>
      <c r="V584" s="195"/>
      <c r="W584" s="198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</row>
    <row r="585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195"/>
      <c r="Q585" s="195"/>
      <c r="R585" s="195"/>
      <c r="S585" s="195"/>
      <c r="T585" s="195"/>
      <c r="U585" s="195"/>
      <c r="V585" s="195"/>
      <c r="W585" s="198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</row>
    <row r="586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195"/>
      <c r="Q586" s="195"/>
      <c r="R586" s="195"/>
      <c r="S586" s="195"/>
      <c r="T586" s="195"/>
      <c r="U586" s="195"/>
      <c r="V586" s="195"/>
      <c r="W586" s="198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</row>
    <row r="587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195"/>
      <c r="Q587" s="195"/>
      <c r="R587" s="195"/>
      <c r="S587" s="195"/>
      <c r="T587" s="195"/>
      <c r="U587" s="195"/>
      <c r="V587" s="195"/>
      <c r="W587" s="198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</row>
    <row r="588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195"/>
      <c r="Q588" s="195"/>
      <c r="R588" s="195"/>
      <c r="S588" s="195"/>
      <c r="T588" s="195"/>
      <c r="U588" s="195"/>
      <c r="V588" s="195"/>
      <c r="W588" s="198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</row>
    <row r="589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195"/>
      <c r="Q589" s="195"/>
      <c r="R589" s="195"/>
      <c r="S589" s="195"/>
      <c r="T589" s="195"/>
      <c r="U589" s="195"/>
      <c r="V589" s="195"/>
      <c r="W589" s="198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</row>
    <row r="590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195"/>
      <c r="Q590" s="195"/>
      <c r="R590" s="195"/>
      <c r="S590" s="195"/>
      <c r="T590" s="195"/>
      <c r="U590" s="195"/>
      <c r="V590" s="195"/>
      <c r="W590" s="198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</row>
    <row r="59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195"/>
      <c r="Q591" s="195"/>
      <c r="R591" s="195"/>
      <c r="S591" s="195"/>
      <c r="T591" s="195"/>
      <c r="U591" s="195"/>
      <c r="V591" s="195"/>
      <c r="W591" s="198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</row>
    <row r="592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195"/>
      <c r="Q592" s="195"/>
      <c r="R592" s="195"/>
      <c r="S592" s="195"/>
      <c r="T592" s="195"/>
      <c r="U592" s="195"/>
      <c r="V592" s="195"/>
      <c r="W592" s="198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</row>
    <row r="593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195"/>
      <c r="Q593" s="195"/>
      <c r="R593" s="195"/>
      <c r="S593" s="195"/>
      <c r="T593" s="195"/>
      <c r="U593" s="195"/>
      <c r="V593" s="195"/>
      <c r="W593" s="198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</row>
    <row r="594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195"/>
      <c r="Q594" s="195"/>
      <c r="R594" s="195"/>
      <c r="S594" s="195"/>
      <c r="T594" s="195"/>
      <c r="U594" s="195"/>
      <c r="V594" s="195"/>
      <c r="W594" s="198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</row>
    <row r="595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195"/>
      <c r="Q595" s="195"/>
      <c r="R595" s="195"/>
      <c r="S595" s="195"/>
      <c r="T595" s="195"/>
      <c r="U595" s="195"/>
      <c r="V595" s="195"/>
      <c r="W595" s="198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</row>
    <row r="596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195"/>
      <c r="Q596" s="195"/>
      <c r="R596" s="195"/>
      <c r="S596" s="195"/>
      <c r="T596" s="195"/>
      <c r="U596" s="195"/>
      <c r="V596" s="195"/>
      <c r="W596" s="198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</row>
    <row r="597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195"/>
      <c r="Q597" s="195"/>
      <c r="R597" s="195"/>
      <c r="S597" s="195"/>
      <c r="T597" s="195"/>
      <c r="U597" s="195"/>
      <c r="V597" s="195"/>
      <c r="W597" s="198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</row>
    <row r="598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195"/>
      <c r="Q598" s="195"/>
      <c r="R598" s="195"/>
      <c r="S598" s="195"/>
      <c r="T598" s="195"/>
      <c r="U598" s="195"/>
      <c r="V598" s="195"/>
      <c r="W598" s="198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</row>
    <row r="599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195"/>
      <c r="Q599" s="195"/>
      <c r="R599" s="195"/>
      <c r="S599" s="195"/>
      <c r="T599" s="195"/>
      <c r="U599" s="195"/>
      <c r="V599" s="195"/>
      <c r="W599" s="198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</row>
    <row r="600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195"/>
      <c r="Q600" s="195"/>
      <c r="R600" s="195"/>
      <c r="S600" s="195"/>
      <c r="T600" s="195"/>
      <c r="U600" s="195"/>
      <c r="V600" s="195"/>
      <c r="W600" s="198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</row>
    <row r="60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195"/>
      <c r="Q601" s="195"/>
      <c r="R601" s="195"/>
      <c r="S601" s="195"/>
      <c r="T601" s="195"/>
      <c r="U601" s="195"/>
      <c r="V601" s="195"/>
      <c r="W601" s="198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</row>
    <row r="602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195"/>
      <c r="Q602" s="195"/>
      <c r="R602" s="195"/>
      <c r="S602" s="195"/>
      <c r="T602" s="195"/>
      <c r="U602" s="195"/>
      <c r="V602" s="195"/>
      <c r="W602" s="198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</row>
    <row r="603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195"/>
      <c r="Q603" s="195"/>
      <c r="R603" s="195"/>
      <c r="S603" s="195"/>
      <c r="T603" s="195"/>
      <c r="U603" s="195"/>
      <c r="V603" s="195"/>
      <c r="W603" s="198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</row>
    <row r="604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5"/>
      <c r="S604" s="195"/>
      <c r="T604" s="195"/>
      <c r="U604" s="195"/>
      <c r="V604" s="195"/>
      <c r="W604" s="198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</row>
    <row r="605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195"/>
      <c r="Q605" s="195"/>
      <c r="R605" s="195"/>
      <c r="S605" s="195"/>
      <c r="T605" s="195"/>
      <c r="U605" s="195"/>
      <c r="V605" s="195"/>
      <c r="W605" s="198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</row>
    <row r="606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195"/>
      <c r="Q606" s="195"/>
      <c r="R606" s="195"/>
      <c r="S606" s="195"/>
      <c r="T606" s="195"/>
      <c r="U606" s="195"/>
      <c r="V606" s="195"/>
      <c r="W606" s="198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</row>
    <row r="607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195"/>
      <c r="Q607" s="195"/>
      <c r="R607" s="195"/>
      <c r="S607" s="195"/>
      <c r="T607" s="195"/>
      <c r="U607" s="195"/>
      <c r="V607" s="195"/>
      <c r="W607" s="198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</row>
    <row r="608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195"/>
      <c r="Q608" s="195"/>
      <c r="R608" s="195"/>
      <c r="S608" s="195"/>
      <c r="T608" s="195"/>
      <c r="U608" s="195"/>
      <c r="V608" s="195"/>
      <c r="W608" s="198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</row>
    <row r="609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195"/>
      <c r="Q609" s="195"/>
      <c r="R609" s="195"/>
      <c r="S609" s="195"/>
      <c r="T609" s="195"/>
      <c r="U609" s="195"/>
      <c r="V609" s="195"/>
      <c r="W609" s="198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</row>
    <row r="610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195"/>
      <c r="Q610" s="195"/>
      <c r="R610" s="195"/>
      <c r="S610" s="195"/>
      <c r="T610" s="195"/>
      <c r="U610" s="195"/>
      <c r="V610" s="195"/>
      <c r="W610" s="198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</row>
    <row r="61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195"/>
      <c r="Q611" s="195"/>
      <c r="R611" s="195"/>
      <c r="S611" s="195"/>
      <c r="T611" s="195"/>
      <c r="U611" s="195"/>
      <c r="V611" s="195"/>
      <c r="W611" s="198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</row>
    <row r="612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195"/>
      <c r="Q612" s="195"/>
      <c r="R612" s="195"/>
      <c r="S612" s="195"/>
      <c r="T612" s="195"/>
      <c r="U612" s="195"/>
      <c r="V612" s="195"/>
      <c r="W612" s="198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</row>
    <row r="613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195"/>
      <c r="Q613" s="195"/>
      <c r="R613" s="195"/>
      <c r="S613" s="195"/>
      <c r="T613" s="195"/>
      <c r="U613" s="195"/>
      <c r="V613" s="195"/>
      <c r="W613" s="198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</row>
    <row r="614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195"/>
      <c r="Q614" s="195"/>
      <c r="R614" s="195"/>
      <c r="S614" s="195"/>
      <c r="T614" s="195"/>
      <c r="U614" s="195"/>
      <c r="V614" s="195"/>
      <c r="W614" s="198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</row>
    <row r="615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195"/>
      <c r="Q615" s="195"/>
      <c r="R615" s="195"/>
      <c r="S615" s="195"/>
      <c r="T615" s="195"/>
      <c r="U615" s="195"/>
      <c r="V615" s="195"/>
      <c r="W615" s="198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</row>
    <row r="616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195"/>
      <c r="Q616" s="195"/>
      <c r="R616" s="195"/>
      <c r="S616" s="195"/>
      <c r="T616" s="195"/>
      <c r="U616" s="195"/>
      <c r="V616" s="195"/>
      <c r="W616" s="198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</row>
    <row r="617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195"/>
      <c r="Q617" s="195"/>
      <c r="R617" s="195"/>
      <c r="S617" s="195"/>
      <c r="T617" s="195"/>
      <c r="U617" s="195"/>
      <c r="V617" s="195"/>
      <c r="W617" s="198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</row>
    <row r="618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195"/>
      <c r="Q618" s="195"/>
      <c r="R618" s="195"/>
      <c r="S618" s="195"/>
      <c r="T618" s="195"/>
      <c r="U618" s="195"/>
      <c r="V618" s="195"/>
      <c r="W618" s="198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</row>
    <row r="619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195"/>
      <c r="Q619" s="195"/>
      <c r="R619" s="195"/>
      <c r="S619" s="195"/>
      <c r="T619" s="195"/>
      <c r="U619" s="195"/>
      <c r="V619" s="195"/>
      <c r="W619" s="198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</row>
    <row r="620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195"/>
      <c r="Q620" s="195"/>
      <c r="R620" s="195"/>
      <c r="S620" s="195"/>
      <c r="T620" s="195"/>
      <c r="U620" s="195"/>
      <c r="V620" s="195"/>
      <c r="W620" s="198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</row>
    <row r="62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195"/>
      <c r="Q621" s="195"/>
      <c r="R621" s="195"/>
      <c r="S621" s="195"/>
      <c r="T621" s="195"/>
      <c r="U621" s="195"/>
      <c r="V621" s="195"/>
      <c r="W621" s="198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</row>
    <row r="622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195"/>
      <c r="Q622" s="195"/>
      <c r="R622" s="195"/>
      <c r="S622" s="195"/>
      <c r="T622" s="195"/>
      <c r="U622" s="195"/>
      <c r="V622" s="195"/>
      <c r="W622" s="198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</row>
    <row r="623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195"/>
      <c r="Q623" s="195"/>
      <c r="R623" s="195"/>
      <c r="S623" s="195"/>
      <c r="T623" s="195"/>
      <c r="U623" s="195"/>
      <c r="V623" s="195"/>
      <c r="W623" s="198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</row>
    <row r="624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195"/>
      <c r="Q624" s="195"/>
      <c r="R624" s="195"/>
      <c r="S624" s="195"/>
      <c r="T624" s="195"/>
      <c r="U624" s="195"/>
      <c r="V624" s="195"/>
      <c r="W624" s="198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</row>
    <row r="625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195"/>
      <c r="Q625" s="195"/>
      <c r="R625" s="195"/>
      <c r="S625" s="195"/>
      <c r="T625" s="195"/>
      <c r="U625" s="195"/>
      <c r="V625" s="195"/>
      <c r="W625" s="198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</row>
    <row r="626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195"/>
      <c r="Q626" s="195"/>
      <c r="R626" s="195"/>
      <c r="S626" s="195"/>
      <c r="T626" s="195"/>
      <c r="U626" s="195"/>
      <c r="V626" s="195"/>
      <c r="W626" s="198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</row>
    <row r="627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195"/>
      <c r="Q627" s="195"/>
      <c r="R627" s="195"/>
      <c r="S627" s="195"/>
      <c r="T627" s="195"/>
      <c r="U627" s="195"/>
      <c r="V627" s="195"/>
      <c r="W627" s="198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</row>
    <row r="628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195"/>
      <c r="Q628" s="195"/>
      <c r="R628" s="195"/>
      <c r="S628" s="195"/>
      <c r="T628" s="195"/>
      <c r="U628" s="195"/>
      <c r="V628" s="195"/>
      <c r="W628" s="198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</row>
    <row r="629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195"/>
      <c r="Q629" s="195"/>
      <c r="R629" s="195"/>
      <c r="S629" s="195"/>
      <c r="T629" s="195"/>
      <c r="U629" s="195"/>
      <c r="V629" s="195"/>
      <c r="W629" s="198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</row>
    <row r="630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195"/>
      <c r="Q630" s="195"/>
      <c r="R630" s="195"/>
      <c r="S630" s="195"/>
      <c r="T630" s="195"/>
      <c r="U630" s="195"/>
      <c r="V630" s="195"/>
      <c r="W630" s="198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</row>
    <row r="63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195"/>
      <c r="Q631" s="195"/>
      <c r="R631" s="195"/>
      <c r="S631" s="195"/>
      <c r="T631" s="195"/>
      <c r="U631" s="195"/>
      <c r="V631" s="195"/>
      <c r="W631" s="198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</row>
    <row r="632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195"/>
      <c r="Q632" s="195"/>
      <c r="R632" s="195"/>
      <c r="S632" s="195"/>
      <c r="T632" s="195"/>
      <c r="U632" s="195"/>
      <c r="V632" s="195"/>
      <c r="W632" s="198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</row>
    <row r="633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195"/>
      <c r="Q633" s="195"/>
      <c r="R633" s="195"/>
      <c r="S633" s="195"/>
      <c r="T633" s="195"/>
      <c r="U633" s="195"/>
      <c r="V633" s="195"/>
      <c r="W633" s="198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</row>
    <row r="634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195"/>
      <c r="Q634" s="195"/>
      <c r="R634" s="195"/>
      <c r="S634" s="195"/>
      <c r="T634" s="195"/>
      <c r="U634" s="195"/>
      <c r="V634" s="195"/>
      <c r="W634" s="198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</row>
    <row r="635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195"/>
      <c r="Q635" s="195"/>
      <c r="R635" s="195"/>
      <c r="S635" s="195"/>
      <c r="T635" s="195"/>
      <c r="U635" s="195"/>
      <c r="V635" s="195"/>
      <c r="W635" s="198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</row>
    <row r="636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195"/>
      <c r="Q636" s="195"/>
      <c r="R636" s="195"/>
      <c r="S636" s="195"/>
      <c r="T636" s="195"/>
      <c r="U636" s="195"/>
      <c r="V636" s="195"/>
      <c r="W636" s="198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</row>
    <row r="637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195"/>
      <c r="Q637" s="195"/>
      <c r="R637" s="195"/>
      <c r="S637" s="195"/>
      <c r="T637" s="195"/>
      <c r="U637" s="195"/>
      <c r="V637" s="195"/>
      <c r="W637" s="198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</row>
    <row r="638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195"/>
      <c r="Q638" s="195"/>
      <c r="R638" s="195"/>
      <c r="S638" s="195"/>
      <c r="T638" s="195"/>
      <c r="U638" s="195"/>
      <c r="V638" s="195"/>
      <c r="W638" s="198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</row>
    <row r="639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195"/>
      <c r="Q639" s="195"/>
      <c r="R639" s="195"/>
      <c r="S639" s="195"/>
      <c r="T639" s="195"/>
      <c r="U639" s="195"/>
      <c r="V639" s="195"/>
      <c r="W639" s="198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</row>
    <row r="640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195"/>
      <c r="Q640" s="195"/>
      <c r="R640" s="195"/>
      <c r="S640" s="195"/>
      <c r="T640" s="195"/>
      <c r="U640" s="195"/>
      <c r="V640" s="195"/>
      <c r="W640" s="198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</row>
    <row r="64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195"/>
      <c r="Q641" s="195"/>
      <c r="R641" s="195"/>
      <c r="S641" s="195"/>
      <c r="T641" s="195"/>
      <c r="U641" s="195"/>
      <c r="V641" s="195"/>
      <c r="W641" s="198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</row>
    <row r="642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195"/>
      <c r="Q642" s="195"/>
      <c r="R642" s="195"/>
      <c r="S642" s="195"/>
      <c r="T642" s="195"/>
      <c r="U642" s="195"/>
      <c r="V642" s="195"/>
      <c r="W642" s="198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</row>
    <row r="643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195"/>
      <c r="Q643" s="195"/>
      <c r="R643" s="195"/>
      <c r="S643" s="195"/>
      <c r="T643" s="195"/>
      <c r="U643" s="195"/>
      <c r="V643" s="195"/>
      <c r="W643" s="198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</row>
    <row r="644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195"/>
      <c r="Q644" s="195"/>
      <c r="R644" s="195"/>
      <c r="S644" s="195"/>
      <c r="T644" s="195"/>
      <c r="U644" s="195"/>
      <c r="V644" s="195"/>
      <c r="W644" s="198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</row>
    <row r="645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195"/>
      <c r="Q645" s="195"/>
      <c r="R645" s="195"/>
      <c r="S645" s="195"/>
      <c r="T645" s="195"/>
      <c r="U645" s="195"/>
      <c r="V645" s="195"/>
      <c r="W645" s="198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</row>
    <row r="646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195"/>
      <c r="Q646" s="195"/>
      <c r="R646" s="195"/>
      <c r="S646" s="195"/>
      <c r="T646" s="195"/>
      <c r="U646" s="195"/>
      <c r="V646" s="195"/>
      <c r="W646" s="198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</row>
    <row r="647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195"/>
      <c r="Q647" s="195"/>
      <c r="R647" s="195"/>
      <c r="S647" s="195"/>
      <c r="T647" s="195"/>
      <c r="U647" s="195"/>
      <c r="V647" s="195"/>
      <c r="W647" s="198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</row>
    <row r="648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195"/>
      <c r="Q648" s="195"/>
      <c r="R648" s="195"/>
      <c r="S648" s="195"/>
      <c r="T648" s="195"/>
      <c r="U648" s="195"/>
      <c r="V648" s="195"/>
      <c r="W648" s="198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</row>
    <row r="649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195"/>
      <c r="Q649" s="195"/>
      <c r="R649" s="195"/>
      <c r="S649" s="195"/>
      <c r="T649" s="195"/>
      <c r="U649" s="195"/>
      <c r="V649" s="195"/>
      <c r="W649" s="198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</row>
    <row r="650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195"/>
      <c r="Q650" s="195"/>
      <c r="R650" s="195"/>
      <c r="S650" s="195"/>
      <c r="T650" s="195"/>
      <c r="U650" s="195"/>
      <c r="V650" s="195"/>
      <c r="W650" s="198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</row>
    <row r="65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195"/>
      <c r="Q651" s="195"/>
      <c r="R651" s="195"/>
      <c r="S651" s="195"/>
      <c r="T651" s="195"/>
      <c r="U651" s="195"/>
      <c r="V651" s="195"/>
      <c r="W651" s="198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</row>
    <row r="652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195"/>
      <c r="Q652" s="195"/>
      <c r="R652" s="195"/>
      <c r="S652" s="195"/>
      <c r="T652" s="195"/>
      <c r="U652" s="195"/>
      <c r="V652" s="195"/>
      <c r="W652" s="198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</row>
    <row r="653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195"/>
      <c r="Q653" s="195"/>
      <c r="R653" s="195"/>
      <c r="S653" s="195"/>
      <c r="T653" s="195"/>
      <c r="U653" s="195"/>
      <c r="V653" s="195"/>
      <c r="W653" s="198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</row>
    <row r="654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195"/>
      <c r="Q654" s="195"/>
      <c r="R654" s="195"/>
      <c r="S654" s="195"/>
      <c r="T654" s="195"/>
      <c r="U654" s="195"/>
      <c r="V654" s="195"/>
      <c r="W654" s="198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</row>
    <row r="655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195"/>
      <c r="Q655" s="195"/>
      <c r="R655" s="195"/>
      <c r="S655" s="195"/>
      <c r="T655" s="195"/>
      <c r="U655" s="195"/>
      <c r="V655" s="195"/>
      <c r="W655" s="198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</row>
    <row r="656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195"/>
      <c r="Q656" s="195"/>
      <c r="R656" s="195"/>
      <c r="S656" s="195"/>
      <c r="T656" s="195"/>
      <c r="U656" s="195"/>
      <c r="V656" s="195"/>
      <c r="W656" s="198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</row>
    <row r="657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195"/>
      <c r="Q657" s="195"/>
      <c r="R657" s="195"/>
      <c r="S657" s="195"/>
      <c r="T657" s="195"/>
      <c r="U657" s="195"/>
      <c r="V657" s="195"/>
      <c r="W657" s="198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</row>
    <row r="658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195"/>
      <c r="Q658" s="195"/>
      <c r="R658" s="195"/>
      <c r="S658" s="195"/>
      <c r="T658" s="195"/>
      <c r="U658" s="195"/>
      <c r="V658" s="195"/>
      <c r="W658" s="198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</row>
    <row r="659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195"/>
      <c r="Q659" s="195"/>
      <c r="R659" s="195"/>
      <c r="S659" s="195"/>
      <c r="T659" s="195"/>
      <c r="U659" s="195"/>
      <c r="V659" s="195"/>
      <c r="W659" s="198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</row>
    <row r="660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195"/>
      <c r="Q660" s="195"/>
      <c r="R660" s="195"/>
      <c r="S660" s="195"/>
      <c r="T660" s="195"/>
      <c r="U660" s="195"/>
      <c r="V660" s="195"/>
      <c r="W660" s="198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</row>
    <row r="66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195"/>
      <c r="Q661" s="195"/>
      <c r="R661" s="195"/>
      <c r="S661" s="195"/>
      <c r="T661" s="195"/>
      <c r="U661" s="195"/>
      <c r="V661" s="195"/>
      <c r="W661" s="198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</row>
    <row r="662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195"/>
      <c r="Q662" s="195"/>
      <c r="R662" s="195"/>
      <c r="S662" s="195"/>
      <c r="T662" s="195"/>
      <c r="U662" s="195"/>
      <c r="V662" s="195"/>
      <c r="W662" s="198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</row>
    <row r="663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195"/>
      <c r="Q663" s="195"/>
      <c r="R663" s="195"/>
      <c r="S663" s="195"/>
      <c r="T663" s="195"/>
      <c r="U663" s="195"/>
      <c r="V663" s="195"/>
      <c r="W663" s="198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</row>
    <row r="664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195"/>
      <c r="Q664" s="195"/>
      <c r="R664" s="195"/>
      <c r="S664" s="195"/>
      <c r="T664" s="195"/>
      <c r="U664" s="195"/>
      <c r="V664" s="195"/>
      <c r="W664" s="198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</row>
    <row r="665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195"/>
      <c r="Q665" s="195"/>
      <c r="R665" s="195"/>
      <c r="S665" s="195"/>
      <c r="T665" s="195"/>
      <c r="U665" s="195"/>
      <c r="V665" s="195"/>
      <c r="W665" s="198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</row>
    <row r="666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195"/>
      <c r="Q666" s="195"/>
      <c r="R666" s="195"/>
      <c r="S666" s="195"/>
      <c r="T666" s="195"/>
      <c r="U666" s="195"/>
      <c r="V666" s="195"/>
      <c r="W666" s="198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</row>
    <row r="667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195"/>
      <c r="Q667" s="195"/>
      <c r="R667" s="195"/>
      <c r="S667" s="195"/>
      <c r="T667" s="195"/>
      <c r="U667" s="195"/>
      <c r="V667" s="195"/>
      <c r="W667" s="198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</row>
    <row r="668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195"/>
      <c r="Q668" s="195"/>
      <c r="R668" s="195"/>
      <c r="S668" s="195"/>
      <c r="T668" s="195"/>
      <c r="U668" s="195"/>
      <c r="V668" s="195"/>
      <c r="W668" s="198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</row>
    <row r="669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195"/>
      <c r="Q669" s="195"/>
      <c r="R669" s="195"/>
      <c r="S669" s="195"/>
      <c r="T669" s="195"/>
      <c r="U669" s="195"/>
      <c r="V669" s="195"/>
      <c r="W669" s="198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</row>
    <row r="670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195"/>
      <c r="Q670" s="195"/>
      <c r="R670" s="195"/>
      <c r="S670" s="195"/>
      <c r="T670" s="195"/>
      <c r="U670" s="195"/>
      <c r="V670" s="195"/>
      <c r="W670" s="198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</row>
    <row r="67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195"/>
      <c r="Q671" s="195"/>
      <c r="R671" s="195"/>
      <c r="S671" s="195"/>
      <c r="T671" s="195"/>
      <c r="U671" s="195"/>
      <c r="V671" s="195"/>
      <c r="W671" s="198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</row>
    <row r="672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195"/>
      <c r="Q672" s="195"/>
      <c r="R672" s="195"/>
      <c r="S672" s="195"/>
      <c r="T672" s="195"/>
      <c r="U672" s="195"/>
      <c r="V672" s="195"/>
      <c r="W672" s="198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</row>
    <row r="673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195"/>
      <c r="Q673" s="195"/>
      <c r="R673" s="195"/>
      <c r="S673" s="195"/>
      <c r="T673" s="195"/>
      <c r="U673" s="195"/>
      <c r="V673" s="195"/>
      <c r="W673" s="198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</row>
    <row r="674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195"/>
      <c r="Q674" s="195"/>
      <c r="R674" s="195"/>
      <c r="S674" s="195"/>
      <c r="T674" s="195"/>
      <c r="U674" s="195"/>
      <c r="V674" s="195"/>
      <c r="W674" s="198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</row>
    <row r="675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195"/>
      <c r="Q675" s="195"/>
      <c r="R675" s="195"/>
      <c r="S675" s="195"/>
      <c r="T675" s="195"/>
      <c r="U675" s="195"/>
      <c r="V675" s="195"/>
      <c r="W675" s="198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</row>
    <row r="676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195"/>
      <c r="Q676" s="195"/>
      <c r="R676" s="195"/>
      <c r="S676" s="195"/>
      <c r="T676" s="195"/>
      <c r="U676" s="195"/>
      <c r="V676" s="195"/>
      <c r="W676" s="198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</row>
    <row r="677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195"/>
      <c r="Q677" s="195"/>
      <c r="R677" s="195"/>
      <c r="S677" s="195"/>
      <c r="T677" s="195"/>
      <c r="U677" s="195"/>
      <c r="V677" s="195"/>
      <c r="W677" s="198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</row>
    <row r="678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195"/>
      <c r="Q678" s="195"/>
      <c r="R678" s="195"/>
      <c r="S678" s="195"/>
      <c r="T678" s="195"/>
      <c r="U678" s="195"/>
      <c r="V678" s="195"/>
      <c r="W678" s="198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</row>
    <row r="679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195"/>
      <c r="Q679" s="195"/>
      <c r="R679" s="195"/>
      <c r="S679" s="195"/>
      <c r="T679" s="195"/>
      <c r="U679" s="195"/>
      <c r="V679" s="195"/>
      <c r="W679" s="198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</row>
    <row r="680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195"/>
      <c r="Q680" s="195"/>
      <c r="R680" s="195"/>
      <c r="S680" s="195"/>
      <c r="T680" s="195"/>
      <c r="U680" s="195"/>
      <c r="V680" s="195"/>
      <c r="W680" s="198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</row>
    <row r="68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195"/>
      <c r="Q681" s="195"/>
      <c r="R681" s="195"/>
      <c r="S681" s="195"/>
      <c r="T681" s="195"/>
      <c r="U681" s="195"/>
      <c r="V681" s="195"/>
      <c r="W681" s="198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</row>
    <row r="682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195"/>
      <c r="Q682" s="195"/>
      <c r="R682" s="195"/>
      <c r="S682" s="195"/>
      <c r="T682" s="195"/>
      <c r="U682" s="195"/>
      <c r="V682" s="195"/>
      <c r="W682" s="198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</row>
    <row r="683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195"/>
      <c r="Q683" s="195"/>
      <c r="R683" s="195"/>
      <c r="S683" s="195"/>
      <c r="T683" s="195"/>
      <c r="U683" s="195"/>
      <c r="V683" s="195"/>
      <c r="W683" s="198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</row>
    <row r="684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195"/>
      <c r="Q684" s="195"/>
      <c r="R684" s="195"/>
      <c r="S684" s="195"/>
      <c r="T684" s="195"/>
      <c r="U684" s="195"/>
      <c r="V684" s="195"/>
      <c r="W684" s="198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</row>
    <row r="685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195"/>
      <c r="Q685" s="195"/>
      <c r="R685" s="195"/>
      <c r="S685" s="195"/>
      <c r="T685" s="195"/>
      <c r="U685" s="195"/>
      <c r="V685" s="195"/>
      <c r="W685" s="198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</row>
    <row r="686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195"/>
      <c r="Q686" s="195"/>
      <c r="R686" s="195"/>
      <c r="S686" s="195"/>
      <c r="T686" s="195"/>
      <c r="U686" s="195"/>
      <c r="V686" s="195"/>
      <c r="W686" s="198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</row>
    <row r="687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195"/>
      <c r="Q687" s="195"/>
      <c r="R687" s="195"/>
      <c r="S687" s="195"/>
      <c r="T687" s="195"/>
      <c r="U687" s="195"/>
      <c r="V687" s="195"/>
      <c r="W687" s="198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</row>
    <row r="688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195"/>
      <c r="Q688" s="195"/>
      <c r="R688" s="195"/>
      <c r="S688" s="195"/>
      <c r="T688" s="195"/>
      <c r="U688" s="195"/>
      <c r="V688" s="195"/>
      <c r="W688" s="198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</row>
    <row r="689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195"/>
      <c r="Q689" s="195"/>
      <c r="R689" s="195"/>
      <c r="S689" s="195"/>
      <c r="T689" s="195"/>
      <c r="U689" s="195"/>
      <c r="V689" s="195"/>
      <c r="W689" s="198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</row>
    <row r="690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195"/>
      <c r="Q690" s="195"/>
      <c r="R690" s="195"/>
      <c r="S690" s="195"/>
      <c r="T690" s="195"/>
      <c r="U690" s="195"/>
      <c r="V690" s="195"/>
      <c r="W690" s="198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</row>
    <row r="69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195"/>
      <c r="Q691" s="195"/>
      <c r="R691" s="195"/>
      <c r="S691" s="195"/>
      <c r="T691" s="195"/>
      <c r="U691" s="195"/>
      <c r="V691" s="195"/>
      <c r="W691" s="198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</row>
    <row r="692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195"/>
      <c r="Q692" s="195"/>
      <c r="R692" s="195"/>
      <c r="S692" s="195"/>
      <c r="T692" s="195"/>
      <c r="U692" s="195"/>
      <c r="V692" s="195"/>
      <c r="W692" s="198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</row>
    <row r="693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195"/>
      <c r="Q693" s="195"/>
      <c r="R693" s="195"/>
      <c r="S693" s="195"/>
      <c r="T693" s="195"/>
      <c r="U693" s="195"/>
      <c r="V693" s="195"/>
      <c r="W693" s="198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</row>
    <row r="694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195"/>
      <c r="Q694" s="195"/>
      <c r="R694" s="195"/>
      <c r="S694" s="195"/>
      <c r="T694" s="195"/>
      <c r="U694" s="195"/>
      <c r="V694" s="195"/>
      <c r="W694" s="198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</row>
    <row r="695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195"/>
      <c r="Q695" s="195"/>
      <c r="R695" s="195"/>
      <c r="S695" s="195"/>
      <c r="T695" s="195"/>
      <c r="U695" s="195"/>
      <c r="V695" s="195"/>
      <c r="W695" s="198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</row>
    <row r="696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195"/>
      <c r="Q696" s="195"/>
      <c r="R696" s="195"/>
      <c r="S696" s="195"/>
      <c r="T696" s="195"/>
      <c r="U696" s="195"/>
      <c r="V696" s="195"/>
      <c r="W696" s="198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</row>
    <row r="697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195"/>
      <c r="Q697" s="195"/>
      <c r="R697" s="195"/>
      <c r="S697" s="195"/>
      <c r="T697" s="195"/>
      <c r="U697" s="195"/>
      <c r="V697" s="195"/>
      <c r="W697" s="198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</row>
    <row r="698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195"/>
      <c r="Q698" s="195"/>
      <c r="R698" s="195"/>
      <c r="S698" s="195"/>
      <c r="T698" s="195"/>
      <c r="U698" s="195"/>
      <c r="V698" s="195"/>
      <c r="W698" s="198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</row>
    <row r="699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195"/>
      <c r="Q699" s="195"/>
      <c r="R699" s="195"/>
      <c r="S699" s="195"/>
      <c r="T699" s="195"/>
      <c r="U699" s="195"/>
      <c r="V699" s="195"/>
      <c r="W699" s="198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</row>
    <row r="700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195"/>
      <c r="Q700" s="195"/>
      <c r="R700" s="195"/>
      <c r="S700" s="195"/>
      <c r="T700" s="195"/>
      <c r="U700" s="195"/>
      <c r="V700" s="195"/>
      <c r="W700" s="198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</row>
    <row r="70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195"/>
      <c r="Q701" s="195"/>
      <c r="R701" s="195"/>
      <c r="S701" s="195"/>
      <c r="T701" s="195"/>
      <c r="U701" s="195"/>
      <c r="V701" s="195"/>
      <c r="W701" s="198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</row>
    <row r="702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195"/>
      <c r="Q702" s="195"/>
      <c r="R702" s="195"/>
      <c r="S702" s="195"/>
      <c r="T702" s="195"/>
      <c r="U702" s="195"/>
      <c r="V702" s="195"/>
      <c r="W702" s="198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</row>
    <row r="703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195"/>
      <c r="Q703" s="195"/>
      <c r="R703" s="195"/>
      <c r="S703" s="195"/>
      <c r="T703" s="195"/>
      <c r="U703" s="195"/>
      <c r="V703" s="195"/>
      <c r="W703" s="198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</row>
    <row r="704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195"/>
      <c r="Q704" s="195"/>
      <c r="R704" s="195"/>
      <c r="S704" s="195"/>
      <c r="T704" s="195"/>
      <c r="U704" s="195"/>
      <c r="V704" s="195"/>
      <c r="W704" s="198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</row>
    <row r="705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195"/>
      <c r="Q705" s="195"/>
      <c r="R705" s="195"/>
      <c r="S705" s="195"/>
      <c r="T705" s="195"/>
      <c r="U705" s="195"/>
      <c r="V705" s="195"/>
      <c r="W705" s="198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</row>
    <row r="706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195"/>
      <c r="Q706" s="195"/>
      <c r="R706" s="195"/>
      <c r="S706" s="195"/>
      <c r="T706" s="195"/>
      <c r="U706" s="195"/>
      <c r="V706" s="195"/>
      <c r="W706" s="198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</row>
    <row r="707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195"/>
      <c r="Q707" s="195"/>
      <c r="R707" s="195"/>
      <c r="S707" s="195"/>
      <c r="T707" s="195"/>
      <c r="U707" s="195"/>
      <c r="V707" s="195"/>
      <c r="W707" s="198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</row>
    <row r="708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195"/>
      <c r="Q708" s="195"/>
      <c r="R708" s="195"/>
      <c r="S708" s="195"/>
      <c r="T708" s="195"/>
      <c r="U708" s="195"/>
      <c r="V708" s="195"/>
      <c r="W708" s="198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</row>
    <row r="709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195"/>
      <c r="Q709" s="195"/>
      <c r="R709" s="195"/>
      <c r="S709" s="195"/>
      <c r="T709" s="195"/>
      <c r="U709" s="195"/>
      <c r="V709" s="195"/>
      <c r="W709" s="198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</row>
    <row r="710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195"/>
      <c r="Q710" s="195"/>
      <c r="R710" s="195"/>
      <c r="S710" s="195"/>
      <c r="T710" s="195"/>
      <c r="U710" s="195"/>
      <c r="V710" s="195"/>
      <c r="W710" s="198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</row>
    <row r="71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195"/>
      <c r="Q711" s="195"/>
      <c r="R711" s="195"/>
      <c r="S711" s="195"/>
      <c r="T711" s="195"/>
      <c r="U711" s="195"/>
      <c r="V711" s="195"/>
      <c r="W711" s="198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</row>
    <row r="712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195"/>
      <c r="Q712" s="195"/>
      <c r="R712" s="195"/>
      <c r="S712" s="195"/>
      <c r="T712" s="195"/>
      <c r="U712" s="195"/>
      <c r="V712" s="195"/>
      <c r="W712" s="198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</row>
    <row r="713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195"/>
      <c r="Q713" s="195"/>
      <c r="R713" s="195"/>
      <c r="S713" s="195"/>
      <c r="T713" s="195"/>
      <c r="U713" s="195"/>
      <c r="V713" s="195"/>
      <c r="W713" s="198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</row>
    <row r="714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195"/>
      <c r="Q714" s="195"/>
      <c r="R714" s="195"/>
      <c r="S714" s="195"/>
      <c r="T714" s="195"/>
      <c r="U714" s="195"/>
      <c r="V714" s="195"/>
      <c r="W714" s="198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</row>
    <row r="715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195"/>
      <c r="Q715" s="195"/>
      <c r="R715" s="195"/>
      <c r="S715" s="195"/>
      <c r="T715" s="195"/>
      <c r="U715" s="195"/>
      <c r="V715" s="195"/>
      <c r="W715" s="198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</row>
    <row r="716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195"/>
      <c r="Q716" s="195"/>
      <c r="R716" s="195"/>
      <c r="S716" s="195"/>
      <c r="T716" s="195"/>
      <c r="U716" s="195"/>
      <c r="V716" s="195"/>
      <c r="W716" s="198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</row>
    <row r="717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195"/>
      <c r="Q717" s="195"/>
      <c r="R717" s="195"/>
      <c r="S717" s="195"/>
      <c r="T717" s="195"/>
      <c r="U717" s="195"/>
      <c r="V717" s="195"/>
      <c r="W717" s="198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</row>
    <row r="718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195"/>
      <c r="Q718" s="195"/>
      <c r="R718" s="195"/>
      <c r="S718" s="195"/>
      <c r="T718" s="195"/>
      <c r="U718" s="195"/>
      <c r="V718" s="195"/>
      <c r="W718" s="198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</row>
    <row r="719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195"/>
      <c r="Q719" s="195"/>
      <c r="R719" s="195"/>
      <c r="S719" s="195"/>
      <c r="T719" s="195"/>
      <c r="U719" s="195"/>
      <c r="V719" s="195"/>
      <c r="W719" s="198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</row>
    <row r="720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195"/>
      <c r="Q720" s="195"/>
      <c r="R720" s="195"/>
      <c r="S720" s="195"/>
      <c r="T720" s="195"/>
      <c r="U720" s="195"/>
      <c r="V720" s="195"/>
      <c r="W720" s="198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</row>
    <row r="72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195"/>
      <c r="Q721" s="195"/>
      <c r="R721" s="195"/>
      <c r="S721" s="195"/>
      <c r="T721" s="195"/>
      <c r="U721" s="195"/>
      <c r="V721" s="195"/>
      <c r="W721" s="198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</row>
    <row r="722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195"/>
      <c r="Q722" s="195"/>
      <c r="R722" s="195"/>
      <c r="S722" s="195"/>
      <c r="T722" s="195"/>
      <c r="U722" s="195"/>
      <c r="V722" s="195"/>
      <c r="W722" s="198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</row>
    <row r="723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195"/>
      <c r="Q723" s="195"/>
      <c r="R723" s="195"/>
      <c r="S723" s="195"/>
      <c r="T723" s="195"/>
      <c r="U723" s="195"/>
      <c r="V723" s="195"/>
      <c r="W723" s="198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</row>
    <row r="724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195"/>
      <c r="Q724" s="195"/>
      <c r="R724" s="195"/>
      <c r="S724" s="195"/>
      <c r="T724" s="195"/>
      <c r="U724" s="195"/>
      <c r="V724" s="195"/>
      <c r="W724" s="198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</row>
    <row r="725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195"/>
      <c r="Q725" s="195"/>
      <c r="R725" s="195"/>
      <c r="S725" s="195"/>
      <c r="T725" s="195"/>
      <c r="U725" s="195"/>
      <c r="V725" s="195"/>
      <c r="W725" s="198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</row>
    <row r="726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195"/>
      <c r="Q726" s="195"/>
      <c r="R726" s="195"/>
      <c r="S726" s="195"/>
      <c r="T726" s="195"/>
      <c r="U726" s="195"/>
      <c r="V726" s="195"/>
      <c r="W726" s="198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</row>
    <row r="727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195"/>
      <c r="Q727" s="195"/>
      <c r="R727" s="195"/>
      <c r="S727" s="195"/>
      <c r="T727" s="195"/>
      <c r="U727" s="195"/>
      <c r="V727" s="195"/>
      <c r="W727" s="198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</row>
    <row r="728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195"/>
      <c r="Q728" s="195"/>
      <c r="R728" s="195"/>
      <c r="S728" s="195"/>
      <c r="T728" s="195"/>
      <c r="U728" s="195"/>
      <c r="V728" s="195"/>
      <c r="W728" s="198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</row>
    <row r="729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195"/>
      <c r="Q729" s="195"/>
      <c r="R729" s="195"/>
      <c r="S729" s="195"/>
      <c r="T729" s="195"/>
      <c r="U729" s="195"/>
      <c r="V729" s="195"/>
      <c r="W729" s="198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</row>
    <row r="730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195"/>
      <c r="Q730" s="195"/>
      <c r="R730" s="195"/>
      <c r="S730" s="195"/>
      <c r="T730" s="195"/>
      <c r="U730" s="195"/>
      <c r="V730" s="195"/>
      <c r="W730" s="198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</row>
    <row r="73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195"/>
      <c r="Q731" s="195"/>
      <c r="R731" s="195"/>
      <c r="S731" s="195"/>
      <c r="T731" s="195"/>
      <c r="U731" s="195"/>
      <c r="V731" s="195"/>
      <c r="W731" s="198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</row>
    <row r="732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195"/>
      <c r="Q732" s="195"/>
      <c r="R732" s="195"/>
      <c r="S732" s="195"/>
      <c r="T732" s="195"/>
      <c r="U732" s="195"/>
      <c r="V732" s="195"/>
      <c r="W732" s="198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</row>
    <row r="733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195"/>
      <c r="Q733" s="195"/>
      <c r="R733" s="195"/>
      <c r="S733" s="195"/>
      <c r="T733" s="195"/>
      <c r="U733" s="195"/>
      <c r="V733" s="195"/>
      <c r="W733" s="198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</row>
    <row r="734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195"/>
      <c r="Q734" s="195"/>
      <c r="R734" s="195"/>
      <c r="S734" s="195"/>
      <c r="T734" s="195"/>
      <c r="U734" s="195"/>
      <c r="V734" s="195"/>
      <c r="W734" s="198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</row>
    <row r="735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195"/>
      <c r="Q735" s="195"/>
      <c r="R735" s="195"/>
      <c r="S735" s="195"/>
      <c r="T735" s="195"/>
      <c r="U735" s="195"/>
      <c r="V735" s="195"/>
      <c r="W735" s="198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</row>
    <row r="736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195"/>
      <c r="Q736" s="195"/>
      <c r="R736" s="195"/>
      <c r="S736" s="195"/>
      <c r="T736" s="195"/>
      <c r="U736" s="195"/>
      <c r="V736" s="195"/>
      <c r="W736" s="198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</row>
    <row r="737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195"/>
      <c r="Q737" s="195"/>
      <c r="R737" s="195"/>
      <c r="S737" s="195"/>
      <c r="T737" s="195"/>
      <c r="U737" s="195"/>
      <c r="V737" s="195"/>
      <c r="W737" s="198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</row>
    <row r="738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195"/>
      <c r="Q738" s="195"/>
      <c r="R738" s="195"/>
      <c r="S738" s="195"/>
      <c r="T738" s="195"/>
      <c r="U738" s="195"/>
      <c r="V738" s="195"/>
      <c r="W738" s="198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</row>
    <row r="739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195"/>
      <c r="Q739" s="195"/>
      <c r="R739" s="195"/>
      <c r="S739" s="195"/>
      <c r="T739" s="195"/>
      <c r="U739" s="195"/>
      <c r="V739" s="195"/>
      <c r="W739" s="198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</row>
    <row r="740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195"/>
      <c r="Q740" s="195"/>
      <c r="R740" s="195"/>
      <c r="S740" s="195"/>
      <c r="T740" s="195"/>
      <c r="U740" s="195"/>
      <c r="V740" s="195"/>
      <c r="W740" s="198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</row>
    <row r="74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195"/>
      <c r="Q741" s="195"/>
      <c r="R741" s="195"/>
      <c r="S741" s="195"/>
      <c r="T741" s="195"/>
      <c r="U741" s="195"/>
      <c r="V741" s="195"/>
      <c r="W741" s="198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</row>
    <row r="742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195"/>
      <c r="Q742" s="195"/>
      <c r="R742" s="195"/>
      <c r="S742" s="195"/>
      <c r="T742" s="195"/>
      <c r="U742" s="195"/>
      <c r="V742" s="195"/>
      <c r="W742" s="198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</row>
    <row r="743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195"/>
      <c r="Q743" s="195"/>
      <c r="R743" s="195"/>
      <c r="S743" s="195"/>
      <c r="T743" s="195"/>
      <c r="U743" s="195"/>
      <c r="V743" s="195"/>
      <c r="W743" s="198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</row>
    <row r="744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195"/>
      <c r="Q744" s="195"/>
      <c r="R744" s="195"/>
      <c r="S744" s="195"/>
      <c r="T744" s="195"/>
      <c r="U744" s="195"/>
      <c r="V744" s="195"/>
      <c r="W744" s="198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</row>
    <row r="745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195"/>
      <c r="Q745" s="195"/>
      <c r="R745" s="195"/>
      <c r="S745" s="195"/>
      <c r="T745" s="195"/>
      <c r="U745" s="195"/>
      <c r="V745" s="195"/>
      <c r="W745" s="198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</row>
    <row r="746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195"/>
      <c r="Q746" s="195"/>
      <c r="R746" s="195"/>
      <c r="S746" s="195"/>
      <c r="T746" s="195"/>
      <c r="U746" s="195"/>
      <c r="V746" s="195"/>
      <c r="W746" s="198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</row>
    <row r="747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195"/>
      <c r="Q747" s="195"/>
      <c r="R747" s="195"/>
      <c r="S747" s="195"/>
      <c r="T747" s="195"/>
      <c r="U747" s="195"/>
      <c r="V747" s="195"/>
      <c r="W747" s="198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</row>
    <row r="748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195"/>
      <c r="Q748" s="195"/>
      <c r="R748" s="195"/>
      <c r="S748" s="195"/>
      <c r="T748" s="195"/>
      <c r="U748" s="195"/>
      <c r="V748" s="195"/>
      <c r="W748" s="198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</row>
    <row r="749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195"/>
      <c r="Q749" s="195"/>
      <c r="R749" s="195"/>
      <c r="S749" s="195"/>
      <c r="T749" s="195"/>
      <c r="U749" s="195"/>
      <c r="V749" s="195"/>
      <c r="W749" s="198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</row>
    <row r="750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195"/>
      <c r="Q750" s="195"/>
      <c r="R750" s="195"/>
      <c r="S750" s="195"/>
      <c r="T750" s="195"/>
      <c r="U750" s="195"/>
      <c r="V750" s="195"/>
      <c r="W750" s="198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</row>
    <row r="75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195"/>
      <c r="Q751" s="195"/>
      <c r="R751" s="195"/>
      <c r="S751" s="195"/>
      <c r="T751" s="195"/>
      <c r="U751" s="195"/>
      <c r="V751" s="195"/>
      <c r="W751" s="198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</row>
    <row r="752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195"/>
      <c r="Q752" s="195"/>
      <c r="R752" s="195"/>
      <c r="S752" s="195"/>
      <c r="T752" s="195"/>
      <c r="U752" s="195"/>
      <c r="V752" s="195"/>
      <c r="W752" s="198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</row>
    <row r="753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195"/>
      <c r="Q753" s="195"/>
      <c r="R753" s="195"/>
      <c r="S753" s="195"/>
      <c r="T753" s="195"/>
      <c r="U753" s="195"/>
      <c r="V753" s="195"/>
      <c r="W753" s="198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</row>
    <row r="754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195"/>
      <c r="Q754" s="195"/>
      <c r="R754" s="195"/>
      <c r="S754" s="195"/>
      <c r="T754" s="195"/>
      <c r="U754" s="195"/>
      <c r="V754" s="195"/>
      <c r="W754" s="198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</row>
    <row r="755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195"/>
      <c r="Q755" s="195"/>
      <c r="R755" s="195"/>
      <c r="S755" s="195"/>
      <c r="T755" s="195"/>
      <c r="U755" s="195"/>
      <c r="V755" s="195"/>
      <c r="W755" s="198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</row>
    <row r="756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195"/>
      <c r="Q756" s="195"/>
      <c r="R756" s="195"/>
      <c r="S756" s="195"/>
      <c r="T756" s="195"/>
      <c r="U756" s="195"/>
      <c r="V756" s="195"/>
      <c r="W756" s="198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</row>
    <row r="757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195"/>
      <c r="Q757" s="195"/>
      <c r="R757" s="195"/>
      <c r="S757" s="195"/>
      <c r="T757" s="195"/>
      <c r="U757" s="195"/>
      <c r="V757" s="195"/>
      <c r="W757" s="198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</row>
    <row r="758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195"/>
      <c r="Q758" s="195"/>
      <c r="R758" s="195"/>
      <c r="S758" s="195"/>
      <c r="T758" s="195"/>
      <c r="U758" s="195"/>
      <c r="V758" s="195"/>
      <c r="W758" s="198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</row>
    <row r="759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195"/>
      <c r="Q759" s="195"/>
      <c r="R759" s="195"/>
      <c r="S759" s="195"/>
      <c r="T759" s="195"/>
      <c r="U759" s="195"/>
      <c r="V759" s="195"/>
      <c r="W759" s="198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</row>
    <row r="760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195"/>
      <c r="Q760" s="195"/>
      <c r="R760" s="195"/>
      <c r="S760" s="195"/>
      <c r="T760" s="195"/>
      <c r="U760" s="195"/>
      <c r="V760" s="195"/>
      <c r="W760" s="198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</row>
    <row r="76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195"/>
      <c r="Q761" s="195"/>
      <c r="R761" s="195"/>
      <c r="S761" s="195"/>
      <c r="T761" s="195"/>
      <c r="U761" s="195"/>
      <c r="V761" s="195"/>
      <c r="W761" s="198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</row>
    <row r="762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195"/>
      <c r="Q762" s="195"/>
      <c r="R762" s="195"/>
      <c r="S762" s="195"/>
      <c r="T762" s="195"/>
      <c r="U762" s="195"/>
      <c r="V762" s="195"/>
      <c r="W762" s="198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</row>
    <row r="763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195"/>
      <c r="Q763" s="195"/>
      <c r="R763" s="195"/>
      <c r="S763" s="195"/>
      <c r="T763" s="195"/>
      <c r="U763" s="195"/>
      <c r="V763" s="195"/>
      <c r="W763" s="198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</row>
    <row r="764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195"/>
      <c r="Q764" s="195"/>
      <c r="R764" s="195"/>
      <c r="S764" s="195"/>
      <c r="T764" s="195"/>
      <c r="U764" s="195"/>
      <c r="V764" s="195"/>
      <c r="W764" s="198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</row>
    <row r="765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195"/>
      <c r="Q765" s="195"/>
      <c r="R765" s="195"/>
      <c r="S765" s="195"/>
      <c r="T765" s="195"/>
      <c r="U765" s="195"/>
      <c r="V765" s="195"/>
      <c r="W765" s="198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</row>
    <row r="766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195"/>
      <c r="Q766" s="195"/>
      <c r="R766" s="195"/>
      <c r="S766" s="195"/>
      <c r="T766" s="195"/>
      <c r="U766" s="195"/>
      <c r="V766" s="195"/>
      <c r="W766" s="198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</row>
    <row r="767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195"/>
      <c r="Q767" s="195"/>
      <c r="R767" s="195"/>
      <c r="S767" s="195"/>
      <c r="T767" s="195"/>
      <c r="U767" s="195"/>
      <c r="V767" s="195"/>
      <c r="W767" s="198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</row>
    <row r="768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195"/>
      <c r="Q768" s="195"/>
      <c r="R768" s="195"/>
      <c r="S768" s="195"/>
      <c r="T768" s="195"/>
      <c r="U768" s="195"/>
      <c r="V768" s="195"/>
      <c r="W768" s="198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</row>
    <row r="769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195"/>
      <c r="Q769" s="195"/>
      <c r="R769" s="195"/>
      <c r="S769" s="195"/>
      <c r="T769" s="195"/>
      <c r="U769" s="195"/>
      <c r="V769" s="195"/>
      <c r="W769" s="198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</row>
    <row r="770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195"/>
      <c r="Q770" s="195"/>
      <c r="R770" s="195"/>
      <c r="S770" s="195"/>
      <c r="T770" s="195"/>
      <c r="U770" s="195"/>
      <c r="V770" s="195"/>
      <c r="W770" s="198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</row>
    <row r="77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195"/>
      <c r="Q771" s="195"/>
      <c r="R771" s="195"/>
      <c r="S771" s="195"/>
      <c r="T771" s="195"/>
      <c r="U771" s="195"/>
      <c r="V771" s="195"/>
      <c r="W771" s="198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</row>
    <row r="772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195"/>
      <c r="Q772" s="195"/>
      <c r="R772" s="195"/>
      <c r="S772" s="195"/>
      <c r="T772" s="195"/>
      <c r="U772" s="195"/>
      <c r="V772" s="195"/>
      <c r="W772" s="198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</row>
    <row r="773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195"/>
      <c r="Q773" s="195"/>
      <c r="R773" s="195"/>
      <c r="S773" s="195"/>
      <c r="T773" s="195"/>
      <c r="U773" s="195"/>
      <c r="V773" s="195"/>
      <c r="W773" s="198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</row>
    <row r="774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195"/>
      <c r="Q774" s="195"/>
      <c r="R774" s="195"/>
      <c r="S774" s="195"/>
      <c r="T774" s="195"/>
      <c r="U774" s="195"/>
      <c r="V774" s="195"/>
      <c r="W774" s="198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</row>
    <row r="775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195"/>
      <c r="Q775" s="195"/>
      <c r="R775" s="195"/>
      <c r="S775" s="195"/>
      <c r="T775" s="195"/>
      <c r="U775" s="195"/>
      <c r="V775" s="195"/>
      <c r="W775" s="198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</row>
    <row r="776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195"/>
      <c r="Q776" s="195"/>
      <c r="R776" s="195"/>
      <c r="S776" s="195"/>
      <c r="T776" s="195"/>
      <c r="U776" s="195"/>
      <c r="V776" s="195"/>
      <c r="W776" s="198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</row>
    <row r="777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195"/>
      <c r="Q777" s="195"/>
      <c r="R777" s="195"/>
      <c r="S777" s="195"/>
      <c r="T777" s="195"/>
      <c r="U777" s="195"/>
      <c r="V777" s="195"/>
      <c r="W777" s="198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</row>
    <row r="778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195"/>
      <c r="Q778" s="195"/>
      <c r="R778" s="195"/>
      <c r="S778" s="195"/>
      <c r="T778" s="195"/>
      <c r="U778" s="195"/>
      <c r="V778" s="195"/>
      <c r="W778" s="198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</row>
    <row r="779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195"/>
      <c r="Q779" s="195"/>
      <c r="R779" s="195"/>
      <c r="S779" s="195"/>
      <c r="T779" s="195"/>
      <c r="U779" s="195"/>
      <c r="V779" s="195"/>
      <c r="W779" s="198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</row>
    <row r="780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195"/>
      <c r="Q780" s="195"/>
      <c r="R780" s="195"/>
      <c r="S780" s="195"/>
      <c r="T780" s="195"/>
      <c r="U780" s="195"/>
      <c r="V780" s="195"/>
      <c r="W780" s="198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</row>
    <row r="78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195"/>
      <c r="Q781" s="195"/>
      <c r="R781" s="195"/>
      <c r="S781" s="195"/>
      <c r="T781" s="195"/>
      <c r="U781" s="195"/>
      <c r="V781" s="195"/>
      <c r="W781" s="198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</row>
    <row r="782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195"/>
      <c r="Q782" s="195"/>
      <c r="R782" s="195"/>
      <c r="S782" s="195"/>
      <c r="T782" s="195"/>
      <c r="U782" s="195"/>
      <c r="V782" s="195"/>
      <c r="W782" s="198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</row>
    <row r="783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195"/>
      <c r="Q783" s="195"/>
      <c r="R783" s="195"/>
      <c r="S783" s="195"/>
      <c r="T783" s="195"/>
      <c r="U783" s="195"/>
      <c r="V783" s="195"/>
      <c r="W783" s="198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</row>
    <row r="784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195"/>
      <c r="Q784" s="195"/>
      <c r="R784" s="195"/>
      <c r="S784" s="195"/>
      <c r="T784" s="195"/>
      <c r="U784" s="195"/>
      <c r="V784" s="195"/>
      <c r="W784" s="198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</row>
    <row r="785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195"/>
      <c r="Q785" s="195"/>
      <c r="R785" s="195"/>
      <c r="S785" s="195"/>
      <c r="T785" s="195"/>
      <c r="U785" s="195"/>
      <c r="V785" s="195"/>
      <c r="W785" s="198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</row>
    <row r="786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195"/>
      <c r="Q786" s="195"/>
      <c r="R786" s="195"/>
      <c r="S786" s="195"/>
      <c r="T786" s="195"/>
      <c r="U786" s="195"/>
      <c r="V786" s="195"/>
      <c r="W786" s="198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</row>
    <row r="787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195"/>
      <c r="Q787" s="195"/>
      <c r="R787" s="195"/>
      <c r="S787" s="195"/>
      <c r="T787" s="195"/>
      <c r="U787" s="195"/>
      <c r="V787" s="195"/>
      <c r="W787" s="198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</row>
    <row r="788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195"/>
      <c r="Q788" s="195"/>
      <c r="R788" s="195"/>
      <c r="S788" s="195"/>
      <c r="T788" s="195"/>
      <c r="U788" s="195"/>
      <c r="V788" s="195"/>
      <c r="W788" s="198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</row>
    <row r="789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195"/>
      <c r="Q789" s="195"/>
      <c r="R789" s="195"/>
      <c r="S789" s="195"/>
      <c r="T789" s="195"/>
      <c r="U789" s="195"/>
      <c r="V789" s="195"/>
      <c r="W789" s="198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</row>
    <row r="790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195"/>
      <c r="Q790" s="195"/>
      <c r="R790" s="195"/>
      <c r="S790" s="195"/>
      <c r="T790" s="195"/>
      <c r="U790" s="195"/>
      <c r="V790" s="195"/>
      <c r="W790" s="198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</row>
    <row r="79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195"/>
      <c r="Q791" s="195"/>
      <c r="R791" s="195"/>
      <c r="S791" s="195"/>
      <c r="T791" s="195"/>
      <c r="U791" s="195"/>
      <c r="V791" s="195"/>
      <c r="W791" s="198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</row>
    <row r="792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195"/>
      <c r="Q792" s="195"/>
      <c r="R792" s="195"/>
      <c r="S792" s="195"/>
      <c r="T792" s="195"/>
      <c r="U792" s="195"/>
      <c r="V792" s="195"/>
      <c r="W792" s="198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</row>
    <row r="793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195"/>
      <c r="Q793" s="195"/>
      <c r="R793" s="195"/>
      <c r="S793" s="195"/>
      <c r="T793" s="195"/>
      <c r="U793" s="195"/>
      <c r="V793" s="195"/>
      <c r="W793" s="198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</row>
    <row r="794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195"/>
      <c r="Q794" s="195"/>
      <c r="R794" s="195"/>
      <c r="S794" s="195"/>
      <c r="T794" s="195"/>
      <c r="U794" s="195"/>
      <c r="V794" s="195"/>
      <c r="W794" s="198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</row>
    <row r="795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195"/>
      <c r="Q795" s="195"/>
      <c r="R795" s="195"/>
      <c r="S795" s="195"/>
      <c r="T795" s="195"/>
      <c r="U795" s="195"/>
      <c r="V795" s="195"/>
      <c r="W795" s="198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</row>
    <row r="796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195"/>
      <c r="Q796" s="195"/>
      <c r="R796" s="195"/>
      <c r="S796" s="195"/>
      <c r="T796" s="195"/>
      <c r="U796" s="195"/>
      <c r="V796" s="195"/>
      <c r="W796" s="198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</row>
    <row r="797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195"/>
      <c r="Q797" s="195"/>
      <c r="R797" s="195"/>
      <c r="S797" s="195"/>
      <c r="T797" s="195"/>
      <c r="U797" s="195"/>
      <c r="V797" s="195"/>
      <c r="W797" s="198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</row>
    <row r="798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195"/>
      <c r="Q798" s="195"/>
      <c r="R798" s="195"/>
      <c r="S798" s="195"/>
      <c r="T798" s="195"/>
      <c r="U798" s="195"/>
      <c r="V798" s="195"/>
      <c r="W798" s="198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</row>
    <row r="799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195"/>
      <c r="Q799" s="195"/>
      <c r="R799" s="195"/>
      <c r="S799" s="195"/>
      <c r="T799" s="195"/>
      <c r="U799" s="195"/>
      <c r="V799" s="195"/>
      <c r="W799" s="198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</row>
    <row r="800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195"/>
      <c r="Q800" s="195"/>
      <c r="R800" s="195"/>
      <c r="S800" s="195"/>
      <c r="T800" s="195"/>
      <c r="U800" s="195"/>
      <c r="V800" s="195"/>
      <c r="W800" s="198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</row>
    <row r="80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195"/>
      <c r="Q801" s="195"/>
      <c r="R801" s="195"/>
      <c r="S801" s="195"/>
      <c r="T801" s="195"/>
      <c r="U801" s="195"/>
      <c r="V801" s="195"/>
      <c r="W801" s="198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</row>
    <row r="802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195"/>
      <c r="Q802" s="195"/>
      <c r="R802" s="195"/>
      <c r="S802" s="195"/>
      <c r="T802" s="195"/>
      <c r="U802" s="195"/>
      <c r="V802" s="195"/>
      <c r="W802" s="198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</row>
    <row r="803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195"/>
      <c r="Q803" s="195"/>
      <c r="R803" s="195"/>
      <c r="S803" s="195"/>
      <c r="T803" s="195"/>
      <c r="U803" s="195"/>
      <c r="V803" s="195"/>
      <c r="W803" s="198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</row>
    <row r="804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195"/>
      <c r="Q804" s="195"/>
      <c r="R804" s="195"/>
      <c r="S804" s="195"/>
      <c r="T804" s="195"/>
      <c r="U804" s="195"/>
      <c r="V804" s="195"/>
      <c r="W804" s="198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</row>
    <row r="805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195"/>
      <c r="Q805" s="195"/>
      <c r="R805" s="195"/>
      <c r="S805" s="195"/>
      <c r="T805" s="195"/>
      <c r="U805" s="195"/>
      <c r="V805" s="195"/>
      <c r="W805" s="198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</row>
    <row r="806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195"/>
      <c r="Q806" s="195"/>
      <c r="R806" s="195"/>
      <c r="S806" s="195"/>
      <c r="T806" s="195"/>
      <c r="U806" s="195"/>
      <c r="V806" s="195"/>
      <c r="W806" s="198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</row>
    <row r="807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195"/>
      <c r="Q807" s="195"/>
      <c r="R807" s="195"/>
      <c r="S807" s="195"/>
      <c r="T807" s="195"/>
      <c r="U807" s="195"/>
      <c r="V807" s="195"/>
      <c r="W807" s="198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</row>
    <row r="808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195"/>
      <c r="Q808" s="195"/>
      <c r="R808" s="195"/>
      <c r="S808" s="195"/>
      <c r="T808" s="195"/>
      <c r="U808" s="195"/>
      <c r="V808" s="195"/>
      <c r="W808" s="198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</row>
    <row r="809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195"/>
      <c r="Q809" s="195"/>
      <c r="R809" s="195"/>
      <c r="S809" s="195"/>
      <c r="T809" s="195"/>
      <c r="U809" s="195"/>
      <c r="V809" s="195"/>
      <c r="W809" s="198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</row>
    <row r="810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195"/>
      <c r="Q810" s="195"/>
      <c r="R810" s="195"/>
      <c r="S810" s="195"/>
      <c r="T810" s="195"/>
      <c r="U810" s="195"/>
      <c r="V810" s="195"/>
      <c r="W810" s="198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</row>
    <row r="81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195"/>
      <c r="Q811" s="195"/>
      <c r="R811" s="195"/>
      <c r="S811" s="195"/>
      <c r="T811" s="195"/>
      <c r="U811" s="195"/>
      <c r="V811" s="195"/>
      <c r="W811" s="198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</row>
    <row r="812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195"/>
      <c r="Q812" s="195"/>
      <c r="R812" s="195"/>
      <c r="S812" s="195"/>
      <c r="T812" s="195"/>
      <c r="U812" s="195"/>
      <c r="V812" s="195"/>
      <c r="W812" s="198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</row>
    <row r="813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195"/>
      <c r="Q813" s="195"/>
      <c r="R813" s="195"/>
      <c r="S813" s="195"/>
      <c r="T813" s="195"/>
      <c r="U813" s="195"/>
      <c r="V813" s="195"/>
      <c r="W813" s="198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</row>
    <row r="814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195"/>
      <c r="Q814" s="195"/>
      <c r="R814" s="195"/>
      <c r="S814" s="195"/>
      <c r="T814" s="195"/>
      <c r="U814" s="195"/>
      <c r="V814" s="195"/>
      <c r="W814" s="198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</row>
    <row r="815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195"/>
      <c r="Q815" s="195"/>
      <c r="R815" s="195"/>
      <c r="S815" s="195"/>
      <c r="T815" s="195"/>
      <c r="U815" s="195"/>
      <c r="V815" s="195"/>
      <c r="W815" s="198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</row>
    <row r="816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195"/>
      <c r="Q816" s="195"/>
      <c r="R816" s="195"/>
      <c r="S816" s="195"/>
      <c r="T816" s="195"/>
      <c r="U816" s="195"/>
      <c r="V816" s="195"/>
      <c r="W816" s="198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</row>
    <row r="817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195"/>
      <c r="Q817" s="195"/>
      <c r="R817" s="195"/>
      <c r="S817" s="195"/>
      <c r="T817" s="195"/>
      <c r="U817" s="195"/>
      <c r="V817" s="195"/>
      <c r="W817" s="198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</row>
    <row r="818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195"/>
      <c r="Q818" s="195"/>
      <c r="R818" s="195"/>
      <c r="S818" s="195"/>
      <c r="T818" s="195"/>
      <c r="U818" s="195"/>
      <c r="V818" s="195"/>
      <c r="W818" s="198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</row>
    <row r="819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195"/>
      <c r="Q819" s="195"/>
      <c r="R819" s="195"/>
      <c r="S819" s="195"/>
      <c r="T819" s="195"/>
      <c r="U819" s="195"/>
      <c r="V819" s="195"/>
      <c r="W819" s="198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</row>
    <row r="820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195"/>
      <c r="Q820" s="195"/>
      <c r="R820" s="195"/>
      <c r="S820" s="195"/>
      <c r="T820" s="195"/>
      <c r="U820" s="195"/>
      <c r="V820" s="195"/>
      <c r="W820" s="198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</row>
    <row r="82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195"/>
      <c r="Q821" s="195"/>
      <c r="R821" s="195"/>
      <c r="S821" s="195"/>
      <c r="T821" s="195"/>
      <c r="U821" s="195"/>
      <c r="V821" s="195"/>
      <c r="W821" s="198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</row>
    <row r="822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195"/>
      <c r="Q822" s="195"/>
      <c r="R822" s="195"/>
      <c r="S822" s="195"/>
      <c r="T822" s="195"/>
      <c r="U822" s="195"/>
      <c r="V822" s="195"/>
      <c r="W822" s="198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</row>
    <row r="823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195"/>
      <c r="Q823" s="195"/>
      <c r="R823" s="195"/>
      <c r="S823" s="195"/>
      <c r="T823" s="195"/>
      <c r="U823" s="195"/>
      <c r="V823" s="195"/>
      <c r="W823" s="198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</row>
    <row r="824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195"/>
      <c r="Q824" s="195"/>
      <c r="R824" s="195"/>
      <c r="S824" s="195"/>
      <c r="T824" s="195"/>
      <c r="U824" s="195"/>
      <c r="V824" s="195"/>
      <c r="W824" s="198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</row>
    <row r="825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195"/>
      <c r="Q825" s="195"/>
      <c r="R825" s="195"/>
      <c r="S825" s="195"/>
      <c r="T825" s="195"/>
      <c r="U825" s="195"/>
      <c r="V825" s="195"/>
      <c r="W825" s="198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</row>
    <row r="826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195"/>
      <c r="Q826" s="195"/>
      <c r="R826" s="195"/>
      <c r="S826" s="195"/>
      <c r="T826" s="195"/>
      <c r="U826" s="195"/>
      <c r="V826" s="195"/>
      <c r="W826" s="198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</row>
    <row r="827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195"/>
      <c r="Q827" s="195"/>
      <c r="R827" s="195"/>
      <c r="S827" s="195"/>
      <c r="T827" s="195"/>
      <c r="U827" s="195"/>
      <c r="V827" s="195"/>
      <c r="W827" s="198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</row>
    <row r="828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195"/>
      <c r="Q828" s="195"/>
      <c r="R828" s="195"/>
      <c r="S828" s="195"/>
      <c r="T828" s="195"/>
      <c r="U828" s="195"/>
      <c r="V828" s="195"/>
      <c r="W828" s="198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</row>
    <row r="829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195"/>
      <c r="Q829" s="195"/>
      <c r="R829" s="195"/>
      <c r="S829" s="195"/>
      <c r="T829" s="195"/>
      <c r="U829" s="195"/>
      <c r="V829" s="195"/>
      <c r="W829" s="198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</row>
    <row r="830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195"/>
      <c r="Q830" s="195"/>
      <c r="R830" s="195"/>
      <c r="S830" s="195"/>
      <c r="T830" s="195"/>
      <c r="U830" s="195"/>
      <c r="V830" s="195"/>
      <c r="W830" s="198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</row>
    <row r="83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195"/>
      <c r="Q831" s="195"/>
      <c r="R831" s="195"/>
      <c r="S831" s="195"/>
      <c r="T831" s="195"/>
      <c r="U831" s="195"/>
      <c r="V831" s="195"/>
      <c r="W831" s="198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</row>
    <row r="832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195"/>
      <c r="Q832" s="195"/>
      <c r="R832" s="195"/>
      <c r="S832" s="195"/>
      <c r="T832" s="195"/>
      <c r="U832" s="195"/>
      <c r="V832" s="195"/>
      <c r="W832" s="198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</row>
    <row r="833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195"/>
      <c r="Q833" s="195"/>
      <c r="R833" s="195"/>
      <c r="S833" s="195"/>
      <c r="T833" s="195"/>
      <c r="U833" s="195"/>
      <c r="V833" s="195"/>
      <c r="W833" s="198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</row>
    <row r="834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195"/>
      <c r="Q834" s="195"/>
      <c r="R834" s="195"/>
      <c r="S834" s="195"/>
      <c r="T834" s="195"/>
      <c r="U834" s="195"/>
      <c r="V834" s="195"/>
      <c r="W834" s="198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</row>
    <row r="835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195"/>
      <c r="Q835" s="195"/>
      <c r="R835" s="195"/>
      <c r="S835" s="195"/>
      <c r="T835" s="195"/>
      <c r="U835" s="195"/>
      <c r="V835" s="195"/>
      <c r="W835" s="198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</row>
    <row r="836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195"/>
      <c r="Q836" s="195"/>
      <c r="R836" s="195"/>
      <c r="S836" s="195"/>
      <c r="T836" s="195"/>
      <c r="U836" s="195"/>
      <c r="V836" s="195"/>
      <c r="W836" s="198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</row>
    <row r="837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195"/>
      <c r="Q837" s="195"/>
      <c r="R837" s="195"/>
      <c r="S837" s="195"/>
      <c r="T837" s="195"/>
      <c r="U837" s="195"/>
      <c r="V837" s="195"/>
      <c r="W837" s="198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</row>
    <row r="838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195"/>
      <c r="Q838" s="195"/>
      <c r="R838" s="195"/>
      <c r="S838" s="195"/>
      <c r="T838" s="195"/>
      <c r="U838" s="195"/>
      <c r="V838" s="195"/>
      <c r="W838" s="198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</row>
    <row r="839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195"/>
      <c r="Q839" s="195"/>
      <c r="R839" s="195"/>
      <c r="S839" s="195"/>
      <c r="T839" s="195"/>
      <c r="U839" s="195"/>
      <c r="V839" s="195"/>
      <c r="W839" s="198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</row>
    <row r="840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195"/>
      <c r="Q840" s="195"/>
      <c r="R840" s="195"/>
      <c r="S840" s="195"/>
      <c r="T840" s="195"/>
      <c r="U840" s="195"/>
      <c r="V840" s="195"/>
      <c r="W840" s="198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</row>
    <row r="84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195"/>
      <c r="Q841" s="195"/>
      <c r="R841" s="195"/>
      <c r="S841" s="195"/>
      <c r="T841" s="195"/>
      <c r="U841" s="195"/>
      <c r="V841" s="195"/>
      <c r="W841" s="198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</row>
    <row r="842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195"/>
      <c r="Q842" s="195"/>
      <c r="R842" s="195"/>
      <c r="S842" s="195"/>
      <c r="T842" s="195"/>
      <c r="U842" s="195"/>
      <c r="V842" s="195"/>
      <c r="W842" s="198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</row>
    <row r="843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195"/>
      <c r="Q843" s="195"/>
      <c r="R843" s="195"/>
      <c r="S843" s="195"/>
      <c r="T843" s="195"/>
      <c r="U843" s="195"/>
      <c r="V843" s="195"/>
      <c r="W843" s="198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</row>
    <row r="844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195"/>
      <c r="Q844" s="195"/>
      <c r="R844" s="195"/>
      <c r="S844" s="195"/>
      <c r="T844" s="195"/>
      <c r="U844" s="195"/>
      <c r="V844" s="195"/>
      <c r="W844" s="198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</row>
    <row r="845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195"/>
      <c r="Q845" s="195"/>
      <c r="R845" s="195"/>
      <c r="S845" s="195"/>
      <c r="T845" s="195"/>
      <c r="U845" s="195"/>
      <c r="V845" s="195"/>
      <c r="W845" s="198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</row>
    <row r="846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195"/>
      <c r="Q846" s="195"/>
      <c r="R846" s="195"/>
      <c r="S846" s="195"/>
      <c r="T846" s="195"/>
      <c r="U846" s="195"/>
      <c r="V846" s="195"/>
      <c r="W846" s="198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</row>
    <row r="847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195"/>
      <c r="Q847" s="195"/>
      <c r="R847" s="195"/>
      <c r="S847" s="195"/>
      <c r="T847" s="195"/>
      <c r="U847" s="195"/>
      <c r="V847" s="195"/>
      <c r="W847" s="198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</row>
    <row r="848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195"/>
      <c r="Q848" s="195"/>
      <c r="R848" s="195"/>
      <c r="S848" s="195"/>
      <c r="T848" s="195"/>
      <c r="U848" s="195"/>
      <c r="V848" s="195"/>
      <c r="W848" s="198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</row>
    <row r="849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195"/>
      <c r="Q849" s="195"/>
      <c r="R849" s="195"/>
      <c r="S849" s="195"/>
      <c r="T849" s="195"/>
      <c r="U849" s="195"/>
      <c r="V849" s="195"/>
      <c r="W849" s="198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</row>
    <row r="850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195"/>
      <c r="Q850" s="195"/>
      <c r="R850" s="195"/>
      <c r="S850" s="195"/>
      <c r="T850" s="195"/>
      <c r="U850" s="195"/>
      <c r="V850" s="195"/>
      <c r="W850" s="198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</row>
    <row r="85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195"/>
      <c r="Q851" s="195"/>
      <c r="R851" s="195"/>
      <c r="S851" s="195"/>
      <c r="T851" s="195"/>
      <c r="U851" s="195"/>
      <c r="V851" s="195"/>
      <c r="W851" s="198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</row>
    <row r="852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195"/>
      <c r="Q852" s="195"/>
      <c r="R852" s="195"/>
      <c r="S852" s="195"/>
      <c r="T852" s="195"/>
      <c r="U852" s="195"/>
      <c r="V852" s="195"/>
      <c r="W852" s="198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</row>
    <row r="853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8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</row>
    <row r="854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195"/>
      <c r="Q854" s="195"/>
      <c r="R854" s="195"/>
      <c r="S854" s="195"/>
      <c r="T854" s="195"/>
      <c r="U854" s="195"/>
      <c r="V854" s="195"/>
      <c r="W854" s="198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</row>
    <row r="855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195"/>
      <c r="Q855" s="195"/>
      <c r="R855" s="195"/>
      <c r="S855" s="195"/>
      <c r="T855" s="195"/>
      <c r="U855" s="195"/>
      <c r="V855" s="195"/>
      <c r="W855" s="198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</row>
    <row r="856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195"/>
      <c r="Q856" s="195"/>
      <c r="R856" s="195"/>
      <c r="S856" s="195"/>
      <c r="T856" s="195"/>
      <c r="U856" s="195"/>
      <c r="V856" s="195"/>
      <c r="W856" s="198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</row>
    <row r="857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195"/>
      <c r="Q857" s="195"/>
      <c r="R857" s="195"/>
      <c r="S857" s="195"/>
      <c r="T857" s="195"/>
      <c r="U857" s="195"/>
      <c r="V857" s="195"/>
      <c r="W857" s="198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</row>
    <row r="858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195"/>
      <c r="Q858" s="195"/>
      <c r="R858" s="195"/>
      <c r="S858" s="195"/>
      <c r="T858" s="195"/>
      <c r="U858" s="195"/>
      <c r="V858" s="195"/>
      <c r="W858" s="198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</row>
    <row r="859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195"/>
      <c r="Q859" s="195"/>
      <c r="R859" s="195"/>
      <c r="S859" s="195"/>
      <c r="T859" s="195"/>
      <c r="U859" s="195"/>
      <c r="V859" s="195"/>
      <c r="W859" s="198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</row>
    <row r="860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195"/>
      <c r="Q860" s="195"/>
      <c r="R860" s="195"/>
      <c r="S860" s="195"/>
      <c r="T860" s="195"/>
      <c r="U860" s="195"/>
      <c r="V860" s="195"/>
      <c r="W860" s="198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</row>
    <row r="86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195"/>
      <c r="Q861" s="195"/>
      <c r="R861" s="195"/>
      <c r="S861" s="195"/>
      <c r="T861" s="195"/>
      <c r="U861" s="195"/>
      <c r="V861" s="195"/>
      <c r="W861" s="198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</row>
    <row r="862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195"/>
      <c r="Q862" s="195"/>
      <c r="R862" s="195"/>
      <c r="S862" s="195"/>
      <c r="T862" s="195"/>
      <c r="U862" s="195"/>
      <c r="V862" s="195"/>
      <c r="W862" s="198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</row>
    <row r="863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195"/>
      <c r="Q863" s="195"/>
      <c r="R863" s="195"/>
      <c r="S863" s="195"/>
      <c r="T863" s="195"/>
      <c r="U863" s="195"/>
      <c r="V863" s="195"/>
      <c r="W863" s="198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</row>
    <row r="864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195"/>
      <c r="Q864" s="195"/>
      <c r="R864" s="195"/>
      <c r="S864" s="195"/>
      <c r="T864" s="195"/>
      <c r="U864" s="195"/>
      <c r="V864" s="195"/>
      <c r="W864" s="198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</row>
    <row r="865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195"/>
      <c r="Q865" s="195"/>
      <c r="R865" s="195"/>
      <c r="S865" s="195"/>
      <c r="T865" s="195"/>
      <c r="U865" s="195"/>
      <c r="V865" s="195"/>
      <c r="W865" s="198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</row>
    <row r="866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195"/>
      <c r="Q866" s="195"/>
      <c r="R866" s="195"/>
      <c r="S866" s="195"/>
      <c r="T866" s="195"/>
      <c r="U866" s="195"/>
      <c r="V866" s="195"/>
      <c r="W866" s="198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</row>
    <row r="867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195"/>
      <c r="Q867" s="195"/>
      <c r="R867" s="195"/>
      <c r="S867" s="195"/>
      <c r="T867" s="195"/>
      <c r="U867" s="195"/>
      <c r="V867" s="195"/>
      <c r="W867" s="198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</row>
    <row r="868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195"/>
      <c r="Q868" s="195"/>
      <c r="R868" s="195"/>
      <c r="S868" s="195"/>
      <c r="T868" s="195"/>
      <c r="U868" s="195"/>
      <c r="V868" s="195"/>
      <c r="W868" s="198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</row>
    <row r="869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195"/>
      <c r="Q869" s="195"/>
      <c r="R869" s="195"/>
      <c r="S869" s="195"/>
      <c r="T869" s="195"/>
      <c r="U869" s="195"/>
      <c r="V869" s="195"/>
      <c r="W869" s="198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</row>
    <row r="870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195"/>
      <c r="Q870" s="195"/>
      <c r="R870" s="195"/>
      <c r="S870" s="195"/>
      <c r="T870" s="195"/>
      <c r="U870" s="195"/>
      <c r="V870" s="195"/>
      <c r="W870" s="198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</row>
    <row r="87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195"/>
      <c r="Q871" s="195"/>
      <c r="R871" s="195"/>
      <c r="S871" s="195"/>
      <c r="T871" s="195"/>
      <c r="U871" s="195"/>
      <c r="V871" s="195"/>
      <c r="W871" s="198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</row>
    <row r="872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195"/>
      <c r="Q872" s="195"/>
      <c r="R872" s="195"/>
      <c r="S872" s="195"/>
      <c r="T872" s="195"/>
      <c r="U872" s="195"/>
      <c r="V872" s="195"/>
      <c r="W872" s="198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</row>
    <row r="873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195"/>
      <c r="Q873" s="195"/>
      <c r="R873" s="195"/>
      <c r="S873" s="195"/>
      <c r="T873" s="195"/>
      <c r="U873" s="195"/>
      <c r="V873" s="195"/>
      <c r="W873" s="198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</row>
    <row r="874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195"/>
      <c r="Q874" s="195"/>
      <c r="R874" s="195"/>
      <c r="S874" s="195"/>
      <c r="T874" s="195"/>
      <c r="U874" s="195"/>
      <c r="V874" s="195"/>
      <c r="W874" s="198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</row>
    <row r="875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195"/>
      <c r="Q875" s="195"/>
      <c r="R875" s="195"/>
      <c r="S875" s="195"/>
      <c r="T875" s="195"/>
      <c r="U875" s="195"/>
      <c r="V875" s="195"/>
      <c r="W875" s="198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</row>
    <row r="876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195"/>
      <c r="Q876" s="195"/>
      <c r="R876" s="195"/>
      <c r="S876" s="195"/>
      <c r="T876" s="195"/>
      <c r="U876" s="195"/>
      <c r="V876" s="195"/>
      <c r="W876" s="198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</row>
    <row r="877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195"/>
      <c r="Q877" s="195"/>
      <c r="R877" s="195"/>
      <c r="S877" s="195"/>
      <c r="T877" s="195"/>
      <c r="U877" s="195"/>
      <c r="V877" s="195"/>
      <c r="W877" s="198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</row>
    <row r="878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195"/>
      <c r="Q878" s="195"/>
      <c r="R878" s="195"/>
      <c r="S878" s="195"/>
      <c r="T878" s="195"/>
      <c r="U878" s="195"/>
      <c r="V878" s="195"/>
      <c r="W878" s="198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</row>
    <row r="879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195"/>
      <c r="Q879" s="195"/>
      <c r="R879" s="195"/>
      <c r="S879" s="195"/>
      <c r="T879" s="195"/>
      <c r="U879" s="195"/>
      <c r="V879" s="195"/>
      <c r="W879" s="198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</row>
    <row r="880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195"/>
      <c r="Q880" s="195"/>
      <c r="R880" s="195"/>
      <c r="S880" s="195"/>
      <c r="T880" s="195"/>
      <c r="U880" s="195"/>
      <c r="V880" s="195"/>
      <c r="W880" s="198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</row>
    <row r="88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195"/>
      <c r="Q881" s="195"/>
      <c r="R881" s="195"/>
      <c r="S881" s="195"/>
      <c r="T881" s="195"/>
      <c r="U881" s="195"/>
      <c r="V881" s="195"/>
      <c r="W881" s="198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</row>
    <row r="882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195"/>
      <c r="Q882" s="195"/>
      <c r="R882" s="195"/>
      <c r="S882" s="195"/>
      <c r="T882" s="195"/>
      <c r="U882" s="195"/>
      <c r="V882" s="195"/>
      <c r="W882" s="198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</row>
    <row r="883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195"/>
      <c r="Q883" s="195"/>
      <c r="R883" s="195"/>
      <c r="S883" s="195"/>
      <c r="T883" s="195"/>
      <c r="U883" s="195"/>
      <c r="V883" s="195"/>
      <c r="W883" s="198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</row>
    <row r="884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195"/>
      <c r="Q884" s="195"/>
      <c r="R884" s="195"/>
      <c r="S884" s="195"/>
      <c r="T884" s="195"/>
      <c r="U884" s="195"/>
      <c r="V884" s="195"/>
      <c r="W884" s="198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</row>
    <row r="885">
      <c r="A885" s="195"/>
      <c r="B885" s="195"/>
      <c r="C885" s="195"/>
      <c r="D885" s="195"/>
      <c r="E885" s="195"/>
      <c r="F885" s="195"/>
      <c r="G885" s="195"/>
      <c r="H885" s="195"/>
      <c r="I885" s="195"/>
      <c r="J885" s="195"/>
      <c r="K885" s="195"/>
      <c r="L885" s="195"/>
      <c r="M885" s="195"/>
      <c r="N885" s="195"/>
      <c r="O885" s="195"/>
      <c r="P885" s="195"/>
      <c r="Q885" s="195"/>
      <c r="R885" s="195"/>
      <c r="S885" s="195"/>
      <c r="T885" s="195"/>
      <c r="U885" s="195"/>
      <c r="V885" s="195"/>
      <c r="W885" s="198"/>
      <c r="X885" s="195"/>
      <c r="Y885" s="195"/>
      <c r="Z885" s="195"/>
      <c r="AA885" s="195"/>
      <c r="AB885" s="195"/>
      <c r="AC885" s="195"/>
      <c r="AD885" s="195"/>
      <c r="AE885" s="195"/>
      <c r="AF885" s="195"/>
      <c r="AG885" s="195"/>
      <c r="AH885" s="195"/>
      <c r="AI885" s="195"/>
      <c r="AJ885" s="195"/>
      <c r="AK885" s="195"/>
    </row>
    <row r="886">
      <c r="A886" s="195"/>
      <c r="B886" s="195"/>
      <c r="C886" s="195"/>
      <c r="D886" s="195"/>
      <c r="E886" s="195"/>
      <c r="F886" s="195"/>
      <c r="G886" s="195"/>
      <c r="H886" s="195"/>
      <c r="I886" s="195"/>
      <c r="J886" s="195"/>
      <c r="K886" s="195"/>
      <c r="L886" s="195"/>
      <c r="M886" s="195"/>
      <c r="N886" s="195"/>
      <c r="O886" s="195"/>
      <c r="P886" s="195"/>
      <c r="Q886" s="195"/>
      <c r="R886" s="195"/>
      <c r="S886" s="195"/>
      <c r="T886" s="195"/>
      <c r="U886" s="195"/>
      <c r="V886" s="195"/>
      <c r="W886" s="198"/>
      <c r="X886" s="195"/>
      <c r="Y886" s="195"/>
      <c r="Z886" s="195"/>
      <c r="AA886" s="195"/>
      <c r="AB886" s="195"/>
      <c r="AC886" s="195"/>
      <c r="AD886" s="195"/>
      <c r="AE886" s="195"/>
      <c r="AF886" s="195"/>
      <c r="AG886" s="195"/>
      <c r="AH886" s="195"/>
      <c r="AI886" s="195"/>
      <c r="AJ886" s="195"/>
      <c r="AK886" s="195"/>
    </row>
    <row r="887">
      <c r="A887" s="195"/>
      <c r="B887" s="195"/>
      <c r="C887" s="195"/>
      <c r="D887" s="195"/>
      <c r="E887" s="195"/>
      <c r="F887" s="195"/>
      <c r="G887" s="195"/>
      <c r="H887" s="195"/>
      <c r="I887" s="195"/>
      <c r="J887" s="195"/>
      <c r="K887" s="195"/>
      <c r="L887" s="195"/>
      <c r="M887" s="195"/>
      <c r="N887" s="195"/>
      <c r="O887" s="195"/>
      <c r="P887" s="195"/>
      <c r="Q887" s="195"/>
      <c r="R887" s="195"/>
      <c r="S887" s="195"/>
      <c r="T887" s="195"/>
      <c r="U887" s="195"/>
      <c r="V887" s="195"/>
      <c r="W887" s="198"/>
      <c r="X887" s="195"/>
      <c r="Y887" s="195"/>
      <c r="Z887" s="195"/>
      <c r="AA887" s="195"/>
      <c r="AB887" s="195"/>
      <c r="AC887" s="195"/>
      <c r="AD887" s="195"/>
      <c r="AE887" s="195"/>
      <c r="AF887" s="195"/>
      <c r="AG887" s="195"/>
      <c r="AH887" s="195"/>
      <c r="AI887" s="195"/>
      <c r="AJ887" s="195"/>
      <c r="AK887" s="195"/>
    </row>
    <row r="888">
      <c r="A888" s="195"/>
      <c r="B888" s="195"/>
      <c r="C888" s="195"/>
      <c r="D888" s="195"/>
      <c r="E888" s="195"/>
      <c r="F888" s="195"/>
      <c r="G888" s="195"/>
      <c r="H888" s="195"/>
      <c r="I888" s="195"/>
      <c r="J888" s="195"/>
      <c r="K888" s="195"/>
      <c r="L888" s="195"/>
      <c r="M888" s="195"/>
      <c r="N888" s="195"/>
      <c r="O888" s="195"/>
      <c r="P888" s="195"/>
      <c r="Q888" s="195"/>
      <c r="R888" s="195"/>
      <c r="S888" s="195"/>
      <c r="T888" s="195"/>
      <c r="U888" s="195"/>
      <c r="V888" s="195"/>
      <c r="W888" s="198"/>
      <c r="X888" s="195"/>
      <c r="Y888" s="195"/>
      <c r="Z888" s="195"/>
      <c r="AA888" s="195"/>
      <c r="AB888" s="195"/>
      <c r="AC888" s="195"/>
      <c r="AD888" s="195"/>
      <c r="AE888" s="195"/>
      <c r="AF888" s="195"/>
      <c r="AG888" s="195"/>
      <c r="AH888" s="195"/>
      <c r="AI888" s="195"/>
      <c r="AJ888" s="195"/>
      <c r="AK888" s="195"/>
    </row>
    <row r="889">
      <c r="A889" s="195"/>
      <c r="B889" s="195"/>
      <c r="C889" s="195"/>
      <c r="D889" s="195"/>
      <c r="E889" s="195"/>
      <c r="F889" s="195"/>
      <c r="G889" s="195"/>
      <c r="H889" s="195"/>
      <c r="I889" s="195"/>
      <c r="J889" s="195"/>
      <c r="K889" s="195"/>
      <c r="L889" s="195"/>
      <c r="M889" s="195"/>
      <c r="N889" s="195"/>
      <c r="O889" s="195"/>
      <c r="P889" s="195"/>
      <c r="Q889" s="195"/>
      <c r="R889" s="195"/>
      <c r="S889" s="195"/>
      <c r="T889" s="195"/>
      <c r="U889" s="195"/>
      <c r="V889" s="195"/>
      <c r="W889" s="198"/>
      <c r="X889" s="195"/>
      <c r="Y889" s="195"/>
      <c r="Z889" s="195"/>
      <c r="AA889" s="195"/>
      <c r="AB889" s="195"/>
      <c r="AC889" s="195"/>
      <c r="AD889" s="195"/>
      <c r="AE889" s="195"/>
      <c r="AF889" s="195"/>
      <c r="AG889" s="195"/>
      <c r="AH889" s="195"/>
      <c r="AI889" s="195"/>
      <c r="AJ889" s="195"/>
      <c r="AK889" s="195"/>
    </row>
    <row r="890">
      <c r="A890" s="195"/>
      <c r="B890" s="195"/>
      <c r="C890" s="195"/>
      <c r="D890" s="195"/>
      <c r="E890" s="195"/>
      <c r="F890" s="195"/>
      <c r="G890" s="195"/>
      <c r="H890" s="195"/>
      <c r="I890" s="195"/>
      <c r="J890" s="195"/>
      <c r="K890" s="195"/>
      <c r="L890" s="195"/>
      <c r="M890" s="195"/>
      <c r="N890" s="195"/>
      <c r="O890" s="195"/>
      <c r="P890" s="195"/>
      <c r="Q890" s="195"/>
      <c r="R890" s="195"/>
      <c r="S890" s="195"/>
      <c r="T890" s="195"/>
      <c r="U890" s="195"/>
      <c r="V890" s="195"/>
      <c r="W890" s="198"/>
      <c r="X890" s="195"/>
      <c r="Y890" s="195"/>
      <c r="Z890" s="195"/>
      <c r="AA890" s="195"/>
      <c r="AB890" s="195"/>
      <c r="AC890" s="195"/>
      <c r="AD890" s="195"/>
      <c r="AE890" s="195"/>
      <c r="AF890" s="195"/>
      <c r="AG890" s="195"/>
      <c r="AH890" s="195"/>
      <c r="AI890" s="195"/>
      <c r="AJ890" s="195"/>
      <c r="AK890" s="195"/>
    </row>
    <row r="891">
      <c r="A891" s="195"/>
      <c r="B891" s="195"/>
      <c r="C891" s="195"/>
      <c r="D891" s="195"/>
      <c r="E891" s="195"/>
      <c r="F891" s="195"/>
      <c r="G891" s="195"/>
      <c r="H891" s="195"/>
      <c r="I891" s="195"/>
      <c r="J891" s="195"/>
      <c r="K891" s="195"/>
      <c r="L891" s="195"/>
      <c r="M891" s="195"/>
      <c r="N891" s="195"/>
      <c r="O891" s="195"/>
      <c r="P891" s="195"/>
      <c r="Q891" s="195"/>
      <c r="R891" s="195"/>
      <c r="S891" s="195"/>
      <c r="T891" s="195"/>
      <c r="U891" s="195"/>
      <c r="V891" s="195"/>
      <c r="W891" s="198"/>
      <c r="X891" s="195"/>
      <c r="Y891" s="195"/>
      <c r="Z891" s="195"/>
      <c r="AA891" s="195"/>
      <c r="AB891" s="195"/>
      <c r="AC891" s="195"/>
      <c r="AD891" s="195"/>
      <c r="AE891" s="195"/>
      <c r="AF891" s="195"/>
      <c r="AG891" s="195"/>
      <c r="AH891" s="195"/>
      <c r="AI891" s="195"/>
      <c r="AJ891" s="195"/>
      <c r="AK891" s="195"/>
    </row>
    <row r="892">
      <c r="A892" s="195"/>
      <c r="B892" s="195"/>
      <c r="C892" s="195"/>
      <c r="D892" s="195"/>
      <c r="E892" s="195"/>
      <c r="F892" s="195"/>
      <c r="G892" s="195"/>
      <c r="H892" s="195"/>
      <c r="I892" s="195"/>
      <c r="J892" s="195"/>
      <c r="K892" s="195"/>
      <c r="L892" s="195"/>
      <c r="M892" s="195"/>
      <c r="N892" s="195"/>
      <c r="O892" s="195"/>
      <c r="P892" s="195"/>
      <c r="Q892" s="195"/>
      <c r="R892" s="195"/>
      <c r="S892" s="195"/>
      <c r="T892" s="195"/>
      <c r="U892" s="195"/>
      <c r="V892" s="195"/>
      <c r="W892" s="198"/>
      <c r="X892" s="195"/>
      <c r="Y892" s="195"/>
      <c r="Z892" s="195"/>
      <c r="AA892" s="195"/>
      <c r="AB892" s="195"/>
      <c r="AC892" s="195"/>
      <c r="AD892" s="195"/>
      <c r="AE892" s="195"/>
      <c r="AF892" s="195"/>
      <c r="AG892" s="195"/>
      <c r="AH892" s="195"/>
      <c r="AI892" s="195"/>
      <c r="AJ892" s="195"/>
      <c r="AK892" s="195"/>
    </row>
    <row r="893">
      <c r="A893" s="195"/>
      <c r="B893" s="195"/>
      <c r="C893" s="195"/>
      <c r="D893" s="195"/>
      <c r="E893" s="195"/>
      <c r="F893" s="195"/>
      <c r="G893" s="195"/>
      <c r="H893" s="195"/>
      <c r="I893" s="195"/>
      <c r="J893" s="195"/>
      <c r="K893" s="195"/>
      <c r="L893" s="195"/>
      <c r="M893" s="195"/>
      <c r="N893" s="195"/>
      <c r="O893" s="195"/>
      <c r="P893" s="195"/>
      <c r="Q893" s="195"/>
      <c r="R893" s="195"/>
      <c r="S893" s="195"/>
      <c r="T893" s="195"/>
      <c r="U893" s="195"/>
      <c r="V893" s="195"/>
      <c r="W893" s="198"/>
      <c r="X893" s="195"/>
      <c r="Y893" s="195"/>
      <c r="Z893" s="195"/>
      <c r="AA893" s="195"/>
      <c r="AB893" s="195"/>
      <c r="AC893" s="195"/>
      <c r="AD893" s="195"/>
      <c r="AE893" s="195"/>
      <c r="AF893" s="195"/>
      <c r="AG893" s="195"/>
      <c r="AH893" s="195"/>
      <c r="AI893" s="195"/>
      <c r="AJ893" s="195"/>
      <c r="AK893" s="195"/>
    </row>
    <row r="894">
      <c r="A894" s="195"/>
      <c r="B894" s="195"/>
      <c r="C894" s="195"/>
      <c r="D894" s="195"/>
      <c r="E894" s="195"/>
      <c r="F894" s="195"/>
      <c r="G894" s="195"/>
      <c r="H894" s="195"/>
      <c r="I894" s="195"/>
      <c r="J894" s="195"/>
      <c r="K894" s="195"/>
      <c r="L894" s="195"/>
      <c r="M894" s="195"/>
      <c r="N894" s="195"/>
      <c r="O894" s="195"/>
      <c r="P894" s="195"/>
      <c r="Q894" s="195"/>
      <c r="R894" s="195"/>
      <c r="S894" s="195"/>
      <c r="T894" s="195"/>
      <c r="U894" s="195"/>
      <c r="V894" s="195"/>
      <c r="W894" s="198"/>
      <c r="X894" s="195"/>
      <c r="Y894" s="195"/>
      <c r="Z894" s="195"/>
      <c r="AA894" s="195"/>
      <c r="AB894" s="195"/>
      <c r="AC894" s="195"/>
      <c r="AD894" s="195"/>
      <c r="AE894" s="195"/>
      <c r="AF894" s="195"/>
      <c r="AG894" s="195"/>
      <c r="AH894" s="195"/>
      <c r="AI894" s="195"/>
      <c r="AJ894" s="195"/>
      <c r="AK894" s="195"/>
    </row>
    <row r="895">
      <c r="A895" s="195"/>
      <c r="B895" s="195"/>
      <c r="C895" s="195"/>
      <c r="D895" s="195"/>
      <c r="E895" s="195"/>
      <c r="F895" s="195"/>
      <c r="G895" s="195"/>
      <c r="H895" s="195"/>
      <c r="I895" s="195"/>
      <c r="J895" s="195"/>
      <c r="K895" s="195"/>
      <c r="L895" s="195"/>
      <c r="M895" s="195"/>
      <c r="N895" s="195"/>
      <c r="O895" s="195"/>
      <c r="P895" s="195"/>
      <c r="Q895" s="195"/>
      <c r="R895" s="195"/>
      <c r="S895" s="195"/>
      <c r="T895" s="195"/>
      <c r="U895" s="195"/>
      <c r="V895" s="195"/>
      <c r="W895" s="198"/>
      <c r="X895" s="195"/>
      <c r="Y895" s="195"/>
      <c r="Z895" s="195"/>
      <c r="AA895" s="195"/>
      <c r="AB895" s="195"/>
      <c r="AC895" s="195"/>
      <c r="AD895" s="195"/>
      <c r="AE895" s="195"/>
      <c r="AF895" s="195"/>
      <c r="AG895" s="195"/>
      <c r="AH895" s="195"/>
      <c r="AI895" s="195"/>
      <c r="AJ895" s="195"/>
      <c r="AK895" s="195"/>
    </row>
    <row r="896">
      <c r="A896" s="195"/>
      <c r="B896" s="195"/>
      <c r="C896" s="195"/>
      <c r="D896" s="195"/>
      <c r="E896" s="195"/>
      <c r="F896" s="195"/>
      <c r="G896" s="195"/>
      <c r="H896" s="195"/>
      <c r="I896" s="195"/>
      <c r="J896" s="195"/>
      <c r="K896" s="195"/>
      <c r="L896" s="195"/>
      <c r="M896" s="195"/>
      <c r="N896" s="195"/>
      <c r="O896" s="195"/>
      <c r="P896" s="195"/>
      <c r="Q896" s="195"/>
      <c r="R896" s="195"/>
      <c r="S896" s="195"/>
      <c r="T896" s="195"/>
      <c r="U896" s="195"/>
      <c r="V896" s="195"/>
      <c r="W896" s="198"/>
      <c r="X896" s="195"/>
      <c r="Y896" s="195"/>
      <c r="Z896" s="195"/>
      <c r="AA896" s="195"/>
      <c r="AB896" s="195"/>
      <c r="AC896" s="195"/>
      <c r="AD896" s="195"/>
      <c r="AE896" s="195"/>
      <c r="AF896" s="195"/>
      <c r="AG896" s="195"/>
      <c r="AH896" s="195"/>
      <c r="AI896" s="195"/>
      <c r="AJ896" s="195"/>
      <c r="AK896" s="195"/>
    </row>
    <row r="897">
      <c r="A897" s="195"/>
      <c r="B897" s="195"/>
      <c r="C897" s="195"/>
      <c r="D897" s="195"/>
      <c r="E897" s="195"/>
      <c r="F897" s="195"/>
      <c r="G897" s="195"/>
      <c r="H897" s="195"/>
      <c r="I897" s="195"/>
      <c r="J897" s="195"/>
      <c r="K897" s="195"/>
      <c r="L897" s="195"/>
      <c r="M897" s="195"/>
      <c r="N897" s="195"/>
      <c r="O897" s="195"/>
      <c r="P897" s="195"/>
      <c r="Q897" s="195"/>
      <c r="R897" s="195"/>
      <c r="S897" s="195"/>
      <c r="T897" s="195"/>
      <c r="U897" s="195"/>
      <c r="V897" s="195"/>
      <c r="W897" s="198"/>
      <c r="X897" s="195"/>
      <c r="Y897" s="195"/>
      <c r="Z897" s="195"/>
      <c r="AA897" s="195"/>
      <c r="AB897" s="195"/>
      <c r="AC897" s="195"/>
      <c r="AD897" s="195"/>
      <c r="AE897" s="195"/>
      <c r="AF897" s="195"/>
      <c r="AG897" s="195"/>
      <c r="AH897" s="195"/>
      <c r="AI897" s="195"/>
      <c r="AJ897" s="195"/>
      <c r="AK897" s="195"/>
    </row>
    <row r="898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195"/>
      <c r="Q898" s="195"/>
      <c r="R898" s="195"/>
      <c r="S898" s="195"/>
      <c r="T898" s="195"/>
      <c r="U898" s="195"/>
      <c r="V898" s="195"/>
      <c r="W898" s="198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</row>
    <row r="899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195"/>
      <c r="Q899" s="195"/>
      <c r="R899" s="195"/>
      <c r="S899" s="195"/>
      <c r="T899" s="195"/>
      <c r="U899" s="195"/>
      <c r="V899" s="195"/>
      <c r="W899" s="198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</row>
    <row r="900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195"/>
      <c r="Q900" s="195"/>
      <c r="R900" s="195"/>
      <c r="S900" s="195"/>
      <c r="T900" s="195"/>
      <c r="U900" s="195"/>
      <c r="V900" s="195"/>
      <c r="W900" s="198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</row>
    <row r="90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195"/>
      <c r="Q901" s="195"/>
      <c r="R901" s="195"/>
      <c r="S901" s="195"/>
      <c r="T901" s="195"/>
      <c r="U901" s="195"/>
      <c r="V901" s="195"/>
      <c r="W901" s="198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</row>
    <row r="902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195"/>
      <c r="Q902" s="195"/>
      <c r="R902" s="195"/>
      <c r="S902" s="195"/>
      <c r="T902" s="195"/>
      <c r="U902" s="195"/>
      <c r="V902" s="195"/>
      <c r="W902" s="198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</row>
    <row r="903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195"/>
      <c r="Q903" s="195"/>
      <c r="R903" s="195"/>
      <c r="S903" s="195"/>
      <c r="T903" s="195"/>
      <c r="U903" s="195"/>
      <c r="V903" s="195"/>
      <c r="W903" s="198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</row>
    <row r="904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195"/>
      <c r="Q904" s="195"/>
      <c r="R904" s="195"/>
      <c r="S904" s="195"/>
      <c r="T904" s="195"/>
      <c r="U904" s="195"/>
      <c r="V904" s="195"/>
      <c r="W904" s="198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</row>
    <row r="905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195"/>
      <c r="Q905" s="195"/>
      <c r="R905" s="195"/>
      <c r="S905" s="195"/>
      <c r="T905" s="195"/>
      <c r="U905" s="195"/>
      <c r="V905" s="195"/>
      <c r="W905" s="198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</row>
    <row r="906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195"/>
      <c r="Q906" s="195"/>
      <c r="R906" s="195"/>
      <c r="S906" s="195"/>
      <c r="T906" s="195"/>
      <c r="U906" s="195"/>
      <c r="V906" s="195"/>
      <c r="W906" s="198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</row>
    <row r="907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195"/>
      <c r="Q907" s="195"/>
      <c r="R907" s="195"/>
      <c r="S907" s="195"/>
      <c r="T907" s="195"/>
      <c r="U907" s="195"/>
      <c r="V907" s="195"/>
      <c r="W907" s="198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</row>
    <row r="908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195"/>
      <c r="Q908" s="195"/>
      <c r="R908" s="195"/>
      <c r="S908" s="195"/>
      <c r="T908" s="195"/>
      <c r="U908" s="195"/>
      <c r="V908" s="195"/>
      <c r="W908" s="198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</row>
    <row r="909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195"/>
      <c r="Q909" s="195"/>
      <c r="R909" s="195"/>
      <c r="S909" s="195"/>
      <c r="T909" s="195"/>
      <c r="U909" s="195"/>
      <c r="V909" s="195"/>
      <c r="W909" s="198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</row>
    <row r="910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195"/>
      <c r="Q910" s="195"/>
      <c r="R910" s="195"/>
      <c r="S910" s="195"/>
      <c r="T910" s="195"/>
      <c r="U910" s="195"/>
      <c r="V910" s="195"/>
      <c r="W910" s="198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</row>
    <row r="91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195"/>
      <c r="Q911" s="195"/>
      <c r="R911" s="195"/>
      <c r="S911" s="195"/>
      <c r="T911" s="195"/>
      <c r="U911" s="195"/>
      <c r="V911" s="195"/>
      <c r="W911" s="198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</row>
    <row r="912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195"/>
      <c r="Q912" s="195"/>
      <c r="R912" s="195"/>
      <c r="S912" s="195"/>
      <c r="T912" s="195"/>
      <c r="U912" s="195"/>
      <c r="V912" s="195"/>
      <c r="W912" s="198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</row>
    <row r="913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195"/>
      <c r="Q913" s="195"/>
      <c r="R913" s="195"/>
      <c r="S913" s="195"/>
      <c r="T913" s="195"/>
      <c r="U913" s="195"/>
      <c r="V913" s="195"/>
      <c r="W913" s="198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</row>
    <row r="914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195"/>
      <c r="Q914" s="195"/>
      <c r="R914" s="195"/>
      <c r="S914" s="195"/>
      <c r="T914" s="195"/>
      <c r="U914" s="195"/>
      <c r="V914" s="195"/>
      <c r="W914" s="198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</row>
    <row r="915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195"/>
      <c r="Q915" s="195"/>
      <c r="R915" s="195"/>
      <c r="S915" s="195"/>
      <c r="T915" s="195"/>
      <c r="U915" s="195"/>
      <c r="V915" s="195"/>
      <c r="W915" s="198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</row>
    <row r="916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195"/>
      <c r="Q916" s="195"/>
      <c r="R916" s="195"/>
      <c r="S916" s="195"/>
      <c r="T916" s="195"/>
      <c r="U916" s="195"/>
      <c r="V916" s="195"/>
      <c r="W916" s="198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</row>
    <row r="917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195"/>
      <c r="Q917" s="195"/>
      <c r="R917" s="195"/>
      <c r="S917" s="195"/>
      <c r="T917" s="195"/>
      <c r="U917" s="195"/>
      <c r="V917" s="195"/>
      <c r="W917" s="198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</row>
    <row r="918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195"/>
      <c r="Q918" s="195"/>
      <c r="R918" s="195"/>
      <c r="S918" s="195"/>
      <c r="T918" s="195"/>
      <c r="U918" s="195"/>
      <c r="V918" s="195"/>
      <c r="W918" s="198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</row>
    <row r="919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195"/>
      <c r="Q919" s="195"/>
      <c r="R919" s="195"/>
      <c r="S919" s="195"/>
      <c r="T919" s="195"/>
      <c r="U919" s="195"/>
      <c r="V919" s="195"/>
      <c r="W919" s="198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</row>
    <row r="920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195"/>
      <c r="Q920" s="195"/>
      <c r="R920" s="195"/>
      <c r="S920" s="195"/>
      <c r="T920" s="195"/>
      <c r="U920" s="195"/>
      <c r="V920" s="195"/>
      <c r="W920" s="198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</row>
    <row r="92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195"/>
      <c r="Q921" s="195"/>
      <c r="R921" s="195"/>
      <c r="S921" s="195"/>
      <c r="T921" s="195"/>
      <c r="U921" s="195"/>
      <c r="V921" s="195"/>
      <c r="W921" s="198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</row>
    <row r="922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195"/>
      <c r="Q922" s="195"/>
      <c r="R922" s="195"/>
      <c r="S922" s="195"/>
      <c r="T922" s="195"/>
      <c r="U922" s="195"/>
      <c r="V922" s="195"/>
      <c r="W922" s="198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</row>
    <row r="923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195"/>
      <c r="Q923" s="195"/>
      <c r="R923" s="195"/>
      <c r="S923" s="195"/>
      <c r="T923" s="195"/>
      <c r="U923" s="195"/>
      <c r="V923" s="195"/>
      <c r="W923" s="198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</row>
    <row r="924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195"/>
      <c r="Q924" s="195"/>
      <c r="R924" s="195"/>
      <c r="S924" s="195"/>
      <c r="T924" s="195"/>
      <c r="U924" s="195"/>
      <c r="V924" s="195"/>
      <c r="W924" s="198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</row>
    <row r="925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195"/>
      <c r="Q925" s="195"/>
      <c r="R925" s="195"/>
      <c r="S925" s="195"/>
      <c r="T925" s="195"/>
      <c r="U925" s="195"/>
      <c r="V925" s="195"/>
      <c r="W925" s="198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</row>
    <row r="926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195"/>
      <c r="Q926" s="195"/>
      <c r="R926" s="195"/>
      <c r="S926" s="195"/>
      <c r="T926" s="195"/>
      <c r="U926" s="195"/>
      <c r="V926" s="195"/>
      <c r="W926" s="198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</row>
    <row r="927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195"/>
      <c r="Q927" s="195"/>
      <c r="R927" s="195"/>
      <c r="S927" s="195"/>
      <c r="T927" s="195"/>
      <c r="U927" s="195"/>
      <c r="V927" s="195"/>
      <c r="W927" s="198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</row>
    <row r="928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195"/>
      <c r="Q928" s="195"/>
      <c r="R928" s="195"/>
      <c r="S928" s="195"/>
      <c r="T928" s="195"/>
      <c r="U928" s="195"/>
      <c r="V928" s="195"/>
      <c r="W928" s="198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</row>
    <row r="929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195"/>
      <c r="Q929" s="195"/>
      <c r="R929" s="195"/>
      <c r="S929" s="195"/>
      <c r="T929" s="195"/>
      <c r="U929" s="195"/>
      <c r="V929" s="195"/>
      <c r="W929" s="198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</row>
    <row r="930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195"/>
      <c r="Q930" s="195"/>
      <c r="R930" s="195"/>
      <c r="S930" s="195"/>
      <c r="T930" s="195"/>
      <c r="U930" s="195"/>
      <c r="V930" s="195"/>
      <c r="W930" s="198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</row>
    <row r="93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195"/>
      <c r="Q931" s="195"/>
      <c r="R931" s="195"/>
      <c r="S931" s="195"/>
      <c r="T931" s="195"/>
      <c r="U931" s="195"/>
      <c r="V931" s="195"/>
      <c r="W931" s="198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</row>
    <row r="932">
      <c r="A932" s="195"/>
      <c r="B932" s="195"/>
      <c r="C932" s="195"/>
      <c r="D932" s="195"/>
      <c r="E932" s="195"/>
      <c r="F932" s="195"/>
      <c r="G932" s="195"/>
      <c r="H932" s="195"/>
      <c r="I932" s="195"/>
      <c r="J932" s="195"/>
      <c r="K932" s="195"/>
      <c r="L932" s="195"/>
      <c r="M932" s="195"/>
      <c r="N932" s="195"/>
      <c r="O932" s="195"/>
      <c r="P932" s="195"/>
      <c r="Q932" s="195"/>
      <c r="R932" s="195"/>
      <c r="S932" s="195"/>
      <c r="T932" s="195"/>
      <c r="U932" s="195"/>
      <c r="V932" s="195"/>
      <c r="W932" s="198"/>
      <c r="X932" s="195"/>
      <c r="Y932" s="195"/>
      <c r="Z932" s="195"/>
      <c r="AA932" s="195"/>
      <c r="AB932" s="195"/>
      <c r="AC932" s="195"/>
      <c r="AD932" s="195"/>
      <c r="AE932" s="195"/>
      <c r="AF932" s="195"/>
      <c r="AG932" s="195"/>
      <c r="AH932" s="195"/>
      <c r="AI932" s="195"/>
      <c r="AJ932" s="195"/>
      <c r="AK932" s="195"/>
    </row>
    <row r="933">
      <c r="A933" s="195"/>
      <c r="B933" s="195"/>
      <c r="C933" s="195"/>
      <c r="D933" s="195"/>
      <c r="E933" s="195"/>
      <c r="F933" s="195"/>
      <c r="G933" s="195"/>
      <c r="H933" s="195"/>
      <c r="I933" s="195"/>
      <c r="J933" s="195"/>
      <c r="K933" s="195"/>
      <c r="L933" s="195"/>
      <c r="M933" s="195"/>
      <c r="N933" s="195"/>
      <c r="O933" s="195"/>
      <c r="P933" s="195"/>
      <c r="Q933" s="195"/>
      <c r="R933" s="195"/>
      <c r="S933" s="195"/>
      <c r="T933" s="195"/>
      <c r="U933" s="195"/>
      <c r="V933" s="195"/>
      <c r="W933" s="198"/>
      <c r="X933" s="195"/>
      <c r="Y933" s="195"/>
      <c r="Z933" s="195"/>
      <c r="AA933" s="195"/>
      <c r="AB933" s="195"/>
      <c r="AC933" s="195"/>
      <c r="AD933" s="195"/>
      <c r="AE933" s="195"/>
      <c r="AF933" s="195"/>
      <c r="AG933" s="195"/>
      <c r="AH933" s="195"/>
      <c r="AI933" s="195"/>
      <c r="AJ933" s="195"/>
      <c r="AK933" s="195"/>
    </row>
    <row r="934">
      <c r="A934" s="195"/>
      <c r="B934" s="195"/>
      <c r="C934" s="195"/>
      <c r="D934" s="195"/>
      <c r="E934" s="195"/>
      <c r="F934" s="195"/>
      <c r="G934" s="195"/>
      <c r="H934" s="195"/>
      <c r="I934" s="195"/>
      <c r="J934" s="195"/>
      <c r="K934" s="195"/>
      <c r="L934" s="195"/>
      <c r="M934" s="195"/>
      <c r="N934" s="195"/>
      <c r="O934" s="195"/>
      <c r="P934" s="195"/>
      <c r="Q934" s="195"/>
      <c r="R934" s="195"/>
      <c r="S934" s="195"/>
      <c r="T934" s="195"/>
      <c r="U934" s="195"/>
      <c r="V934" s="195"/>
      <c r="W934" s="198"/>
      <c r="X934" s="195"/>
      <c r="Y934" s="195"/>
      <c r="Z934" s="195"/>
      <c r="AA934" s="195"/>
      <c r="AB934" s="195"/>
      <c r="AC934" s="195"/>
      <c r="AD934" s="195"/>
      <c r="AE934" s="195"/>
      <c r="AF934" s="195"/>
      <c r="AG934" s="195"/>
      <c r="AH934" s="195"/>
      <c r="AI934" s="195"/>
      <c r="AJ934" s="195"/>
      <c r="AK934" s="195"/>
    </row>
    <row r="935">
      <c r="A935" s="195"/>
      <c r="B935" s="195"/>
      <c r="C935" s="195"/>
      <c r="D935" s="195"/>
      <c r="E935" s="195"/>
      <c r="F935" s="195"/>
      <c r="G935" s="195"/>
      <c r="H935" s="195"/>
      <c r="I935" s="195"/>
      <c r="J935" s="195"/>
      <c r="K935" s="195"/>
      <c r="L935" s="195"/>
      <c r="M935" s="195"/>
      <c r="N935" s="195"/>
      <c r="O935" s="195"/>
      <c r="P935" s="195"/>
      <c r="Q935" s="195"/>
      <c r="R935" s="195"/>
      <c r="S935" s="195"/>
      <c r="T935" s="195"/>
      <c r="U935" s="195"/>
      <c r="V935" s="195"/>
      <c r="W935" s="198"/>
      <c r="X935" s="195"/>
      <c r="Y935" s="195"/>
      <c r="Z935" s="195"/>
      <c r="AA935" s="195"/>
      <c r="AB935" s="195"/>
      <c r="AC935" s="195"/>
      <c r="AD935" s="195"/>
      <c r="AE935" s="195"/>
      <c r="AF935" s="195"/>
      <c r="AG935" s="195"/>
      <c r="AH935" s="195"/>
      <c r="AI935" s="195"/>
      <c r="AJ935" s="195"/>
      <c r="AK935" s="195"/>
    </row>
    <row r="936">
      <c r="A936" s="195"/>
      <c r="B936" s="195"/>
      <c r="C936" s="195"/>
      <c r="D936" s="195"/>
      <c r="E936" s="195"/>
      <c r="F936" s="195"/>
      <c r="G936" s="195"/>
      <c r="H936" s="195"/>
      <c r="I936" s="195"/>
      <c r="J936" s="195"/>
      <c r="K936" s="195"/>
      <c r="L936" s="195"/>
      <c r="M936" s="195"/>
      <c r="N936" s="195"/>
      <c r="O936" s="195"/>
      <c r="P936" s="195"/>
      <c r="Q936" s="195"/>
      <c r="R936" s="195"/>
      <c r="S936" s="195"/>
      <c r="T936" s="195"/>
      <c r="U936" s="195"/>
      <c r="V936" s="195"/>
      <c r="W936" s="198"/>
      <c r="X936" s="195"/>
      <c r="Y936" s="195"/>
      <c r="Z936" s="195"/>
      <c r="AA936" s="195"/>
      <c r="AB936" s="195"/>
      <c r="AC936" s="195"/>
      <c r="AD936" s="195"/>
      <c r="AE936" s="195"/>
      <c r="AF936" s="195"/>
      <c r="AG936" s="195"/>
      <c r="AH936" s="195"/>
      <c r="AI936" s="195"/>
      <c r="AJ936" s="195"/>
      <c r="AK936" s="195"/>
    </row>
    <row r="937">
      <c r="A937" s="195"/>
      <c r="B937" s="195"/>
      <c r="C937" s="195"/>
      <c r="D937" s="195"/>
      <c r="E937" s="195"/>
      <c r="F937" s="195"/>
      <c r="G937" s="195"/>
      <c r="H937" s="195"/>
      <c r="I937" s="195"/>
      <c r="J937" s="195"/>
      <c r="K937" s="195"/>
      <c r="L937" s="195"/>
      <c r="M937" s="195"/>
      <c r="N937" s="195"/>
      <c r="O937" s="195"/>
      <c r="P937" s="195"/>
      <c r="Q937" s="195"/>
      <c r="R937" s="195"/>
      <c r="S937" s="195"/>
      <c r="T937" s="195"/>
      <c r="U937" s="195"/>
      <c r="V937" s="195"/>
      <c r="W937" s="198"/>
      <c r="X937" s="195"/>
      <c r="Y937" s="195"/>
      <c r="Z937" s="195"/>
      <c r="AA937" s="195"/>
      <c r="AB937" s="195"/>
      <c r="AC937" s="195"/>
      <c r="AD937" s="195"/>
      <c r="AE937" s="195"/>
      <c r="AF937" s="195"/>
      <c r="AG937" s="195"/>
      <c r="AH937" s="195"/>
      <c r="AI937" s="195"/>
      <c r="AJ937" s="195"/>
      <c r="AK937" s="195"/>
    </row>
    <row r="938">
      <c r="A938" s="195"/>
      <c r="B938" s="195"/>
      <c r="C938" s="195"/>
      <c r="D938" s="195"/>
      <c r="E938" s="195"/>
      <c r="F938" s="195"/>
      <c r="G938" s="195"/>
      <c r="H938" s="195"/>
      <c r="I938" s="195"/>
      <c r="J938" s="195"/>
      <c r="K938" s="195"/>
      <c r="L938" s="195"/>
      <c r="M938" s="195"/>
      <c r="N938" s="195"/>
      <c r="O938" s="195"/>
      <c r="P938" s="195"/>
      <c r="Q938" s="195"/>
      <c r="R938" s="195"/>
      <c r="S938" s="195"/>
      <c r="T938" s="195"/>
      <c r="U938" s="195"/>
      <c r="V938" s="195"/>
      <c r="W938" s="198"/>
      <c r="X938" s="195"/>
      <c r="Y938" s="195"/>
      <c r="Z938" s="195"/>
      <c r="AA938" s="195"/>
      <c r="AB938" s="195"/>
      <c r="AC938" s="195"/>
      <c r="AD938" s="195"/>
      <c r="AE938" s="195"/>
      <c r="AF938" s="195"/>
      <c r="AG938" s="195"/>
      <c r="AH938" s="195"/>
      <c r="AI938" s="195"/>
      <c r="AJ938" s="195"/>
      <c r="AK938" s="195"/>
    </row>
    <row r="939">
      <c r="A939" s="195"/>
      <c r="B939" s="195"/>
      <c r="C939" s="195"/>
      <c r="D939" s="195"/>
      <c r="E939" s="195"/>
      <c r="F939" s="195"/>
      <c r="G939" s="195"/>
      <c r="H939" s="195"/>
      <c r="I939" s="195"/>
      <c r="J939" s="195"/>
      <c r="K939" s="195"/>
      <c r="L939" s="195"/>
      <c r="M939" s="195"/>
      <c r="N939" s="195"/>
      <c r="O939" s="195"/>
      <c r="P939" s="195"/>
      <c r="Q939" s="195"/>
      <c r="R939" s="195"/>
      <c r="S939" s="195"/>
      <c r="T939" s="195"/>
      <c r="U939" s="195"/>
      <c r="V939" s="195"/>
      <c r="W939" s="198"/>
      <c r="X939" s="195"/>
      <c r="Y939" s="195"/>
      <c r="Z939" s="195"/>
      <c r="AA939" s="195"/>
      <c r="AB939" s="195"/>
      <c r="AC939" s="195"/>
      <c r="AD939" s="195"/>
      <c r="AE939" s="195"/>
      <c r="AF939" s="195"/>
      <c r="AG939" s="195"/>
      <c r="AH939" s="195"/>
      <c r="AI939" s="195"/>
      <c r="AJ939" s="195"/>
      <c r="AK939" s="195"/>
    </row>
    <row r="940">
      <c r="A940" s="195"/>
      <c r="B940" s="195"/>
      <c r="C940" s="195"/>
      <c r="D940" s="195"/>
      <c r="E940" s="195"/>
      <c r="F940" s="195"/>
      <c r="G940" s="195"/>
      <c r="H940" s="195"/>
      <c r="I940" s="195"/>
      <c r="J940" s="195"/>
      <c r="K940" s="195"/>
      <c r="L940" s="195"/>
      <c r="M940" s="195"/>
      <c r="N940" s="195"/>
      <c r="O940" s="195"/>
      <c r="P940" s="195"/>
      <c r="Q940" s="195"/>
      <c r="R940" s="195"/>
      <c r="S940" s="195"/>
      <c r="T940" s="195"/>
      <c r="U940" s="195"/>
      <c r="V940" s="195"/>
      <c r="W940" s="198"/>
      <c r="X940" s="195"/>
      <c r="Y940" s="195"/>
      <c r="Z940" s="195"/>
      <c r="AA940" s="195"/>
      <c r="AB940" s="195"/>
      <c r="AC940" s="195"/>
      <c r="AD940" s="195"/>
      <c r="AE940" s="195"/>
      <c r="AF940" s="195"/>
      <c r="AG940" s="195"/>
      <c r="AH940" s="195"/>
      <c r="AI940" s="195"/>
      <c r="AJ940" s="195"/>
      <c r="AK940" s="195"/>
    </row>
    <row r="941">
      <c r="A941" s="195"/>
      <c r="B941" s="195"/>
      <c r="C941" s="195"/>
      <c r="D941" s="195"/>
      <c r="E941" s="195"/>
      <c r="F941" s="195"/>
      <c r="G941" s="195"/>
      <c r="H941" s="195"/>
      <c r="I941" s="195"/>
      <c r="J941" s="195"/>
      <c r="K941" s="195"/>
      <c r="L941" s="195"/>
      <c r="M941" s="195"/>
      <c r="N941" s="195"/>
      <c r="O941" s="195"/>
      <c r="P941" s="195"/>
      <c r="Q941" s="195"/>
      <c r="R941" s="195"/>
      <c r="S941" s="195"/>
      <c r="T941" s="195"/>
      <c r="U941" s="195"/>
      <c r="V941" s="195"/>
      <c r="W941" s="198"/>
      <c r="X941" s="195"/>
      <c r="Y941" s="195"/>
      <c r="Z941" s="195"/>
      <c r="AA941" s="195"/>
      <c r="AB941" s="195"/>
      <c r="AC941" s="195"/>
      <c r="AD941" s="195"/>
      <c r="AE941" s="195"/>
      <c r="AF941" s="195"/>
      <c r="AG941" s="195"/>
      <c r="AH941" s="195"/>
      <c r="AI941" s="195"/>
      <c r="AJ941" s="195"/>
      <c r="AK941" s="195"/>
    </row>
    <row r="942">
      <c r="A942" s="195"/>
      <c r="B942" s="195"/>
      <c r="C942" s="195"/>
      <c r="D942" s="195"/>
      <c r="E942" s="195"/>
      <c r="F942" s="195"/>
      <c r="G942" s="195"/>
      <c r="H942" s="195"/>
      <c r="I942" s="195"/>
      <c r="J942" s="195"/>
      <c r="K942" s="195"/>
      <c r="L942" s="195"/>
      <c r="M942" s="195"/>
      <c r="N942" s="195"/>
      <c r="O942" s="195"/>
      <c r="P942" s="195"/>
      <c r="Q942" s="195"/>
      <c r="R942" s="195"/>
      <c r="S942" s="195"/>
      <c r="T942" s="195"/>
      <c r="U942" s="195"/>
      <c r="V942" s="195"/>
      <c r="W942" s="198"/>
      <c r="X942" s="195"/>
      <c r="Y942" s="195"/>
      <c r="Z942" s="195"/>
      <c r="AA942" s="195"/>
      <c r="AB942" s="195"/>
      <c r="AC942" s="195"/>
      <c r="AD942" s="195"/>
      <c r="AE942" s="195"/>
      <c r="AF942" s="195"/>
      <c r="AG942" s="195"/>
      <c r="AH942" s="195"/>
      <c r="AI942" s="195"/>
      <c r="AJ942" s="195"/>
      <c r="AK942" s="195"/>
    </row>
    <row r="943">
      <c r="A943" s="195"/>
      <c r="B943" s="195"/>
      <c r="C943" s="195"/>
      <c r="D943" s="195"/>
      <c r="E943" s="195"/>
      <c r="F943" s="195"/>
      <c r="G943" s="195"/>
      <c r="H943" s="195"/>
      <c r="I943" s="195"/>
      <c r="J943" s="195"/>
      <c r="K943" s="195"/>
      <c r="L943" s="195"/>
      <c r="M943" s="195"/>
      <c r="N943" s="195"/>
      <c r="O943" s="195"/>
      <c r="P943" s="195"/>
      <c r="Q943" s="195"/>
      <c r="R943" s="195"/>
      <c r="S943" s="195"/>
      <c r="T943" s="195"/>
      <c r="U943" s="195"/>
      <c r="V943" s="195"/>
      <c r="W943" s="198"/>
      <c r="X943" s="195"/>
      <c r="Y943" s="195"/>
      <c r="Z943" s="195"/>
      <c r="AA943" s="195"/>
      <c r="AB943" s="195"/>
      <c r="AC943" s="195"/>
      <c r="AD943" s="195"/>
      <c r="AE943" s="195"/>
      <c r="AF943" s="195"/>
      <c r="AG943" s="195"/>
      <c r="AH943" s="195"/>
      <c r="AI943" s="195"/>
      <c r="AJ943" s="195"/>
      <c r="AK943" s="195"/>
    </row>
    <row r="944">
      <c r="A944" s="195"/>
      <c r="B944" s="195"/>
      <c r="C944" s="195"/>
      <c r="D944" s="195"/>
      <c r="E944" s="195"/>
      <c r="F944" s="195"/>
      <c r="G944" s="195"/>
      <c r="H944" s="195"/>
      <c r="I944" s="195"/>
      <c r="J944" s="195"/>
      <c r="K944" s="195"/>
      <c r="L944" s="195"/>
      <c r="M944" s="195"/>
      <c r="N944" s="195"/>
      <c r="O944" s="195"/>
      <c r="P944" s="195"/>
      <c r="Q944" s="195"/>
      <c r="R944" s="195"/>
      <c r="S944" s="195"/>
      <c r="T944" s="195"/>
      <c r="U944" s="195"/>
      <c r="V944" s="195"/>
      <c r="W944" s="198"/>
      <c r="X944" s="195"/>
      <c r="Y944" s="195"/>
      <c r="Z944" s="195"/>
      <c r="AA944" s="195"/>
      <c r="AB944" s="195"/>
      <c r="AC944" s="195"/>
      <c r="AD944" s="195"/>
      <c r="AE944" s="195"/>
      <c r="AF944" s="195"/>
      <c r="AG944" s="195"/>
      <c r="AH944" s="195"/>
      <c r="AI944" s="195"/>
      <c r="AJ944" s="195"/>
      <c r="AK944" s="195"/>
    </row>
    <row r="945">
      <c r="A945" s="195"/>
      <c r="B945" s="195"/>
      <c r="C945" s="195"/>
      <c r="D945" s="195"/>
      <c r="E945" s="195"/>
      <c r="F945" s="195"/>
      <c r="G945" s="195"/>
      <c r="H945" s="195"/>
      <c r="I945" s="195"/>
      <c r="J945" s="195"/>
      <c r="K945" s="195"/>
      <c r="L945" s="195"/>
      <c r="M945" s="195"/>
      <c r="N945" s="195"/>
      <c r="O945" s="195"/>
      <c r="P945" s="195"/>
      <c r="Q945" s="195"/>
      <c r="R945" s="195"/>
      <c r="S945" s="195"/>
      <c r="T945" s="195"/>
      <c r="U945" s="195"/>
      <c r="V945" s="195"/>
      <c r="W945" s="198"/>
      <c r="X945" s="195"/>
      <c r="Y945" s="195"/>
      <c r="Z945" s="195"/>
      <c r="AA945" s="195"/>
      <c r="AB945" s="195"/>
      <c r="AC945" s="195"/>
      <c r="AD945" s="195"/>
      <c r="AE945" s="195"/>
      <c r="AF945" s="195"/>
      <c r="AG945" s="195"/>
      <c r="AH945" s="195"/>
      <c r="AI945" s="195"/>
      <c r="AJ945" s="195"/>
      <c r="AK945" s="195"/>
    </row>
    <row r="946">
      <c r="A946" s="195"/>
      <c r="B946" s="195"/>
      <c r="C946" s="195"/>
      <c r="D946" s="195"/>
      <c r="E946" s="195"/>
      <c r="F946" s="195"/>
      <c r="G946" s="195"/>
      <c r="H946" s="195"/>
      <c r="I946" s="195"/>
      <c r="J946" s="195"/>
      <c r="K946" s="195"/>
      <c r="L946" s="195"/>
      <c r="M946" s="195"/>
      <c r="N946" s="195"/>
      <c r="O946" s="195"/>
      <c r="P946" s="195"/>
      <c r="Q946" s="195"/>
      <c r="R946" s="195"/>
      <c r="S946" s="195"/>
      <c r="T946" s="195"/>
      <c r="U946" s="195"/>
      <c r="V946" s="195"/>
      <c r="W946" s="198"/>
      <c r="X946" s="195"/>
      <c r="Y946" s="195"/>
      <c r="Z946" s="195"/>
      <c r="AA946" s="195"/>
      <c r="AB946" s="195"/>
      <c r="AC946" s="195"/>
      <c r="AD946" s="195"/>
      <c r="AE946" s="195"/>
      <c r="AF946" s="195"/>
      <c r="AG946" s="195"/>
      <c r="AH946" s="195"/>
      <c r="AI946" s="195"/>
      <c r="AJ946" s="195"/>
      <c r="AK946" s="195"/>
    </row>
    <row r="947">
      <c r="A947" s="195"/>
      <c r="B947" s="195"/>
      <c r="C947" s="195"/>
      <c r="D947" s="195"/>
      <c r="E947" s="195"/>
      <c r="F947" s="195"/>
      <c r="G947" s="195"/>
      <c r="H947" s="195"/>
      <c r="I947" s="195"/>
      <c r="J947" s="195"/>
      <c r="K947" s="195"/>
      <c r="L947" s="195"/>
      <c r="M947" s="195"/>
      <c r="N947" s="195"/>
      <c r="O947" s="195"/>
      <c r="P947" s="195"/>
      <c r="Q947" s="195"/>
      <c r="R947" s="195"/>
      <c r="S947" s="195"/>
      <c r="T947" s="195"/>
      <c r="U947" s="195"/>
      <c r="V947" s="195"/>
      <c r="W947" s="198"/>
      <c r="X947" s="195"/>
      <c r="Y947" s="195"/>
      <c r="Z947" s="195"/>
      <c r="AA947" s="195"/>
      <c r="AB947" s="195"/>
      <c r="AC947" s="195"/>
      <c r="AD947" s="195"/>
      <c r="AE947" s="195"/>
      <c r="AF947" s="195"/>
      <c r="AG947" s="195"/>
      <c r="AH947" s="195"/>
      <c r="AI947" s="195"/>
      <c r="AJ947" s="195"/>
      <c r="AK947" s="195"/>
    </row>
    <row r="948">
      <c r="A948" s="195"/>
      <c r="B948" s="195"/>
      <c r="C948" s="195"/>
      <c r="D948" s="195"/>
      <c r="E948" s="195"/>
      <c r="F948" s="195"/>
      <c r="G948" s="195"/>
      <c r="H948" s="195"/>
      <c r="I948" s="195"/>
      <c r="J948" s="195"/>
      <c r="K948" s="195"/>
      <c r="L948" s="195"/>
      <c r="M948" s="195"/>
      <c r="N948" s="195"/>
      <c r="O948" s="195"/>
      <c r="P948" s="195"/>
      <c r="Q948" s="195"/>
      <c r="R948" s="195"/>
      <c r="S948" s="195"/>
      <c r="T948" s="195"/>
      <c r="U948" s="195"/>
      <c r="V948" s="195"/>
      <c r="W948" s="198"/>
      <c r="X948" s="195"/>
      <c r="Y948" s="195"/>
      <c r="Z948" s="195"/>
      <c r="AA948" s="195"/>
      <c r="AB948" s="195"/>
      <c r="AC948" s="195"/>
      <c r="AD948" s="195"/>
      <c r="AE948" s="195"/>
      <c r="AF948" s="195"/>
      <c r="AG948" s="195"/>
      <c r="AH948" s="195"/>
      <c r="AI948" s="195"/>
      <c r="AJ948" s="195"/>
      <c r="AK948" s="195"/>
    </row>
    <row r="949">
      <c r="A949" s="195"/>
      <c r="B949" s="195"/>
      <c r="C949" s="195"/>
      <c r="D949" s="195"/>
      <c r="E949" s="195"/>
      <c r="F949" s="195"/>
      <c r="G949" s="195"/>
      <c r="H949" s="195"/>
      <c r="I949" s="195"/>
      <c r="J949" s="195"/>
      <c r="K949" s="195"/>
      <c r="L949" s="195"/>
      <c r="M949" s="195"/>
      <c r="N949" s="195"/>
      <c r="O949" s="195"/>
      <c r="P949" s="195"/>
      <c r="Q949" s="195"/>
      <c r="R949" s="195"/>
      <c r="S949" s="195"/>
      <c r="T949" s="195"/>
      <c r="U949" s="195"/>
      <c r="V949" s="195"/>
      <c r="W949" s="198"/>
      <c r="X949" s="195"/>
      <c r="Y949" s="195"/>
      <c r="Z949" s="195"/>
      <c r="AA949" s="195"/>
      <c r="AB949" s="195"/>
      <c r="AC949" s="195"/>
      <c r="AD949" s="195"/>
      <c r="AE949" s="195"/>
      <c r="AF949" s="195"/>
      <c r="AG949" s="195"/>
      <c r="AH949" s="195"/>
      <c r="AI949" s="195"/>
      <c r="AJ949" s="195"/>
      <c r="AK949" s="195"/>
    </row>
    <row r="950">
      <c r="A950" s="195"/>
      <c r="B950" s="195"/>
      <c r="C950" s="195"/>
      <c r="D950" s="195"/>
      <c r="E950" s="195"/>
      <c r="F950" s="195"/>
      <c r="G950" s="195"/>
      <c r="H950" s="195"/>
      <c r="I950" s="195"/>
      <c r="J950" s="195"/>
      <c r="K950" s="195"/>
      <c r="L950" s="195"/>
      <c r="M950" s="195"/>
      <c r="N950" s="195"/>
      <c r="O950" s="195"/>
      <c r="P950" s="195"/>
      <c r="Q950" s="195"/>
      <c r="R950" s="195"/>
      <c r="S950" s="195"/>
      <c r="T950" s="195"/>
      <c r="U950" s="195"/>
      <c r="V950" s="195"/>
      <c r="W950" s="198"/>
      <c r="X950" s="195"/>
      <c r="Y950" s="195"/>
      <c r="Z950" s="195"/>
      <c r="AA950" s="195"/>
      <c r="AB950" s="195"/>
      <c r="AC950" s="195"/>
      <c r="AD950" s="195"/>
      <c r="AE950" s="195"/>
      <c r="AF950" s="195"/>
      <c r="AG950" s="195"/>
      <c r="AH950" s="195"/>
      <c r="AI950" s="195"/>
      <c r="AJ950" s="195"/>
      <c r="AK950" s="195"/>
    </row>
    <row r="951">
      <c r="A951" s="195"/>
      <c r="B951" s="195"/>
      <c r="C951" s="195"/>
      <c r="D951" s="195"/>
      <c r="E951" s="195"/>
      <c r="F951" s="195"/>
      <c r="G951" s="195"/>
      <c r="H951" s="195"/>
      <c r="I951" s="195"/>
      <c r="J951" s="195"/>
      <c r="K951" s="195"/>
      <c r="L951" s="195"/>
      <c r="M951" s="195"/>
      <c r="N951" s="195"/>
      <c r="O951" s="195"/>
      <c r="P951" s="195"/>
      <c r="Q951" s="195"/>
      <c r="R951" s="195"/>
      <c r="S951" s="195"/>
      <c r="T951" s="195"/>
      <c r="U951" s="195"/>
      <c r="V951" s="195"/>
      <c r="W951" s="198"/>
      <c r="X951" s="195"/>
      <c r="Y951" s="195"/>
      <c r="Z951" s="195"/>
      <c r="AA951" s="195"/>
      <c r="AB951" s="195"/>
      <c r="AC951" s="195"/>
      <c r="AD951" s="195"/>
      <c r="AE951" s="195"/>
      <c r="AF951" s="195"/>
      <c r="AG951" s="195"/>
      <c r="AH951" s="195"/>
      <c r="AI951" s="195"/>
      <c r="AJ951" s="195"/>
      <c r="AK951" s="195"/>
    </row>
    <row r="952">
      <c r="A952" s="195"/>
      <c r="B952" s="195"/>
      <c r="C952" s="195"/>
      <c r="D952" s="195"/>
      <c r="E952" s="195"/>
      <c r="F952" s="195"/>
      <c r="G952" s="195"/>
      <c r="H952" s="195"/>
      <c r="I952" s="195"/>
      <c r="J952" s="195"/>
      <c r="K952" s="195"/>
      <c r="L952" s="195"/>
      <c r="M952" s="195"/>
      <c r="N952" s="195"/>
      <c r="O952" s="195"/>
      <c r="P952" s="195"/>
      <c r="Q952" s="195"/>
      <c r="R952" s="195"/>
      <c r="S952" s="195"/>
      <c r="T952" s="195"/>
      <c r="U952" s="195"/>
      <c r="V952" s="195"/>
      <c r="W952" s="198"/>
      <c r="X952" s="195"/>
      <c r="Y952" s="195"/>
      <c r="Z952" s="195"/>
      <c r="AA952" s="195"/>
      <c r="AB952" s="195"/>
      <c r="AC952" s="195"/>
      <c r="AD952" s="195"/>
      <c r="AE952" s="195"/>
      <c r="AF952" s="195"/>
      <c r="AG952" s="195"/>
      <c r="AH952" s="195"/>
      <c r="AI952" s="195"/>
      <c r="AJ952" s="195"/>
      <c r="AK952" s="195"/>
    </row>
    <row r="953">
      <c r="A953" s="195"/>
      <c r="B953" s="195"/>
      <c r="C953" s="195"/>
      <c r="D953" s="195"/>
      <c r="E953" s="195"/>
      <c r="F953" s="195"/>
      <c r="G953" s="195"/>
      <c r="H953" s="195"/>
      <c r="I953" s="195"/>
      <c r="J953" s="195"/>
      <c r="K953" s="195"/>
      <c r="L953" s="195"/>
      <c r="M953" s="195"/>
      <c r="N953" s="195"/>
      <c r="O953" s="195"/>
      <c r="P953" s="195"/>
      <c r="Q953" s="195"/>
      <c r="R953" s="195"/>
      <c r="S953" s="195"/>
      <c r="T953" s="195"/>
      <c r="U953" s="195"/>
      <c r="V953" s="195"/>
      <c r="W953" s="198"/>
      <c r="X953" s="195"/>
      <c r="Y953" s="195"/>
      <c r="Z953" s="195"/>
      <c r="AA953" s="195"/>
      <c r="AB953" s="195"/>
      <c r="AC953" s="195"/>
      <c r="AD953" s="195"/>
      <c r="AE953" s="195"/>
      <c r="AF953" s="195"/>
      <c r="AG953" s="195"/>
      <c r="AH953" s="195"/>
      <c r="AI953" s="195"/>
      <c r="AJ953" s="195"/>
      <c r="AK953" s="195"/>
    </row>
    <row r="954">
      <c r="A954" s="195"/>
      <c r="B954" s="195"/>
      <c r="C954" s="195"/>
      <c r="D954" s="195"/>
      <c r="E954" s="195"/>
      <c r="F954" s="195"/>
      <c r="G954" s="195"/>
      <c r="H954" s="195"/>
      <c r="I954" s="195"/>
      <c r="J954" s="195"/>
      <c r="K954" s="195"/>
      <c r="L954" s="195"/>
      <c r="M954" s="195"/>
      <c r="N954" s="195"/>
      <c r="O954" s="195"/>
      <c r="P954" s="195"/>
      <c r="Q954" s="195"/>
      <c r="R954" s="195"/>
      <c r="S954" s="195"/>
      <c r="T954" s="195"/>
      <c r="U954" s="195"/>
      <c r="V954" s="195"/>
      <c r="W954" s="198"/>
      <c r="X954" s="195"/>
      <c r="Y954" s="195"/>
      <c r="Z954" s="195"/>
      <c r="AA954" s="195"/>
      <c r="AB954" s="195"/>
      <c r="AC954" s="195"/>
      <c r="AD954" s="195"/>
      <c r="AE954" s="195"/>
      <c r="AF954" s="195"/>
      <c r="AG954" s="195"/>
      <c r="AH954" s="195"/>
      <c r="AI954" s="195"/>
      <c r="AJ954" s="195"/>
      <c r="AK954" s="195"/>
    </row>
    <row r="955">
      <c r="A955" s="195"/>
      <c r="B955" s="195"/>
      <c r="C955" s="195"/>
      <c r="D955" s="195"/>
      <c r="E955" s="195"/>
      <c r="F955" s="195"/>
      <c r="G955" s="195"/>
      <c r="H955" s="195"/>
      <c r="I955" s="195"/>
      <c r="J955" s="195"/>
      <c r="K955" s="195"/>
      <c r="L955" s="195"/>
      <c r="M955" s="195"/>
      <c r="N955" s="195"/>
      <c r="O955" s="195"/>
      <c r="P955" s="195"/>
      <c r="Q955" s="195"/>
      <c r="R955" s="195"/>
      <c r="S955" s="195"/>
      <c r="T955" s="195"/>
      <c r="U955" s="195"/>
      <c r="V955" s="195"/>
      <c r="W955" s="198"/>
      <c r="X955" s="195"/>
      <c r="Y955" s="195"/>
      <c r="Z955" s="195"/>
      <c r="AA955" s="195"/>
      <c r="AB955" s="195"/>
      <c r="AC955" s="195"/>
      <c r="AD955" s="195"/>
      <c r="AE955" s="195"/>
      <c r="AF955" s="195"/>
      <c r="AG955" s="195"/>
      <c r="AH955" s="195"/>
      <c r="AI955" s="195"/>
      <c r="AJ955" s="195"/>
      <c r="AK955" s="195"/>
    </row>
    <row r="956">
      <c r="A956" s="195"/>
      <c r="B956" s="195"/>
      <c r="C956" s="195"/>
      <c r="D956" s="195"/>
      <c r="E956" s="195"/>
      <c r="F956" s="195"/>
      <c r="G956" s="195"/>
      <c r="H956" s="195"/>
      <c r="I956" s="195"/>
      <c r="J956" s="195"/>
      <c r="K956" s="195"/>
      <c r="L956" s="195"/>
      <c r="M956" s="195"/>
      <c r="N956" s="195"/>
      <c r="O956" s="195"/>
      <c r="P956" s="195"/>
      <c r="Q956" s="195"/>
      <c r="R956" s="195"/>
      <c r="S956" s="195"/>
      <c r="T956" s="195"/>
      <c r="U956" s="195"/>
      <c r="V956" s="195"/>
      <c r="W956" s="198"/>
      <c r="X956" s="195"/>
      <c r="Y956" s="195"/>
      <c r="Z956" s="195"/>
      <c r="AA956" s="195"/>
      <c r="AB956" s="195"/>
      <c r="AC956" s="195"/>
      <c r="AD956" s="195"/>
      <c r="AE956" s="195"/>
      <c r="AF956" s="195"/>
      <c r="AG956" s="195"/>
      <c r="AH956" s="195"/>
      <c r="AI956" s="195"/>
      <c r="AJ956" s="195"/>
      <c r="AK956" s="195"/>
    </row>
    <row r="957">
      <c r="A957" s="195"/>
      <c r="B957" s="195"/>
      <c r="C957" s="195"/>
      <c r="D957" s="195"/>
      <c r="E957" s="195"/>
      <c r="F957" s="195"/>
      <c r="G957" s="195"/>
      <c r="H957" s="195"/>
      <c r="I957" s="195"/>
      <c r="J957" s="195"/>
      <c r="K957" s="195"/>
      <c r="L957" s="195"/>
      <c r="M957" s="195"/>
      <c r="N957" s="195"/>
      <c r="O957" s="195"/>
      <c r="P957" s="195"/>
      <c r="Q957" s="195"/>
      <c r="R957" s="195"/>
      <c r="S957" s="195"/>
      <c r="T957" s="195"/>
      <c r="U957" s="195"/>
      <c r="V957" s="195"/>
      <c r="W957" s="198"/>
      <c r="X957" s="195"/>
      <c r="Y957" s="195"/>
      <c r="Z957" s="195"/>
      <c r="AA957" s="195"/>
      <c r="AB957" s="195"/>
      <c r="AC957" s="195"/>
      <c r="AD957" s="195"/>
      <c r="AE957" s="195"/>
      <c r="AF957" s="195"/>
      <c r="AG957" s="195"/>
      <c r="AH957" s="195"/>
      <c r="AI957" s="195"/>
      <c r="AJ957" s="195"/>
      <c r="AK957" s="195"/>
    </row>
    <row r="958">
      <c r="A958" s="195"/>
      <c r="B958" s="195"/>
      <c r="C958" s="195"/>
      <c r="D958" s="195"/>
      <c r="E958" s="195"/>
      <c r="F958" s="195"/>
      <c r="G958" s="195"/>
      <c r="H958" s="195"/>
      <c r="I958" s="195"/>
      <c r="J958" s="195"/>
      <c r="K958" s="195"/>
      <c r="L958" s="195"/>
      <c r="M958" s="195"/>
      <c r="N958" s="195"/>
      <c r="O958" s="195"/>
      <c r="P958" s="195"/>
      <c r="Q958" s="195"/>
      <c r="R958" s="195"/>
      <c r="S958" s="195"/>
      <c r="T958" s="195"/>
      <c r="U958" s="195"/>
      <c r="V958" s="195"/>
      <c r="W958" s="198"/>
      <c r="X958" s="195"/>
      <c r="Y958" s="195"/>
      <c r="Z958" s="195"/>
      <c r="AA958" s="195"/>
      <c r="AB958" s="195"/>
      <c r="AC958" s="195"/>
      <c r="AD958" s="195"/>
      <c r="AE958" s="195"/>
      <c r="AF958" s="195"/>
      <c r="AG958" s="195"/>
      <c r="AH958" s="195"/>
      <c r="AI958" s="195"/>
      <c r="AJ958" s="195"/>
      <c r="AK958" s="195"/>
    </row>
    <row r="959">
      <c r="A959" s="195"/>
      <c r="B959" s="195"/>
      <c r="C959" s="195"/>
      <c r="D959" s="195"/>
      <c r="E959" s="195"/>
      <c r="F959" s="195"/>
      <c r="G959" s="195"/>
      <c r="H959" s="195"/>
      <c r="I959" s="195"/>
      <c r="J959" s="195"/>
      <c r="K959" s="195"/>
      <c r="L959" s="195"/>
      <c r="M959" s="195"/>
      <c r="N959" s="195"/>
      <c r="O959" s="195"/>
      <c r="P959" s="195"/>
      <c r="Q959" s="195"/>
      <c r="R959" s="195"/>
      <c r="S959" s="195"/>
      <c r="T959" s="195"/>
      <c r="U959" s="195"/>
      <c r="V959" s="195"/>
      <c r="W959" s="198"/>
      <c r="X959" s="195"/>
      <c r="Y959" s="195"/>
      <c r="Z959" s="195"/>
      <c r="AA959" s="195"/>
      <c r="AB959" s="195"/>
      <c r="AC959" s="195"/>
      <c r="AD959" s="195"/>
      <c r="AE959" s="195"/>
      <c r="AF959" s="195"/>
      <c r="AG959" s="195"/>
      <c r="AH959" s="195"/>
      <c r="AI959" s="195"/>
      <c r="AJ959" s="195"/>
      <c r="AK959" s="195"/>
    </row>
    <row r="960">
      <c r="A960" s="195"/>
      <c r="B960" s="195"/>
      <c r="C960" s="195"/>
      <c r="D960" s="195"/>
      <c r="E960" s="195"/>
      <c r="F960" s="195"/>
      <c r="G960" s="195"/>
      <c r="H960" s="195"/>
      <c r="I960" s="195"/>
      <c r="J960" s="195"/>
      <c r="K960" s="195"/>
      <c r="L960" s="195"/>
      <c r="M960" s="195"/>
      <c r="N960" s="195"/>
      <c r="O960" s="195"/>
      <c r="P960" s="195"/>
      <c r="Q960" s="195"/>
      <c r="R960" s="195"/>
      <c r="S960" s="195"/>
      <c r="T960" s="195"/>
      <c r="U960" s="195"/>
      <c r="V960" s="195"/>
      <c r="W960" s="198"/>
      <c r="X960" s="195"/>
      <c r="Y960" s="195"/>
      <c r="Z960" s="195"/>
      <c r="AA960" s="195"/>
      <c r="AB960" s="195"/>
      <c r="AC960" s="195"/>
      <c r="AD960" s="195"/>
      <c r="AE960" s="195"/>
      <c r="AF960" s="195"/>
      <c r="AG960" s="195"/>
      <c r="AH960" s="195"/>
      <c r="AI960" s="195"/>
      <c r="AJ960" s="195"/>
      <c r="AK960" s="195"/>
    </row>
    <row r="961">
      <c r="A961" s="195"/>
      <c r="B961" s="195"/>
      <c r="C961" s="195"/>
      <c r="D961" s="195"/>
      <c r="E961" s="195"/>
      <c r="F961" s="195"/>
      <c r="G961" s="195"/>
      <c r="H961" s="195"/>
      <c r="I961" s="195"/>
      <c r="J961" s="195"/>
      <c r="K961" s="195"/>
      <c r="L961" s="195"/>
      <c r="M961" s="195"/>
      <c r="N961" s="195"/>
      <c r="O961" s="195"/>
      <c r="P961" s="195"/>
      <c r="Q961" s="195"/>
      <c r="R961" s="195"/>
      <c r="S961" s="195"/>
      <c r="T961" s="195"/>
      <c r="U961" s="195"/>
      <c r="V961" s="195"/>
      <c r="W961" s="198"/>
      <c r="X961" s="195"/>
      <c r="Y961" s="195"/>
      <c r="Z961" s="195"/>
      <c r="AA961" s="195"/>
      <c r="AB961" s="195"/>
      <c r="AC961" s="195"/>
      <c r="AD961" s="195"/>
      <c r="AE961" s="195"/>
      <c r="AF961" s="195"/>
      <c r="AG961" s="195"/>
      <c r="AH961" s="195"/>
      <c r="AI961" s="195"/>
      <c r="AJ961" s="195"/>
      <c r="AK961" s="195"/>
    </row>
    <row r="962">
      <c r="A962" s="195"/>
      <c r="B962" s="195"/>
      <c r="C962" s="195"/>
      <c r="D962" s="195"/>
      <c r="E962" s="195"/>
      <c r="F962" s="195"/>
      <c r="G962" s="195"/>
      <c r="H962" s="195"/>
      <c r="I962" s="195"/>
      <c r="J962" s="195"/>
      <c r="K962" s="195"/>
      <c r="L962" s="195"/>
      <c r="M962" s="195"/>
      <c r="N962" s="195"/>
      <c r="O962" s="195"/>
      <c r="P962" s="195"/>
      <c r="Q962" s="195"/>
      <c r="R962" s="195"/>
      <c r="S962" s="195"/>
      <c r="T962" s="195"/>
      <c r="U962" s="195"/>
      <c r="V962" s="195"/>
      <c r="W962" s="198"/>
      <c r="X962" s="195"/>
      <c r="Y962" s="195"/>
      <c r="Z962" s="195"/>
      <c r="AA962" s="195"/>
      <c r="AB962" s="195"/>
      <c r="AC962" s="195"/>
      <c r="AD962" s="195"/>
      <c r="AE962" s="195"/>
      <c r="AF962" s="195"/>
      <c r="AG962" s="195"/>
      <c r="AH962" s="195"/>
      <c r="AI962" s="195"/>
      <c r="AJ962" s="195"/>
      <c r="AK962" s="195"/>
    </row>
    <row r="963">
      <c r="A963" s="195"/>
      <c r="B963" s="195"/>
      <c r="C963" s="195"/>
      <c r="D963" s="195"/>
      <c r="E963" s="195"/>
      <c r="F963" s="195"/>
      <c r="G963" s="195"/>
      <c r="H963" s="195"/>
      <c r="I963" s="195"/>
      <c r="J963" s="195"/>
      <c r="K963" s="195"/>
      <c r="L963" s="195"/>
      <c r="M963" s="195"/>
      <c r="N963" s="195"/>
      <c r="O963" s="195"/>
      <c r="P963" s="195"/>
      <c r="Q963" s="195"/>
      <c r="R963" s="195"/>
      <c r="S963" s="195"/>
      <c r="T963" s="195"/>
      <c r="U963" s="195"/>
      <c r="V963" s="195"/>
      <c r="W963" s="198"/>
      <c r="X963" s="195"/>
      <c r="Y963" s="195"/>
      <c r="Z963" s="195"/>
      <c r="AA963" s="195"/>
      <c r="AB963" s="195"/>
      <c r="AC963" s="195"/>
      <c r="AD963" s="195"/>
      <c r="AE963" s="195"/>
      <c r="AF963" s="195"/>
      <c r="AG963" s="195"/>
      <c r="AH963" s="195"/>
      <c r="AI963" s="195"/>
      <c r="AJ963" s="195"/>
      <c r="AK963" s="195"/>
    </row>
    <row r="964">
      <c r="A964" s="195"/>
      <c r="B964" s="195"/>
      <c r="C964" s="195"/>
      <c r="D964" s="195"/>
      <c r="E964" s="195"/>
      <c r="F964" s="195"/>
      <c r="G964" s="195"/>
      <c r="H964" s="195"/>
      <c r="I964" s="195"/>
      <c r="J964" s="195"/>
      <c r="K964" s="195"/>
      <c r="L964" s="195"/>
      <c r="M964" s="195"/>
      <c r="N964" s="195"/>
      <c r="O964" s="195"/>
      <c r="P964" s="195"/>
      <c r="Q964" s="195"/>
      <c r="R964" s="195"/>
      <c r="S964" s="195"/>
      <c r="T964" s="195"/>
      <c r="U964" s="195"/>
      <c r="V964" s="195"/>
      <c r="W964" s="198"/>
      <c r="X964" s="195"/>
      <c r="Y964" s="195"/>
      <c r="Z964" s="195"/>
      <c r="AA964" s="195"/>
      <c r="AB964" s="195"/>
      <c r="AC964" s="195"/>
      <c r="AD964" s="195"/>
      <c r="AE964" s="195"/>
      <c r="AF964" s="195"/>
      <c r="AG964" s="195"/>
      <c r="AH964" s="195"/>
      <c r="AI964" s="195"/>
      <c r="AJ964" s="195"/>
      <c r="AK964" s="195"/>
    </row>
    <row r="965">
      <c r="A965" s="195"/>
      <c r="B965" s="195"/>
      <c r="C965" s="195"/>
      <c r="D965" s="195"/>
      <c r="E965" s="195"/>
      <c r="F965" s="195"/>
      <c r="G965" s="195"/>
      <c r="H965" s="195"/>
      <c r="I965" s="195"/>
      <c r="J965" s="195"/>
      <c r="K965" s="195"/>
      <c r="L965" s="195"/>
      <c r="M965" s="195"/>
      <c r="N965" s="195"/>
      <c r="O965" s="195"/>
      <c r="P965" s="195"/>
      <c r="Q965" s="195"/>
      <c r="R965" s="195"/>
      <c r="S965" s="195"/>
      <c r="T965" s="195"/>
      <c r="U965" s="195"/>
      <c r="V965" s="195"/>
      <c r="W965" s="198"/>
      <c r="X965" s="195"/>
      <c r="Y965" s="195"/>
      <c r="Z965" s="195"/>
      <c r="AA965" s="195"/>
      <c r="AB965" s="195"/>
      <c r="AC965" s="195"/>
      <c r="AD965" s="195"/>
      <c r="AE965" s="195"/>
      <c r="AF965" s="195"/>
      <c r="AG965" s="195"/>
      <c r="AH965" s="195"/>
      <c r="AI965" s="195"/>
      <c r="AJ965" s="195"/>
      <c r="AK965" s="195"/>
    </row>
    <row r="966">
      <c r="A966" s="195"/>
      <c r="B966" s="195"/>
      <c r="C966" s="195"/>
      <c r="D966" s="195"/>
      <c r="E966" s="195"/>
      <c r="F966" s="195"/>
      <c r="G966" s="195"/>
      <c r="H966" s="195"/>
      <c r="I966" s="195"/>
      <c r="J966" s="195"/>
      <c r="K966" s="195"/>
      <c r="L966" s="195"/>
      <c r="M966" s="195"/>
      <c r="N966" s="195"/>
      <c r="O966" s="195"/>
      <c r="P966" s="195"/>
      <c r="Q966" s="195"/>
      <c r="R966" s="195"/>
      <c r="S966" s="195"/>
      <c r="T966" s="195"/>
      <c r="U966" s="195"/>
      <c r="V966" s="195"/>
      <c r="W966" s="198"/>
      <c r="X966" s="195"/>
      <c r="Y966" s="195"/>
      <c r="Z966" s="195"/>
      <c r="AA966" s="195"/>
      <c r="AB966" s="195"/>
      <c r="AC966" s="195"/>
      <c r="AD966" s="195"/>
      <c r="AE966" s="195"/>
      <c r="AF966" s="195"/>
      <c r="AG966" s="195"/>
      <c r="AH966" s="195"/>
      <c r="AI966" s="195"/>
      <c r="AJ966" s="195"/>
      <c r="AK966" s="195"/>
    </row>
    <row r="967">
      <c r="A967" s="195"/>
      <c r="B967" s="195"/>
      <c r="C967" s="195"/>
      <c r="D967" s="195"/>
      <c r="E967" s="195"/>
      <c r="F967" s="195"/>
      <c r="G967" s="195"/>
      <c r="H967" s="195"/>
      <c r="I967" s="195"/>
      <c r="J967" s="195"/>
      <c r="K967" s="195"/>
      <c r="L967" s="195"/>
      <c r="M967" s="195"/>
      <c r="N967" s="195"/>
      <c r="O967" s="195"/>
      <c r="P967" s="195"/>
      <c r="Q967" s="195"/>
      <c r="R967" s="195"/>
      <c r="S967" s="195"/>
      <c r="T967" s="195"/>
      <c r="U967" s="195"/>
      <c r="V967" s="195"/>
      <c r="W967" s="198"/>
      <c r="X967" s="195"/>
      <c r="Y967" s="195"/>
      <c r="Z967" s="195"/>
      <c r="AA967" s="195"/>
      <c r="AB967" s="195"/>
      <c r="AC967" s="195"/>
      <c r="AD967" s="195"/>
      <c r="AE967" s="195"/>
      <c r="AF967" s="195"/>
      <c r="AG967" s="195"/>
      <c r="AH967" s="195"/>
      <c r="AI967" s="195"/>
      <c r="AJ967" s="195"/>
      <c r="AK967" s="195"/>
    </row>
    <row r="968">
      <c r="A968" s="195"/>
      <c r="B968" s="195"/>
      <c r="C968" s="195"/>
      <c r="D968" s="195"/>
      <c r="E968" s="195"/>
      <c r="F968" s="195"/>
      <c r="G968" s="195"/>
      <c r="H968" s="195"/>
      <c r="I968" s="195"/>
      <c r="J968" s="195"/>
      <c r="K968" s="195"/>
      <c r="L968" s="195"/>
      <c r="M968" s="195"/>
      <c r="N968" s="195"/>
      <c r="O968" s="195"/>
      <c r="P968" s="195"/>
      <c r="Q968" s="195"/>
      <c r="R968" s="195"/>
      <c r="S968" s="195"/>
      <c r="T968" s="195"/>
      <c r="U968" s="195"/>
      <c r="V968" s="195"/>
      <c r="W968" s="198"/>
      <c r="X968" s="195"/>
      <c r="Y968" s="195"/>
      <c r="Z968" s="195"/>
      <c r="AA968" s="195"/>
      <c r="AB968" s="195"/>
      <c r="AC968" s="195"/>
      <c r="AD968" s="195"/>
      <c r="AE968" s="195"/>
      <c r="AF968" s="195"/>
      <c r="AG968" s="195"/>
      <c r="AH968" s="195"/>
      <c r="AI968" s="195"/>
      <c r="AJ968" s="195"/>
      <c r="AK968" s="195"/>
    </row>
    <row r="969">
      <c r="A969" s="195"/>
      <c r="B969" s="195"/>
      <c r="C969" s="195"/>
      <c r="D969" s="195"/>
      <c r="E969" s="195"/>
      <c r="F969" s="195"/>
      <c r="G969" s="195"/>
      <c r="H969" s="195"/>
      <c r="I969" s="195"/>
      <c r="J969" s="195"/>
      <c r="K969" s="195"/>
      <c r="L969" s="195"/>
      <c r="M969" s="195"/>
      <c r="N969" s="195"/>
      <c r="O969" s="195"/>
      <c r="P969" s="195"/>
      <c r="Q969" s="195"/>
      <c r="R969" s="195"/>
      <c r="S969" s="195"/>
      <c r="T969" s="195"/>
      <c r="U969" s="195"/>
      <c r="V969" s="195"/>
      <c r="W969" s="198"/>
      <c r="X969" s="195"/>
      <c r="Y969" s="195"/>
      <c r="Z969" s="195"/>
      <c r="AA969" s="195"/>
      <c r="AB969" s="195"/>
      <c r="AC969" s="195"/>
      <c r="AD969" s="195"/>
      <c r="AE969" s="195"/>
      <c r="AF969" s="195"/>
      <c r="AG969" s="195"/>
      <c r="AH969" s="195"/>
      <c r="AI969" s="195"/>
      <c r="AJ969" s="195"/>
      <c r="AK969" s="195"/>
    </row>
    <row r="970">
      <c r="A970" s="195"/>
      <c r="B970" s="195"/>
      <c r="C970" s="195"/>
      <c r="D970" s="195"/>
      <c r="E970" s="195"/>
      <c r="F970" s="195"/>
      <c r="G970" s="195"/>
      <c r="H970" s="195"/>
      <c r="I970" s="195"/>
      <c r="J970" s="195"/>
      <c r="K970" s="195"/>
      <c r="L970" s="195"/>
      <c r="M970" s="195"/>
      <c r="N970" s="195"/>
      <c r="O970" s="195"/>
      <c r="P970" s="195"/>
      <c r="Q970" s="195"/>
      <c r="R970" s="195"/>
      <c r="S970" s="195"/>
      <c r="T970" s="195"/>
      <c r="U970" s="195"/>
      <c r="V970" s="195"/>
      <c r="W970" s="198"/>
      <c r="X970" s="195"/>
      <c r="Y970" s="195"/>
      <c r="Z970" s="195"/>
      <c r="AA970" s="195"/>
      <c r="AB970" s="195"/>
      <c r="AC970" s="195"/>
      <c r="AD970" s="195"/>
      <c r="AE970" s="195"/>
      <c r="AF970" s="195"/>
      <c r="AG970" s="195"/>
      <c r="AH970" s="195"/>
      <c r="AI970" s="195"/>
      <c r="AJ970" s="195"/>
      <c r="AK970" s="195"/>
    </row>
    <row r="971">
      <c r="A971" s="195"/>
      <c r="B971" s="195"/>
      <c r="C971" s="195"/>
      <c r="D971" s="195"/>
      <c r="E971" s="195"/>
      <c r="F971" s="195"/>
      <c r="G971" s="195"/>
      <c r="H971" s="195"/>
      <c r="I971" s="195"/>
      <c r="J971" s="195"/>
      <c r="K971" s="195"/>
      <c r="L971" s="195"/>
      <c r="M971" s="195"/>
      <c r="N971" s="195"/>
      <c r="O971" s="195"/>
      <c r="P971" s="195"/>
      <c r="Q971" s="195"/>
      <c r="R971" s="195"/>
      <c r="S971" s="195"/>
      <c r="T971" s="195"/>
      <c r="U971" s="195"/>
      <c r="V971" s="195"/>
      <c r="W971" s="198"/>
      <c r="X971" s="195"/>
      <c r="Y971" s="195"/>
      <c r="Z971" s="195"/>
      <c r="AA971" s="195"/>
      <c r="AB971" s="195"/>
      <c r="AC971" s="195"/>
      <c r="AD971" s="195"/>
      <c r="AE971" s="195"/>
      <c r="AF971" s="195"/>
      <c r="AG971" s="195"/>
      <c r="AH971" s="195"/>
      <c r="AI971" s="195"/>
      <c r="AJ971" s="195"/>
      <c r="AK971" s="195"/>
    </row>
    <row r="972">
      <c r="A972" s="195"/>
      <c r="B972" s="195"/>
      <c r="C972" s="195"/>
      <c r="D972" s="195"/>
      <c r="E972" s="195"/>
      <c r="F972" s="195"/>
      <c r="G972" s="195"/>
      <c r="H972" s="195"/>
      <c r="I972" s="195"/>
      <c r="J972" s="195"/>
      <c r="K972" s="195"/>
      <c r="L972" s="195"/>
      <c r="M972" s="195"/>
      <c r="N972" s="195"/>
      <c r="O972" s="195"/>
      <c r="P972" s="195"/>
      <c r="Q972" s="195"/>
      <c r="R972" s="195"/>
      <c r="S972" s="195"/>
      <c r="T972" s="195"/>
      <c r="U972" s="195"/>
      <c r="V972" s="195"/>
      <c r="W972" s="198"/>
      <c r="X972" s="195"/>
      <c r="Y972" s="195"/>
      <c r="Z972" s="195"/>
      <c r="AA972" s="195"/>
      <c r="AB972" s="195"/>
      <c r="AC972" s="195"/>
      <c r="AD972" s="195"/>
      <c r="AE972" s="195"/>
      <c r="AF972" s="195"/>
      <c r="AG972" s="195"/>
      <c r="AH972" s="195"/>
      <c r="AI972" s="195"/>
      <c r="AJ972" s="195"/>
      <c r="AK972" s="195"/>
    </row>
    <row r="973">
      <c r="A973" s="195"/>
      <c r="B973" s="195"/>
      <c r="C973" s="195"/>
      <c r="D973" s="195"/>
      <c r="E973" s="195"/>
      <c r="F973" s="195"/>
      <c r="G973" s="195"/>
      <c r="H973" s="195"/>
      <c r="I973" s="195"/>
      <c r="J973" s="195"/>
      <c r="K973" s="195"/>
      <c r="L973" s="195"/>
      <c r="M973" s="195"/>
      <c r="N973" s="195"/>
      <c r="O973" s="195"/>
      <c r="P973" s="195"/>
      <c r="Q973" s="195"/>
      <c r="R973" s="195"/>
      <c r="S973" s="195"/>
      <c r="T973" s="195"/>
      <c r="U973" s="195"/>
      <c r="V973" s="195"/>
      <c r="W973" s="198"/>
      <c r="X973" s="195"/>
      <c r="Y973" s="195"/>
      <c r="Z973" s="195"/>
      <c r="AA973" s="195"/>
      <c r="AB973" s="195"/>
      <c r="AC973" s="195"/>
      <c r="AD973" s="195"/>
      <c r="AE973" s="195"/>
      <c r="AF973" s="195"/>
      <c r="AG973" s="195"/>
      <c r="AH973" s="195"/>
      <c r="AI973" s="195"/>
      <c r="AJ973" s="195"/>
      <c r="AK973" s="195"/>
    </row>
    <row r="974">
      <c r="A974" s="195"/>
      <c r="B974" s="195"/>
      <c r="C974" s="195"/>
      <c r="D974" s="195"/>
      <c r="E974" s="195"/>
      <c r="F974" s="195"/>
      <c r="G974" s="195"/>
      <c r="H974" s="195"/>
      <c r="I974" s="195"/>
      <c r="J974" s="195"/>
      <c r="K974" s="195"/>
      <c r="L974" s="195"/>
      <c r="M974" s="195"/>
      <c r="N974" s="195"/>
      <c r="O974" s="195"/>
      <c r="P974" s="195"/>
      <c r="Q974" s="195"/>
      <c r="R974" s="195"/>
      <c r="S974" s="195"/>
      <c r="T974" s="195"/>
      <c r="U974" s="195"/>
      <c r="V974" s="195"/>
      <c r="W974" s="198"/>
      <c r="X974" s="195"/>
      <c r="Y974" s="195"/>
      <c r="Z974" s="195"/>
      <c r="AA974" s="195"/>
      <c r="AB974" s="195"/>
      <c r="AC974" s="195"/>
      <c r="AD974" s="195"/>
      <c r="AE974" s="195"/>
      <c r="AF974" s="195"/>
      <c r="AG974" s="195"/>
      <c r="AH974" s="195"/>
      <c r="AI974" s="195"/>
      <c r="AJ974" s="195"/>
      <c r="AK974" s="195"/>
    </row>
    <row r="975">
      <c r="A975" s="195"/>
      <c r="B975" s="195"/>
      <c r="C975" s="195"/>
      <c r="D975" s="195"/>
      <c r="E975" s="195"/>
      <c r="F975" s="195"/>
      <c r="G975" s="195"/>
      <c r="H975" s="195"/>
      <c r="I975" s="195"/>
      <c r="J975" s="195"/>
      <c r="K975" s="195"/>
      <c r="L975" s="195"/>
      <c r="M975" s="195"/>
      <c r="N975" s="195"/>
      <c r="O975" s="195"/>
      <c r="P975" s="195"/>
      <c r="Q975" s="195"/>
      <c r="R975" s="195"/>
      <c r="S975" s="195"/>
      <c r="T975" s="195"/>
      <c r="U975" s="195"/>
      <c r="V975" s="195"/>
      <c r="W975" s="198"/>
      <c r="X975" s="195"/>
      <c r="Y975" s="195"/>
      <c r="Z975" s="195"/>
      <c r="AA975" s="195"/>
      <c r="AB975" s="195"/>
      <c r="AC975" s="195"/>
      <c r="AD975" s="195"/>
      <c r="AE975" s="195"/>
      <c r="AF975" s="195"/>
      <c r="AG975" s="195"/>
      <c r="AH975" s="195"/>
      <c r="AI975" s="195"/>
      <c r="AJ975" s="195"/>
      <c r="AK975" s="195"/>
    </row>
    <row r="976">
      <c r="A976" s="195"/>
      <c r="B976" s="195"/>
      <c r="C976" s="195"/>
      <c r="D976" s="195"/>
      <c r="E976" s="195"/>
      <c r="F976" s="195"/>
      <c r="G976" s="195"/>
      <c r="H976" s="195"/>
      <c r="I976" s="195"/>
      <c r="J976" s="195"/>
      <c r="K976" s="195"/>
      <c r="L976" s="195"/>
      <c r="M976" s="195"/>
      <c r="N976" s="195"/>
      <c r="O976" s="195"/>
      <c r="P976" s="195"/>
      <c r="Q976" s="195"/>
      <c r="R976" s="195"/>
      <c r="S976" s="195"/>
      <c r="T976" s="195"/>
      <c r="U976" s="195"/>
      <c r="V976" s="195"/>
      <c r="W976" s="198"/>
      <c r="X976" s="195"/>
      <c r="Y976" s="195"/>
      <c r="Z976" s="195"/>
      <c r="AA976" s="195"/>
      <c r="AB976" s="195"/>
      <c r="AC976" s="195"/>
      <c r="AD976" s="195"/>
      <c r="AE976" s="195"/>
      <c r="AF976" s="195"/>
      <c r="AG976" s="195"/>
      <c r="AH976" s="195"/>
      <c r="AI976" s="195"/>
      <c r="AJ976" s="195"/>
      <c r="AK976" s="195"/>
    </row>
    <row r="977">
      <c r="A977" s="195"/>
      <c r="B977" s="195"/>
      <c r="C977" s="195"/>
      <c r="D977" s="195"/>
      <c r="E977" s="195"/>
      <c r="F977" s="195"/>
      <c r="G977" s="195"/>
      <c r="H977" s="195"/>
      <c r="I977" s="195"/>
      <c r="J977" s="195"/>
      <c r="K977" s="195"/>
      <c r="L977" s="195"/>
      <c r="M977" s="195"/>
      <c r="N977" s="195"/>
      <c r="O977" s="195"/>
      <c r="P977" s="195"/>
      <c r="Q977" s="195"/>
      <c r="R977" s="195"/>
      <c r="S977" s="195"/>
      <c r="T977" s="195"/>
      <c r="U977" s="195"/>
      <c r="V977" s="195"/>
      <c r="W977" s="198"/>
      <c r="X977" s="195"/>
      <c r="Y977" s="195"/>
      <c r="Z977" s="195"/>
      <c r="AA977" s="195"/>
      <c r="AB977" s="195"/>
      <c r="AC977" s="195"/>
      <c r="AD977" s="195"/>
      <c r="AE977" s="195"/>
      <c r="AF977" s="195"/>
      <c r="AG977" s="195"/>
      <c r="AH977" s="195"/>
      <c r="AI977" s="195"/>
      <c r="AJ977" s="195"/>
      <c r="AK977" s="195"/>
    </row>
    <row r="978">
      <c r="A978" s="195"/>
      <c r="B978" s="195"/>
      <c r="C978" s="195"/>
      <c r="D978" s="195"/>
      <c r="E978" s="195"/>
      <c r="F978" s="195"/>
      <c r="G978" s="195"/>
      <c r="H978" s="195"/>
      <c r="I978" s="195"/>
      <c r="J978" s="195"/>
      <c r="K978" s="195"/>
      <c r="L978" s="195"/>
      <c r="M978" s="195"/>
      <c r="N978" s="195"/>
      <c r="O978" s="195"/>
      <c r="P978" s="195"/>
      <c r="Q978" s="195"/>
      <c r="R978" s="195"/>
      <c r="S978" s="195"/>
      <c r="T978" s="195"/>
      <c r="U978" s="195"/>
      <c r="V978" s="195"/>
      <c r="W978" s="198"/>
      <c r="X978" s="195"/>
      <c r="Y978" s="195"/>
      <c r="Z978" s="195"/>
      <c r="AA978" s="195"/>
      <c r="AB978" s="195"/>
      <c r="AC978" s="195"/>
      <c r="AD978" s="195"/>
      <c r="AE978" s="195"/>
      <c r="AF978" s="195"/>
      <c r="AG978" s="195"/>
      <c r="AH978" s="195"/>
      <c r="AI978" s="195"/>
      <c r="AJ978" s="195"/>
      <c r="AK978" s="195"/>
    </row>
    <row r="979">
      <c r="A979" s="195"/>
      <c r="B979" s="195"/>
      <c r="C979" s="195"/>
      <c r="D979" s="195"/>
      <c r="E979" s="195"/>
      <c r="F979" s="195"/>
      <c r="G979" s="195"/>
      <c r="H979" s="195"/>
      <c r="I979" s="195"/>
      <c r="J979" s="195"/>
      <c r="K979" s="195"/>
      <c r="L979" s="195"/>
      <c r="M979" s="195"/>
      <c r="N979" s="195"/>
      <c r="O979" s="195"/>
      <c r="P979" s="195"/>
      <c r="Q979" s="195"/>
      <c r="R979" s="195"/>
      <c r="S979" s="195"/>
      <c r="T979" s="195"/>
      <c r="U979" s="195"/>
      <c r="V979" s="195"/>
      <c r="W979" s="198"/>
      <c r="X979" s="195"/>
      <c r="Y979" s="195"/>
      <c r="Z979" s="195"/>
      <c r="AA979" s="195"/>
      <c r="AB979" s="195"/>
      <c r="AC979" s="195"/>
      <c r="AD979" s="195"/>
      <c r="AE979" s="195"/>
      <c r="AF979" s="195"/>
      <c r="AG979" s="195"/>
      <c r="AH979" s="195"/>
      <c r="AI979" s="195"/>
      <c r="AJ979" s="195"/>
      <c r="AK979" s="195"/>
    </row>
    <row r="980">
      <c r="A980" s="195"/>
      <c r="B980" s="195"/>
      <c r="C980" s="195"/>
      <c r="D980" s="195"/>
      <c r="E980" s="195"/>
      <c r="F980" s="195"/>
      <c r="G980" s="195"/>
      <c r="H980" s="195"/>
      <c r="I980" s="195"/>
      <c r="J980" s="195"/>
      <c r="K980" s="195"/>
      <c r="L980" s="195"/>
      <c r="M980" s="195"/>
      <c r="N980" s="195"/>
      <c r="O980" s="195"/>
      <c r="P980" s="195"/>
      <c r="Q980" s="195"/>
      <c r="R980" s="195"/>
      <c r="S980" s="195"/>
      <c r="T980" s="195"/>
      <c r="U980" s="195"/>
      <c r="V980" s="195"/>
      <c r="W980" s="198"/>
      <c r="X980" s="195"/>
      <c r="Y980" s="195"/>
      <c r="Z980" s="195"/>
      <c r="AA980" s="195"/>
      <c r="AB980" s="195"/>
      <c r="AC980" s="195"/>
      <c r="AD980" s="195"/>
      <c r="AE980" s="195"/>
      <c r="AF980" s="195"/>
      <c r="AG980" s="195"/>
      <c r="AH980" s="195"/>
      <c r="AI980" s="195"/>
      <c r="AJ980" s="195"/>
      <c r="AK980" s="195"/>
    </row>
    <row r="981">
      <c r="A981" s="195"/>
      <c r="B981" s="195"/>
      <c r="C981" s="195"/>
      <c r="D981" s="195"/>
      <c r="E981" s="195"/>
      <c r="F981" s="195"/>
      <c r="G981" s="195"/>
      <c r="H981" s="195"/>
      <c r="I981" s="195"/>
      <c r="J981" s="195"/>
      <c r="K981" s="195"/>
      <c r="L981" s="195"/>
      <c r="M981" s="195"/>
      <c r="N981" s="195"/>
      <c r="O981" s="195"/>
      <c r="P981" s="195"/>
      <c r="Q981" s="195"/>
      <c r="R981" s="195"/>
      <c r="S981" s="195"/>
      <c r="T981" s="195"/>
      <c r="U981" s="195"/>
      <c r="V981" s="195"/>
      <c r="W981" s="198"/>
      <c r="X981" s="195"/>
      <c r="Y981" s="195"/>
      <c r="Z981" s="195"/>
      <c r="AA981" s="195"/>
      <c r="AB981" s="195"/>
      <c r="AC981" s="195"/>
      <c r="AD981" s="195"/>
      <c r="AE981" s="195"/>
      <c r="AF981" s="195"/>
      <c r="AG981" s="195"/>
      <c r="AH981" s="195"/>
      <c r="AI981" s="195"/>
      <c r="AJ981" s="195"/>
      <c r="AK981" s="195"/>
    </row>
    <row r="982">
      <c r="A982" s="195"/>
      <c r="B982" s="195"/>
      <c r="C982" s="195"/>
      <c r="D982" s="195"/>
      <c r="E982" s="195"/>
      <c r="F982" s="195"/>
      <c r="G982" s="195"/>
      <c r="H982" s="195"/>
      <c r="I982" s="195"/>
      <c r="J982" s="195"/>
      <c r="K982" s="195"/>
      <c r="L982" s="195"/>
      <c r="M982" s="195"/>
      <c r="N982" s="195"/>
      <c r="O982" s="195"/>
      <c r="P982" s="195"/>
      <c r="Q982" s="195"/>
      <c r="R982" s="195"/>
      <c r="S982" s="195"/>
      <c r="T982" s="195"/>
      <c r="U982" s="195"/>
      <c r="V982" s="195"/>
      <c r="W982" s="198"/>
      <c r="X982" s="195"/>
      <c r="Y982" s="195"/>
      <c r="Z982" s="195"/>
      <c r="AA982" s="195"/>
      <c r="AB982" s="195"/>
      <c r="AC982" s="195"/>
      <c r="AD982" s="195"/>
      <c r="AE982" s="195"/>
      <c r="AF982" s="195"/>
      <c r="AG982" s="195"/>
      <c r="AH982" s="195"/>
      <c r="AI982" s="195"/>
      <c r="AJ982" s="195"/>
      <c r="AK982" s="195"/>
    </row>
    <row r="983">
      <c r="A983" s="195"/>
      <c r="B983" s="195"/>
      <c r="C983" s="195"/>
      <c r="D983" s="195"/>
      <c r="E983" s="195"/>
      <c r="F983" s="195"/>
      <c r="G983" s="195"/>
      <c r="H983" s="195"/>
      <c r="I983" s="195"/>
      <c r="J983" s="195"/>
      <c r="K983" s="195"/>
      <c r="L983" s="195"/>
      <c r="M983" s="195"/>
      <c r="N983" s="195"/>
      <c r="O983" s="195"/>
      <c r="P983" s="195"/>
      <c r="Q983" s="195"/>
      <c r="R983" s="195"/>
      <c r="S983" s="195"/>
      <c r="T983" s="195"/>
      <c r="U983" s="195"/>
      <c r="V983" s="195"/>
      <c r="W983" s="198"/>
      <c r="X983" s="195"/>
      <c r="Y983" s="195"/>
      <c r="Z983" s="195"/>
      <c r="AA983" s="195"/>
      <c r="AB983" s="195"/>
      <c r="AC983" s="195"/>
      <c r="AD983" s="195"/>
      <c r="AE983" s="195"/>
      <c r="AF983" s="195"/>
      <c r="AG983" s="195"/>
      <c r="AH983" s="195"/>
      <c r="AI983" s="195"/>
      <c r="AJ983" s="195"/>
      <c r="AK983" s="195"/>
    </row>
    <row r="984">
      <c r="A984" s="195"/>
      <c r="B984" s="195"/>
      <c r="C984" s="195"/>
      <c r="D984" s="195"/>
      <c r="E984" s="195"/>
      <c r="F984" s="195"/>
      <c r="G984" s="195"/>
      <c r="H984" s="195"/>
      <c r="I984" s="195"/>
      <c r="J984" s="195"/>
      <c r="K984" s="195"/>
      <c r="L984" s="195"/>
      <c r="M984" s="195"/>
      <c r="N984" s="195"/>
      <c r="O984" s="195"/>
      <c r="P984" s="195"/>
      <c r="Q984" s="195"/>
      <c r="R984" s="195"/>
      <c r="S984" s="195"/>
      <c r="T984" s="195"/>
      <c r="U984" s="195"/>
      <c r="V984" s="195"/>
      <c r="W984" s="198"/>
      <c r="X984" s="195"/>
      <c r="Y984" s="195"/>
      <c r="Z984" s="195"/>
      <c r="AA984" s="195"/>
      <c r="AB984" s="195"/>
      <c r="AC984" s="195"/>
      <c r="AD984" s="195"/>
      <c r="AE984" s="195"/>
      <c r="AF984" s="195"/>
      <c r="AG984" s="195"/>
      <c r="AH984" s="195"/>
      <c r="AI984" s="195"/>
      <c r="AJ984" s="195"/>
      <c r="AK984" s="195"/>
    </row>
    <row r="985">
      <c r="A985" s="195"/>
      <c r="B985" s="195"/>
      <c r="C985" s="195"/>
      <c r="D985" s="195"/>
      <c r="E985" s="195"/>
      <c r="F985" s="195"/>
      <c r="G985" s="195"/>
      <c r="H985" s="195"/>
      <c r="I985" s="195"/>
      <c r="J985" s="195"/>
      <c r="K985" s="195"/>
      <c r="L985" s="195"/>
      <c r="M985" s="195"/>
      <c r="N985" s="195"/>
      <c r="O985" s="195"/>
      <c r="P985" s="195"/>
      <c r="Q985" s="195"/>
      <c r="R985" s="195"/>
      <c r="S985" s="195"/>
      <c r="T985" s="195"/>
      <c r="U985" s="195"/>
      <c r="V985" s="195"/>
      <c r="W985" s="198"/>
      <c r="X985" s="195"/>
      <c r="Y985" s="195"/>
      <c r="Z985" s="195"/>
      <c r="AA985" s="195"/>
      <c r="AB985" s="195"/>
      <c r="AC985" s="195"/>
      <c r="AD985" s="195"/>
      <c r="AE985" s="195"/>
      <c r="AF985" s="195"/>
      <c r="AG985" s="195"/>
      <c r="AH985" s="195"/>
      <c r="AI985" s="195"/>
      <c r="AJ985" s="195"/>
      <c r="AK985" s="195"/>
    </row>
    <row r="986">
      <c r="A986" s="195"/>
      <c r="B986" s="195"/>
      <c r="C986" s="195"/>
      <c r="D986" s="195"/>
      <c r="E986" s="195"/>
      <c r="F986" s="195"/>
      <c r="G986" s="195"/>
      <c r="H986" s="195"/>
      <c r="I986" s="195"/>
      <c r="J986" s="195"/>
      <c r="K986" s="195"/>
      <c r="L986" s="195"/>
      <c r="M986" s="195"/>
      <c r="N986" s="195"/>
      <c r="O986" s="195"/>
      <c r="P986" s="195"/>
      <c r="Q986" s="195"/>
      <c r="R986" s="195"/>
      <c r="S986" s="195"/>
      <c r="T986" s="195"/>
      <c r="U986" s="195"/>
      <c r="V986" s="195"/>
      <c r="W986" s="198"/>
      <c r="X986" s="195"/>
      <c r="Y986" s="195"/>
      <c r="Z986" s="195"/>
      <c r="AA986" s="195"/>
      <c r="AB986" s="195"/>
      <c r="AC986" s="195"/>
      <c r="AD986" s="195"/>
      <c r="AE986" s="195"/>
      <c r="AF986" s="195"/>
      <c r="AG986" s="195"/>
      <c r="AH986" s="195"/>
      <c r="AI986" s="195"/>
      <c r="AJ986" s="195"/>
      <c r="AK986" s="195"/>
    </row>
    <row r="987">
      <c r="A987" s="195"/>
      <c r="B987" s="195"/>
      <c r="C987" s="195"/>
      <c r="D987" s="195"/>
      <c r="E987" s="195"/>
      <c r="F987" s="195"/>
      <c r="G987" s="195"/>
      <c r="H987" s="195"/>
      <c r="I987" s="195"/>
      <c r="J987" s="195"/>
      <c r="K987" s="195"/>
      <c r="L987" s="195"/>
      <c r="M987" s="195"/>
      <c r="N987" s="195"/>
      <c r="O987" s="195"/>
      <c r="P987" s="195"/>
      <c r="Q987" s="195"/>
      <c r="R987" s="195"/>
      <c r="S987" s="195"/>
      <c r="T987" s="195"/>
      <c r="U987" s="195"/>
      <c r="V987" s="195"/>
      <c r="W987" s="198"/>
      <c r="X987" s="195"/>
      <c r="Y987" s="195"/>
      <c r="Z987" s="195"/>
      <c r="AA987" s="195"/>
      <c r="AB987" s="195"/>
      <c r="AC987" s="195"/>
      <c r="AD987" s="195"/>
      <c r="AE987" s="195"/>
      <c r="AF987" s="195"/>
      <c r="AG987" s="195"/>
      <c r="AH987" s="195"/>
      <c r="AI987" s="195"/>
      <c r="AJ987" s="195"/>
      <c r="AK987" s="195"/>
    </row>
    <row r="988">
      <c r="A988" s="195"/>
      <c r="B988" s="195"/>
      <c r="C988" s="195"/>
      <c r="D988" s="195"/>
      <c r="E988" s="195"/>
      <c r="F988" s="195"/>
      <c r="G988" s="195"/>
      <c r="H988" s="195"/>
      <c r="I988" s="195"/>
      <c r="J988" s="195"/>
      <c r="K988" s="195"/>
      <c r="L988" s="195"/>
      <c r="M988" s="195"/>
      <c r="N988" s="195"/>
      <c r="O988" s="195"/>
      <c r="P988" s="195"/>
      <c r="Q988" s="195"/>
      <c r="R988" s="195"/>
      <c r="S988" s="195"/>
      <c r="T988" s="195"/>
      <c r="U988" s="195"/>
      <c r="V988" s="195"/>
      <c r="W988" s="198"/>
      <c r="X988" s="195"/>
      <c r="Y988" s="195"/>
      <c r="Z988" s="195"/>
      <c r="AA988" s="195"/>
      <c r="AB988" s="195"/>
      <c r="AC988" s="195"/>
      <c r="AD988" s="195"/>
      <c r="AE988" s="195"/>
      <c r="AF988" s="195"/>
      <c r="AG988" s="195"/>
      <c r="AH988" s="195"/>
      <c r="AI988" s="195"/>
      <c r="AJ988" s="195"/>
      <c r="AK988" s="195"/>
    </row>
    <row r="989">
      <c r="A989" s="195"/>
      <c r="B989" s="195"/>
      <c r="C989" s="195"/>
      <c r="D989" s="195"/>
      <c r="E989" s="195"/>
      <c r="F989" s="195"/>
      <c r="G989" s="195"/>
      <c r="H989" s="195"/>
      <c r="I989" s="195"/>
      <c r="J989" s="195"/>
      <c r="K989" s="195"/>
      <c r="L989" s="195"/>
      <c r="M989" s="195"/>
      <c r="N989" s="195"/>
      <c r="O989" s="195"/>
      <c r="P989" s="195"/>
      <c r="Q989" s="195"/>
      <c r="R989" s="195"/>
      <c r="S989" s="195"/>
      <c r="T989" s="195"/>
      <c r="U989" s="195"/>
      <c r="V989" s="195"/>
      <c r="W989" s="198"/>
      <c r="X989" s="195"/>
      <c r="Y989" s="195"/>
      <c r="Z989" s="195"/>
      <c r="AA989" s="195"/>
      <c r="AB989" s="195"/>
      <c r="AC989" s="195"/>
      <c r="AD989" s="195"/>
      <c r="AE989" s="195"/>
      <c r="AF989" s="195"/>
      <c r="AG989" s="195"/>
      <c r="AH989" s="195"/>
      <c r="AI989" s="195"/>
      <c r="AJ989" s="195"/>
      <c r="AK989" s="195"/>
    </row>
    <row r="990">
      <c r="A990" s="195"/>
      <c r="B990" s="195"/>
      <c r="C990" s="195"/>
      <c r="D990" s="195"/>
      <c r="E990" s="195"/>
      <c r="F990" s="195"/>
      <c r="G990" s="195"/>
      <c r="H990" s="195"/>
      <c r="I990" s="195"/>
      <c r="J990" s="195"/>
      <c r="K990" s="195"/>
      <c r="L990" s="195"/>
      <c r="M990" s="195"/>
      <c r="N990" s="195"/>
      <c r="O990" s="195"/>
      <c r="P990" s="195"/>
      <c r="Q990" s="195"/>
      <c r="R990" s="195"/>
      <c r="S990" s="195"/>
      <c r="T990" s="195"/>
      <c r="U990" s="195"/>
      <c r="V990" s="195"/>
      <c r="W990" s="198"/>
      <c r="X990" s="195"/>
      <c r="Y990" s="195"/>
      <c r="Z990" s="195"/>
      <c r="AA990" s="195"/>
      <c r="AB990" s="195"/>
      <c r="AC990" s="195"/>
      <c r="AD990" s="195"/>
      <c r="AE990" s="195"/>
      <c r="AF990" s="195"/>
      <c r="AG990" s="195"/>
      <c r="AH990" s="195"/>
      <c r="AI990" s="195"/>
      <c r="AJ990" s="195"/>
      <c r="AK990" s="195"/>
    </row>
    <row r="991">
      <c r="A991" s="195"/>
      <c r="B991" s="195"/>
      <c r="C991" s="195"/>
      <c r="D991" s="195"/>
      <c r="E991" s="195"/>
      <c r="F991" s="195"/>
      <c r="G991" s="195"/>
      <c r="H991" s="195"/>
      <c r="I991" s="195"/>
      <c r="J991" s="195"/>
      <c r="K991" s="195"/>
      <c r="L991" s="195"/>
      <c r="M991" s="195"/>
      <c r="N991" s="195"/>
      <c r="O991" s="195"/>
      <c r="P991" s="195"/>
      <c r="Q991" s="195"/>
      <c r="R991" s="195"/>
      <c r="S991" s="195"/>
      <c r="T991" s="195"/>
      <c r="U991" s="195"/>
      <c r="V991" s="195"/>
      <c r="W991" s="198"/>
      <c r="X991" s="195"/>
      <c r="Y991" s="195"/>
      <c r="Z991" s="195"/>
      <c r="AA991" s="195"/>
      <c r="AB991" s="195"/>
      <c r="AC991" s="195"/>
      <c r="AD991" s="195"/>
      <c r="AE991" s="195"/>
      <c r="AF991" s="195"/>
      <c r="AG991" s="195"/>
      <c r="AH991" s="195"/>
      <c r="AI991" s="195"/>
      <c r="AJ991" s="195"/>
      <c r="AK991" s="195"/>
    </row>
    <row r="992">
      <c r="A992" s="195"/>
      <c r="B992" s="195"/>
      <c r="C992" s="195"/>
      <c r="D992" s="195"/>
      <c r="E992" s="195"/>
      <c r="F992" s="195"/>
      <c r="G992" s="195"/>
      <c r="H992" s="195"/>
      <c r="I992" s="195"/>
      <c r="J992" s="195"/>
      <c r="K992" s="195"/>
      <c r="L992" s="195"/>
      <c r="M992" s="195"/>
      <c r="N992" s="195"/>
      <c r="O992" s="195"/>
      <c r="P992" s="195"/>
      <c r="Q992" s="195"/>
      <c r="R992" s="195"/>
      <c r="S992" s="195"/>
      <c r="T992" s="195"/>
      <c r="U992" s="195"/>
      <c r="V992" s="195"/>
      <c r="W992" s="198"/>
      <c r="X992" s="195"/>
      <c r="Y992" s="195"/>
      <c r="Z992" s="195"/>
      <c r="AA992" s="195"/>
      <c r="AB992" s="195"/>
      <c r="AC992" s="195"/>
      <c r="AD992" s="195"/>
      <c r="AE992" s="195"/>
      <c r="AF992" s="195"/>
      <c r="AG992" s="195"/>
      <c r="AH992" s="195"/>
      <c r="AI992" s="195"/>
      <c r="AJ992" s="195"/>
      <c r="AK992" s="195"/>
    </row>
    <row r="993">
      <c r="A993" s="195"/>
      <c r="B993" s="195"/>
      <c r="C993" s="195"/>
      <c r="D993" s="195"/>
      <c r="E993" s="195"/>
      <c r="F993" s="195"/>
      <c r="G993" s="195"/>
      <c r="H993" s="195"/>
      <c r="I993" s="195"/>
      <c r="J993" s="195"/>
      <c r="K993" s="195"/>
      <c r="L993" s="195"/>
      <c r="M993" s="195"/>
      <c r="N993" s="195"/>
      <c r="O993" s="195"/>
      <c r="P993" s="195"/>
      <c r="Q993" s="195"/>
      <c r="R993" s="195"/>
      <c r="S993" s="195"/>
      <c r="T993" s="195"/>
      <c r="U993" s="195"/>
      <c r="V993" s="195"/>
      <c r="W993" s="198"/>
      <c r="X993" s="195"/>
      <c r="Y993" s="195"/>
      <c r="Z993" s="195"/>
      <c r="AA993" s="195"/>
      <c r="AB993" s="195"/>
      <c r="AC993" s="195"/>
      <c r="AD993" s="195"/>
      <c r="AE993" s="195"/>
      <c r="AF993" s="195"/>
      <c r="AG993" s="195"/>
      <c r="AH993" s="195"/>
      <c r="AI993" s="195"/>
      <c r="AJ993" s="195"/>
      <c r="AK993" s="195"/>
    </row>
    <row r="994">
      <c r="A994" s="195"/>
      <c r="B994" s="195"/>
      <c r="C994" s="195"/>
      <c r="D994" s="195"/>
      <c r="E994" s="195"/>
      <c r="F994" s="195"/>
      <c r="G994" s="195"/>
      <c r="H994" s="195"/>
      <c r="I994" s="195"/>
      <c r="J994" s="195"/>
      <c r="K994" s="195"/>
      <c r="L994" s="195"/>
      <c r="M994" s="195"/>
      <c r="N994" s="195"/>
      <c r="O994" s="195"/>
      <c r="P994" s="195"/>
      <c r="Q994" s="195"/>
      <c r="R994" s="195"/>
      <c r="S994" s="195"/>
      <c r="T994" s="195"/>
      <c r="U994" s="195"/>
      <c r="V994" s="195"/>
      <c r="W994" s="198"/>
      <c r="X994" s="195"/>
      <c r="Y994" s="195"/>
      <c r="Z994" s="195"/>
      <c r="AA994" s="195"/>
      <c r="AB994" s="195"/>
      <c r="AC994" s="195"/>
      <c r="AD994" s="195"/>
      <c r="AE994" s="195"/>
      <c r="AF994" s="195"/>
      <c r="AG994" s="195"/>
      <c r="AH994" s="195"/>
      <c r="AI994" s="195"/>
      <c r="AJ994" s="195"/>
      <c r="AK994" s="195"/>
    </row>
    <row r="995">
      <c r="A995" s="195"/>
      <c r="B995" s="195"/>
      <c r="C995" s="195"/>
      <c r="D995" s="195"/>
      <c r="E995" s="195"/>
      <c r="F995" s="195"/>
      <c r="G995" s="195"/>
      <c r="H995" s="195"/>
      <c r="I995" s="195"/>
      <c r="J995" s="195"/>
      <c r="K995" s="195"/>
      <c r="L995" s="195"/>
      <c r="M995" s="195"/>
      <c r="N995" s="195"/>
      <c r="O995" s="195"/>
      <c r="P995" s="195"/>
      <c r="Q995" s="195"/>
      <c r="R995" s="195"/>
      <c r="S995" s="195"/>
      <c r="T995" s="195"/>
      <c r="U995" s="195"/>
      <c r="V995" s="195"/>
      <c r="W995" s="198"/>
      <c r="X995" s="195"/>
      <c r="Y995" s="195"/>
      <c r="Z995" s="195"/>
      <c r="AA995" s="195"/>
      <c r="AB995" s="195"/>
      <c r="AC995" s="195"/>
      <c r="AD995" s="195"/>
      <c r="AE995" s="195"/>
      <c r="AF995" s="195"/>
      <c r="AG995" s="195"/>
      <c r="AH995" s="195"/>
      <c r="AI995" s="195"/>
      <c r="AJ995" s="195"/>
      <c r="AK995" s="195"/>
    </row>
    <row r="996">
      <c r="A996" s="195"/>
      <c r="B996" s="195"/>
      <c r="C996" s="195"/>
      <c r="D996" s="195"/>
      <c r="E996" s="195"/>
      <c r="F996" s="195"/>
      <c r="G996" s="195"/>
      <c r="H996" s="195"/>
      <c r="I996" s="195"/>
      <c r="J996" s="195"/>
      <c r="K996" s="195"/>
      <c r="L996" s="195"/>
      <c r="M996" s="195"/>
      <c r="N996" s="195"/>
      <c r="O996" s="195"/>
      <c r="P996" s="195"/>
      <c r="Q996" s="195"/>
      <c r="R996" s="195"/>
      <c r="S996" s="195"/>
      <c r="T996" s="195"/>
      <c r="U996" s="195"/>
      <c r="V996" s="195"/>
      <c r="W996" s="198"/>
      <c r="X996" s="195"/>
      <c r="Y996" s="195"/>
      <c r="Z996" s="195"/>
      <c r="AA996" s="195"/>
      <c r="AB996" s="195"/>
      <c r="AC996" s="195"/>
      <c r="AD996" s="195"/>
      <c r="AE996" s="195"/>
      <c r="AF996" s="195"/>
      <c r="AG996" s="195"/>
      <c r="AH996" s="195"/>
      <c r="AI996" s="195"/>
      <c r="AJ996" s="195"/>
      <c r="AK996" s="195"/>
    </row>
    <row r="997">
      <c r="A997" s="195"/>
      <c r="B997" s="195"/>
      <c r="C997" s="195"/>
      <c r="D997" s="195"/>
      <c r="E997" s="195"/>
      <c r="F997" s="195"/>
      <c r="G997" s="195"/>
      <c r="H997" s="195"/>
      <c r="I997" s="195"/>
      <c r="J997" s="195"/>
      <c r="K997" s="195"/>
      <c r="L997" s="195"/>
      <c r="M997" s="195"/>
      <c r="N997" s="195"/>
      <c r="O997" s="195"/>
      <c r="P997" s="195"/>
      <c r="Q997" s="195"/>
      <c r="R997" s="195"/>
      <c r="S997" s="195"/>
      <c r="T997" s="195"/>
      <c r="U997" s="195"/>
      <c r="V997" s="195"/>
      <c r="W997" s="198"/>
      <c r="X997" s="195"/>
      <c r="Y997" s="195"/>
      <c r="Z997" s="195"/>
      <c r="AA997" s="195"/>
      <c r="AB997" s="195"/>
      <c r="AC997" s="195"/>
      <c r="AD997" s="195"/>
      <c r="AE997" s="195"/>
      <c r="AF997" s="195"/>
      <c r="AG997" s="195"/>
      <c r="AH997" s="195"/>
      <c r="AI997" s="195"/>
      <c r="AJ997" s="195"/>
      <c r="AK997" s="195"/>
    </row>
    <row r="998">
      <c r="A998" s="195"/>
      <c r="B998" s="195"/>
      <c r="C998" s="195"/>
      <c r="D998" s="195"/>
      <c r="E998" s="195"/>
      <c r="F998" s="195"/>
      <c r="G998" s="195"/>
      <c r="H998" s="195"/>
      <c r="I998" s="195"/>
      <c r="J998" s="195"/>
      <c r="K998" s="195"/>
      <c r="L998" s="195"/>
      <c r="M998" s="195"/>
      <c r="N998" s="195"/>
      <c r="O998" s="195"/>
      <c r="P998" s="195"/>
      <c r="Q998" s="195"/>
      <c r="R998" s="195"/>
      <c r="S998" s="195"/>
      <c r="T998" s="195"/>
      <c r="U998" s="195"/>
      <c r="V998" s="195"/>
      <c r="W998" s="198"/>
      <c r="X998" s="195"/>
      <c r="Y998" s="195"/>
      <c r="Z998" s="195"/>
      <c r="AA998" s="195"/>
      <c r="AB998" s="195"/>
      <c r="AC998" s="195"/>
      <c r="AD998" s="195"/>
      <c r="AE998" s="195"/>
      <c r="AF998" s="195"/>
      <c r="AG998" s="195"/>
      <c r="AH998" s="195"/>
      <c r="AI998" s="195"/>
      <c r="AJ998" s="195"/>
      <c r="AK998" s="195"/>
    </row>
    <row r="999">
      <c r="A999" s="195"/>
      <c r="B999" s="195"/>
      <c r="C999" s="195"/>
      <c r="D999" s="195"/>
      <c r="E999" s="195"/>
      <c r="F999" s="195"/>
      <c r="G999" s="195"/>
      <c r="H999" s="195"/>
      <c r="I999" s="195"/>
      <c r="J999" s="195"/>
      <c r="K999" s="195"/>
      <c r="L999" s="195"/>
      <c r="M999" s="195"/>
      <c r="N999" s="195"/>
      <c r="O999" s="195"/>
      <c r="P999" s="195"/>
      <c r="Q999" s="195"/>
      <c r="R999" s="195"/>
      <c r="S999" s="195"/>
      <c r="T999" s="195"/>
      <c r="U999" s="195"/>
      <c r="V999" s="195"/>
      <c r="W999" s="198"/>
      <c r="X999" s="195"/>
      <c r="Y999" s="195"/>
      <c r="Z999" s="195"/>
      <c r="AA999" s="195"/>
      <c r="AB999" s="195"/>
      <c r="AC999" s="195"/>
      <c r="AD999" s="195"/>
      <c r="AE999" s="195"/>
      <c r="AF999" s="195"/>
      <c r="AG999" s="195"/>
      <c r="AH999" s="195"/>
      <c r="AI999" s="195"/>
      <c r="AJ999" s="195"/>
      <c r="AK999" s="195"/>
    </row>
    <row r="1000">
      <c r="A1000" s="195"/>
      <c r="B1000" s="195"/>
      <c r="C1000" s="195"/>
      <c r="D1000" s="195"/>
      <c r="E1000" s="195"/>
      <c r="F1000" s="195"/>
      <c r="G1000" s="195"/>
      <c r="H1000" s="195"/>
      <c r="I1000" s="195"/>
      <c r="J1000" s="195"/>
      <c r="K1000" s="195"/>
      <c r="L1000" s="195"/>
      <c r="M1000" s="195"/>
      <c r="N1000" s="195"/>
      <c r="O1000" s="195"/>
      <c r="P1000" s="195"/>
      <c r="Q1000" s="195"/>
      <c r="R1000" s="195"/>
      <c r="S1000" s="195"/>
      <c r="T1000" s="195"/>
      <c r="U1000" s="195"/>
      <c r="V1000" s="195"/>
      <c r="W1000" s="198"/>
      <c r="X1000" s="195"/>
      <c r="Y1000" s="195"/>
      <c r="Z1000" s="195"/>
      <c r="AA1000" s="195"/>
      <c r="AB1000" s="195"/>
      <c r="AC1000" s="195"/>
      <c r="AD1000" s="195"/>
      <c r="AE1000" s="195"/>
      <c r="AF1000" s="195"/>
      <c r="AG1000" s="195"/>
      <c r="AH1000" s="195"/>
      <c r="AI1000" s="195"/>
      <c r="AJ1000" s="195"/>
      <c r="AK1000" s="19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